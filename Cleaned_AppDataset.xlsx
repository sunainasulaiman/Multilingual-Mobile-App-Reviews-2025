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Enty\DA\Mini Project\"/>
    </mc:Choice>
  </mc:AlternateContent>
  <xr:revisionPtr revIDLastSave="0" documentId="13_ncr:1_{9D15F6F3-1AA3-46DC-B9CD-DE24A805BC39}" xr6:coauthVersionLast="47" xr6:coauthVersionMax="47" xr10:uidLastSave="{00000000-0000-0000-0000-000000000000}"/>
  <bookViews>
    <workbookView xWindow="-108" yWindow="-108" windowWidth="23256" windowHeight="12456" xr2:uid="{526043D2-A656-4D96-8D1A-F6623F8A3FB4}"/>
  </bookViews>
  <sheets>
    <sheet name="multilingual_mobile_app_reviews" sheetId="2" r:id="rId1"/>
    <sheet name="Pivot Table &amp; Charts" sheetId="1" r:id="rId2"/>
  </sheets>
  <definedNames>
    <definedName name="ExternalData_1" localSheetId="0" hidden="1">multilingual_mobile_app_reviews!$A$1:$R$2515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K2" i="2"/>
  <c r="J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F4" i="1"/>
  <c r="E4" i="1"/>
  <c r="D4" i="1"/>
  <c r="U20" i="2"/>
  <c r="X10" i="2"/>
  <c r="U19" i="2"/>
  <c r="U18" i="2"/>
  <c r="U17" i="2"/>
  <c r="U16" i="2"/>
  <c r="U15" i="2"/>
  <c r="U14" i="2"/>
  <c r="U13" i="2"/>
  <c r="U11" i="2"/>
  <c r="U10" i="2"/>
  <c r="U9" i="2"/>
  <c r="U8" i="2"/>
  <c r="U7" i="2"/>
  <c r="U6" i="2"/>
  <c r="U1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BBA3EA-8384-4D32-8FE9-4F885465FCA6}" keepAlive="1" name="Query - multilingual_mobile_app_reviews_2025" description="Connection to the 'multilingual_mobile_app_reviews_2025' query in the workbook." type="5" refreshedVersion="8" background="1" saveData="1">
    <dbPr connection="Provider=Microsoft.Mashup.OleDb.1;Data Source=$Workbook$;Location=multilingual_mobile_app_reviews_2025;Extended Properties=&quot;&quot;" command="SELECT * FROM [multilingual_mobile_app_reviews_2025]"/>
  </connection>
</connections>
</file>

<file path=xl/sharedStrings.xml><?xml version="1.0" encoding="utf-8"?>
<sst xmlns="http://schemas.openxmlformats.org/spreadsheetml/2006/main" count="20321" uniqueCount="3013">
  <si>
    <t>MX Player</t>
  </si>
  <si>
    <t>Travel &amp; Local</t>
  </si>
  <si>
    <t>Qui doloribus consequuntur. Perspiciatis tempora assumenda in. Atque doloremque nobis.</t>
  </si>
  <si>
    <t>Android Tablet</t>
  </si>
  <si>
    <t>China</t>
  </si>
  <si>
    <t>Female</t>
  </si>
  <si>
    <t>1.4</t>
  </si>
  <si>
    <t>Tinder</t>
  </si>
  <si>
    <t>Navigation</t>
  </si>
  <si>
    <t>Great app but too many ads, consider premium version.</t>
  </si>
  <si>
    <t>iPad</t>
  </si>
  <si>
    <t>Germany</t>
  </si>
  <si>
    <t>Male</t>
  </si>
  <si>
    <t>8.9</t>
  </si>
  <si>
    <t>Netflix</t>
  </si>
  <si>
    <t>Dating</t>
  </si>
  <si>
    <t>The interface could be better but overall good experience.</t>
  </si>
  <si>
    <t>Nigeria</t>
  </si>
  <si>
    <t>2.8.37.5926</t>
  </si>
  <si>
    <t>Venmo</t>
  </si>
  <si>
    <t>Productivity</t>
  </si>
  <si>
    <t>Latest update broke some features, please fix soon.</t>
  </si>
  <si>
    <t>iOS</t>
  </si>
  <si>
    <t>India</t>
  </si>
  <si>
    <t>10.2</t>
  </si>
  <si>
    <t>Google Drive</t>
  </si>
  <si>
    <t>Education</t>
  </si>
  <si>
    <t>Perfect for daily use, highly recommend to everyone.</t>
  </si>
  <si>
    <t>South Korea</t>
  </si>
  <si>
    <t>Prefer not to say</t>
  </si>
  <si>
    <t>4.7</t>
  </si>
  <si>
    <t>Music &amp; Audio</t>
  </si>
  <si>
    <t>Works perfectly on my device, no complaints at all.</t>
  </si>
  <si>
    <t>Windows Phone</t>
  </si>
  <si>
    <t>Spain</t>
  </si>
  <si>
    <t>11.2.87.6917</t>
  </si>
  <si>
    <t>Signal</t>
  </si>
  <si>
    <t>Basso bello società paese. Quello mostrare verso.</t>
  </si>
  <si>
    <t>Australia</t>
  </si>
  <si>
    <t>Non-binary</t>
  </si>
  <si>
    <t>5.6.20</t>
  </si>
  <si>
    <t>Canva</t>
  </si>
  <si>
    <t>Social Networking</t>
  </si>
  <si>
    <t>Odcinek skład zarówno zgodnie zaś. Powoli gdyby gleba.</t>
  </si>
  <si>
    <t>Malaysia</t>
  </si>
  <si>
    <t>10.5.62</t>
  </si>
  <si>
    <t>Microsoft Office</t>
  </si>
  <si>
    <t>Video Players &amp; Editors</t>
  </si>
  <si>
    <t>Eius odio facilis fuga distinctio eaque. Non cupiditate quas cum. Earum unde porro dolor eveniet quisquam.</t>
  </si>
  <si>
    <t>5.8</t>
  </si>
  <si>
    <t>Dropbox</t>
  </si>
  <si>
    <t>News &amp; Magazines</t>
  </si>
  <si>
    <t>Husband at tree note responsibility defense.</t>
  </si>
  <si>
    <t>4.9.28</t>
  </si>
  <si>
    <t>Coursera</t>
  </si>
  <si>
    <t>13.7.52</t>
  </si>
  <si>
    <t>Adobe Photoshop</t>
  </si>
  <si>
    <t>Utilities</t>
  </si>
  <si>
    <t>3.6.23-beta</t>
  </si>
  <si>
    <t>Udemy</t>
  </si>
  <si>
    <t>Health &amp; Fitness</t>
  </si>
  <si>
    <t>Vietnam</t>
  </si>
  <si>
    <t>4.6.7-beta</t>
  </si>
  <si>
    <t>Entertainment</t>
  </si>
  <si>
    <t>Some bugs need fixing but generally satisfied with it.</t>
  </si>
  <si>
    <t>Pakistan</t>
  </si>
  <si>
    <t>12.5.7.822</t>
  </si>
  <si>
    <t>eBay</t>
  </si>
  <si>
    <t>10.1.53.9563</t>
  </si>
  <si>
    <t>Khan Academy</t>
  </si>
  <si>
    <t>United Kingdom</t>
  </si>
  <si>
    <t>Communication</t>
  </si>
  <si>
    <t>Sorprendere circa collo. Organizzare giudizio organizzare libro diretto nemmeno. Prendere calcio stasera.</t>
  </si>
  <si>
    <t>Japan</t>
  </si>
  <si>
    <t>15.1.17</t>
  </si>
  <si>
    <t>Snapchat</t>
  </si>
  <si>
    <t>Crashes too often, needs improvement in stability.</t>
  </si>
  <si>
    <t>11.6.35</t>
  </si>
  <si>
    <t>Facebook</t>
  </si>
  <si>
    <t>Photography</t>
  </si>
  <si>
    <t>Brazil</t>
  </si>
  <si>
    <t>10.8</t>
  </si>
  <si>
    <t>Voluptas quis magni autem numquam. Non corrupti quis molestiae quod minus a.</t>
  </si>
  <si>
    <t>13.2</t>
  </si>
  <si>
    <t>LinkedIn</t>
  </si>
  <si>
    <t>Italy</t>
  </si>
  <si>
    <t>14.3</t>
  </si>
  <si>
    <t>PayPal</t>
  </si>
  <si>
    <t>10.4.4.1777</t>
  </si>
  <si>
    <t>Google Maps</t>
  </si>
  <si>
    <t>Turkey</t>
  </si>
  <si>
    <t>7.1.85.5410</t>
  </si>
  <si>
    <t>Booking.com</t>
  </si>
  <si>
    <t>Excellent customer support and regular feature updates.</t>
  </si>
  <si>
    <t>Thailand</t>
  </si>
  <si>
    <t>v7.8.0</t>
  </si>
  <si>
    <t>Zoom</t>
  </si>
  <si>
    <t>Games</t>
  </si>
  <si>
    <t>Android</t>
  </si>
  <si>
    <t>France</t>
  </si>
  <si>
    <t>11.9</t>
  </si>
  <si>
    <t>Reddit</t>
  </si>
  <si>
    <t>Das lachen mich Freude.</t>
  </si>
  <si>
    <t>7.3.18</t>
  </si>
  <si>
    <t>Duolingo</t>
  </si>
  <si>
    <t>7.8.57-beta</t>
  </si>
  <si>
    <t>YouTube</t>
  </si>
  <si>
    <t>3.3</t>
  </si>
  <si>
    <t>1.5.38-beta</t>
  </si>
  <si>
    <t>This app is amazing! Really love the new features.</t>
  </si>
  <si>
    <t>10.8.3.6456</t>
  </si>
  <si>
    <t>Finance</t>
  </si>
  <si>
    <t>14.1.60.318</t>
  </si>
  <si>
    <t>Waze</t>
  </si>
  <si>
    <t>Mexico</t>
  </si>
  <si>
    <t>12.4</t>
  </si>
  <si>
    <t>2.4.87</t>
  </si>
  <si>
    <t>v7.2.93</t>
  </si>
  <si>
    <t>United States</t>
  </si>
  <si>
    <t>8.5</t>
  </si>
  <si>
    <t>8.0</t>
  </si>
  <si>
    <t>Scoprire considerare bello insomma infine libertà quasi.</t>
  </si>
  <si>
    <t>2.3.40.1959</t>
  </si>
  <si>
    <t>Discord</t>
  </si>
  <si>
    <t>Покидать деловой хлеб низкий. Чем передо пробовать заработать костер.</t>
  </si>
  <si>
    <t>12.8.16</t>
  </si>
  <si>
    <t>14.1.51</t>
  </si>
  <si>
    <t>Bangladesh</t>
  </si>
  <si>
    <t>創傷ホイールバス状況極端な。</t>
  </si>
  <si>
    <t>v5.0.29</t>
  </si>
  <si>
    <t>User-friendly design and smooth performance throughout.</t>
  </si>
  <si>
    <t>v13.4.76</t>
  </si>
  <si>
    <t>Instagram</t>
  </si>
  <si>
    <t>v4.9.75</t>
  </si>
  <si>
    <t>Spotify</t>
  </si>
  <si>
    <t>v6.6.88</t>
  </si>
  <si>
    <t>v7.0.24</t>
  </si>
  <si>
    <t>OneDrive</t>
  </si>
  <si>
    <t>12.2.39</t>
  </si>
  <si>
    <t>Рот человечек мелькнуть единый набор вариант выраженный. Господь дошлый парень бабочка дьявол проход плясать. Выразить миф господь разводить прежний.</t>
  </si>
  <si>
    <t>8.8</t>
  </si>
  <si>
    <t>v8.8.61</t>
  </si>
  <si>
    <t>11.2</t>
  </si>
  <si>
    <t>Srebro obiekt zdrowie wywołać. Co gniew Polak pięć. Pracownik dziedzina okręt chyba bogini gazeta silny.</t>
  </si>
  <si>
    <t>Canada</t>
  </si>
  <si>
    <t>v10.6.83</t>
  </si>
  <si>
    <t>8.2.88</t>
  </si>
  <si>
    <t>VLC</t>
  </si>
  <si>
    <t>8.9.18-beta</t>
  </si>
  <si>
    <t>14.4.25-beta</t>
  </si>
  <si>
    <t>Freude warum sie die. Nichts schön erklären Onkel fressen. Flasche weit baden Onkel turnen Auge Glas.</t>
  </si>
  <si>
    <t>14.4.99.3771</t>
  </si>
  <si>
    <t>Qui mollitia incidunt ab. Velit porro corrupti alias. Nesciunt corporis consectetur est tempore recusandae.</t>
  </si>
  <si>
    <t>12.6</t>
  </si>
  <si>
    <t>Amazon</t>
  </si>
  <si>
    <t>14.8.46-beta</t>
  </si>
  <si>
    <t>v11.1.81</t>
  </si>
  <si>
    <t>Business</t>
  </si>
  <si>
    <t>10.2.53-beta</t>
  </si>
  <si>
    <t>Pinterest</t>
  </si>
  <si>
    <t>4.1</t>
  </si>
  <si>
    <t>Потом ремень конструкция слишком заплакать. Ложиться обида карандаш правление низкий идея.</t>
  </si>
  <si>
    <t>Philippines</t>
  </si>
  <si>
    <t>13.9</t>
  </si>
  <si>
    <t>8.7.99.5932</t>
  </si>
  <si>
    <t>Bumble</t>
  </si>
  <si>
    <t>v8.7.9</t>
  </si>
  <si>
    <t>12.3</t>
  </si>
  <si>
    <t>2.5.16</t>
  </si>
  <si>
    <t>Eveniet sint vitae eius odit id. Ex adipisci soluta ea neque voluptates alias. Ipsa quas et non maiores harum nemo ducimus.</t>
  </si>
  <si>
    <t>4.2</t>
  </si>
  <si>
    <t>v3.4.89</t>
  </si>
  <si>
    <t>13.9.76</t>
  </si>
  <si>
    <t>v11.9.62</t>
  </si>
  <si>
    <t>Uber</t>
  </si>
  <si>
    <t>v9.3.64</t>
  </si>
  <si>
    <t>Airbnb</t>
  </si>
  <si>
    <t>14.5.11</t>
  </si>
  <si>
    <t>12.2</t>
  </si>
  <si>
    <t>14.5.19</t>
  </si>
  <si>
    <t>Indonesia</t>
  </si>
  <si>
    <t>7.7.74</t>
  </si>
  <si>
    <t>4.7.56.8587</t>
  </si>
  <si>
    <t>5.9.19</t>
  </si>
  <si>
    <t>11.6.65</t>
  </si>
  <si>
    <t>11.5.98.2148</t>
  </si>
  <si>
    <t>9.3</t>
  </si>
  <si>
    <t>9.1.91</t>
  </si>
  <si>
    <t>9.5.30</t>
  </si>
  <si>
    <t>Порог тревога правление промолчать около пламя разуметься. Направо дыхание означать горький. Табак пастух а засунуть встать.</t>
  </si>
  <si>
    <t>15.1</t>
  </si>
  <si>
    <t>1.8</t>
  </si>
  <si>
    <t>Grammarly</t>
  </si>
  <si>
    <t>看到发布表示完成完全浏览继续. 所以原因查看他们一些. 开发能够登录一定.</t>
  </si>
  <si>
    <t>1.6.60-beta</t>
  </si>
  <si>
    <t>12.7</t>
  </si>
  <si>
    <t>v6.0.83</t>
  </si>
  <si>
    <t>v7.9.23</t>
  </si>
  <si>
    <t>v5.0.9</t>
  </si>
  <si>
    <t>Lyft</t>
  </si>
  <si>
    <t>6.5.56.1260</t>
  </si>
  <si>
    <t>4.9</t>
  </si>
  <si>
    <t>Occaecati earum aspernatur enim earum eum molestiae.</t>
  </si>
  <si>
    <t>13.5.65</t>
  </si>
  <si>
    <t>9.6.98.6709</t>
  </si>
  <si>
    <t>9.2</t>
  </si>
  <si>
    <t>8.8.37-beta</t>
  </si>
  <si>
    <t>3.5.65</t>
  </si>
  <si>
    <t>Telegram</t>
  </si>
  <si>
    <t>4.2.63-beta</t>
  </si>
  <si>
    <t>Sonno rimanere giovane. Tu esame giù.</t>
  </si>
  <si>
    <t>9.0</t>
  </si>
  <si>
    <t>v3.1.50</t>
  </si>
  <si>
    <t>Stupido malattia donna magari già posare sbagliare qualità. Tempo vino morale sviluppo ora popolazione avvicinare.</t>
  </si>
  <si>
    <t>6.9.40-beta</t>
  </si>
  <si>
    <t>Amet fugiat distinctio eveniet. Eius veritatis in rerum iusto quibusdam. Voluptatum expedita officiis.</t>
  </si>
  <si>
    <t>v13.0.76</t>
  </si>
  <si>
    <t>4.0.56-beta</t>
  </si>
  <si>
    <t>3.7.68.5609</t>
  </si>
  <si>
    <t>v8.5.71</t>
  </si>
  <si>
    <t>Shopping</t>
  </si>
  <si>
    <t>v4.8.34</t>
  </si>
  <si>
    <t>9.2.52-beta</t>
  </si>
  <si>
    <t>Cold parent security boy standard who. Official up office traditional.</t>
  </si>
  <si>
    <t>v14.6.63</t>
  </si>
  <si>
    <t>3.7</t>
  </si>
  <si>
    <t>6.3.0-beta</t>
  </si>
  <si>
    <t>v12.1.81</t>
  </si>
  <si>
    <t>Quos expedita incidunt fuga magni exercitationem sed.</t>
  </si>
  <si>
    <t>9.7.67</t>
  </si>
  <si>
    <t>Russia</t>
  </si>
  <si>
    <t>8.0.58.2162</t>
  </si>
  <si>
    <t>15.7.4-beta</t>
  </si>
  <si>
    <t>11.5.15.2925</t>
  </si>
  <si>
    <t>Nulla ullam quo iure repudiandae. Eaque sequi rerum assumenda sunt doloribus iure nostrum. Excepturi laudantium eveniet laborum explicabo ea.</t>
  </si>
  <si>
    <t>5.3.92</t>
  </si>
  <si>
    <t>v4.0.17</t>
  </si>
  <si>
    <t>Assumenda quam laborum quidem porro. Ipsum accusantium eos illo doloribus optio fuga. Minus incidunt quia ex praesentium earum dolorum.</t>
  </si>
  <si>
    <t>9.7.6-beta</t>
  </si>
  <si>
    <t>7.6</t>
  </si>
  <si>
    <t>9.5.99-beta</t>
  </si>
  <si>
    <t>大小正在不要图片提供.</t>
  </si>
  <si>
    <t>1.4.70.9569</t>
  </si>
  <si>
    <t>3.5.21.2294</t>
  </si>
  <si>
    <t>WhatsApp</t>
  </si>
  <si>
    <t>9.7.47.991</t>
  </si>
  <si>
    <t>2.1</t>
  </si>
  <si>
    <t>2.6.48.6180</t>
  </si>
  <si>
    <t>5.0.9.4594</t>
  </si>
  <si>
    <t>v10.6.86</t>
  </si>
  <si>
    <t>11.4</t>
  </si>
  <si>
    <t>12.6.40</t>
  </si>
  <si>
    <t>10.9.41</t>
  </si>
  <si>
    <t>5.6.38</t>
  </si>
  <si>
    <t>6.6</t>
  </si>
  <si>
    <t>14.6.46.1866</t>
  </si>
  <si>
    <t>Corrupti natus esse voluptatibus. Nam impedit nisi nulla.</t>
  </si>
  <si>
    <t>3.4</t>
  </si>
  <si>
    <t>Twitter</t>
  </si>
  <si>
    <t>v10.1.13</t>
  </si>
  <si>
    <t>8.5.50.7587</t>
  </si>
  <si>
    <t>狭い数字私スキーム品質。 バスクロス教授フレーム主人コミュニティピック溝。</t>
  </si>
  <si>
    <t>8.5.60-beta</t>
  </si>
  <si>
    <t>9.6.59-beta</t>
  </si>
  <si>
    <t>TikTok</t>
  </si>
  <si>
    <t>v13.8.23</t>
  </si>
  <si>
    <t>14.4.78</t>
  </si>
  <si>
    <t>12.2.71-beta</t>
  </si>
  <si>
    <t>7.7.62</t>
  </si>
  <si>
    <t>14.5.69-beta</t>
  </si>
  <si>
    <t>13.9.88.5745</t>
  </si>
  <si>
    <t>Architecto cumque esse quibusdam. Ullam ipsa iusto esse illo earum molestiae.</t>
  </si>
  <si>
    <t>14.8</t>
  </si>
  <si>
    <t>7.7.9-beta</t>
  </si>
  <si>
    <t>Historyczny szkoła rzucić łyżka akt szkodliwy Piotr dolina.</t>
  </si>
  <si>
    <t>14.1</t>
  </si>
  <si>
    <t>1.1.20-beta</t>
  </si>
  <si>
    <t>12.3.54</t>
  </si>
  <si>
    <t>4.6.11</t>
  </si>
  <si>
    <t>10.7.27</t>
  </si>
  <si>
    <t>广告如何最新我的. 人员留言功能次数. 产品现在主要发表得到很多其实.</t>
  </si>
  <si>
    <t>4.8</t>
  </si>
  <si>
    <t>7.9.53.5987</t>
  </si>
  <si>
    <t>12.6.10.8792</t>
  </si>
  <si>
    <t>Quidem numquam quis dignissimos molestias unde ipsa praesentium. Adipisci occaecati reiciendis quae.</t>
  </si>
  <si>
    <t>12.3.7</t>
  </si>
  <si>
    <t>Impact different success box water positive child. Meeting event strong woman during.</t>
  </si>
  <si>
    <t>6.2.95</t>
  </si>
  <si>
    <t>Two meet these tell everybody.</t>
  </si>
  <si>
    <t>13.1</t>
  </si>
  <si>
    <t>Eaque a quas saepe neque optio sint. Molestiae exercitationem mollitia molestiae iste eum deleniti.</t>
  </si>
  <si>
    <t>v6.3.53</t>
  </si>
  <si>
    <t>9.7</t>
  </si>
  <si>
    <t>v9.5.81</t>
  </si>
  <si>
    <t>7.5.58.1392</t>
  </si>
  <si>
    <t>Lendemain annoncer lien nombre. Songer haute maître immense. Fuir père choisir intéresser.</t>
  </si>
  <si>
    <t>6.7.34</t>
  </si>
  <si>
    <t>3.4.90</t>
  </si>
  <si>
    <t>12.8.31-beta</t>
  </si>
  <si>
    <t>2.3</t>
  </si>
  <si>
    <t>5.4.57</t>
  </si>
  <si>
    <t>v11.8.2</t>
  </si>
  <si>
    <t>6.9.29</t>
  </si>
  <si>
    <t>12.5</t>
  </si>
  <si>
    <t>6.2.41</t>
  </si>
  <si>
    <t>Draußen Geburtstag Angst gestern bauen halten. Denn Mama Mutter Stein drei Bett. Ob Feuer weiß denken kochen fliegen.</t>
  </si>
  <si>
    <t>11.5.22.9208</t>
  </si>
  <si>
    <t>3.9.40.3620</t>
  </si>
  <si>
    <t>1.4.26</t>
  </si>
  <si>
    <t>v3.7.9</t>
  </si>
  <si>
    <t>7.2</t>
  </si>
  <si>
    <t>1.5.0</t>
  </si>
  <si>
    <t>Dicta harum laboriosam dolores nemo.</t>
  </si>
  <si>
    <t>v11.8.49</t>
  </si>
  <si>
    <t>Dar mieć na imię kawałek. Św. ciężar trwały opuścić Austria wysłać dokładny. Umiejętność grzyb uderzać gniew sport.</t>
  </si>
  <si>
    <t>13.9.29</t>
  </si>
  <si>
    <t>Blanc pareil apparence réserver anglais façon certes tellement.</t>
  </si>
  <si>
    <t>2.7</t>
  </si>
  <si>
    <t>7.8.41.4526</t>
  </si>
  <si>
    <t>13.4.68-beta</t>
  </si>
  <si>
    <t>12.7.34</t>
  </si>
  <si>
    <t>Trzymać szklanka 50 wynosić. Cierpienie cierpieć raz prawny jednak temu.</t>
  </si>
  <si>
    <t>4.7.27-beta</t>
  </si>
  <si>
    <t>作者电子文件时候而且您的. 搜索控制计划文章设计.</t>
  </si>
  <si>
    <t>v4.0.58</t>
  </si>
  <si>
    <t>12.1.36-beta</t>
  </si>
  <si>
    <t>科技非常处理解决. 还是次数会员应该. 同时投资朋友介绍.</t>
  </si>
  <si>
    <t>10.0.28.4136</t>
  </si>
  <si>
    <t>9.5.71.9729</t>
  </si>
  <si>
    <t>Omnis rerum nulla vel eius porro. Ipsam veritatis sequi aut placeat.</t>
  </si>
  <si>
    <t>Потрясти упорно вчера торговля.</t>
  </si>
  <si>
    <t>15.5</t>
  </si>
  <si>
    <t>13.5.47.4270</t>
  </si>
  <si>
    <t>v14.2.17</t>
  </si>
  <si>
    <t>12.5.39</t>
  </si>
  <si>
    <t>6.3.21</t>
  </si>
  <si>
    <t>10.0.84</t>
  </si>
  <si>
    <t>Ratione nisi eius voluptates. Molestiae reiciendis beatae sint. Accusamus ratione dolores eum.</t>
  </si>
  <si>
    <t>10.9.89-beta</t>
  </si>
  <si>
    <t>3.0</t>
  </si>
  <si>
    <t>6.5.56</t>
  </si>
  <si>
    <t>2.6.75.7909</t>
  </si>
  <si>
    <t>12.8.98.9448</t>
  </si>
  <si>
    <t>Aliquam quos sint maxime itaque vitae aperiam laboriosam. Incidunt autem quae ipsam tempore eum.</t>
  </si>
  <si>
    <t>1.2.64-beta</t>
  </si>
  <si>
    <t>Peggio onore provocare giovane origine. Lato pagina bestia profondo solito. Qualche creare largo decisione fine lato impressione.</t>
  </si>
  <si>
    <t>14.7.57</t>
  </si>
  <si>
    <t>Wyrażenie warunek posiadać sukienka głowa wracać. Zimny chłop fala wartość.</t>
  </si>
  <si>
    <t>11.7.43</t>
  </si>
  <si>
    <t>再現する同行コンペ敵対的な販売敵改善。</t>
  </si>
  <si>
    <t>9.8.47</t>
  </si>
  <si>
    <t>暖かい出演者拡張ホイールバナーシェービング。 ニュース品質埋め込むサワーバナー彼女高い。</t>
  </si>
  <si>
    <t>13.6.5</t>
  </si>
  <si>
    <t>12.9.22</t>
  </si>
  <si>
    <t>11.8.36</t>
  </si>
  <si>
    <t>Расстегнуть поздравлять мгновение разводить коммунизм уронить. Пространство вариант бегать.</t>
  </si>
  <si>
    <t>6.7</t>
  </si>
  <si>
    <t>10.7.28.6026</t>
  </si>
  <si>
    <t>3.2.74</t>
  </si>
  <si>
    <t>4.2.66.1118</t>
  </si>
  <si>
    <t>So baden Bild kann.</t>
  </si>
  <si>
    <t>2.5.57.3938</t>
  </si>
  <si>
    <t>v8.0.37</t>
  </si>
  <si>
    <t>14.6</t>
  </si>
  <si>
    <t>6.0.49.1939</t>
  </si>
  <si>
    <t>7.0.60.2562</t>
  </si>
  <si>
    <t>Portare anzi grazia osservare accettare esercito costituire. Rifiutare elemento cane marito.</t>
  </si>
  <si>
    <t>9.8</t>
  </si>
  <si>
    <t>8.8.9</t>
  </si>
  <si>
    <t>12.9.19.9267</t>
  </si>
  <si>
    <t>13.4.62</t>
  </si>
  <si>
    <t>13.9.27.601</t>
  </si>
  <si>
    <t>11.3.78.2718</t>
  </si>
  <si>
    <t>11.3.66-beta</t>
  </si>
  <si>
    <t>9.4.48.3652</t>
  </si>
  <si>
    <t>11.3.53</t>
  </si>
  <si>
    <t>3.4.23-beta</t>
  </si>
  <si>
    <t>Itaque porro facere ipsa autem ipsa id aspernatur. Quia dolore quod asperiores odio. Magni temporibus expedita quas reprehenderit repellendus dolores.</t>
  </si>
  <si>
    <t>v10.8.33</t>
  </si>
  <si>
    <t>15.9.76.640</t>
  </si>
  <si>
    <t>6.9.94</t>
  </si>
  <si>
    <t>7.3.88-beta</t>
  </si>
  <si>
    <t>8.2.47.9161</t>
  </si>
  <si>
    <t>13.8</t>
  </si>
  <si>
    <t>5.9.7-beta</t>
  </si>
  <si>
    <t>v2.4.99</t>
  </si>
  <si>
    <t>10.3.58.6619</t>
  </si>
  <si>
    <t>Ipsam esse earum animi magni est iste. Fuga enim officia voluptate.</t>
  </si>
  <si>
    <t>12.7.48-beta</t>
  </si>
  <si>
    <t>v6.8.68</t>
  </si>
  <si>
    <t>v12.3.30</t>
  </si>
  <si>
    <t>Tenetur nemo deleniti non magnam vero ipsum. Voluptatem assumenda officia aliquam provident voluptatibus.</t>
  </si>
  <si>
    <t>14.7.47-beta</t>
  </si>
  <si>
    <t>14.2.58.1973</t>
  </si>
  <si>
    <t>6.2</t>
  </si>
  <si>
    <t>工程使用就是这是经济大小地区一起. 任何设备还是为了.</t>
  </si>
  <si>
    <t>4.4.60-beta</t>
  </si>
  <si>
    <t>13.4.45.5327</t>
  </si>
  <si>
    <t>v3.5.29</t>
  </si>
  <si>
    <t>12.1.26-beta</t>
  </si>
  <si>
    <t>8.2</t>
  </si>
  <si>
    <t>9.8.39-beta</t>
  </si>
  <si>
    <t>Facere facere debitis distinctio veniam laborum dolorem.</t>
  </si>
  <si>
    <t>13.7.38-beta</t>
  </si>
  <si>
    <t>v7.3.66</t>
  </si>
  <si>
    <t>1.8.2</t>
  </si>
  <si>
    <t>6.1.96</t>
  </si>
  <si>
    <t>12.0.25</t>
  </si>
  <si>
    <t>14.3.14-beta</t>
  </si>
  <si>
    <t>2.9.43</t>
  </si>
  <si>
    <t>叔父細かい副彼尿軸。 ダイヤモンド普通の君はベルベット舗装ボトル部隊。 自体楽しんで動物チーズクルー君は高い。</t>
  </si>
  <si>
    <t>v12.6.45</t>
  </si>
  <si>
    <t>Полевой мрачно потянуться понятный бригада. Монета монета мягкий рабочий песня табак отметить.</t>
  </si>
  <si>
    <t>v2.8.19</t>
  </si>
  <si>
    <t>4.8.87.8152</t>
  </si>
  <si>
    <t>1.9.82-beta</t>
  </si>
  <si>
    <t>Hear history bank different five between research. Social case expert stop receive catch. Large accept bad eight strong nature road.</t>
  </si>
  <si>
    <t>v6.8.95</t>
  </si>
  <si>
    <t>9.8.53.1729</t>
  </si>
  <si>
    <t>Commodi dolores odit numquam aperiam. Nisi accusamus maiores doloribus corporis inventore nostrum. Necessitatibus deleniti pariatur minima facere.</t>
  </si>
  <si>
    <t>9.5.47-beta</t>
  </si>
  <si>
    <t>Minute Himmel können Opa Zug fliegen also. Gott Seite oft Spiel.</t>
  </si>
  <si>
    <t>v9.2.38</t>
  </si>
  <si>
    <t>4.4.38.1506</t>
  </si>
  <si>
    <t>Excepturi odit rerum placeat voluptatem laboriosam delectus. Aperiam quod itaque eos.</t>
  </si>
  <si>
    <t>v13.0.98</t>
  </si>
  <si>
    <t>1.6.57.9751</t>
  </si>
  <si>
    <t>6.3.41.5645</t>
  </si>
  <si>
    <t>v12.0.31</t>
  </si>
  <si>
    <t>7.9.84</t>
  </si>
  <si>
    <t>Commodi facilis suscipit quia tempora. Excepturi deleniti porro facilis reiciendis eaque.</t>
  </si>
  <si>
    <t>5.6.29.6238</t>
  </si>
  <si>
    <t>8.6.95</t>
  </si>
  <si>
    <t>Скрытый развитый сравнение поймать художественный пересечь сомнительный. Расстегнуть опасность роскошный пища равнодушный необычный. Собеседник металл аж смелый.</t>
  </si>
  <si>
    <t>3.5.50</t>
  </si>
  <si>
    <t>Sed perspiciatis ipsa commodi.</t>
  </si>
  <si>
    <t>11.3.17.5063</t>
  </si>
  <si>
    <t>Fugit necessitatibus non perspiciatis veniam fuga.</t>
  </si>
  <si>
    <t>7.4</t>
  </si>
  <si>
    <t>追放するコピー指名ヘア。 バーゲン発生する運特徴。</t>
  </si>
  <si>
    <t>9.9</t>
  </si>
  <si>
    <t>Dolor nostrum possimus voluptatum dicta consequatur asperiores. Tempore ipsum assumenda placeat.</t>
  </si>
  <si>
    <t>14.9.62-beta</t>
  </si>
  <si>
    <t>14.0.31.8499</t>
  </si>
  <si>
    <t>Enim error culpa quae praesentium cupiditate facere.</t>
  </si>
  <si>
    <t>15.2.59</t>
  </si>
  <si>
    <t>5.5.88</t>
  </si>
  <si>
    <t>3.2.22-beta</t>
  </si>
  <si>
    <t>4.3.75-beta</t>
  </si>
  <si>
    <t>Level work candidate this assume huge.</t>
  </si>
  <si>
    <t>v11.9.77</t>
  </si>
  <si>
    <t>Illum illum nemo commodi et asperiores iure. Exercitationem soluta quos odit delectus vitae inventore.</t>
  </si>
  <si>
    <t>13.4.41-beta</t>
  </si>
  <si>
    <t>v2.7.92</t>
  </si>
  <si>
    <t>12.4.24</t>
  </si>
  <si>
    <t>Exercitationem velit tempora sapiente dolorum. Earum numquam nostrum atque odit nihil neque. Omnis quam non sapiente.</t>
  </si>
  <si>
    <t>v5.4.64</t>
  </si>
  <si>
    <t>Aliquid odit nemo officiis. Impedit odit libero occaecati enim vero laboriosam. Error asperiores animi ipsam laborum dignissimos.</t>
  </si>
  <si>
    <t>3.7.68-beta</t>
  </si>
  <si>
    <t>3.4.3-beta</t>
  </si>
  <si>
    <t>Voluptate consectetur fuga natus eum iure.</t>
  </si>
  <si>
    <t>v9.4.22</t>
  </si>
  <si>
    <t>スキーム教会チーズ血まみれの。 私リンク学生あった改善。</t>
  </si>
  <si>
    <t>v10.4.81</t>
  </si>
  <si>
    <t>6.4.18.4642</t>
  </si>
  <si>
    <t>12.9.75.7305</t>
  </si>
  <si>
    <t>v4.3.18</t>
  </si>
  <si>
    <t>Сынок факультет ягода миллиард провал. Монета экзамен более неожиданно самостоятельно вскакивать покидать.</t>
  </si>
  <si>
    <t>7.1.41</t>
  </si>
  <si>
    <t>Natus facere enim harum ipsum mollitia repudiandae. Perspiciatis blanditiis voluptate hic recusandae excepturi vel quidem. Nobis illo aliquam aliquam quae.</t>
  </si>
  <si>
    <t>9.3.22.1277</t>
  </si>
  <si>
    <t>Corrupti tempora consequuntur ut et hic nulla. Nisi magni magni laudantium natus. Repellendus fuga perferendis voluptatem nesciunt reiciendis quas.</t>
  </si>
  <si>
    <t>12.5.11</t>
  </si>
  <si>
    <t>7.9.50-beta</t>
  </si>
  <si>
    <t>パイオニア差別するタワークルー改善虐待トーン。 リニア今日ささやき錯覚呼ぶ。 協力柔らかい不自然な尿。</t>
  </si>
  <si>
    <t>1.1</t>
  </si>
  <si>
    <t>v7.8.57</t>
  </si>
  <si>
    <t>Тесно равнодушный выкинуть бегать спорт. Нажать жидкий ученый свежий вообще интернет протягивать.</t>
  </si>
  <si>
    <t>10.7</t>
  </si>
  <si>
    <t>10.0.43</t>
  </si>
  <si>
    <t>11.7.74.2771</t>
  </si>
  <si>
    <t>Provident porro laborum laboriosam natus. Enim nemo molestiae tempore hic.</t>
  </si>
  <si>
    <t>12.1.77.2861</t>
  </si>
  <si>
    <t>13.6</t>
  </si>
  <si>
    <t>v6.4.34</t>
  </si>
  <si>
    <t>7.1.67-beta</t>
  </si>
  <si>
    <t>14.4.22</t>
  </si>
  <si>
    <t>Brusquement que dent arrêter. Debout dehors bois épaule interroger point chaleur. Vin ciel penser souhaiter jamais pendre rapporter.</t>
  </si>
  <si>
    <t>10.4.99</t>
  </si>
  <si>
    <t>14.1.69</t>
  </si>
  <si>
    <t>14.7</t>
  </si>
  <si>
    <t>v8.6.8</t>
  </si>
  <si>
    <t>12.9.29</t>
  </si>
  <si>
    <t>14.9.8</t>
  </si>
  <si>
    <t>10.2.42</t>
  </si>
  <si>
    <t>Ex quasi officia quaerat. Qui ratione necessitatibus.</t>
  </si>
  <si>
    <t>2.0.0</t>
  </si>
  <si>
    <t>v10.1.80</t>
  </si>
  <si>
    <t>11.7</t>
  </si>
  <si>
    <t>3.0.62</t>
  </si>
  <si>
    <t>15.3.9.7717</t>
  </si>
  <si>
    <t>12.9</t>
  </si>
  <si>
    <t>2.6</t>
  </si>
  <si>
    <t>1.0.60</t>
  </si>
  <si>
    <t>v7.5.67</t>
  </si>
  <si>
    <t>2.6.46.7625</t>
  </si>
  <si>
    <t>v13.3.41</t>
  </si>
  <si>
    <t>数字トリビュート本質的なスマッシュ不自然な。</t>
  </si>
  <si>
    <t>10.5</t>
  </si>
  <si>
    <t>5.6</t>
  </si>
  <si>
    <t>8.9.85.8687</t>
  </si>
  <si>
    <t>v10.2.91</t>
  </si>
  <si>
    <t>Слишком носок угроза сутки. Бетонный смелый неправда умолять разнообразный парень присесть.</t>
  </si>
  <si>
    <t>6.2.47.7348</t>
  </si>
  <si>
    <t>Autore notare assicurare nazione meglio né. Colpo soltanto invece prendere.</t>
  </si>
  <si>
    <t>15.4</t>
  </si>
  <si>
    <t>Tempore ipsum animi consequatur. Itaque animi iure rem quam id.</t>
  </si>
  <si>
    <t>10.3</t>
  </si>
  <si>
    <t>v7.2.91</t>
  </si>
  <si>
    <t>12.6.17.9621</t>
  </si>
  <si>
    <t>4.2.48.4743</t>
  </si>
  <si>
    <t>3.7.88</t>
  </si>
  <si>
    <t>9.3.98</t>
  </si>
  <si>
    <t>7.5</t>
  </si>
  <si>
    <t>Fugiat placeat optio molestiae officiis expedita. Voluptatibus hic consectetur voluptatem. Quidem voluptatem iure.</t>
  </si>
  <si>
    <t>Here discover leave choice country themselves she.</t>
  </si>
  <si>
    <t>12.1.9-beta</t>
  </si>
  <si>
    <t>10.3.23</t>
  </si>
  <si>
    <t>Dignissimos aut alias nisi praesentium.</t>
  </si>
  <si>
    <t>5.2.96</t>
  </si>
  <si>
    <t>4.6.14</t>
  </si>
  <si>
    <t>Grecki zapalenie stan grudzień księga pozostać Egipt. Zgodnie handlowy zakon męski włosy gospodarczy.</t>
  </si>
  <si>
    <t>9.6</t>
  </si>
  <si>
    <t>8.8.35-beta</t>
  </si>
  <si>
    <t>5.9.79</t>
  </si>
  <si>
    <t>助けて彼今近代化するハンマー供給協力。 憲法発生するカレッジ普通の。</t>
  </si>
  <si>
    <t>v15.1.49</t>
  </si>
  <si>
    <t>11.8.73-beta</t>
  </si>
  <si>
    <t>6.9.3-beta</t>
  </si>
  <si>
    <t>6.0.58.6922</t>
  </si>
  <si>
    <t>再現する電池ピックニュース月。 差別するトーンブラケット仕上げ必要。</t>
  </si>
  <si>
    <t>10.5.34.1103</t>
  </si>
  <si>
    <t>15.0</t>
  </si>
  <si>
    <t>4.5</t>
  </si>
  <si>
    <t>4.0.31-beta</t>
  </si>
  <si>
    <t>v13.0.7</t>
  </si>
  <si>
    <t>5.7.11.3901</t>
  </si>
  <si>
    <t>v8.8.47</t>
  </si>
  <si>
    <t>Possimus provident id dolores eum.</t>
  </si>
  <si>
    <t>v5.8.49</t>
  </si>
  <si>
    <t>11.5.98</t>
  </si>
  <si>
    <t>13.5</t>
  </si>
  <si>
    <t>Suchen See Sommer Geschichte. Heiß ihn Musik Fahrrad denn.</t>
  </si>
  <si>
    <t>11.9.80</t>
  </si>
  <si>
    <t>13.7.86</t>
  </si>
  <si>
    <t>Dick gibt Herr Uhr leicht. Fragen traurig zehn Pferd leben drehen. Drehen sechs laut wenig mehr Pferd.</t>
  </si>
  <si>
    <t>v3.6.18</t>
  </si>
  <si>
    <t>v12.6.94</t>
  </si>
  <si>
    <t>v10.6.38</t>
  </si>
  <si>
    <t>出来设计各种中国. 开发问题作为那些汽车重要公司.</t>
  </si>
  <si>
    <t>v1.2.63</t>
  </si>
  <si>
    <t>1.3</t>
  </si>
  <si>
    <t>Morte effetto mattino processo insistere. Breve bellezza chiudere contadino. Direttore fra salvare autorità uso leggere difficile.</t>
  </si>
  <si>
    <t>6.1</t>
  </si>
  <si>
    <t>1.4.87-beta</t>
  </si>
  <si>
    <t>电影等级方法作为. 技术谢谢工程人员.</t>
  </si>
  <si>
    <t>6.9.16</t>
  </si>
  <si>
    <t>7.6.36</t>
  </si>
  <si>
    <t>2.6.47-beta</t>
  </si>
  <si>
    <t>5.2</t>
  </si>
  <si>
    <t>13.8.2-beta</t>
  </si>
  <si>
    <t>Natus adipisci ut et vero nesciunt quibusdam. Ut error natus necessitatibus sed perspiciatis.</t>
  </si>
  <si>
    <t>v3.1.95</t>
  </si>
  <si>
    <t>3.7.54</t>
  </si>
  <si>
    <t>法律都是网络设计如果提高或者.</t>
  </si>
  <si>
    <t>7.7.94.9481</t>
  </si>
  <si>
    <t>Odio quos iste. Explicabo velit inventore perspiciatis optio.</t>
  </si>
  <si>
    <t>15.7.14.8107</t>
  </si>
  <si>
    <t>Quae aspernatur culpa quae odio. Et autem a est facere earum. Assumenda inventore nam maiores.</t>
  </si>
  <si>
    <t>3.4.92-beta</t>
  </si>
  <si>
    <t>Nisi eveniet harum eos harum assumenda temporibus temporibus. Nemo cumque fugit consequuntur error.</t>
  </si>
  <si>
    <t>v2.8.28</t>
  </si>
  <si>
    <t>13.9.78.1670</t>
  </si>
  <si>
    <t>Error quos facere velit quam libero.</t>
  </si>
  <si>
    <t>14.2.15-beta</t>
  </si>
  <si>
    <t>索引隠すコピー符号。 サワー再現する合計学生装置彼女。 憲法ブラケットデッドタワー。</t>
  </si>
  <si>
    <t>7.3.17-beta</t>
  </si>
  <si>
    <t>13.0.84.2474</t>
  </si>
  <si>
    <t>Quos eveniet eligendi ratione facilis ut dicta. Debitis quisquam ad quas velit distinctio reiciendis. Reprehenderit recusandae illum libero.</t>
  </si>
  <si>
    <t>v11.3.69</t>
  </si>
  <si>
    <t>Perte prier résistance autrement voix.</t>
  </si>
  <si>
    <t>v9.8.39</t>
  </si>
  <si>
    <t>6.1.6-beta</t>
  </si>
  <si>
    <t>12.6.66</t>
  </si>
  <si>
    <t>6.8.51.9638</t>
  </si>
  <si>
    <t>Встать разводить ученый изменение. Аллея банда изменение.</t>
  </si>
  <si>
    <t>2.3.58</t>
  </si>
  <si>
    <t>1.2.18-beta</t>
  </si>
  <si>
    <t>8.9.16.2270</t>
  </si>
  <si>
    <t>11.1.21.407</t>
  </si>
  <si>
    <t>Schlagen Fahrrad helfen kommen schenken schlimm dich über. Bruder ihr Wort dafür wir den genau. Stadt los grün braun See Kind Bein.</t>
  </si>
  <si>
    <t>v11.8.23</t>
  </si>
  <si>
    <t>7.4.11</t>
  </si>
  <si>
    <t>Ut qui maiores mollitia.</t>
  </si>
  <si>
    <t>3.6.41-beta</t>
  </si>
  <si>
    <t>8.0.52</t>
  </si>
  <si>
    <t>13.3.68.6943</t>
  </si>
  <si>
    <t>Hic qui sunt ipsum inventore a.</t>
  </si>
  <si>
    <t>v13.7.34</t>
  </si>
  <si>
    <t>2.1.68-beta</t>
  </si>
  <si>
    <t>4.9.86.9880</t>
  </si>
  <si>
    <t>11.8.58-beta</t>
  </si>
  <si>
    <t>9.7.40-beta</t>
  </si>
  <si>
    <t>10.5.32</t>
  </si>
  <si>
    <t>8.6.59.7015</t>
  </si>
  <si>
    <t>11.8.32-beta</t>
  </si>
  <si>
    <t>v3.7.39</t>
  </si>
  <si>
    <t>4.7.88.7658</t>
  </si>
  <si>
    <t>v1.0.25</t>
  </si>
  <si>
    <t>15.3</t>
  </si>
  <si>
    <t>In consequuntur fugit delectus odio possimus.</t>
  </si>
  <si>
    <t>10.6.81</t>
  </si>
  <si>
    <t>13.9.8.2744</t>
  </si>
  <si>
    <t>4.3</t>
  </si>
  <si>
    <t>8.8.79-beta</t>
  </si>
  <si>
    <t>9.1.35</t>
  </si>
  <si>
    <t>Consequatur repellendus vitae magnam libero placeat impedit. Laborum assumenda adipisci quis eos eius.</t>
  </si>
  <si>
    <t>v15.4.1</t>
  </si>
  <si>
    <t>Natus quo libero magni nemo eaque molestiae.</t>
  </si>
  <si>
    <t>v13.7.92</t>
  </si>
  <si>
    <t>Nave volere bisognare serio restare errore. Lago forma segnare. Sotto camminare scusare coscienza raggiungere prezzo.</t>
  </si>
  <si>
    <t>6.3.53-beta</t>
  </si>
  <si>
    <t>7.3.50.1044</t>
  </si>
  <si>
    <t>15.6</t>
  </si>
  <si>
    <t>v7.3.16</t>
  </si>
  <si>
    <t>6.9.62-beta</t>
  </si>
  <si>
    <t>8.6.84.3006</t>
  </si>
  <si>
    <t>Посвятить скрытый лететь казнь задержать беспомощный. Вперед дыхание обида забирать.</t>
  </si>
  <si>
    <t>13.8.15</t>
  </si>
  <si>
    <t>Désormais prétendre santé recommencer. Jusque musique distinguer garde humide parti.</t>
  </si>
  <si>
    <t>7.0.1</t>
  </si>
  <si>
    <t>14.0</t>
  </si>
  <si>
    <t>14.8.82-beta</t>
  </si>
  <si>
    <t>Force able similar run room learn professional. Sure somebody huge why station manager.</t>
  </si>
  <si>
    <t>11.1</t>
  </si>
  <si>
    <t>v6.2.1</t>
  </si>
  <si>
    <t>5.1.76-beta</t>
  </si>
  <si>
    <t>v4.0.78</t>
  </si>
  <si>
    <t>Aut quos itaque. Ut culpa itaque voluptatibus. Dicta porro consequatur officiis culpa ut.</t>
  </si>
  <si>
    <t>3.4.40.649</t>
  </si>
  <si>
    <t>9.5.23</t>
  </si>
  <si>
    <t>Zaczynać tkanina mi. Hiszpański szkoła wieś pracownik pochodzić.</t>
  </si>
  <si>
    <t>8.6.64-beta</t>
  </si>
  <si>
    <t>v9.9.61</t>
  </si>
  <si>
    <t>Possimus repellendus voluptates. Possimus labore dolorem at rem aut.</t>
  </si>
  <si>
    <t>11.9.9</t>
  </si>
  <si>
    <t>4.7.4</t>
  </si>
  <si>
    <t>Aussitôt moindre on coin. Profiter parent cheveu fumer port simple.</t>
  </si>
  <si>
    <t>14.2.34-beta</t>
  </si>
  <si>
    <t>8.2.64-beta</t>
  </si>
  <si>
    <t>5.1.43.487</t>
  </si>
  <si>
    <t>15.7.60.5522</t>
  </si>
  <si>
    <t>12.2.3</t>
  </si>
  <si>
    <t>11.7.29-beta</t>
  </si>
  <si>
    <t>細かい目的品質午前風景陶器。</t>
  </si>
  <si>
    <t>3.7.11.4938</t>
  </si>
  <si>
    <t>Aliquam aperiam ratione magni occaecati. Quisquam incidunt illo odit modi corrupti assumenda.</t>
  </si>
  <si>
    <t>Modi hic odio rerum.</t>
  </si>
  <si>
    <t>11.5.48.6253</t>
  </si>
  <si>
    <t>10.0.39.1014</t>
  </si>
  <si>
    <t>v8.7.18</t>
  </si>
  <si>
    <t>Assumenda ipsa iste non est.</t>
  </si>
  <si>
    <t>14.3.93</t>
  </si>
  <si>
    <t>5.3.89-beta</t>
  </si>
  <si>
    <t>Cum veritatis minima. Cumque consectetur quos eaque suscipit. Ex inventore minima.</t>
  </si>
  <si>
    <t>6.9.13-beta</t>
  </si>
  <si>
    <t>4.0.15-beta</t>
  </si>
  <si>
    <t>4.0.75.9388</t>
  </si>
  <si>
    <t>9.8.67</t>
  </si>
  <si>
    <t>3.9.26</t>
  </si>
  <si>
    <t>11.8.56.2292</t>
  </si>
  <si>
    <t>v10.8.27</t>
  </si>
  <si>
    <t>v2.4.81</t>
  </si>
  <si>
    <t>Aliquid sint doloribus. Facilis ullam debitis vero alias rem quae.</t>
  </si>
  <si>
    <t>v2.5.81</t>
  </si>
  <si>
    <t>Prawy trudno czynić pomidor gwałtowny żeby. Żołnierz cierpienie mierzyć.</t>
  </si>
  <si>
    <t>v10.7.12</t>
  </si>
  <si>
    <t>Quo est assumenda itaque fuga.</t>
  </si>
  <si>
    <t>10.2.33.156</t>
  </si>
  <si>
    <t>Rosnąć budowa aktywny bronić uciekać wujek bitwa środa.</t>
  </si>
  <si>
    <t>9.4.35.7009</t>
  </si>
  <si>
    <t>Dehors étoile secrétaire. Type abattre personne.</t>
  </si>
  <si>
    <t>9.7.1.6947</t>
  </si>
  <si>
    <t>12.8.87</t>
  </si>
  <si>
    <t>v6.3.69</t>
  </si>
  <si>
    <t>v10.7.42</t>
  </si>
  <si>
    <t>13.4.28-beta</t>
  </si>
  <si>
    <t>4.4.5-beta</t>
  </si>
  <si>
    <t>Importance quitter naturel lire parvenir fonder.</t>
  </si>
  <si>
    <t>12.6.16</t>
  </si>
  <si>
    <t>4.1.16</t>
  </si>
  <si>
    <t>v9.6.82</t>
  </si>
  <si>
    <t>v7.2.32</t>
  </si>
  <si>
    <t>2.1.16</t>
  </si>
  <si>
    <t>Asperiores dicta quod nesciunt culpa. Ipsum et blanditiis facere.</t>
  </si>
  <si>
    <t>4.6.70.4138</t>
  </si>
  <si>
    <t>Пространство демократия штаб предоставить. Грустный лиловый сравнение пространство низкий ученый адвокат четыре.</t>
  </si>
  <si>
    <t>10.0.65.7462</t>
  </si>
  <si>
    <t>5.0</t>
  </si>
  <si>
    <t>14.5</t>
  </si>
  <si>
    <t>6.4.26-beta</t>
  </si>
  <si>
    <t>1.4.20-beta</t>
  </si>
  <si>
    <t>v4.6.49</t>
  </si>
  <si>
    <t>10.2.22.7023</t>
  </si>
  <si>
    <t>v14.2.99</t>
  </si>
  <si>
    <t>6.7.54-beta</t>
  </si>
  <si>
    <t>Business walk anything under item right. Ahead raise common Democrat cost evidence third. Pass pay positive.</t>
  </si>
  <si>
    <t>3.5</t>
  </si>
  <si>
    <t>Кпсс головной интернет граница низкий.</t>
  </si>
  <si>
    <t>2.2.7.527</t>
  </si>
  <si>
    <t>7.2.95-beta</t>
  </si>
  <si>
    <t>4.4.13</t>
  </si>
  <si>
    <t>5.1.72</t>
  </si>
  <si>
    <t>6.6.94</t>
  </si>
  <si>
    <t>13.2.98.2639</t>
  </si>
  <si>
    <t>问题特别无法两个准备. 提供地区你的人民.</t>
  </si>
  <si>
    <t>v2.1.22</t>
  </si>
  <si>
    <t>14.9.40</t>
  </si>
  <si>
    <t>v7.7.85</t>
  </si>
  <si>
    <t>Composer nord riche pouvoir. Âme précis trou moindre moindre consulter voir soulever. Médecin complètement apercevoir asseoir obliger ah jaune.</t>
  </si>
  <si>
    <t>5.7</t>
  </si>
  <si>
    <t>5.4.81</t>
  </si>
  <si>
    <t>4.5.53-beta</t>
  </si>
  <si>
    <t>Accusantium nesciunt totam quo. Similique vero fuga velit hic aut error. Voluptate quasi ipsa odit.</t>
  </si>
  <si>
    <t>1.2.58-beta</t>
  </si>
  <si>
    <t>Provident natus suscipit nostrum. Dolore nihil cupiditate esse porro consectetur. Veniam veniam hic.</t>
  </si>
  <si>
    <t>10.6</t>
  </si>
  <si>
    <t>v14.8.54</t>
  </si>
  <si>
    <t>Dolore natus vel consequuntur quia dolores voluptatem cumque. Reprehenderit pariatur quas excepturi.</t>
  </si>
  <si>
    <t>2.1.11.270</t>
  </si>
  <si>
    <t>7.1.25</t>
  </si>
  <si>
    <t>1.6.4</t>
  </si>
  <si>
    <t>Факультет ведь головной.</t>
  </si>
  <si>
    <t>3.6.93-beta</t>
  </si>
  <si>
    <t>2.1.3</t>
  </si>
  <si>
    <t>Fugiat repudiandae ratione neque quis dolorem iste.</t>
  </si>
  <si>
    <t>5.3.68-beta</t>
  </si>
  <si>
    <t>2.7.46-beta</t>
  </si>
  <si>
    <t>2.5.44.7929</t>
  </si>
  <si>
    <t>Molestias tempore at nisi. Tempora provident inventore officiis non ipsa amet ex.</t>
  </si>
  <si>
    <t>11.4.50.1686</t>
  </si>
  <si>
    <t>文件图片这些他们一样语言支持. 我们现在其实简介地方网络. 主题国际技术出来环境.</t>
  </si>
  <si>
    <t>6.1.57</t>
  </si>
  <si>
    <t>v3.5.15</t>
  </si>
  <si>
    <t>11.6</t>
  </si>
  <si>
    <t>15.7.36-beta</t>
  </si>
  <si>
    <t>10.0.50-beta</t>
  </si>
  <si>
    <t>12.5.68</t>
  </si>
  <si>
    <t>6.2.96-beta</t>
  </si>
  <si>
    <t>9.3.84</t>
  </si>
  <si>
    <t>12.7.83.2524</t>
  </si>
  <si>
    <t>v6.0.56</t>
  </si>
  <si>
    <t>4.1.6.585</t>
  </si>
  <si>
    <t>Dolorem aperiam harum minima vitae porro vel nemo.</t>
  </si>
  <si>
    <t>v11.4.90</t>
  </si>
  <si>
    <t>Force si angoisse mort. Réussir plutôt page cas rassurer commun vivre. Rire celui goût voir habitude.</t>
  </si>
  <si>
    <t>v7.5.2</t>
  </si>
  <si>
    <t>9.2.96</t>
  </si>
  <si>
    <t>5.1</t>
  </si>
  <si>
    <t>1.7.39-beta</t>
  </si>
  <si>
    <t>v5.3.4</t>
  </si>
  <si>
    <t>v3.6.70</t>
  </si>
  <si>
    <t>6.6.59-beta</t>
  </si>
  <si>
    <t>1.6.16</t>
  </si>
  <si>
    <t>Новый аллея даль естественный.</t>
  </si>
  <si>
    <t>12.9.86</t>
  </si>
  <si>
    <t>2.0.19</t>
  </si>
  <si>
    <t>14.9.87.7195</t>
  </si>
  <si>
    <t>7.6.89-beta</t>
  </si>
  <si>
    <t>8.7</t>
  </si>
  <si>
    <t>13.4.50-beta</t>
  </si>
  <si>
    <t>1.0</t>
  </si>
  <si>
    <t>10.4.14</t>
  </si>
  <si>
    <t>Accusantium repellendus esse eligendi laudantium possimus.</t>
  </si>
  <si>
    <t>4.3.94-beta</t>
  </si>
  <si>
    <t>4.3.73.7762</t>
  </si>
  <si>
    <t>1.9.69</t>
  </si>
  <si>
    <t>v9.1.74</t>
  </si>
  <si>
    <t>8.1.72</t>
  </si>
  <si>
    <t>8.4.29</t>
  </si>
  <si>
    <t>2.9</t>
  </si>
  <si>
    <t>3.7.23</t>
  </si>
  <si>
    <t>Beim schwarz Hunger spät. Wagen Angst Eis Uhr und Fisch klein. Schuh früh treffen lesen Opa daran.</t>
  </si>
  <si>
    <t>v8.4.46</t>
  </si>
  <si>
    <t>4.4</t>
  </si>
  <si>
    <t>Vero labore mollitia exercitationem. Quibusdam porro eligendi harum cum.</t>
  </si>
  <si>
    <t>5.9.49</t>
  </si>
  <si>
    <t>Officia perspiciatis eaque illum accusantium. Labore consequatur cupiditate. Dolore non velit.</t>
  </si>
  <si>
    <t>v10.9.98</t>
  </si>
  <si>
    <t>v1.9.35</t>
  </si>
  <si>
    <t>4.6.7</t>
  </si>
  <si>
    <t>2.0.23-beta</t>
  </si>
  <si>
    <t>2.8.56.1855</t>
  </si>
  <si>
    <t>v5.9.3</t>
  </si>
  <si>
    <t>Polizei nimmt Geburtstag Buch beide zusammen Papa. Frei schwer was Geburtstag dich. Weg Tag Stück neun richtig.</t>
  </si>
  <si>
    <t>11.2.48</t>
  </si>
  <si>
    <t>5.3</t>
  </si>
  <si>
    <t>Weinen hängen setzen Name öffnen. Glücklich Schwester schlafen packen Land.</t>
  </si>
  <si>
    <t>8.6</t>
  </si>
  <si>
    <t>15.2</t>
  </si>
  <si>
    <t>Eos iusto qui quam. Quis delectus perspiciatis excepturi at explicabo quia.</t>
  </si>
  <si>
    <t>Ea eos sed iusto sint nesciunt. Architecto suscipit magnam sint fugit error amet sequi. Voluptatibus exercitationem voluptates tempora.</t>
  </si>
  <si>
    <t>13.7</t>
  </si>
  <si>
    <t>5.7.43.792</t>
  </si>
  <si>
    <t>9.4.73</t>
  </si>
  <si>
    <t>厳しい隠す主婦サラダ創傷品質。 ハンマー立派なパンジャーナル編組編組タワー。</t>
  </si>
  <si>
    <t>15.1.91-beta</t>
  </si>
  <si>
    <t>11.1.90</t>
  </si>
  <si>
    <t>v8.2.93</t>
  </si>
  <si>
    <t>Taki lub studia również medycyna.</t>
  </si>
  <si>
    <t>11.5</t>
  </si>
  <si>
    <t>8.5.31</t>
  </si>
  <si>
    <t>9.5.33-beta</t>
  </si>
  <si>
    <t>Suscipit voluptatum exercitationem temporibus facere deleniti. Accusantium dolore voluptates distinctio accusantium magnam.</t>
  </si>
  <si>
    <t>1.8.77</t>
  </si>
  <si>
    <t>7.1.28.6658</t>
  </si>
  <si>
    <t>13.3.57-beta</t>
  </si>
  <si>
    <t>全部直接经验没有程序安全可能发生. 处理要求表示中国全国提供位置.</t>
  </si>
  <si>
    <t>12.9.97</t>
  </si>
  <si>
    <t>v8.5.83</t>
  </si>
  <si>
    <t>1.6.63.2798</t>
  </si>
  <si>
    <t>13.9.91.6083</t>
  </si>
  <si>
    <t>v4.1.68</t>
  </si>
  <si>
    <t>v6.9.98</t>
  </si>
  <si>
    <t>Doch merken weiter schlagen langsam. Abend sagen weinen um Sache. Wo spät Berg See.</t>
  </si>
  <si>
    <t>11.7.41.4958</t>
  </si>
  <si>
    <t>12.2.55-beta</t>
  </si>
  <si>
    <t>Tablica w ciągu religia wtorek. Dzisiejszy Rosja studiować gatunek w ciągu olej. Wybrzeże Kościół oś list.</t>
  </si>
  <si>
    <t>12.4.35.938</t>
  </si>
  <si>
    <t>2.6.15-beta</t>
  </si>
  <si>
    <t>Id vitae earum harum.</t>
  </si>
  <si>
    <t>9.0.85-beta</t>
  </si>
  <si>
    <t>5.4.71</t>
  </si>
  <si>
    <t>v5.4.89</t>
  </si>
  <si>
    <t>11.4.26.5607</t>
  </si>
  <si>
    <t>6.9.48</t>
  </si>
  <si>
    <t>13.0.56.7479</t>
  </si>
  <si>
    <t>7.6.99.4414</t>
  </si>
  <si>
    <t>5.2.44-beta</t>
  </si>
  <si>
    <t>8.2.44-beta</t>
  </si>
  <si>
    <t>14.6.76.6453</t>
  </si>
  <si>
    <t>11.3</t>
  </si>
  <si>
    <t>7.8.13</t>
  </si>
  <si>
    <t>風景埋め込む狭いそれ近代化するダッシュクルー。 ストレージヒールヘア知覚部隊チーズ証言する通行料金。 差別する奨励します教授バケツバケツ敵主人ログ。</t>
  </si>
  <si>
    <t>5.6.33.1900</t>
  </si>
  <si>
    <t>Meno necessario giornata. Autorità io né badare massimo.</t>
  </si>
  <si>
    <t>6.9.33.3238</t>
  </si>
  <si>
    <t>7.4.44.7505</t>
  </si>
  <si>
    <t>15.4.54</t>
  </si>
  <si>
    <t>Repudiandae recusandae vitae.</t>
  </si>
  <si>
    <t>v10.7.27</t>
  </si>
  <si>
    <t>細かい差別する画面感謝する電話尊敬する。</t>
  </si>
  <si>
    <t>6.5.56-beta</t>
  </si>
  <si>
    <t>5.4.96-beta</t>
  </si>
  <si>
    <t>Quis dolore exercitationem rerum.</t>
  </si>
  <si>
    <t>15.8.16.6201</t>
  </si>
  <si>
    <t>v15.9.35</t>
  </si>
  <si>
    <t>6.9.31.2728</t>
  </si>
  <si>
    <t>同行バケツバス賞賛する怒り。 ささやき協力持っていました証言するコーナー虐待。</t>
  </si>
  <si>
    <t>8.1.0-beta</t>
  </si>
  <si>
    <t>14.0.46.6545</t>
  </si>
  <si>
    <t>4.4.12</t>
  </si>
  <si>
    <t>5.0.28.6077</t>
  </si>
  <si>
    <t>Unde quos tenetur porro cupiditate repellendus aut. Non eum sunt in non possimus dolorum id.</t>
  </si>
  <si>
    <t>14.6.32</t>
  </si>
  <si>
    <t>トスブラケット屋根裏転倒。</t>
  </si>
  <si>
    <t>9.5</t>
  </si>
  <si>
    <t>Provincia trascinare perfetto convincere peggio elevare.</t>
  </si>
  <si>
    <t>8.7.72.200</t>
  </si>
  <si>
    <t>Lieu poursuivre entourer camarade. Moi nécessaire très presser pleurer suivre. Du séparer rire maintenant air chasser plaisir.</t>
  </si>
  <si>
    <t>v10.8.31</t>
  </si>
  <si>
    <t>Saepe porro eos quidem. Facere iste nulla. Sint quia natus dolores quos reiciendis enim.</t>
  </si>
  <si>
    <t>5.9.1-beta</t>
  </si>
  <si>
    <t>安全责任表示报告管理法律. 东西成功事情一种汽车.</t>
  </si>
  <si>
    <t>v6.8.61</t>
  </si>
  <si>
    <t>8.2.22-beta</t>
  </si>
  <si>
    <t>Deserunt quam deserunt ipsum voluptatem asperiores vitae quasi.</t>
  </si>
  <si>
    <t>Eius eaque cum sapiente ab iure. Aliquam ut nisi quo.</t>
  </si>
  <si>
    <t>v6.2.39</t>
  </si>
  <si>
    <t>4.4.37</t>
  </si>
  <si>
    <t>1.6</t>
  </si>
  <si>
    <t>13.6.19.2465</t>
  </si>
  <si>
    <t>15.7</t>
  </si>
  <si>
    <t>15.8.47.266</t>
  </si>
  <si>
    <t>3.8.11-beta</t>
  </si>
  <si>
    <t>Determine degree forward guess despite sell.</t>
  </si>
  <si>
    <t>7.9.37.105</t>
  </si>
  <si>
    <t>15.9</t>
  </si>
  <si>
    <t>Protect knowledge toward party.</t>
  </si>
  <si>
    <t>3.6</t>
  </si>
  <si>
    <t>3.8.74</t>
  </si>
  <si>
    <t>Harum molestiae eligendi tenetur. Maiores magni laborum eos officiis eum.</t>
  </si>
  <si>
    <t>1.0.48-beta</t>
  </si>
  <si>
    <t>3.2</t>
  </si>
  <si>
    <t>12.2.52.762</t>
  </si>
  <si>
    <t>v3.9.81</t>
  </si>
  <si>
    <t>4.1.95-beta</t>
  </si>
  <si>
    <t>6.6.47.2380</t>
  </si>
  <si>
    <t>8.5.24-beta</t>
  </si>
  <si>
    <t>不能主要市场.</t>
  </si>
  <si>
    <t>v13.8.58</t>
  </si>
  <si>
    <t>8.6.70.1360</t>
  </si>
  <si>
    <t>7.8.53-beta</t>
  </si>
  <si>
    <t>7.2.82-beta</t>
  </si>
  <si>
    <t>1.1.66.5099</t>
  </si>
  <si>
    <t>1.6.32-beta</t>
  </si>
  <si>
    <t>Professore attore tirare. Elettrico presidente palazzo duro.</t>
  </si>
  <si>
    <t>v7.0.81</t>
  </si>
  <si>
    <t>11.4.13.7994</t>
  </si>
  <si>
    <t>10.9.53</t>
  </si>
  <si>
    <t>v15.6.3</t>
  </si>
  <si>
    <t>Zobaczyć przestać złoto lata narodowość trudność prędkość.</t>
  </si>
  <si>
    <t>Commodi a nisi modi.</t>
  </si>
  <si>
    <t>5.7.44-beta</t>
  </si>
  <si>
    <t>Crier tantôt seuil chaque connaissance oublier. Corde confiance réunir seul seuil. Impossible mentir écarter auquel bleu promener journée.</t>
  </si>
  <si>
    <t>2.1.91-beta</t>
  </si>
  <si>
    <t>4.7.5.4029</t>
  </si>
  <si>
    <t>Fünf Beispiel Eltern laufen. Nächste gehen Nase Mutter Hase gern.</t>
  </si>
  <si>
    <t>14.7.53.9115</t>
  </si>
  <si>
    <t>v15.3.40</t>
  </si>
  <si>
    <t>语言公司可是国内非常. 一次单位文章工程技术图片. 完成需要可是简介.</t>
  </si>
  <si>
    <t>14.2.8</t>
  </si>
  <si>
    <t>Occaecati repellat neque quisquam distinctio alias ea. Iusto quod facilis dolore quo quasi enim.</t>
  </si>
  <si>
    <t>10.8.52.2364</t>
  </si>
  <si>
    <t>14.2.3</t>
  </si>
  <si>
    <t>Placeat quidem consequuntur culpa necessitatibus natus sit corporis. Vel aliquam quis doloremque eaque doloremque pariatur. Tenetur facere iusto iste aliquid voluptatem eum.</t>
  </si>
  <si>
    <t>1.5.49</t>
  </si>
  <si>
    <t>10.2.56.2909</t>
  </si>
  <si>
    <t>Molestias cupiditate officiis facilis officiis saepe maxime fugiat. Maiores explicabo sint laborum laboriosam. Ab sunt ipsam dolorem maiores eligendi corrupti culpa.</t>
  </si>
  <si>
    <t>10.5.58-beta</t>
  </si>
  <si>
    <t>14.8.11.5252</t>
  </si>
  <si>
    <t>1.7.13.5268</t>
  </si>
  <si>
    <t>9.0.6-beta</t>
  </si>
  <si>
    <t>2.3.63.3388</t>
  </si>
  <si>
    <t>v7.4.24</t>
  </si>
  <si>
    <t>v3.4.87</t>
  </si>
  <si>
    <t>Occaecati aliquam nemo animi.</t>
  </si>
  <si>
    <t>4.0.49</t>
  </si>
  <si>
    <t>组织起来没有商品重要经济.</t>
  </si>
  <si>
    <t>v1.9.1</t>
  </si>
  <si>
    <t>v2.3.77</t>
  </si>
  <si>
    <t>15.1.87</t>
  </si>
  <si>
    <t>Papier long commander pont.</t>
  </si>
  <si>
    <t>15.2.47-beta</t>
  </si>
  <si>
    <t>Heraus davon also Luft weiter.</t>
  </si>
  <si>
    <t>6.5</t>
  </si>
  <si>
    <t>7.2.60.1781</t>
  </si>
  <si>
    <t>11.1.8</t>
  </si>
  <si>
    <t>Bête petit tâche matière.</t>
  </si>
  <si>
    <t>6.2.37</t>
  </si>
  <si>
    <t>管理するトーストノート編組ないホイール風景。 コーナー倫理品質デッドスキーム索引。</t>
  </si>
  <si>
    <t>15.5.10</t>
  </si>
  <si>
    <t>1.9</t>
  </si>
  <si>
    <t>v12.7.84</t>
  </si>
  <si>
    <t>v13.8.54</t>
  </si>
  <si>
    <t>1.2</t>
  </si>
  <si>
    <t>11.5.85.1734</t>
  </si>
  <si>
    <t>保持する呼ぶオークション拡張クール。 プラスチック月狭い尿じぶんの。</t>
  </si>
  <si>
    <t>4.7.25.8116</t>
  </si>
  <si>
    <t>Milch mit dürfen Monat lassen zusammen.</t>
  </si>
  <si>
    <t>v12.1.24</t>
  </si>
  <si>
    <t>5.2.8</t>
  </si>
  <si>
    <t>10.4.93-beta</t>
  </si>
  <si>
    <t>Aut magni ratione reiciendis. Possimus provident cum vitae a at corporis unde.</t>
  </si>
  <si>
    <t>4.1.2-beta</t>
  </si>
  <si>
    <t>Parecchio qualità togliere gruppo. Effetto vario articolo risposta comune mano accorgersi.</t>
  </si>
  <si>
    <t>11.0.45</t>
  </si>
  <si>
    <t>10.1.76.2121</t>
  </si>
  <si>
    <t>Meritare prodotto particolare potenza fretta più vi azzurro.</t>
  </si>
  <si>
    <t>13.4.71.5583</t>
  </si>
  <si>
    <t>7.2.79</t>
  </si>
  <si>
    <t>11.0.41.5836</t>
  </si>
  <si>
    <t>9.8.36-beta</t>
  </si>
  <si>
    <t>分割職人通行料金ブレーキ。 私保証金戦略的ボトル持っていました埋め込む。</t>
  </si>
  <si>
    <t>10.7.97</t>
  </si>
  <si>
    <t>14.6.70-beta</t>
  </si>
  <si>
    <t>3.1</t>
  </si>
  <si>
    <t>Morze Śródziemne usuwać zamiar włosy biskup akt. Skala Polak suma relacja rozpocząć pomiędzy.</t>
  </si>
  <si>
    <t>14.3.57</t>
  </si>
  <si>
    <t>6.5.49</t>
  </si>
  <si>
    <t>1.7.77-beta</t>
  </si>
  <si>
    <t>10.4.27</t>
  </si>
  <si>
    <t>10.4.85</t>
  </si>
  <si>
    <t>12.5.9-beta</t>
  </si>
  <si>
    <t>Enim id quibusdam exercitationem mollitia. Labore explicabo tempora eaque. Libero dicta quasi sit dignissimos.</t>
  </si>
  <si>
    <t>1.1.11-beta</t>
  </si>
  <si>
    <t>继续所有系统孩子. 或者类别一般论坛地方东西应该. 网上怎么空间一点美国地址女人.</t>
  </si>
  <si>
    <t>3.0.73</t>
  </si>
  <si>
    <t>v9.7.29</t>
  </si>
  <si>
    <t>Expedita similique quod itaque blanditiis maxime et. Accusamus distinctio neque.</t>
  </si>
  <si>
    <t>6.8.80.2377</t>
  </si>
  <si>
    <t>12.3.87-beta</t>
  </si>
  <si>
    <t>12.0.64-beta</t>
  </si>
  <si>
    <t>Libero distinctio praesentium fuga. Eius debitis consectetur nemo dolorem aut.</t>
  </si>
  <si>
    <t>14.1.8-beta</t>
  </si>
  <si>
    <t>1.7.40</t>
  </si>
  <si>
    <t>8.4.69</t>
  </si>
  <si>
    <t>11.2.75.463</t>
  </si>
  <si>
    <t>5.9.42</t>
  </si>
  <si>
    <t>12.7.89</t>
  </si>
  <si>
    <t>v2.6.60</t>
  </si>
  <si>
    <t>v11.3.57</t>
  </si>
  <si>
    <t>v9.0.14</t>
  </si>
  <si>
    <t>Fort posséder attaquer.</t>
  </si>
  <si>
    <t>11.8</t>
  </si>
  <si>
    <t>14.5.99</t>
  </si>
  <si>
    <t>13.1.55</t>
  </si>
  <si>
    <t>15.4.60-beta</t>
  </si>
  <si>
    <t>5.4.34.4735</t>
  </si>
  <si>
    <t>13.4.24.5923</t>
  </si>
  <si>
    <t>4.6.61.4436</t>
  </si>
  <si>
    <t>10.4.65-beta</t>
  </si>
  <si>
    <t>14.1.35.1761</t>
  </si>
  <si>
    <t>Eveniet magni quod ipsum aspernatur nostrum.</t>
  </si>
  <si>
    <t>v4.9.77</t>
  </si>
  <si>
    <t>Papa wichtig in nun.</t>
  </si>
  <si>
    <t>2.1.52-beta</t>
  </si>
  <si>
    <t>Painting house thought sit voice. Minute late cold take by doctor edge season.</t>
  </si>
  <si>
    <t>1.9.31-beta</t>
  </si>
  <si>
    <t>3.2.28.9593</t>
  </si>
  <si>
    <t>8.2.37-beta</t>
  </si>
  <si>
    <t>v13.0.41</t>
  </si>
  <si>
    <t>Passare avvicinare tono giù dedicare. Invitare carattere moderno compagno amore.</t>
  </si>
  <si>
    <t>11.8.45.9921</t>
  </si>
  <si>
    <t>7.6.38</t>
  </si>
  <si>
    <t>見落とす彼ノート明らかにする脊椎アクセルペダル厳しい。</t>
  </si>
  <si>
    <t>v8.6.59</t>
  </si>
  <si>
    <t>10.4.45.8398</t>
  </si>
  <si>
    <t>11.8.47-beta</t>
  </si>
  <si>
    <t>Dolorem at est impedit culpa ab minima. Exercitationem iusto ab ullam.</t>
  </si>
  <si>
    <t>2.2.48-beta</t>
  </si>
  <si>
    <t>7.2.54.8963</t>
  </si>
  <si>
    <t>销售欢迎发生世界制作. 电子生活文化朋友等级目前. 简介记者加入或者留言评论.</t>
  </si>
  <si>
    <t>11.7.43-beta</t>
  </si>
  <si>
    <t>v8.4.42</t>
  </si>
  <si>
    <t>9.5.52-beta</t>
  </si>
  <si>
    <t>v1.5.47</t>
  </si>
  <si>
    <t>1.2.39</t>
  </si>
  <si>
    <t>14.9.36</t>
  </si>
  <si>
    <t>Baden Mann einige bringen. Darauf kalt Affe bleiben als.</t>
  </si>
  <si>
    <t>9.4.37-beta</t>
  </si>
  <si>
    <t>v12.1.36</t>
  </si>
  <si>
    <t>14.4.49-beta</t>
  </si>
  <si>
    <t>7.1</t>
  </si>
  <si>
    <t>緩むフェミニスト残るヘア。</t>
  </si>
  <si>
    <t>12.9.70.4755</t>
  </si>
  <si>
    <t>8.4</t>
  </si>
  <si>
    <t>Risolvere inverno raggiungere ammazzare lei risolvere. Porta cortile già valle trasformare classe quarto. Militare direzione personaggio contrario stella sostenere crisi.</t>
  </si>
  <si>
    <t>14.8.53.268</t>
  </si>
  <si>
    <t>3.8.83</t>
  </si>
  <si>
    <t>2.4.39.8886</t>
  </si>
  <si>
    <t>2.7.85</t>
  </si>
  <si>
    <t>14.7.71-beta</t>
  </si>
  <si>
    <t>14.7.10</t>
  </si>
  <si>
    <t>v5.0.13</t>
  </si>
  <si>
    <t>Салон пространство разуметься волк увеличиваться. Рот ученый тяжелый чем более иной чувство научить. Роса ведь затянуться шлем успокоиться вперед.</t>
  </si>
  <si>
    <t>1.4.41</t>
  </si>
  <si>
    <t>Научить поговорить природа посидеть поговорить деньги. Необычный кидать видимо сохранять коммунизм рассуждение поймать. Магазин слишком цепочка функция важный.</t>
  </si>
  <si>
    <t>5.8.96</t>
  </si>
  <si>
    <t>2.9.0-beta</t>
  </si>
  <si>
    <t>Kosz mieć na imię obecny zachód zatoka literatura. Działać zjawisko złożyć przeznaczyć wyspa jądro roślina. Więc mieszkaniec żyć mąż.</t>
  </si>
  <si>
    <t>8.3</t>
  </si>
  <si>
    <t>v10.6.24</t>
  </si>
  <si>
    <t>Hand paper audience. Pretty up story life police.</t>
  </si>
  <si>
    <t>2.9.0</t>
  </si>
  <si>
    <t>v14.2.26</t>
  </si>
  <si>
    <t>4.6</t>
  </si>
  <si>
    <t>American audience fight war whether best rise.</t>
  </si>
  <si>
    <t>5.2.61-beta</t>
  </si>
  <si>
    <t>Minima dolorum numquam debitis quibusdam.</t>
  </si>
  <si>
    <t>12.6.2.1032</t>
  </si>
  <si>
    <t>v6.8.53</t>
  </si>
  <si>
    <t>7.7</t>
  </si>
  <si>
    <t>14.0.26-beta</t>
  </si>
  <si>
    <t>5.9.57</t>
  </si>
  <si>
    <t>14.3.52</t>
  </si>
  <si>
    <t>Inverno forte fabbrica volontà felice gesto rifiutare insistere. Papà nostro costruzione rimanere testa dirigere. Italiano greco qualunque vista organizzare mezzo voltare.</t>
  </si>
  <si>
    <t>v2.6.29</t>
  </si>
  <si>
    <t>Dolor et quo velit reprehenderit.</t>
  </si>
  <si>
    <t>5.5</t>
  </si>
  <si>
    <t>2.4.33.5441</t>
  </si>
  <si>
    <t>Explicabo consequuntur facilis neque doloremque repellat at.</t>
  </si>
  <si>
    <t>3.4.43</t>
  </si>
  <si>
    <t>v1.9.3</t>
  </si>
  <si>
    <t>v3.4.64</t>
  </si>
  <si>
    <t>9.2.51.6189</t>
  </si>
  <si>
    <t>1.6.26-beta</t>
  </si>
  <si>
    <t>关系女人系统. 增加任何以后学习. 网上情况操作说明.</t>
  </si>
  <si>
    <t>14.8.15.9107</t>
  </si>
  <si>
    <t>v7.3.13</t>
  </si>
  <si>
    <t>11.2.37</t>
  </si>
  <si>
    <t>Amet quasi hic ipsum. Nemo at inventore ratione corporis excepturi labore quia.</t>
  </si>
  <si>
    <t>v14.8.32</t>
  </si>
  <si>
    <t>10.1.80-beta</t>
  </si>
  <si>
    <t>Сопровождаться кузнец вперед научить иной устройство.</t>
  </si>
  <si>
    <t>2.7.64.6672</t>
  </si>
  <si>
    <t>12.6.42-beta</t>
  </si>
  <si>
    <t>v13.1.67</t>
  </si>
  <si>
    <t>v3.1.30</t>
  </si>
  <si>
    <t>8.6.54</t>
  </si>
  <si>
    <t>14.0.49-beta</t>
  </si>
  <si>
    <t>7.8.82.2337</t>
  </si>
  <si>
    <t>12.8.17</t>
  </si>
  <si>
    <t>Compagnia formare sembrare scherzare pazzo. Anzi segretario contro giallo riconoscere solito.</t>
  </si>
  <si>
    <t>13.4</t>
  </si>
  <si>
    <t>11.9.97-beta</t>
  </si>
  <si>
    <t>7.1.18.9278</t>
  </si>
  <si>
    <t>7.1.27.245</t>
  </si>
  <si>
    <t>v9.2.30</t>
  </si>
  <si>
    <t>2.6.64</t>
  </si>
  <si>
    <t>8.6.99.2904</t>
  </si>
  <si>
    <t>1.7.17-beta</t>
  </si>
  <si>
    <t>v1.6.67</t>
  </si>
  <si>
    <t>Violent loi presque taire joue. Manquer consentir lèvre immobile tôt aider désespoir malheur. Juste quelqu'un agent politique examiner éloigner.</t>
  </si>
  <si>
    <t>5.4.6-beta</t>
  </si>
  <si>
    <t>14.8.31.1884</t>
  </si>
  <si>
    <t>Передо интеллектуальный четыре способ.</t>
  </si>
  <si>
    <t>Nemo incidunt est non ipsum. Dignissimos consequuntur molestiae reiciendis. Est provident minima consequatur.</t>
  </si>
  <si>
    <t>11.5.1.5490</t>
  </si>
  <si>
    <t>Architecto minus quaerat delectus saepe corporis.</t>
  </si>
  <si>
    <t>7.9.91.4109</t>
  </si>
  <si>
    <t>2.5.22.3855</t>
  </si>
  <si>
    <t>10.8.63.6300</t>
  </si>
  <si>
    <t>v5.8.22</t>
  </si>
  <si>
    <t>Quis nostrum eaque.</t>
  </si>
  <si>
    <t>13.6.28.3188</t>
  </si>
  <si>
    <t>3.9.21.6614</t>
  </si>
  <si>
    <t>14.8.41.257</t>
  </si>
  <si>
    <t>4.2.46-beta</t>
  </si>
  <si>
    <t>v14.8.67</t>
  </si>
  <si>
    <t>v8.5.65</t>
  </si>
  <si>
    <t>6.0.17</t>
  </si>
  <si>
    <t>4.0.41-beta</t>
  </si>
  <si>
    <t>到了网站结果通过通过. 以下一定网上怎么. 很多过程回复一次为什其实.</t>
  </si>
  <si>
    <t>8.3.54-beta</t>
  </si>
  <si>
    <t>Travailler mort mari passer préparer apparaître brusquement imaginer.</t>
  </si>
  <si>
    <t>12.8.59</t>
  </si>
  <si>
    <t>v7.2.73</t>
  </si>
  <si>
    <t>12.6.41</t>
  </si>
  <si>
    <t>大統領虐待参加する創傷コミュニケーションは。</t>
  </si>
  <si>
    <t>5.6.15-beta</t>
  </si>
  <si>
    <t>15.7.77-beta</t>
  </si>
  <si>
    <t>v9.8.72</t>
  </si>
  <si>
    <t>1.4.38-beta</t>
  </si>
  <si>
    <t>13.9.95</t>
  </si>
  <si>
    <t>10.1.18</t>
  </si>
  <si>
    <t>ピック残る残る大統領。</t>
  </si>
  <si>
    <t>3.2.5.1982</t>
  </si>
  <si>
    <t>4.8.1-beta</t>
  </si>
  <si>
    <t>3.2.76-beta</t>
  </si>
  <si>
    <t>3.9.63</t>
  </si>
  <si>
    <t>Assumenda provident quas voluptate nostrum cum.</t>
  </si>
  <si>
    <t>2.2.3-beta</t>
  </si>
  <si>
    <t>14.9</t>
  </si>
  <si>
    <t>4.0.15.277</t>
  </si>
  <si>
    <t>网上不能数据全国. 关系参加功能的人来源.</t>
  </si>
  <si>
    <t>8.6.35-beta</t>
  </si>
  <si>
    <t>2.3.65-beta</t>
  </si>
  <si>
    <t>12.3.3.286</t>
  </si>
  <si>
    <t>3.7.32-beta</t>
  </si>
  <si>
    <t>13.1.14-beta</t>
  </si>
  <si>
    <t>10.0.40</t>
  </si>
  <si>
    <t>Sunt eius occaecati reprehenderit dignissimos. Corporis officiis alias sequi.</t>
  </si>
  <si>
    <t>15.6.84</t>
  </si>
  <si>
    <t>v2.8.10</t>
  </si>
  <si>
    <t>结果作品包括学校. 不能开发那个应用就是其他而且.</t>
  </si>
  <si>
    <t>15.8.3.1157</t>
  </si>
  <si>
    <t>v9.2.7</t>
  </si>
  <si>
    <t>Iusto commodi similique eveniet impedit. Possimus nostrum autem quas occaecati. Laborum porro ut voluptates.</t>
  </si>
  <si>
    <t>v15.7.86</t>
  </si>
  <si>
    <t>Minima voluptatum explicabo consectetur natus. Quas libero repellat sunt doloremque enim deserunt. Ad numquam blanditiis sed.</t>
  </si>
  <si>
    <t>v10.5.29</t>
  </si>
  <si>
    <t>Aliquid expedita rem distinctio odit porro. Ratione est magni eum ab. Exercitationem quam nulla adipisci cupiditate ex.</t>
  </si>
  <si>
    <t>6.1.99.7541</t>
  </si>
  <si>
    <t>v15.9.54</t>
  </si>
  <si>
    <t>5.8.69</t>
  </si>
  <si>
    <t>10.9.8</t>
  </si>
  <si>
    <t>Tempore iure repellendus unde animi maxime natus.</t>
  </si>
  <si>
    <t>2.3.27-beta</t>
  </si>
  <si>
    <t>8.2.33.2041</t>
  </si>
  <si>
    <t>Placeat reiciendis suscipit explicabo voluptas eligendi adipisci.</t>
  </si>
  <si>
    <t>3.4.76.8819</t>
  </si>
  <si>
    <t>v10.2.50</t>
  </si>
  <si>
    <t>6.9.33</t>
  </si>
  <si>
    <t>Совет ложиться возможно бровь запеть зачем голубчик заведение. Лапа снимать радость триста ответить инструкция. Нажать покидать заплакать выгнать очередной.</t>
  </si>
  <si>
    <t>8.1</t>
  </si>
  <si>
    <t>来自一下日本网络标题记者特别. 大小还有数据位置我们. 表示学校现在.</t>
  </si>
  <si>
    <t>v1.9.83</t>
  </si>
  <si>
    <t>v7.0.41</t>
  </si>
  <si>
    <t>13.8.77-beta</t>
  </si>
  <si>
    <t>Eum deserunt eius eum ipsam.</t>
  </si>
  <si>
    <t>4.0</t>
  </si>
  <si>
    <t>评论公司方面电脑. 一般这里不过如此觉得. 手机市场或者资料不同有限广告.</t>
  </si>
  <si>
    <t>5.1.11.6104</t>
  </si>
  <si>
    <t>Amet incidunt debitis nisi nihil saepe. Nulla est repellendus quae perferendis modi voluptate.</t>
  </si>
  <si>
    <t>4.1.22.9468</t>
  </si>
  <si>
    <t>パン学生は建築感謝する保持する犯罪者。 建築今日織る残るプラスチック細かいフェミニスト。</t>
  </si>
  <si>
    <t>2.2.24-beta</t>
  </si>
  <si>
    <t>1.3.71-beta</t>
  </si>
  <si>
    <t>7.9.29.5325</t>
  </si>
  <si>
    <t>12.6.56.7769</t>
  </si>
  <si>
    <t>Невозможно зарплата наступать выраженный более отражение решение триста.</t>
  </si>
  <si>
    <t>8.9.79-beta</t>
  </si>
  <si>
    <t>10.8.65.2540</t>
  </si>
  <si>
    <t>Тута наслаждение за через один посидеть. Полоска коробка пламя возмутиться волк невозможно. Освободить миллиард неправда хотеть художественный возможно наступать.</t>
  </si>
  <si>
    <t>7.7.55</t>
  </si>
  <si>
    <t>5.0.92.3855</t>
  </si>
  <si>
    <t>7.9.40</t>
  </si>
  <si>
    <t>追放するブランチ埋め込むボトル目的供給中央。</t>
  </si>
  <si>
    <t>v6.1.51</t>
  </si>
  <si>
    <t>3.6.77</t>
  </si>
  <si>
    <t>3.5.58.1271</t>
  </si>
  <si>
    <t>Хозяйка наступать ярко поймать падать построить полевой четко.</t>
  </si>
  <si>
    <t>v14.2.48</t>
  </si>
  <si>
    <t>Sint doloremque praesentium hic et. Illo ipsa distinctio cupiditate consequuntur nam. Saepe culpa voluptatum pariatur consequatur asperiores.</t>
  </si>
  <si>
    <t>6.8.75-beta</t>
  </si>
  <si>
    <t>v1.9.18</t>
  </si>
  <si>
    <t>Tempora possimus ut numquam iste incidunt reprehenderit. Explicabo delectus non neque sed dolores.</t>
  </si>
  <si>
    <t>Порядок мучительно фонарик выгнать падать спешить уточнить. Мгновение назначить а а.</t>
  </si>
  <si>
    <t>2.2.53-beta</t>
  </si>
  <si>
    <t>Besser warum blau Küche sie wollen besser. Straße genau bald Gott springen kurz Licht.</t>
  </si>
  <si>
    <t>6.2.54</t>
  </si>
  <si>
    <t>Fortuna vicino entro commissione probabilmente oro. Quanto nostro assicurare lo compagnia.</t>
  </si>
  <si>
    <t>15.8.73.5117</t>
  </si>
  <si>
    <t>Изба умирать ярко возмутиться ложиться темнеть запретить необычный.</t>
  </si>
  <si>
    <t>8.1.52.1444</t>
  </si>
  <si>
    <t>v11.2.8</t>
  </si>
  <si>
    <t>Падать советовать ложиться коробка поздравлять смертельный мучительно. Покинуть парень житель слать. Свежий коробка падаль металл крыса правление.</t>
  </si>
  <si>
    <t>v4.9.70</t>
  </si>
  <si>
    <t>管理非常方法方法. 设计对于朋友目前无法学习功能. 这种成为无法孩子网络无法不会.</t>
  </si>
  <si>
    <t>15.5.98</t>
  </si>
  <si>
    <t>3.5.37-beta</t>
  </si>
  <si>
    <t>Hic quo quibusdam quasi nihil deserunt excepturi porro. Et ab ab architecto.</t>
  </si>
  <si>
    <t>v11.2.23</t>
  </si>
  <si>
    <t>8.9.43-beta</t>
  </si>
  <si>
    <t>1.0.50.4717</t>
  </si>
  <si>
    <t>Deserunt ad at vel omnis. Veniam odit provident blanditiis sequi. Fugiat quisquam officia rem.</t>
  </si>
  <si>
    <t>2.8</t>
  </si>
  <si>
    <t>10.9.1-beta</t>
  </si>
  <si>
    <t>v11.3.72</t>
  </si>
  <si>
    <t>7.5.32-beta</t>
  </si>
  <si>
    <t>2.0.94.524</t>
  </si>
  <si>
    <t>生活服务一次这种任何. 发现根据不能市场. 作品不能应该开始两个.</t>
  </si>
  <si>
    <t>7.7.28.2230</t>
  </si>
  <si>
    <t>Schwimmen Brot beißen möglich Flasche kaufen. Deshalb Papa wieder rufen freuen schon weil.</t>
  </si>
  <si>
    <t>Lange Hunger sehr tief Beispiel Familie heute. Dann Mann zwei Glas gegen Ball über. Hat verlieren Glück unser.</t>
  </si>
  <si>
    <t>v1.7.14</t>
  </si>
  <si>
    <t>v9.9.62</t>
  </si>
  <si>
    <t>3.1.48.9110</t>
  </si>
  <si>
    <t>其他朋友我的程序单位.</t>
  </si>
  <si>
    <t>v15.2.65</t>
  </si>
  <si>
    <t>3.2.7</t>
  </si>
  <si>
    <t>游戏系列学校. 朋友业务运行以上只要中文报告. 产品已经责任.</t>
  </si>
  <si>
    <t>12.0</t>
  </si>
  <si>
    <t>15.2.64-beta</t>
  </si>
  <si>
    <t>10.8.28</t>
  </si>
  <si>
    <t>4.8.35.1096</t>
  </si>
  <si>
    <t>Unde alias consequuntur officiis iusto. Aliquid praesentium consectetur cupiditate amet esse recusandae itaque. Saepe aperiam repellendus beatae.</t>
  </si>
  <si>
    <t>13.0.49-beta</t>
  </si>
  <si>
    <t>Конструкция а столетие неправда указанный невозможно. Карман полностью лететь мера. Степь палец передо девка.</t>
  </si>
  <si>
    <t>v5.3.52</t>
  </si>
  <si>
    <t>Obecnie kolumna nasz pięć. Opowiadać odwaga a student mieć żołnierz wszystko koszula. Sześćdziesiąt zakończyć handlowy głód ogień.</t>
  </si>
  <si>
    <t>v3.5.85</t>
  </si>
  <si>
    <t>Nostrum alias debitis libero. Occaecati quos expedita a. Deleniti voluptates voluptate nulla sint.</t>
  </si>
  <si>
    <t>12.4.47-beta</t>
  </si>
  <si>
    <t>6.9.60-beta</t>
  </si>
  <si>
    <t>Arriver cacher cher sembler temps. Composer plaisir apprendre pauvre droite habiter espèce.</t>
  </si>
  <si>
    <t>15.9.39</t>
  </si>
  <si>
    <t>4.5.99</t>
  </si>
  <si>
    <t>15.4.27-beta</t>
  </si>
  <si>
    <t>3.1.10.6036</t>
  </si>
  <si>
    <t>Różny dać się 60 zakres wojsko brzeg oglądać. Francuski alfabet utwór męski dziki ich. Kilka pokryć grupa próbować pomoc.</t>
  </si>
  <si>
    <t>4.3.59</t>
  </si>
  <si>
    <t>13.1.63</t>
  </si>
  <si>
    <t>6.2.92.6120</t>
  </si>
  <si>
    <t>13.2.25</t>
  </si>
  <si>
    <t>15.4.68-beta</t>
  </si>
  <si>
    <t>5.2.44.9179</t>
  </si>
  <si>
    <t>14.7.31</t>
  </si>
  <si>
    <t>Tant naissance mettre décrire fumer magnifique six curieux. Seconde douter prouver qualité désert envie nation.</t>
  </si>
  <si>
    <t>5.9.9</t>
  </si>
  <si>
    <t>10.5.57-beta</t>
  </si>
  <si>
    <t>Quasi magnam incidunt hic repellat possimus atque.</t>
  </si>
  <si>
    <t>12.1.19</t>
  </si>
  <si>
    <t>Rapide pourquoi frère d'abord existence dent y.</t>
  </si>
  <si>
    <t>8.7.29.1310</t>
  </si>
  <si>
    <t>2.9.8</t>
  </si>
  <si>
    <t>v9.6.63</t>
  </si>
  <si>
    <t>4.5.40-beta</t>
  </si>
  <si>
    <t>v4.5.26</t>
  </si>
  <si>
    <t>Sunt quasi amet veniam perferendis suscipit beatae facilis. Aliquam facilis officia provident natus quo consequuntur ex.</t>
  </si>
  <si>
    <t>15.8.79.9169</t>
  </si>
  <si>
    <t>13.4.78-beta</t>
  </si>
  <si>
    <t>4.2.13.131</t>
  </si>
  <si>
    <t>8.9.16</t>
  </si>
  <si>
    <t>Wrażenie myśl rzecz długość wrzesień wrogi stopień. Małpa twardy powstać gniew ukraiński skłonność kostka.</t>
  </si>
  <si>
    <t>v3.1.26</t>
  </si>
  <si>
    <t>2.4.90.5907</t>
  </si>
  <si>
    <t>Valeur avant colère cabinet chemin. Sonner madame pareil éclater. Tout inutile geste quant à aider contenir aile.</t>
  </si>
  <si>
    <t>v14.0.4</t>
  </si>
  <si>
    <t>Garden position for order recent success knowledge fight.</t>
  </si>
  <si>
    <t>4.2.66.2512</t>
  </si>
  <si>
    <t>11.6.58</t>
  </si>
  <si>
    <t>12.9.71-beta</t>
  </si>
  <si>
    <t>v8.2.20</t>
  </si>
  <si>
    <t>Eligendi vero nulla cum modi delectus.</t>
  </si>
  <si>
    <t>14.4.52.1735</t>
  </si>
  <si>
    <t>Dolores aliquam et consectetur. Fuga dignissimos provident pariatur voluptatem.</t>
  </si>
  <si>
    <t>3.5.76.658</t>
  </si>
  <si>
    <t>2.2.10</t>
  </si>
  <si>
    <t>12.0.80.3696</t>
  </si>
  <si>
    <t>Wichtig Ding zeigen Mensch letzte Polizei Garten. Zeigen so zwischen rund Stunde.</t>
  </si>
  <si>
    <t>15.3.94.25</t>
  </si>
  <si>
    <t>14.5.78.6186</t>
  </si>
  <si>
    <t>15.9.94-beta</t>
  </si>
  <si>
    <t>v3.9.17</t>
  </si>
  <si>
    <t>4.7.85-beta</t>
  </si>
  <si>
    <t>4.1.28</t>
  </si>
  <si>
    <t>11.1.91.6103</t>
  </si>
  <si>
    <t>Oh corps mal renverser. Côte bande serrer plusieurs valeur. Fonder justice obtenir longtemps aspect place former.</t>
  </si>
  <si>
    <t>13.2.86</t>
  </si>
  <si>
    <t>14.6.95</t>
  </si>
  <si>
    <t>Exercitationem est ipsum natus dolor. Qui impedit ipsam cum quas tempore.</t>
  </si>
  <si>
    <t>3.9</t>
  </si>
  <si>
    <t>10.8.12.2636</t>
  </si>
  <si>
    <t>Write moment friend value opportunity heart according.</t>
  </si>
  <si>
    <t>15.6.78.2801</t>
  </si>
  <si>
    <t>Nam quae quidem consequatur. Rerum enim laudantium reprehenderit. Rerum esse nam iure ad.</t>
  </si>
  <si>
    <t>Vague science interroger perdre suivant.</t>
  </si>
  <si>
    <t>3.8</t>
  </si>
  <si>
    <t>15.7.63</t>
  </si>
  <si>
    <t>Campo dovere volto.</t>
  </si>
  <si>
    <t>10.7.52-beta</t>
  </si>
  <si>
    <t>7.5.89.6542</t>
  </si>
  <si>
    <t>Specie pensiero luce privato campo mese. Affrontare distinguere ogni chiesa lei principio fratello.</t>
  </si>
  <si>
    <t>厳しい午前移動教会サンプル主人。 風景フェミニストストレージ軸緩む。</t>
  </si>
  <si>
    <t>8.0.71.64</t>
  </si>
  <si>
    <t>14.4.14-beta</t>
  </si>
  <si>
    <t>Reprehenderit accusamus maxime fuga laborum excepturi. Aut culpa dolore deleniti. Nostrum rerum minima minus mollitia quidem beatae.</t>
  </si>
  <si>
    <t>14.8.22.4433</t>
  </si>
  <si>
    <t>Terreno luogo estremo fuggire.</t>
  </si>
  <si>
    <t>v4.9.76</t>
  </si>
  <si>
    <t>Cupiditate esse quia blanditiis consectetur possimus. Esse distinctio voluptatem incidunt quis.</t>
  </si>
  <si>
    <t>10.9.45</t>
  </si>
  <si>
    <t>7.7.35-beta</t>
  </si>
  <si>
    <t>3.2.15</t>
  </si>
  <si>
    <t>v10.3.76</t>
  </si>
  <si>
    <t>Czynnik przy wybitny po.</t>
  </si>
  <si>
    <t>v6.0.67</t>
  </si>
  <si>
    <t>14.7.15.5840</t>
  </si>
  <si>
    <t>Художественный что очередной передо кожа очутиться ленинград выразить. Спичка выраженный полностью. Беспомощный чем дорогой ленинград.</t>
  </si>
  <si>
    <t>4.0.36-beta</t>
  </si>
  <si>
    <t>10.1.45-beta</t>
  </si>
  <si>
    <t>10.9.73-beta</t>
  </si>
  <si>
    <t>Distinctio dolorem beatae voluptates commodi beatae. Libero facere enim quam. Eveniet blanditiis eligendi nobis.</t>
  </si>
  <si>
    <t>5.9.96.7501</t>
  </si>
  <si>
    <t>Voluptates incidunt sequi tempora rem. Debitis voluptatum laudantium autem ipsa omnis. Blanditiis hic possimus voluptate.</t>
  </si>
  <si>
    <t>3.1.56-beta</t>
  </si>
  <si>
    <t>Ziehen gleich nein zwei daran und. Fußball Schwester Name früh steigen Platz holen.</t>
  </si>
  <si>
    <t>v5.4.42</t>
  </si>
  <si>
    <t>転倒パーセント感謝する同行省略マリン今。 スキーム差別するテント。 彼チーズ目的。</t>
  </si>
  <si>
    <t>2.1.73.4027</t>
  </si>
  <si>
    <t>v8.9.6</t>
  </si>
  <si>
    <t>Recusandae dicta optio laudantium ea exercitationem similique.</t>
  </si>
  <si>
    <t>4.2.86</t>
  </si>
  <si>
    <t>4.6.5</t>
  </si>
  <si>
    <t>Et fugiat itaque adipisci nam similique esse.</t>
  </si>
  <si>
    <t>2.5.81-beta</t>
  </si>
  <si>
    <t>省略ささやき部隊クロス保持する中央。 電話教授極端な衝突コーナートーン部隊。</t>
  </si>
  <si>
    <t>11.9.5.2196</t>
  </si>
  <si>
    <t>2.6.9</t>
  </si>
  <si>
    <t>1.2.62</t>
  </si>
  <si>
    <t>13.3.2-beta</t>
  </si>
  <si>
    <t>Sonne oder Herr. Gott halten Haare rot Finger Polizei.</t>
  </si>
  <si>
    <t>13.4.40</t>
  </si>
  <si>
    <t>Beatae cumque modi alias omnis.</t>
  </si>
  <si>
    <t>v13.1.96</t>
  </si>
  <si>
    <t>評議会デッドコーナー自体トーンブランチ。</t>
  </si>
  <si>
    <t>v12.3.27</t>
  </si>
  <si>
    <t>今天中文登录联系其他当前.</t>
  </si>
  <si>
    <t>1.0.90.8106</t>
  </si>
  <si>
    <t>3.4.69</t>
  </si>
  <si>
    <t>8.2.7</t>
  </si>
  <si>
    <t>14.6.72.676</t>
  </si>
  <si>
    <t>ダッシュテントリハビリ見出しリフトトレーナークール憲法。 ジャーナルカレッジ狐状況催眠術。</t>
  </si>
  <si>
    <t>10.2.70-beta</t>
  </si>
  <si>
    <t>3.5.23.3518</t>
  </si>
  <si>
    <t>埋め込むバス私倫理。 評議会サンプル連続バケツ舗装あった職人。</t>
  </si>
  <si>
    <t>15.6.32.7848</t>
  </si>
  <si>
    <t>2.9.14</t>
  </si>
  <si>
    <t>Eaque enim cum porro doloremque dolores. Deleniti doloribus repudiandae iure.</t>
  </si>
  <si>
    <t>2.2</t>
  </si>
  <si>
    <t>10.1.78</t>
  </si>
  <si>
    <t>Donna alzare sacrificio dubbio. Comunicazione sole vario magari aiutare sorgere avvicinare. Errore assoluto università studio possibilità stato greco signorina.</t>
  </si>
  <si>
    <t>9.1.40.1515</t>
  </si>
  <si>
    <t>v4.5.97</t>
  </si>
  <si>
    <t>Mare bambina osservare rispondere europeo. Raggiungere scopo recare trascinare crisi bravo costruzione dormire. Dirigere opinione mamma giardino ufficio facile.</t>
  </si>
  <si>
    <t>1.8.17</t>
  </si>
  <si>
    <t>1.8.44</t>
  </si>
  <si>
    <t>v13.8.17</t>
  </si>
  <si>
    <t>8.9.22</t>
  </si>
  <si>
    <t>2.5.11</t>
  </si>
  <si>
    <t>Porro ratione dolores.</t>
  </si>
  <si>
    <t>7.0</t>
  </si>
  <si>
    <t>v14.2.33</t>
  </si>
  <si>
    <t>Morire destro inverno accogliere. Tipo tedesco esercito trasformare richiedere errore.</t>
  </si>
  <si>
    <t>1.8.50-beta</t>
  </si>
  <si>
    <t>8.7.10.2616</t>
  </si>
  <si>
    <t>5.0.39-beta</t>
  </si>
  <si>
    <t>11.1.98</t>
  </si>
  <si>
    <t>9.8.22.1062</t>
  </si>
  <si>
    <t>Quaerat soluta reprehenderit repudiandae praesentium magni. In quas molestias eveniet possimus quis. Occaecati ratione consequatur id.</t>
  </si>
  <si>
    <t>3.0.89</t>
  </si>
  <si>
    <t>12.1.75.7646</t>
  </si>
  <si>
    <t>14.8.42</t>
  </si>
  <si>
    <t>12.0.60-beta</t>
  </si>
  <si>
    <t>Способ неожиданно неудобно налево сравнение ягода инфекция.</t>
  </si>
  <si>
    <t>1.8.46-beta</t>
  </si>
  <si>
    <t>10.6.70-beta</t>
  </si>
  <si>
    <t>Związany związać kula porządek firma.</t>
  </si>
  <si>
    <t>6.0.94-beta</t>
  </si>
  <si>
    <t>14.3.89.1844</t>
  </si>
  <si>
    <t>6.3.5</t>
  </si>
  <si>
    <t>5.8.11</t>
  </si>
  <si>
    <t>Bring responsibility itself turn law purpose budget.</t>
  </si>
  <si>
    <t>v1.8.59</t>
  </si>
  <si>
    <t>Fugit inventore dignissimos dolor reprehenderit quas deleniti.</t>
  </si>
  <si>
    <t>v5.1.38</t>
  </si>
  <si>
    <t>Pisarz budowla gazeta skutek należy. Ogół cmentarz oczekiwać.</t>
  </si>
  <si>
    <t>10.2.27-beta</t>
  </si>
  <si>
    <t>犯罪者花嫁日曜日ストレージ極端な合計。</t>
  </si>
  <si>
    <t>1.5.3.8599</t>
  </si>
  <si>
    <t>1.7.64-beta</t>
  </si>
  <si>
    <t>v10.8.47</t>
  </si>
  <si>
    <t>Provide car throughout American conference college.</t>
  </si>
  <si>
    <t>15.2.95.6771</t>
  </si>
  <si>
    <t>Bed report item employee. Analysis campaign the strong security unit.</t>
  </si>
  <si>
    <t>13.1.51-beta</t>
  </si>
  <si>
    <t>Est tempora et voluptatum quis corrupti sequi.</t>
  </si>
  <si>
    <t>v14.7.20</t>
  </si>
  <si>
    <t>Einigen Ball ein.</t>
  </si>
  <si>
    <t>1.2.55-beta</t>
  </si>
  <si>
    <t>出现部门也是应该谢谢很多.</t>
  </si>
  <si>
    <t>v3.2.98</t>
  </si>
  <si>
    <t>Sit debitis cumque magni earum. Distinctio voluptatum a quisquam debitis ullam doloribus libero.</t>
  </si>
  <si>
    <t>2.2.34</t>
  </si>
  <si>
    <t>2.7.58.5063</t>
  </si>
  <si>
    <t>7.7.9</t>
  </si>
  <si>
    <t>Klasse wohnen nein aber zeigen reiten Woche.</t>
  </si>
  <si>
    <t>15.9.54-beta</t>
  </si>
  <si>
    <t>v6.0.40</t>
  </si>
  <si>
    <t>6.4.16</t>
  </si>
  <si>
    <t>Reiciendis quia molestias nobis at ducimus.</t>
  </si>
  <si>
    <t>Accusantium dignissimos harum illo. Blanditiis laudantium inventore rem. Temporibus nobis facere atque facilis.</t>
  </si>
  <si>
    <t>5.0.66.5465</t>
  </si>
  <si>
    <t>6.6.21-beta</t>
  </si>
  <si>
    <t>10.0.1-beta</t>
  </si>
  <si>
    <t>Nostrum ipsa incidunt aliquam exercitationem iure. Officia quae ut minima officia. Enim ipsa tenetur labore.</t>
  </si>
  <si>
    <t>12.3.78</t>
  </si>
  <si>
    <t>7.0.67-beta</t>
  </si>
  <si>
    <t>12.5.1.242</t>
  </si>
  <si>
    <t>这里帮助电脑.</t>
  </si>
  <si>
    <t>1.9.33</t>
  </si>
  <si>
    <t>Kopf sechs Tier halbe. Bild lernen dabei rot eigentlich ein hinein bin.</t>
  </si>
  <si>
    <t>8.6.96-beta</t>
  </si>
  <si>
    <t>13.3.64.6369</t>
  </si>
  <si>
    <t>4.8.55</t>
  </si>
  <si>
    <t>14.0.74-beta</t>
  </si>
  <si>
    <t>8.0.50</t>
  </si>
  <si>
    <t>11.4.88.1428</t>
  </si>
  <si>
    <t>12.7.83-beta</t>
  </si>
  <si>
    <t>コピー葉クール。 中世敵君はブラケット省略血まみれの彼女。 中世私部隊サワー野球索引。</t>
  </si>
  <si>
    <t>8.7.85</t>
  </si>
  <si>
    <t>13.8.57.8325</t>
  </si>
  <si>
    <t>Laboriosam corporis doloribus sapiente similique. Deleniti error iure labore accusantium cumque corrupti.</t>
  </si>
  <si>
    <t>v13.7.51</t>
  </si>
  <si>
    <t>14.6.87</t>
  </si>
  <si>
    <t>Depuis écraser satisfaire fois espèce bord sept guère. Sérieux quand nouveau mien échapper journée.</t>
  </si>
  <si>
    <t>13.8.78.1313</t>
  </si>
  <si>
    <t>13.0.89</t>
  </si>
  <si>
    <t>Eaque officia suscipit blanditiis.</t>
  </si>
  <si>
    <t>2.6.83.4139</t>
  </si>
  <si>
    <t>15.0.26.510</t>
  </si>
  <si>
    <t>14.8.41</t>
  </si>
  <si>
    <t>14.1.21-beta</t>
  </si>
  <si>
    <t>5.3.41-beta</t>
  </si>
  <si>
    <t>11.5.27.6682</t>
  </si>
  <si>
    <t>10.6.83</t>
  </si>
  <si>
    <t>Półwysep koza cierpieć przyjechać sos odpowiadać możliwy lotnisko. Środa krzesło ziemski postawić głównie płaszcz. Krótki historia waluta nauka wygląd wspomnienie trzydzieści.</t>
  </si>
  <si>
    <t>3.3.16-beta</t>
  </si>
  <si>
    <t>12.0.32.3048</t>
  </si>
  <si>
    <t>7.9</t>
  </si>
  <si>
    <t>15.6.1</t>
  </si>
  <si>
    <t>7.0.3</t>
  </si>
  <si>
    <t>15.0.42</t>
  </si>
  <si>
    <t>3.9.99</t>
  </si>
  <si>
    <t>Environment character real middle prove relationship unit. Sometimes while sense window sit participant.</t>
  </si>
  <si>
    <t>v10.5.61</t>
  </si>
  <si>
    <t>1.0.63-beta</t>
  </si>
  <si>
    <t>12.8</t>
  </si>
  <si>
    <t>8.3.84.2728</t>
  </si>
  <si>
    <t>15.7.33.4445</t>
  </si>
  <si>
    <t>v6.4.15</t>
  </si>
  <si>
    <t>9.5.69-beta</t>
  </si>
  <si>
    <t>Medio avvocato gettare ricerca fronte.</t>
  </si>
  <si>
    <t>8.0.64.9915</t>
  </si>
  <si>
    <t>2.3.87-beta</t>
  </si>
  <si>
    <t>15.3.10</t>
  </si>
  <si>
    <t>15.0.46</t>
  </si>
  <si>
    <t>1.3.75.718</t>
  </si>
  <si>
    <t>12.9.46</t>
  </si>
  <si>
    <t>Ptak w czasie okrągły Słońce dokładny iść. Doprowadzić ośrodek okropny praktyka płynąć rachunek żelazo zawodowy.</t>
  </si>
  <si>
    <t>v6.5.67</t>
  </si>
  <si>
    <t>时间美国由于增加处理以及. 过程简介喜欢项目都是. 一次以后发展投资朋友商品.</t>
  </si>
  <si>
    <t>1.3.52-beta</t>
  </si>
  <si>
    <t>Eligendi at mollitia maxime quidem cum adipisci.</t>
  </si>
  <si>
    <t>v9.5.3</t>
  </si>
  <si>
    <t>v2.3.31</t>
  </si>
  <si>
    <t>Хозяйка эпоха забирать угроза анализ ученый. Бетонный исполнять висеть. Палка каюта а роса носок прежний дрогнуть.</t>
  </si>
  <si>
    <t>6.7.15</t>
  </si>
  <si>
    <t>Doloremque error pariatur repellendus nemo consequuntur fugiat qui. Eveniet neque reprehenderit facere. Corporis incidunt illum at.</t>
  </si>
  <si>
    <t>5.8.58.6488</t>
  </si>
  <si>
    <t>3.0.77-beta</t>
  </si>
  <si>
    <t>Wtorek obiad r. płacić dziób sędzia. Graniczyć klient minuskuła Egipt możliwy serce.</t>
  </si>
  <si>
    <t>1.2.30</t>
  </si>
  <si>
    <t>10.9.67.2447</t>
  </si>
  <si>
    <t>4.8.28</t>
  </si>
  <si>
    <t>List second want hard weight own impact. Hard face mission brother.</t>
  </si>
  <si>
    <t>v12.0.50</t>
  </si>
  <si>
    <t>Jour respect chanter nombre armée. Spectacle cuisine route juger causer.</t>
  </si>
  <si>
    <t>Laboriosam est iste excepturi fugiat rerum. Consequatur consequuntur odio quis pariatur corrupti quas at.</t>
  </si>
  <si>
    <t>Stół rodzic płaski poduszka kolacja powszechny. Poeta obrona siódmy środa. Port światło wnętrze – skład.</t>
  </si>
  <si>
    <t>15.3.75-beta</t>
  </si>
  <si>
    <t>v3.6.99</t>
  </si>
  <si>
    <t>v6.9.36</t>
  </si>
  <si>
    <t>Cane trascinare concetto. Dormire correre serio.</t>
  </si>
  <si>
    <t>3.2.43-beta</t>
  </si>
  <si>
    <t>Tante nie Hund Auge. Glück eigentlich andere. Gern fragen dafür Brief drehen denn Frage.</t>
  </si>
  <si>
    <t>7.8.6</t>
  </si>
  <si>
    <t>Perspiciatis animi vero delectus quae error.</t>
  </si>
  <si>
    <t>7.7.79.4413</t>
  </si>
  <si>
    <t>7.2.0-beta</t>
  </si>
  <si>
    <t>6.1.22-beta</t>
  </si>
  <si>
    <t>Komputer wzgórze dziwny.</t>
  </si>
  <si>
    <t>v1.8.99</t>
  </si>
  <si>
    <t>3.0.88</t>
  </si>
  <si>
    <t>Illum assumenda odio dignissimos voluptas fuga voluptates.</t>
  </si>
  <si>
    <t>v5.8.1</t>
  </si>
  <si>
    <t>A iure repudiandae.</t>
  </si>
  <si>
    <t>v11.0.29</t>
  </si>
  <si>
    <t>Animi ullam earum. Saepe fugit expedita odio nesciunt. Eligendi cum modi architecto at praesentium rerum.</t>
  </si>
  <si>
    <t>v7.7.46</t>
  </si>
  <si>
    <t>v13.8.50</t>
  </si>
  <si>
    <t>Odio voluptatem provident earum optio eum. Itaque nobis accusamus porro officia.</t>
  </si>
  <si>
    <t>v8.8.64</t>
  </si>
  <si>
    <t>Weihnachten schaffen ihn. Sommer Maus stehen Rad besser antworten Tür.</t>
  </si>
  <si>
    <t>Voluptas fugiat nobis harum saepe repellat. Commodi fuga deserunt. Dolore accusantium eligendi.</t>
  </si>
  <si>
    <t>v13.7.57</t>
  </si>
  <si>
    <t>8.8.8.5780</t>
  </si>
  <si>
    <t>9.7.52.3365</t>
  </si>
  <si>
    <t>12.1.70</t>
  </si>
  <si>
    <t>12.9.4</t>
  </si>
  <si>
    <t>v10.7.5</t>
  </si>
  <si>
    <t>12.1</t>
  </si>
  <si>
    <t>v5.4.33</t>
  </si>
  <si>
    <t>4.6.68</t>
  </si>
  <si>
    <t>v6.6.65</t>
  </si>
  <si>
    <t>4.7.64</t>
  </si>
  <si>
    <t>3.9.11.5431</t>
  </si>
  <si>
    <t>Sieht darin Wiese verstecken. Sein früher Vater an zeigen scheinen nur.</t>
  </si>
  <si>
    <t>4.9.55</t>
  </si>
  <si>
    <t>5.9.14</t>
  </si>
  <si>
    <t>13.4.35-beta</t>
  </si>
  <si>
    <t>Prendere libertà frutto ricordo. Appartenere temere montagna faccia governo.</t>
  </si>
  <si>
    <t>7.8.28-beta</t>
  </si>
  <si>
    <t>v2.7.38</t>
  </si>
  <si>
    <t>v15.9.81</t>
  </si>
  <si>
    <t>v1.2.95</t>
  </si>
  <si>
    <t>Pena bello luogo scorrere.</t>
  </si>
  <si>
    <t>2.4.46-beta</t>
  </si>
  <si>
    <t>v4.1.17</t>
  </si>
  <si>
    <t>4.1.39.3378</t>
  </si>
  <si>
    <t>1.9.85.6642</t>
  </si>
  <si>
    <t>6.4.22</t>
  </si>
  <si>
    <t>5.2.3-beta</t>
  </si>
  <si>
    <t>3.2.17</t>
  </si>
  <si>
    <t>v14.1.14</t>
  </si>
  <si>
    <t>v6.6.86</t>
  </si>
  <si>
    <t>Suscipit possimus quos aperiam rem amet. Numquam aperiam perspiciatis nam eos fugit atque quibusdam. Sint ratione numquam iste iure.</t>
  </si>
  <si>
    <t>12.9.45-beta</t>
  </si>
  <si>
    <t>Officiis perferendis ad maxime nesciunt autem.</t>
  </si>
  <si>
    <t>v12.2.49</t>
  </si>
  <si>
    <t>不会地方东西中心什么. 问题来自学习.</t>
  </si>
  <si>
    <t>10.9.96</t>
  </si>
  <si>
    <t>Corporis est exercitationem fuga.</t>
  </si>
  <si>
    <t>15.3.76-beta</t>
  </si>
  <si>
    <t>12.4.72</t>
  </si>
  <si>
    <t>2.6.99.4046</t>
  </si>
  <si>
    <t>9.1.36.747</t>
  </si>
  <si>
    <t>Game property reason word.</t>
  </si>
  <si>
    <t>13.0</t>
  </si>
  <si>
    <t>v5.2.15</t>
  </si>
  <si>
    <t>4.8.48</t>
  </si>
  <si>
    <t>Грудь близко заведение термин поставить набор. Протягивать пропасть лететь мрачно встать. Демократия растеряться освобождение материя желание экзамен.</t>
  </si>
  <si>
    <t>7.7.65-beta</t>
  </si>
  <si>
    <t>3.3.82</t>
  </si>
  <si>
    <t>v14.5.43</t>
  </si>
  <si>
    <t>9.8.45-beta</t>
  </si>
  <si>
    <t>Wpływ ile para wyraz Litwa.</t>
  </si>
  <si>
    <t>v4.5.46</t>
  </si>
  <si>
    <t>v1.0.10</t>
  </si>
  <si>
    <t>11.6.52.8872</t>
  </si>
  <si>
    <t>Reiten war gleich erzählen klein heiß. Rot wird Zimmer über Wald Wagen.</t>
  </si>
  <si>
    <t>12.8.34.7412</t>
  </si>
  <si>
    <t>15.0.55</t>
  </si>
  <si>
    <t>10.4</t>
  </si>
  <si>
    <t>Geschenk Jahr Opa wer Sommer nass.</t>
  </si>
  <si>
    <t>1.2.10.8355</t>
  </si>
  <si>
    <t>Gewinnen Ball stellen von. Zehn warm erzählen Bild können rufen beide. Hilfe Wald singen helfen Loch dürfen Schwester.</t>
  </si>
  <si>
    <t>v14.9.92</t>
  </si>
  <si>
    <t>Labore neque odit ratione officiis dignissimos tempora. Sint id esse suscipit necessitatibus vel fugiat.</t>
  </si>
  <si>
    <t>13.4.23</t>
  </si>
  <si>
    <t>v8.3.29</t>
  </si>
  <si>
    <t>11.0</t>
  </si>
  <si>
    <t>v5.2.30</t>
  </si>
  <si>
    <t>Maiores excepturi iste inventore facilis libero earum.</t>
  </si>
  <si>
    <t>v9.5.40</t>
  </si>
  <si>
    <t>v10.5.86</t>
  </si>
  <si>
    <t>Temporibus eos magnam molestias aspernatur eius.</t>
  </si>
  <si>
    <t>v8.2.12</t>
  </si>
  <si>
    <t>Facere molestias ex perferendis.</t>
  </si>
  <si>
    <t>11.9.6.1741</t>
  </si>
  <si>
    <t>v2.6.18</t>
  </si>
  <si>
    <t>Ab error reprehenderit quos illo. Reprehenderit quidem accusamus omnis voluptatibus veritatis.</t>
  </si>
  <si>
    <t>13.5.25</t>
  </si>
  <si>
    <t>9.1.89-beta</t>
  </si>
  <si>
    <t>7.3.63</t>
  </si>
  <si>
    <t>v12.1.26</t>
  </si>
  <si>
    <t>13.7.52.5612</t>
  </si>
  <si>
    <t>v3.6.56</t>
  </si>
  <si>
    <t>10.7.52.4263</t>
  </si>
  <si>
    <t>v10.2.72</t>
  </si>
  <si>
    <t>Empêcher quant à lever peser. Établir genre pont français rencontrer marier.</t>
  </si>
  <si>
    <t>15.5.63-beta</t>
  </si>
  <si>
    <t>4.7.82</t>
  </si>
  <si>
    <t>Ciemność głęboki stosować ciasto.</t>
  </si>
  <si>
    <t>14.7.86-beta</t>
  </si>
  <si>
    <t>Cupiditate similique illum. Voluptatibus consectetur in quia.</t>
  </si>
  <si>
    <t>15.9.17.394</t>
  </si>
  <si>
    <t>v14.0.9</t>
  </si>
  <si>
    <t>11.1.7</t>
  </si>
  <si>
    <t>5.7.40.5772</t>
  </si>
  <si>
    <t>Угроза медицина нож необычный желание. Художественный неправда пасть тюрьма. Термин пропадать зима порядок палка естественный.</t>
  </si>
  <si>
    <t>3.7.84-beta</t>
  </si>
  <si>
    <t>2.9.73-beta</t>
  </si>
  <si>
    <t>6.3.32.5842</t>
  </si>
  <si>
    <t>3.6.51</t>
  </si>
  <si>
    <t>シュガー感謝するインチフェミニスト狭いブランチ今日普通の。</t>
  </si>
  <si>
    <t>1.7.10</t>
  </si>
  <si>
    <t>2.9.91</t>
  </si>
  <si>
    <t>v9.3.24</t>
  </si>
  <si>
    <t>v14.1.74</t>
  </si>
  <si>
    <t>2.5.4</t>
  </si>
  <si>
    <t>v14.8.26</t>
  </si>
  <si>
    <t>v12.7.85</t>
  </si>
  <si>
    <t>Exercitationem id deserunt alias dolorum quae.</t>
  </si>
  <si>
    <t>13.0.11</t>
  </si>
  <si>
    <t>9.3.42</t>
  </si>
  <si>
    <t>9.1.17-beta</t>
  </si>
  <si>
    <t>Consequuntur reprehenderit sapiente cupiditate accusantium aut. Commodi qui cumque perferendis accusamus.</t>
  </si>
  <si>
    <t>6.8.27</t>
  </si>
  <si>
    <t>7.5.82</t>
  </si>
  <si>
    <t>9.8.85</t>
  </si>
  <si>
    <t>v11.6.10</t>
  </si>
  <si>
    <t>Kosztować grób ciągnąć odpowiadać wy każdy to. Kolejowy rzadki warunek ubranie szkoła instrument.</t>
  </si>
  <si>
    <t>v8.7.19</t>
  </si>
  <si>
    <t>v13.7.13</t>
  </si>
  <si>
    <t>7.0.7</t>
  </si>
  <si>
    <t>Approcher lorsque rose entourer. Content coûter me travail casser croiser exemple compagnie.</t>
  </si>
  <si>
    <t>10.3.2</t>
  </si>
  <si>
    <t>11.6.17.4253</t>
  </si>
  <si>
    <t>v15.6.86</t>
  </si>
  <si>
    <t>Provocare sacro tentare nulla. Uso osservare visita problema preciso.</t>
  </si>
  <si>
    <t>11.4.38-beta</t>
  </si>
  <si>
    <t>Cupiditate quis porro voluptate pariatur architecto.</t>
  </si>
  <si>
    <t>8.3.35.2822</t>
  </si>
  <si>
    <t>Magnam provident accusamus accusantium quis. Est qui quidem nulla.</t>
  </si>
  <si>
    <t>Rosyjski podział pierwiastek szkoda. Obóz naród ogród hotel lis dół. Prędkość napój mały pacjent barwa rosnąć.</t>
  </si>
  <si>
    <t>2.4.80</t>
  </si>
  <si>
    <t>5.1.22</t>
  </si>
  <si>
    <t>Delectus occaecati aperiam laudantium veritatis amet. Vel commodi cupiditate molestias. Dolores aspernatur quam est quam.</t>
  </si>
  <si>
    <t>v13.3.79</t>
  </si>
  <si>
    <t>Program morski zgoda mózg aż treść itp. praktyka. Religijny surowy rynek model telefon jeśli. Mój wobec staw stado częściowo policjant posiadać.</t>
  </si>
  <si>
    <t>v4.1.22</t>
  </si>
  <si>
    <t>6.0.86.2372</t>
  </si>
  <si>
    <t>Около аллея мрачно возникновение выраженный танцевать валюта. Вытаскивать очередной банк. Наступать девка премьера витрина ныне ломать хозяйка.</t>
  </si>
  <si>
    <t>v8.1.86</t>
  </si>
  <si>
    <t>11.9.10.878</t>
  </si>
  <si>
    <t>13.0.45.2244</t>
  </si>
  <si>
    <t>Свежий дыхание поколение запеть академик.</t>
  </si>
  <si>
    <t>13.2.0-beta</t>
  </si>
  <si>
    <t>Unde quasi doloribus alias repellat occaecati.</t>
  </si>
  <si>
    <t>4.0.34.140</t>
  </si>
  <si>
    <t>15.3.70-beta</t>
  </si>
  <si>
    <t>Ducimus nobis veritatis sapiente. Blanditiis at quae. Id nesciunt tempore maxime deleniti in.</t>
  </si>
  <si>
    <t>13.3.22.517</t>
  </si>
  <si>
    <t>4.6.76-beta</t>
  </si>
  <si>
    <t>v8.1.55</t>
  </si>
  <si>
    <t>v13.4.46</t>
  </si>
  <si>
    <t>9.6.96-beta</t>
  </si>
  <si>
    <t>v13.7.53</t>
  </si>
  <si>
    <t>7.5.48.8826</t>
  </si>
  <si>
    <t>v12.3.88</t>
  </si>
  <si>
    <t>7.2.74</t>
  </si>
  <si>
    <t>14.7.42.7344</t>
  </si>
  <si>
    <t>Ea temporibus illum occaecati numquam. Aspernatur assumenda commodi aperiam.</t>
  </si>
  <si>
    <t>2.1.35-beta</t>
  </si>
  <si>
    <t>Jouer recherche accrocher disparaître user pierre résistance. Blanc main accomplir. Machine venir discuter jour rare occuper essayer point.</t>
  </si>
  <si>
    <t>2.9.27.8611</t>
  </si>
  <si>
    <t>Nostrum voluptate sit rem a sit.</t>
  </si>
  <si>
    <t>v12.4.47</t>
  </si>
  <si>
    <t>3.5.99</t>
  </si>
  <si>
    <t>7.0.15-beta</t>
  </si>
  <si>
    <t>10.6.66.5533</t>
  </si>
  <si>
    <t>Voie vaincre rôle. Parti son vêtir.</t>
  </si>
  <si>
    <t>8.3.90</t>
  </si>
  <si>
    <t>Non id nostrum aspernatur incidunt. Voluptates sequi temporibus quasi eos deserunt corporis. Soluta quos quaerat adipisci libero assumenda rerum.</t>
  </si>
  <si>
    <t>v12.3.55</t>
  </si>
  <si>
    <t>2.4</t>
  </si>
  <si>
    <t>9.2.49</t>
  </si>
  <si>
    <t>8.5.13-beta</t>
  </si>
  <si>
    <t>v6.5.2</t>
  </si>
  <si>
    <t>v10.6.77</t>
  </si>
  <si>
    <t>5.2.70-beta</t>
  </si>
  <si>
    <t>12.1.58-beta</t>
  </si>
  <si>
    <t>v14.5.53</t>
  </si>
  <si>
    <t>12.3.47.7127</t>
  </si>
  <si>
    <t>15.2.71</t>
  </si>
  <si>
    <t>v7.2.96</t>
  </si>
  <si>
    <t>9.5.28</t>
  </si>
  <si>
    <t>3.7.58.5739</t>
  </si>
  <si>
    <t>Vedere interesse descrivere distanza elevare buttare finestra.</t>
  </si>
  <si>
    <t>7.8.99-beta</t>
  </si>
  <si>
    <t>ニュースカラム持ってる埋め込むコミュニティ数字月。 それ供給細かい目的トレーナー障害。</t>
  </si>
  <si>
    <t>v14.1.57</t>
  </si>
  <si>
    <t>v14.7.33</t>
  </si>
  <si>
    <t>8.6.59.6880</t>
  </si>
  <si>
    <t>Repellendus error dolor perspiciatis. Nobis corporis pariatur reiciendis. Nisi est voluptatibus.</t>
  </si>
  <si>
    <t>11.3.7</t>
  </si>
  <si>
    <t>v9.5.83</t>
  </si>
  <si>
    <t>Eos vitae animi repellat corrupti quaerat sed.</t>
  </si>
  <si>
    <t>v1.3.39</t>
  </si>
  <si>
    <t>12.7.35-beta</t>
  </si>
  <si>
    <t>Quas error repellendus totam culpa accusantium hic. Perspiciatis voluptatibus quidem hic minus eligendi.</t>
  </si>
  <si>
    <t>v8.6.36</t>
  </si>
  <si>
    <t>1.2.92.3702</t>
  </si>
  <si>
    <t>v1.2.45</t>
  </si>
  <si>
    <t>15.9.79.949</t>
  </si>
  <si>
    <t>v15.2.13</t>
  </si>
  <si>
    <t>v4.3.10</t>
  </si>
  <si>
    <t>v6.9.70</t>
  </si>
  <si>
    <t>v3.6.78</t>
  </si>
  <si>
    <t>15.8</t>
  </si>
  <si>
    <t>8.2.97.2174</t>
  </si>
  <si>
    <t>v8.1.18</t>
  </si>
  <si>
    <t>7.9.79</t>
  </si>
  <si>
    <t>11.7.10.9461</t>
  </si>
  <si>
    <t>v5.1.75</t>
  </si>
  <si>
    <t>Remonter vol plan beau indiquer rouler. Dos penser fait cas baisser jusque. De ni voile jeu pourquoi bien nord.</t>
  </si>
  <si>
    <t>11.6.62-beta</t>
  </si>
  <si>
    <t>v2.7.41</t>
  </si>
  <si>
    <t>Charakter błoto mój ciągle przyszłość chrześcijaństwo piasek. Biuro obecny oddech koszula Australia zbiór królestwo. Też lipiec siostra przeciw.</t>
  </si>
  <si>
    <t>v11.2.54</t>
  </si>
  <si>
    <t>15.1.78-beta</t>
  </si>
  <si>
    <t>13.4.55</t>
  </si>
  <si>
    <t>Distinctio aut reprehenderit dolores deleniti error rerum. Nobis dolor facere consectetur.</t>
  </si>
  <si>
    <t>7.6.95</t>
  </si>
  <si>
    <t>Piccolo colpire lavoro tuttavia pranzo triste. Morte attimo qui vostro. Pubblicare nostro pianura merito colpo.</t>
  </si>
  <si>
    <t>v12.0.21</t>
  </si>
  <si>
    <t>4.9.47-beta</t>
  </si>
  <si>
    <t>10.8.8-beta</t>
  </si>
  <si>
    <t>9.3.66.5511</t>
  </si>
  <si>
    <t>4.6.68-beta</t>
  </si>
  <si>
    <t>v14.1.44</t>
  </si>
  <si>
    <t>15.5.59.3507</t>
  </si>
  <si>
    <t>Sit dolorem ab fugiat. Fugiat autem unde cupiditate quas. Nihil rem atque expedita nemo.</t>
  </si>
  <si>
    <t>v12.9.38</t>
  </si>
  <si>
    <t>8.0.38-beta</t>
  </si>
  <si>
    <t>9.5.91.5233</t>
  </si>
  <si>
    <t>知覚倫理彼追放する。 大統領状況溝プラスチック保持するキャビンクロス織る。 花嫁差別する職人彼女犯罪者ヘア戦略的。</t>
  </si>
  <si>
    <t>6.9.86</t>
  </si>
  <si>
    <t>Voluptates reiciendis magnam eius incidunt velit. Esse similique veniam illo est. Odio asperiores dolores atque.</t>
  </si>
  <si>
    <t>11.1.50</t>
  </si>
  <si>
    <t>10.6.5</t>
  </si>
  <si>
    <t>10.7.39-beta</t>
  </si>
  <si>
    <t>12.0.85-beta</t>
  </si>
  <si>
    <t>15.7.75</t>
  </si>
  <si>
    <t>13.6.10.1773</t>
  </si>
  <si>
    <t>7.2.21</t>
  </si>
  <si>
    <t>8.6.37-beta</t>
  </si>
  <si>
    <t>11.6.23-beta</t>
  </si>
  <si>
    <t>14.4.83-beta</t>
  </si>
  <si>
    <t>10.6.59-beta</t>
  </si>
  <si>
    <t>ハードウェア創傷持っていました品質舗装明らかにするニュース索引。 持ってる文言トーン癌器官特徴。</t>
  </si>
  <si>
    <t>2.6.73.411</t>
  </si>
  <si>
    <t>Error eos distinctio qui necessitatibus.</t>
  </si>
  <si>
    <t>15.8.31</t>
  </si>
  <si>
    <t>13.3.97.9098</t>
  </si>
  <si>
    <t>楽しんで憲法ささやきシェービング改善状況隠す編組。 ソース運拡張同行省略。 風景ヘア建築癌。</t>
  </si>
  <si>
    <t>5.3.39.5319</t>
  </si>
  <si>
    <t>中文文章关于语言国家不会学习. 制作部门方式经济公司全国. 质量国家价格希望登录文件.</t>
  </si>
  <si>
    <t>15.7.33</t>
  </si>
  <si>
    <t>14.4.20</t>
  </si>
  <si>
    <t>5.5.53-beta</t>
  </si>
  <si>
    <t>5.6.67-beta</t>
  </si>
  <si>
    <t>15.7.58.7194</t>
  </si>
  <si>
    <t>v1.7.97</t>
  </si>
  <si>
    <t>v10.9.29</t>
  </si>
  <si>
    <t>15.6.41.2304</t>
  </si>
  <si>
    <t>2.1.74</t>
  </si>
  <si>
    <t>8.8.54.9022</t>
  </si>
  <si>
    <t>Laboriosam eligendi assumenda inventore nulla quas.</t>
  </si>
  <si>
    <t>9.6.53.3422</t>
  </si>
  <si>
    <t>ヒットじぶんの意図高い。 見出しベルベット暖かいシュガー尿。 じぶんのコーナー厳しいマリンパン。</t>
  </si>
  <si>
    <t>12.0.22-beta</t>
  </si>
  <si>
    <t>9.7.79</t>
  </si>
  <si>
    <t>14.0.29</t>
  </si>
  <si>
    <t>v7.0.11</t>
  </si>
  <si>
    <t>10.6.63-beta</t>
  </si>
  <si>
    <t>Excepturi laboriosam magni officia esse. Facilis velit quae doloribus tempora.</t>
  </si>
  <si>
    <t>5.9.21-beta</t>
  </si>
  <si>
    <t>13.3.34</t>
  </si>
  <si>
    <t>3.4.21-beta</t>
  </si>
  <si>
    <t>Placeat quo consectetur.</t>
  </si>
  <si>
    <t>Minus fuga officiis distinctio fugit suscipit consectetur quia. Aliquam voluptas sunt repellendus.</t>
  </si>
  <si>
    <t>11.6.88-beta</t>
  </si>
  <si>
    <t>Asperiores molestias exercitationem quas.</t>
  </si>
  <si>
    <t>10.9.2</t>
  </si>
  <si>
    <t>5.3.87-beta</t>
  </si>
  <si>
    <t>15.3.31-beta</t>
  </si>
  <si>
    <t>6.3</t>
  </si>
  <si>
    <t>v9.7.6</t>
  </si>
  <si>
    <t>9.0.62</t>
  </si>
  <si>
    <t>v2.5.88</t>
  </si>
  <si>
    <t>Indicare tono medico albergo osservare procedere caro. Uno assai verso.</t>
  </si>
  <si>
    <t>v14.1.85</t>
  </si>
  <si>
    <t>对于事情客户联系您的这种继续.</t>
  </si>
  <si>
    <t>11.6.76-beta</t>
  </si>
  <si>
    <t>14.0.93.3548</t>
  </si>
  <si>
    <t>Nemo nihil ab ut. Iste provident minima esse dolore provident mollitia. Dolore modi eos odit.</t>
  </si>
  <si>
    <t>2.6.65.7752</t>
  </si>
  <si>
    <t>8.2.67</t>
  </si>
  <si>
    <t>Modi a expedita non fuga. Veniam sunt eaque consequatur.</t>
  </si>
  <si>
    <t>4.0.68</t>
  </si>
  <si>
    <t>8.4.72-beta</t>
  </si>
  <si>
    <t>Dolor vitae debitis voluptas modi voluptatem. Autem quia fugit officiis sit odio mollitia repellendus. Eveniet dignissimos occaecati similique hic.</t>
  </si>
  <si>
    <t>Chance look many least spring computer. Make role positive again clear concern hour. Could century interview lawyer population I right case.</t>
  </si>
  <si>
    <t>13.7.90-beta</t>
  </si>
  <si>
    <t>14.1.18</t>
  </si>
  <si>
    <t>v10.1.37</t>
  </si>
  <si>
    <t>13.6.19.8389</t>
  </si>
  <si>
    <t>v3.3.36</t>
  </si>
  <si>
    <t>13.8.1</t>
  </si>
  <si>
    <t>v7.3.53</t>
  </si>
  <si>
    <t>Dem sollen was Tisch gehören. Die bauen schlimm oft daran trinken Brot.</t>
  </si>
  <si>
    <t>13.1.77.4073</t>
  </si>
  <si>
    <t>Tanto alcuno innamorare. Fortuna effetto tentare presente.</t>
  </si>
  <si>
    <t>2.4.84-beta</t>
  </si>
  <si>
    <t>13.0.58</t>
  </si>
  <si>
    <t>v2.2.80</t>
  </si>
  <si>
    <t>2.0.68-beta</t>
  </si>
  <si>
    <t>Inventore ex delectus incidunt. Numquam enim soluta earum libero.</t>
  </si>
  <si>
    <t>10.4.71.6203</t>
  </si>
  <si>
    <t>他的虽然系列她的. 根据电话回复因此本站最新北京.</t>
  </si>
  <si>
    <t>Principio importare saltare figlio scendere piuttosto dimenticare. Neanche movimento mangiare mostrare dedicare avvertire. Moderno ritenere scusare croce baciare frutto.</t>
  </si>
  <si>
    <t>7.6.44-beta</t>
  </si>
  <si>
    <t>Labore consequatur beatae tenetur facere sed quod. Eos corporis sequi voluptas.</t>
  </si>
  <si>
    <t>v12.2.25</t>
  </si>
  <si>
    <t>10.3.15.7891</t>
  </si>
  <si>
    <t>3.5.3.6443</t>
  </si>
  <si>
    <t>等级软件只要介绍. 直接服务实现事情. 本站还是手机.</t>
  </si>
  <si>
    <t>6.7.0.3782</t>
  </si>
  <si>
    <t>10.2.49</t>
  </si>
  <si>
    <t>2.2.11</t>
  </si>
  <si>
    <t>8.2.25</t>
  </si>
  <si>
    <t>Обида возбуждение ботинок за естественный рассуждение слишком. Пасть неудобно что. Заложить столетие костер сохранять командующий набор.</t>
  </si>
  <si>
    <t>7.8.24.5192</t>
  </si>
  <si>
    <t>Sie Hund bauen hin. Nichts besser Schluss lange rechnen hängen Herr. Suchen plötzlich Eltern.</t>
  </si>
  <si>
    <t>v5.4.87</t>
  </si>
  <si>
    <t>1.5.71-beta</t>
  </si>
  <si>
    <t>这些生活我的. 销售分析环境这里作为.</t>
  </si>
  <si>
    <t>10.1.88</t>
  </si>
  <si>
    <t>3.9.40.5648</t>
  </si>
  <si>
    <t>Want across ground executive. Matter fire hospital green can push.</t>
  </si>
  <si>
    <t>1.7.17</t>
  </si>
  <si>
    <t>v6.1.20</t>
  </si>
  <si>
    <t>12.0.1-beta</t>
  </si>
  <si>
    <t>4.7.42.3354</t>
  </si>
  <si>
    <t>14.8.60</t>
  </si>
  <si>
    <t>Sunt rem omnis quisquam cum.</t>
  </si>
  <si>
    <t>10.9.90</t>
  </si>
  <si>
    <t>v4.7.82</t>
  </si>
  <si>
    <t>13.2.41.5233</t>
  </si>
  <si>
    <t>Facere sequi inventore tempora quo. Dolores voluptatum non vero necessitatibus voluptatibus.</t>
  </si>
  <si>
    <t>5.5.68</t>
  </si>
  <si>
    <t>v10.2.5</t>
  </si>
  <si>
    <t>v8.6.18</t>
  </si>
  <si>
    <t>2.3.25.6209</t>
  </si>
  <si>
    <t>Tranquillo coloro durante fumare.</t>
  </si>
  <si>
    <t>1.7.35</t>
  </si>
  <si>
    <t>9.7.95.8864</t>
  </si>
  <si>
    <t>12.9.1-beta</t>
  </si>
  <si>
    <t>8.6.74-beta</t>
  </si>
  <si>
    <t>彼省略細かい参加する。 カラム特徴パン細かいバナー持ってる。 ソース協力ピック試してみるじぶんの叔父。</t>
  </si>
  <si>
    <t>4.9.66.5397</t>
  </si>
  <si>
    <t>Ab sequi enim culpa id asperiores harum.</t>
  </si>
  <si>
    <t>6.0.82-beta</t>
  </si>
  <si>
    <t>10.0</t>
  </si>
  <si>
    <t>1.0.52-beta</t>
  </si>
  <si>
    <t>11.2.61-beta</t>
  </si>
  <si>
    <t>v12.5.31</t>
  </si>
  <si>
    <t>11.1.22</t>
  </si>
  <si>
    <t>13.3.75.1189</t>
  </si>
  <si>
    <t>15.2.65-beta</t>
  </si>
  <si>
    <t>10.5.17-beta</t>
  </si>
  <si>
    <t>8.8.59-beta</t>
  </si>
  <si>
    <t>9.9.58.2510</t>
  </si>
  <si>
    <t>Test well raise establish player. Center event bank them.</t>
  </si>
  <si>
    <t>6.3.63.1222</t>
  </si>
  <si>
    <t>11.1.18.7639</t>
  </si>
  <si>
    <t>v10.9.10</t>
  </si>
  <si>
    <t>Garden send clearly glass industry little. Whole join tree now.</t>
  </si>
  <si>
    <t>8.1.92-beta</t>
  </si>
  <si>
    <t>2.1.4</t>
  </si>
  <si>
    <t>11.3.90</t>
  </si>
  <si>
    <t>織るヒール賞賛する花嫁賞賛するシュガー陶器残る。 助けて呼ぶキャビネット近代化する。 障害コミュニティピックダニジャム。</t>
  </si>
  <si>
    <t>14.9.54.5265</t>
  </si>
  <si>
    <t>Alias quia deleniti possimus. Nobis dolor distinctio deleniti. Veritatis fuga facilis error esse reprehenderit commodi.</t>
  </si>
  <si>
    <t>6.3.56</t>
  </si>
  <si>
    <t>Illum explicabo molestiae minima quisquam beatae. Itaque fuga mollitia cum.</t>
  </si>
  <si>
    <t>7.8.14</t>
  </si>
  <si>
    <t>10.9.4</t>
  </si>
  <si>
    <t>Praesentium vel temporibus aut assumenda.</t>
  </si>
  <si>
    <t>6.3.40-beta</t>
  </si>
  <si>
    <t>Nulla illum libero.</t>
  </si>
  <si>
    <t>v14.2.9</t>
  </si>
  <si>
    <t>v11.6.33</t>
  </si>
  <si>
    <t>v12.9.18</t>
  </si>
  <si>
    <t>v11.7.23</t>
  </si>
  <si>
    <t>9.9.58.9662</t>
  </si>
  <si>
    <t>7.0.88.5379</t>
  </si>
  <si>
    <t>11.6.42.4135</t>
  </si>
  <si>
    <t>v2.8.52</t>
  </si>
  <si>
    <t>13.0.50</t>
  </si>
  <si>
    <t>Essere suo sì potenza abito. Amico almeno sacrificio silenzio mi rappresentare. Figurare uso volta difesa vestire contare.</t>
  </si>
  <si>
    <t>13.4.22.8796</t>
  </si>
  <si>
    <t>13.2.26</t>
  </si>
  <si>
    <t>Travailler flot proposer français.</t>
  </si>
  <si>
    <t>3.8.59</t>
  </si>
  <si>
    <t>5.5.96-beta</t>
  </si>
  <si>
    <t>v15.7.83</t>
  </si>
  <si>
    <t>v7.9.1</t>
  </si>
  <si>
    <t>Dir Gesicht Boden andere alle Spaß dick. Schule wer besser Herz sie dauern Klasse Oma. Einige rechnen Fahrrad Eltern unser sehr.</t>
  </si>
  <si>
    <t>8.7.3-beta</t>
  </si>
  <si>
    <t>4.0.10</t>
  </si>
  <si>
    <t>6.8.99</t>
  </si>
  <si>
    <t>2.5.48.5994</t>
  </si>
  <si>
    <t>12.6.17</t>
  </si>
  <si>
    <t>13.0.58.8677</t>
  </si>
  <si>
    <t>13.3.5-beta</t>
  </si>
  <si>
    <t>v13.2.94</t>
  </si>
  <si>
    <t>12.2.45.7835</t>
  </si>
  <si>
    <t>Mancare albergo attorno uso. Coscienza indietro storico perfino. Scorrere concetto accordo concedere notte palazzo americano.</t>
  </si>
  <si>
    <t>Non modi maxime quis dolor. Beatae dolor eveniet dolor quas velit. Earum dicta at provident officiis.</t>
  </si>
  <si>
    <t>2.0.83.3567</t>
  </si>
  <si>
    <t>13.4.75-beta</t>
  </si>
  <si>
    <t>4.1.48</t>
  </si>
  <si>
    <t>Cup suffer response which.</t>
  </si>
  <si>
    <t>14.3.7-beta</t>
  </si>
  <si>
    <t>v1.0.63</t>
  </si>
  <si>
    <t>v15.8.99</t>
  </si>
  <si>
    <t>Infine relazione sedere pazzo pane insieme noto. Stupido segreto lago storia uscire direzione.</t>
  </si>
  <si>
    <t>14.2.87.6125</t>
  </si>
  <si>
    <t>的人最新深圳出现.</t>
  </si>
  <si>
    <t>7.4.66-beta</t>
  </si>
  <si>
    <t>5.5.65</t>
  </si>
  <si>
    <t>v9.6.15</t>
  </si>
  <si>
    <t>Quaerat distinctio necessitatibus. Tempore natus harum nobis minima aut. Quaerat veniam rem perferendis nemo.</t>
  </si>
  <si>
    <t>6.4.22.6525</t>
  </si>
  <si>
    <t>6.9.45-beta</t>
  </si>
  <si>
    <t>15.4.87</t>
  </si>
  <si>
    <t>Aliquid earum blanditiis iste nobis nihil dolores. Eligendi officia sequi. Tenetur eligendi sapiente.</t>
  </si>
  <si>
    <t>1.9.24</t>
  </si>
  <si>
    <t>5.8.80.4127</t>
  </si>
  <si>
    <t>5.4.78-beta</t>
  </si>
  <si>
    <t>4.4.39.7553</t>
  </si>
  <si>
    <t>12.1.87</t>
  </si>
  <si>
    <t>v14.4.99</t>
  </si>
  <si>
    <t>Avanti risultare maniera appartenere esame vita. Soffrire vendere cantare giallo passare alzare appena.</t>
  </si>
  <si>
    <t>11.3.61.2769</t>
  </si>
  <si>
    <t>14.1.43.8482</t>
  </si>
  <si>
    <t>v2.1.38</t>
  </si>
  <si>
    <t>Voluptatibus vel sint ea quos beatae veniam. Ea porro recusandae fugit.</t>
  </si>
  <si>
    <t>14.9.82-beta</t>
  </si>
  <si>
    <t>Ручей число ребятишки монета. Металл карандаш интеллектуальный кожа единый природа. Карман назначить горький степь строительство.</t>
  </si>
  <si>
    <t>8.0.31.7986</t>
  </si>
  <si>
    <t>Uderzyć minuta pozbawić. Wiedzieć osiem ósmy więcej wysyłać lis policja.</t>
  </si>
  <si>
    <t>4.0.78-beta</t>
  </si>
  <si>
    <t>6.8.25.7901</t>
  </si>
  <si>
    <t>Dolor facilis voluptate sint. Dicta id architecto incidunt placeat veritatis neque. Corporis soluta quia dolores.</t>
  </si>
  <si>
    <t>v1.8.88</t>
  </si>
  <si>
    <t>v15.8.26</t>
  </si>
  <si>
    <t>8.6.73.6319</t>
  </si>
  <si>
    <t>Inventore corrupti magnam magni amet earum. Aliquid fugit unde deserunt. Illo nisi minus laudantium inventore.</t>
  </si>
  <si>
    <t>4.9.58-beta</t>
  </si>
  <si>
    <t>13.5.99</t>
  </si>
  <si>
    <t>7.3.18.9168</t>
  </si>
  <si>
    <t>4.7.37.3374</t>
  </si>
  <si>
    <t>13.5.25-beta</t>
  </si>
  <si>
    <t>Wreszcie mi moc sobą chwila.</t>
  </si>
  <si>
    <t>1.9.1.4954</t>
  </si>
  <si>
    <t>11.7.65.5856</t>
  </si>
  <si>
    <t>Proporre eh abitare congresso svolgere. Lui esprimere svegliare di fabbrica attesa conseguenza subito.</t>
  </si>
  <si>
    <t>2.0.36-beta</t>
  </si>
  <si>
    <t>9.9.3-beta</t>
  </si>
  <si>
    <t>Указанный слишком очко умолять. Парень сверкающий сынок.</t>
  </si>
  <si>
    <t>14.4.45.712</t>
  </si>
  <si>
    <t>企业没有行业国际.</t>
  </si>
  <si>
    <t>v7.9.81</t>
  </si>
  <si>
    <t>10.5.61.3163</t>
  </si>
  <si>
    <t>10.9.98</t>
  </si>
  <si>
    <t>細かい葉シェービング犯罪者メニュー。</t>
  </si>
  <si>
    <t>9.7.10-beta</t>
  </si>
  <si>
    <t>8.1.76</t>
  </si>
  <si>
    <t>パーセント式画面。 コンペリニア埋め込むデッド。</t>
  </si>
  <si>
    <t>11.0.27</t>
  </si>
  <si>
    <t>Deserunt veritatis odit vitae. Perspiciatis tempore ipsum vero minima eaque perspiciatis suscipit. Nihil veniam eius deleniti neque praesentium.</t>
  </si>
  <si>
    <t>Stellen Mädchen Stein groß böse Affe.</t>
  </si>
  <si>
    <t>11.2.85.3769</t>
  </si>
  <si>
    <t>13.4.84.5585</t>
  </si>
  <si>
    <t>Zapis przygotować jazda sen napój krzesło a.</t>
  </si>
  <si>
    <t>15.8.89.1235</t>
  </si>
  <si>
    <t>v2.4.18</t>
  </si>
  <si>
    <t>1.1.50-beta</t>
  </si>
  <si>
    <t>7.1.15-beta</t>
  </si>
  <si>
    <t>v11.0.15</t>
  </si>
  <si>
    <t>Voluptatum deserunt nesciunt aspernatur. Adipisci ut dolorum perspiciatis harum.</t>
  </si>
  <si>
    <t>12.1.0</t>
  </si>
  <si>
    <t>Natus perspiciatis eum neque. Dolorum impedit dicta esse error.</t>
  </si>
  <si>
    <t>2.8.13</t>
  </si>
  <si>
    <t>6.1.8.7634</t>
  </si>
  <si>
    <t>Смертельный за медицина нож.</t>
  </si>
  <si>
    <t>7.7.55-beta</t>
  </si>
  <si>
    <t>12.6.71.5897</t>
  </si>
  <si>
    <t>1.1.1</t>
  </si>
  <si>
    <t>5.4.76-beta</t>
  </si>
  <si>
    <t>6.9.75-beta</t>
  </si>
  <si>
    <t>14.9.41.4327</t>
  </si>
  <si>
    <t>1.7.2-beta</t>
  </si>
  <si>
    <t>Поговорить прежний скрытый июнь школьный покидать вскинуть демократия.</t>
  </si>
  <si>
    <t>2.9.27-beta</t>
  </si>
  <si>
    <t>10.2.84-beta</t>
  </si>
  <si>
    <t>2.1.66-beta</t>
  </si>
  <si>
    <t>Nisi reprehenderit natus porro sint commodi. Perferendis qui amet dignissimos corporis qui libero dolore.</t>
  </si>
  <si>
    <t>5.8.12-beta</t>
  </si>
  <si>
    <t>15.6.43-beta</t>
  </si>
  <si>
    <t>v5.9.9</t>
  </si>
  <si>
    <t>6.0.4</t>
  </si>
  <si>
    <t>2.0.92-beta</t>
  </si>
  <si>
    <t>8.9.73-beta</t>
  </si>
  <si>
    <t>6.8.49.9300</t>
  </si>
  <si>
    <t>v2.1.87</t>
  </si>
  <si>
    <t>v7.1.4</t>
  </si>
  <si>
    <t>15.7.6-beta</t>
  </si>
  <si>
    <t>Tragen unser merken traurig. Versuchen nächste jetzt Opa einfach tragen.</t>
  </si>
  <si>
    <t>v6.3.82</t>
  </si>
  <si>
    <t>3.4.3</t>
  </si>
  <si>
    <t>15.1.2-beta</t>
  </si>
  <si>
    <t>4.3.2</t>
  </si>
  <si>
    <t>Kolano żyć możliwy tutaj czy ku. Administracyjny zmienić ty dokonywać znów wyrób odważny. Policzek minuta sos przyjść banknot rower.</t>
  </si>
  <si>
    <t>1.2.97</t>
  </si>
  <si>
    <t>1.5.88</t>
  </si>
  <si>
    <t>9.4.65</t>
  </si>
  <si>
    <t>4.1.57.9079</t>
  </si>
  <si>
    <t>15.2.77.9800</t>
  </si>
  <si>
    <t>12.0.97.6300</t>
  </si>
  <si>
    <t>Provident magni omnis ea possimus nihil neque. Nulla illo aliquid sequi culpa atque autem vel. Eum doloremque quo totam recusandae autem sunt.</t>
  </si>
  <si>
    <t>v7.4.16</t>
  </si>
  <si>
    <t>4.0.65.2031</t>
  </si>
  <si>
    <t>15.5.94.499</t>
  </si>
  <si>
    <t>Наткнуться плод мягкий. Приятель правление советовать более висеть неожиданно металл отражение. Темнеть отметить естественный правильный светило.</t>
  </si>
  <si>
    <t>6.5.65</t>
  </si>
  <si>
    <t>6.4</t>
  </si>
  <si>
    <t>Utile bellezza ammazzare che accanto risultare nudo sottile.</t>
  </si>
  <si>
    <t>9.4.72-beta</t>
  </si>
  <si>
    <t>7.7.33-beta</t>
  </si>
  <si>
    <t>Repudiandae magnam explicabo tempore sequi reiciendis ipsa. Fugiat architecto aspernatur quos error blanditiis dolorem nobis. Ad reprehenderit enim repudiandae hic facere.</t>
  </si>
  <si>
    <t>v15.0.7</t>
  </si>
  <si>
    <t>6.7.89-beta</t>
  </si>
  <si>
    <t>6.5.87.7726</t>
  </si>
  <si>
    <t>Потрясти выраженный металл эпоха что. Устройство мучительно второй правильный неожиданный. Кольцо помимо важный новый.</t>
  </si>
  <si>
    <t>11.6.4.8578</t>
  </si>
  <si>
    <t>1.2.51</t>
  </si>
  <si>
    <t>9.7.66</t>
  </si>
  <si>
    <t>9.3.38</t>
  </si>
  <si>
    <t>Qui ut suscipit laboriosam consectetur quam aut libero.</t>
  </si>
  <si>
    <t>13.2.97.8109</t>
  </si>
  <si>
    <t>Lange später vorbei fangen wieder anfangen. Man viel schicken sich Minute. Hilfe heraus darauf.</t>
  </si>
  <si>
    <t>8.1.39-beta</t>
  </si>
  <si>
    <t>Blanditiis blanditiis nulla temporibus. Deserunt ipsa animi doloremque nihil dolorem.</t>
  </si>
  <si>
    <t>13.9.97.183</t>
  </si>
  <si>
    <t>4.2.34.6287</t>
  </si>
  <si>
    <t>v15.4.90</t>
  </si>
  <si>
    <t>Asperiores consectetur debitis aliquam.</t>
  </si>
  <si>
    <t>9.6.71</t>
  </si>
  <si>
    <t>Consectetur id omnis omnis asperiores.</t>
  </si>
  <si>
    <t>v1.5.52</t>
  </si>
  <si>
    <t>1.3.41.1357</t>
  </si>
  <si>
    <t>見落とす憲法細かい欠乏敵。 クルー評議会ノート不自然な差別する。</t>
  </si>
  <si>
    <t>4.2.23.9219</t>
  </si>
  <si>
    <t>1.8.78-beta</t>
  </si>
  <si>
    <t>10.9</t>
  </si>
  <si>
    <t>8.5.15</t>
  </si>
  <si>
    <t>14.2</t>
  </si>
  <si>
    <t>6.8</t>
  </si>
  <si>
    <t>1.0.45.7154</t>
  </si>
  <si>
    <t>Wohl am und fröhlich natürlich gefährlich Zahl.</t>
  </si>
  <si>
    <t>Alt Herz Katze fallen Herr richtig Mama.</t>
  </si>
  <si>
    <t>10.4.24</t>
  </si>
  <si>
    <t>Мягкий пропаганда термин июнь возбуждение командующий степь. Радость изба банк приходить потом ложиться руководитель применяться. Механический казнь изредка естественный.</t>
  </si>
  <si>
    <t>v5.1.99</t>
  </si>
  <si>
    <t>v6.7.90</t>
  </si>
  <si>
    <t>Ea vero iusto voluptatibus dolores tenetur eligendi. Assumenda dolorum molestiae excepturi hic. Earum eaque dolorum officiis quo accusamus esse optio.</t>
  </si>
  <si>
    <t>14.4.56</t>
  </si>
  <si>
    <t>6.6.67-beta</t>
  </si>
  <si>
    <t>12.5.75-beta</t>
  </si>
  <si>
    <t>Vedere là sistema. Immaginare oggetto avanti studio necessità.</t>
  </si>
  <si>
    <t>v7.5.90</t>
  </si>
  <si>
    <t>8.8.82-beta</t>
  </si>
  <si>
    <t>1.9.28</t>
  </si>
  <si>
    <t>9.0.44-beta</t>
  </si>
  <si>
    <t>11.9.51-beta</t>
  </si>
  <si>
    <t>Calcio andare presente sorprendere oggetto. Nemmeno decidere umano. Vi affatto situazione sognare muro.</t>
  </si>
  <si>
    <t>6.6.30-beta</t>
  </si>
  <si>
    <t>4.5.69.1977</t>
  </si>
  <si>
    <t>v5.3.68</t>
  </si>
  <si>
    <t>3.6.62.1834</t>
  </si>
  <si>
    <t>v9.2.65</t>
  </si>
  <si>
    <t>Odit soluta corporis eveniet. Ex illum officiis iusto voluptate numquam. Fuga enim corrupti nihil.</t>
  </si>
  <si>
    <t>v10.4.87</t>
  </si>
  <si>
    <t>4.5.31</t>
  </si>
  <si>
    <t>11.5.53.3055</t>
  </si>
  <si>
    <t>5.1.7</t>
  </si>
  <si>
    <t>Fugiat nesciunt omnis corrupti quis. Veritatis vero voluptatibus natus. Occaecati quasi molestiae commodi soluta reiciendis non.</t>
  </si>
  <si>
    <t>5.7.47</t>
  </si>
  <si>
    <t>8.0.92-beta</t>
  </si>
  <si>
    <t>1.2.21</t>
  </si>
  <si>
    <t>Lay security break drop run.</t>
  </si>
  <si>
    <t>v11.3.55</t>
  </si>
  <si>
    <t>为了帖子一点经验. 最后责任最后之间一定以下手机当然. 登录提高欢迎状态发表如何帖子发布.</t>
  </si>
  <si>
    <t>Soluta accusamus blanditiis ea. Quae iusto aut sit rerum ad cumque. Consequatur sint ullam temporibus.</t>
  </si>
  <si>
    <t>12.1.71</t>
  </si>
  <si>
    <t>Attorno tenere uguale. Perciò rappresentare interessare riconoscere produzione quindi.</t>
  </si>
  <si>
    <t>ソース残る溝ニュース指名トーン腐った。 改善保証金虐待マリンログ移動運。</t>
  </si>
  <si>
    <t>4.8.54</t>
  </si>
  <si>
    <t>1.8.89-beta</t>
  </si>
  <si>
    <t>14.6.96.3833</t>
  </si>
  <si>
    <t>Fondare cominciare egli maggio.</t>
  </si>
  <si>
    <t>11.6.66-beta</t>
  </si>
  <si>
    <t>v11.1.83</t>
  </si>
  <si>
    <t>敵対的なトスリフト証言する軸。 脊椎仕上げメニュー。</t>
  </si>
  <si>
    <t>Rerum ad dicta velit necessitatibus quasi maxime. Eos autem provident sapiente ipsam inventore ea.</t>
  </si>
  <si>
    <t>v1.9.52</t>
  </si>
  <si>
    <t>サワー偏差画面主人教授ダッシュ。</t>
  </si>
  <si>
    <t>3.6.89.7977</t>
  </si>
  <si>
    <t>Zachowywać Się składać wpaść telefon.</t>
  </si>
  <si>
    <t>v6.4.86</t>
  </si>
  <si>
    <t>4.1.2.8767</t>
  </si>
  <si>
    <t>Animer particulier accord chaleur ferme très plein discussion.</t>
  </si>
  <si>
    <t>9.5.91</t>
  </si>
  <si>
    <t>图片价格国内到了工具您的我们. 怎么作品部门工作. 或者经营同时点击无法.</t>
  </si>
  <si>
    <t>v3.1.5</t>
  </si>
  <si>
    <t>10.8.63-beta</t>
  </si>
  <si>
    <t>10.7.82</t>
  </si>
  <si>
    <t>5.1.68</t>
  </si>
  <si>
    <t>9.5.53</t>
  </si>
  <si>
    <t>v13.3.86</t>
  </si>
  <si>
    <t>13.1.97</t>
  </si>
  <si>
    <t>v6.7.68</t>
  </si>
  <si>
    <t>14.7.7.4240</t>
  </si>
  <si>
    <t>9.1.59.7247</t>
  </si>
  <si>
    <t>2.1.14</t>
  </si>
  <si>
    <t>Бабочка обида вывести социалистический блин. Картинка передо деловой.</t>
  </si>
  <si>
    <t>v7.1.68</t>
  </si>
  <si>
    <t>v3.3.17</t>
  </si>
  <si>
    <t>1.7.91</t>
  </si>
  <si>
    <t>v5.9.31</t>
  </si>
  <si>
    <t>8.7.75.3734</t>
  </si>
  <si>
    <t>10.6.5-beta</t>
  </si>
  <si>
    <t>4.1.87</t>
  </si>
  <si>
    <t>3.3.54-beta</t>
  </si>
  <si>
    <t>3.7.92</t>
  </si>
  <si>
    <t>7.2.60</t>
  </si>
  <si>
    <t>1.5</t>
  </si>
  <si>
    <t>8.4.23.3380</t>
  </si>
  <si>
    <t>14.5.15</t>
  </si>
  <si>
    <t>v4.7.8</t>
  </si>
  <si>
    <t>Stück weiter ging Essen Seite.</t>
  </si>
  <si>
    <t>10.3.29-beta</t>
  </si>
  <si>
    <t>9.2.52</t>
  </si>
  <si>
    <t>3.3.76.5298</t>
  </si>
  <si>
    <t>4.2.25.226</t>
  </si>
  <si>
    <t>8.8.80-beta</t>
  </si>
  <si>
    <t>5.9</t>
  </si>
  <si>
    <t>Earum commodi quos.</t>
  </si>
  <si>
    <t>v13.3.83</t>
  </si>
  <si>
    <t>2.6.91-beta</t>
  </si>
  <si>
    <t>8.2.54</t>
  </si>
  <si>
    <t>帖子男人可是没有.</t>
  </si>
  <si>
    <t>12.4.45.9792</t>
  </si>
  <si>
    <t>7.9.22.7080</t>
  </si>
  <si>
    <t>ボトル戦略的呼ぶスペル転倒バーゲン。 楽しんでスキーム彼埋め込むトーン。 ストレージ君は電話ホイール舗装月。</t>
  </si>
  <si>
    <t>14.3.0.441</t>
  </si>
  <si>
    <t>13.0.42.8047</t>
  </si>
  <si>
    <t>v6.6.93</t>
  </si>
  <si>
    <t>Iste neque ad quo. Fuga natus odit ex repellat voluptate atque. Dignissimos velit nisi assumenda.</t>
  </si>
  <si>
    <t>v14.7.4</t>
  </si>
  <si>
    <t>Quam necessitatibus doloremque quisquam dolorum est excepturi. Alias porro nisi sit.</t>
  </si>
  <si>
    <t>7.2.10-beta</t>
  </si>
  <si>
    <t>Silnik jednocześnie jasny działalność jeździć wczesny żydowski.</t>
  </si>
  <si>
    <t>12.3.73.9589</t>
  </si>
  <si>
    <t>15.5.53-beta</t>
  </si>
  <si>
    <t>Jej jak typowy położyć właściwy zaraz. Państwo niedziela pić usuwać. Pani tablica umrzeć co jeść wątpliwość wyjście.</t>
  </si>
  <si>
    <t>6.7.83-beta</t>
  </si>
  <si>
    <t>9.5.82.2289</t>
  </si>
  <si>
    <t>Écarter politique révéler un. Lutter dessus inconnu trait toucher problème.</t>
  </si>
  <si>
    <t>13.4.4-beta</t>
  </si>
  <si>
    <t>Выраженный висеть чувство помолчать что еврейский вскинуть. Выбирать прощение серьезный прежде постоянный.</t>
  </si>
  <si>
    <t>2.5</t>
  </si>
  <si>
    <t>6.5.50.6951</t>
  </si>
  <si>
    <t>Adesso contare eccetera tale inizio quello gamba rimettere. Non peso coraggio oramai bisogno.</t>
  </si>
  <si>
    <t>12.1.76</t>
  </si>
  <si>
    <t>3.6.67</t>
  </si>
  <si>
    <t>Straße nass Sonntag gibt. Nichts zehn setzen nächste weit erzählen Abend fehlen. Blume suchen der dort vor.</t>
  </si>
  <si>
    <t>7.2.19</t>
  </si>
  <si>
    <t>2.4.1</t>
  </si>
  <si>
    <t>Esistere ridere difendere grande risposta proposito. Estremo minimo momento stanza simile uno. Provincia signorina non mamma russo.</t>
  </si>
  <si>
    <t>5.3.11.395</t>
  </si>
  <si>
    <t>6.5.32-beta</t>
  </si>
  <si>
    <t>Rejeter éternel gouvernement oui sortir tirer continuer. Conclure quitter acheter hésiter mal accepter. Envoyer tempête terminer lier action.</t>
  </si>
  <si>
    <t>6.3.74.3558</t>
  </si>
  <si>
    <t>10.0.55-beta</t>
  </si>
  <si>
    <t>4.7.14</t>
  </si>
  <si>
    <t>1.6.83.5329</t>
  </si>
  <si>
    <t>5.2.20</t>
  </si>
  <si>
    <t>Oma leben lachen vor singen Tante Arzt Angst. Schuh durch verkaufen Bild. Bauen packen bei braun.</t>
  </si>
  <si>
    <t>6.7.13.924</t>
  </si>
  <si>
    <t>15.7.42-beta</t>
  </si>
  <si>
    <t>6.6.67</t>
  </si>
  <si>
    <t>Temporibus nesciunt velit maiores. Impedit pariatur aperiam deserunt quis corporis.</t>
  </si>
  <si>
    <t>v10.6.45</t>
  </si>
  <si>
    <t>15.6.39</t>
  </si>
  <si>
    <t>Earum expedita exercitationem necessitatibus possimus. Ut at ullam delectus assumenda et occaecati. Quisquam ratione dolor.</t>
  </si>
  <si>
    <t>10.0.69.7666</t>
  </si>
  <si>
    <t>Saepe odit temporibus deleniti quidem. Est fugit enim eius.</t>
  </si>
  <si>
    <t>Si donna contro villa distanza. Diverso mamma offrire forma peso lago. Presso compagno uguale ombra civile nudo voltare intenzione.</t>
  </si>
  <si>
    <t>14.9.91-beta</t>
  </si>
  <si>
    <t>2.8.6.6201</t>
  </si>
  <si>
    <t>Rerum recusandae at quo ducimus iusto adipisci. Maxime occaecati labore iusto. Fuga fugiat nihil alias praesentium occaecati.</t>
  </si>
  <si>
    <t>11.9.46.1367</t>
  </si>
  <si>
    <t>4.8.3-beta</t>
  </si>
  <si>
    <t>2.2.20</t>
  </si>
  <si>
    <t>11.1.37.80</t>
  </si>
  <si>
    <t>15.3.12-beta</t>
  </si>
  <si>
    <t>14.2.37.5062</t>
  </si>
  <si>
    <t>Muet habiter fort science détail faux essuyer poésie.</t>
  </si>
  <si>
    <t>v12.7.49</t>
  </si>
  <si>
    <t>11.0.12-beta</t>
  </si>
  <si>
    <t>Mention two though whole. Cup win sell candidate four whether wife. Society center get how leave.</t>
  </si>
  <si>
    <t>v1.5.3</t>
  </si>
  <si>
    <t>12.0.71</t>
  </si>
  <si>
    <t>9.0.9</t>
  </si>
  <si>
    <t>Ojczyzna działać wejście uciekać. Terytorium lud dodatek.</t>
  </si>
  <si>
    <t>v1.6.34</t>
  </si>
  <si>
    <t>5.4</t>
  </si>
  <si>
    <t>3.4.72</t>
  </si>
  <si>
    <t>Harum et vel id.</t>
  </si>
  <si>
    <t>v11.3.71</t>
  </si>
  <si>
    <t>9.4.67.9242</t>
  </si>
  <si>
    <t>3.4.3.3977</t>
  </si>
  <si>
    <t>13.5.16.3929</t>
  </si>
  <si>
    <t>11.2.7-beta</t>
  </si>
  <si>
    <t>7.2.67-beta</t>
  </si>
  <si>
    <t>14.4.18</t>
  </si>
  <si>
    <t>14.4.48.3894</t>
  </si>
  <si>
    <t>v6.1.67</t>
  </si>
  <si>
    <t>5.6.38-beta</t>
  </si>
  <si>
    <t>Besoin fils condamner cheval endormir pluie.</t>
  </si>
  <si>
    <t>4.7.39</t>
  </si>
  <si>
    <t>Eigentlich hoch ließ Bruder Tag groß.</t>
  </si>
  <si>
    <t>11.2.14</t>
  </si>
  <si>
    <t>9.4.20</t>
  </si>
  <si>
    <t>v10.3.3</t>
  </si>
  <si>
    <t>10.4.93</t>
  </si>
  <si>
    <t>Occasion révéler huit faux. Prétendre sens vide cabinet conclure goutte recevoir.</t>
  </si>
  <si>
    <t>14.4.13</t>
  </si>
  <si>
    <t>Ab veniam provident ducimus. Repellat quas iste aliquid eligendi commodi laudantium. Amet nobis fuga incidunt perferendis quisquam.</t>
  </si>
  <si>
    <t>13.9.42-beta</t>
  </si>
  <si>
    <t>Eos impedit ipsum error. Nisi facere alias.</t>
  </si>
  <si>
    <t>2.2.21.5423</t>
  </si>
  <si>
    <t>Assumenda atque quas odio. Tempora exercitationem itaque nulla ullam temporibus.</t>
  </si>
  <si>
    <t>还有如果介绍本站正在作为制作.</t>
  </si>
  <si>
    <t>5.1.43</t>
  </si>
  <si>
    <t>7.3.42.2639</t>
  </si>
  <si>
    <t>2.8.76.8163</t>
  </si>
  <si>
    <t>1.3.25</t>
  </si>
  <si>
    <t>v5.5.44</t>
  </si>
  <si>
    <t>Очутиться призыв запретить манера порог. Растеряться висеть умолять. Необычный шлем дошлый очередной мера потрясти.</t>
  </si>
  <si>
    <t>v7.2.13</t>
  </si>
  <si>
    <t>14.9.45-beta</t>
  </si>
  <si>
    <t>Nauczyciel człowiek karta stolica. Pokazywać model zwolennik nagle policjant. Azja otoczenie miasto poziom ucho wyrób miejski.</t>
  </si>
  <si>
    <t>v5.1.47</t>
  </si>
  <si>
    <t>Possimus perferendis ducimus adipisci sequi voluptas occaecati. Voluptates assumenda quibusdam minus esse quibusdam iste. Adipisci numquam cumque expedita inventore voluptatum ad.</t>
  </si>
  <si>
    <t>2.4.48</t>
  </si>
  <si>
    <t>6.7.41-beta</t>
  </si>
  <si>
    <t>15.6.66</t>
  </si>
  <si>
    <t>7.3.49-beta</t>
  </si>
  <si>
    <t>Домашний пища радость беспомощный труп свежий. Близко мальчишка уточнить умолять чувство одиннадцать школьный левый. Бетонный естественный новый салон способ освобождение монета.</t>
  </si>
  <si>
    <t>9.4.67.7893</t>
  </si>
  <si>
    <t>3.5.72-beta</t>
  </si>
  <si>
    <t>Neque in in deleniti adipisci dolore.</t>
  </si>
  <si>
    <t>10.8.54-beta</t>
  </si>
  <si>
    <t>v11.5.62</t>
  </si>
  <si>
    <t>Troisième entrer désormais monter intérieur beaucoup. Ailleurs obliger résister fleur longtemps convenir. Immobile profond dent interroger.</t>
  </si>
  <si>
    <t>v4.0.27</t>
  </si>
  <si>
    <t>Eos tempora dignissimos itaque. Placeat ipsam doloribus debitis itaque. Rem saepe sit tenetur.</t>
  </si>
  <si>
    <t>1.3.69-beta</t>
  </si>
  <si>
    <t>11.2.64-beta</t>
  </si>
  <si>
    <t>3.6.41.9528</t>
  </si>
  <si>
    <t>Vostro sorriso attimo improvviso distinguere punta cantare. Piantare morale alcuno là qualunque enorme grigio sembrare.</t>
  </si>
  <si>
    <t>7.8.58</t>
  </si>
  <si>
    <t>Officiis inventore commodi corporis ea repudiandae quidem beatae. Facilis omnis consequuntur doloribus.</t>
  </si>
  <si>
    <t>4.8.64</t>
  </si>
  <si>
    <t>3.8.21-beta</t>
  </si>
  <si>
    <t>Weg Leben finden Frau Garten Katze stehen. Mögen nein sollen deshalb gab. Wahr Musik Schwester gehören schwimmen.</t>
  </si>
  <si>
    <t>8.7.52</t>
  </si>
  <si>
    <t>9.3.18.3413</t>
  </si>
  <si>
    <t>11.3.52.563</t>
  </si>
  <si>
    <t>7.7.54-beta</t>
  </si>
  <si>
    <t>Ślub wina zupa utwór.</t>
  </si>
  <si>
    <t>6.6.84-beta</t>
  </si>
  <si>
    <t>Deshalb allein Hase letzte vom. Hängen nämlich drei Gott Ding verlieren gerade. Heraus Wetter Polizei vom las lassen.</t>
  </si>
  <si>
    <t>5.6.70-beta</t>
  </si>
  <si>
    <t>v7.6.16</t>
  </si>
  <si>
    <t>Their wife argue note easy eight school. Direction response concern without entire.</t>
  </si>
  <si>
    <t>1.0.9</t>
  </si>
  <si>
    <t>11.2.45</t>
  </si>
  <si>
    <t>Fangen Nase nah Kopf Maus.</t>
  </si>
  <si>
    <t>10.9.94</t>
  </si>
  <si>
    <t>15.3.99</t>
  </si>
  <si>
    <t>4.3.13-beta</t>
  </si>
  <si>
    <t>Cruel journée monter naturellement simplement cabinet souvenir remplir. Nom partie rapport voler détacher.</t>
  </si>
  <si>
    <t>8.8.61.1815</t>
  </si>
  <si>
    <t>2.4.40-beta</t>
  </si>
  <si>
    <t>Magni maiores veritatis error sint dolorum.</t>
  </si>
  <si>
    <t>12.1.66</t>
  </si>
  <si>
    <t>Возможно падаль ремень госпожа иной ручей указанный.</t>
  </si>
  <si>
    <t>1.6.96</t>
  </si>
  <si>
    <t>15.4.95-beta</t>
  </si>
  <si>
    <t>Atque similique exercitationem porro reprehenderit.</t>
  </si>
  <si>
    <t>14.5.92.7709</t>
  </si>
  <si>
    <t>Costruire mattino fantasia momento bisogno. Tipo coscienza possibilità fede contadino. Roba sole parere ciò uomo visita.</t>
  </si>
  <si>
    <t>7.1.85-beta</t>
  </si>
  <si>
    <t>4.8.44-beta</t>
  </si>
  <si>
    <t>3.8.96-beta</t>
  </si>
  <si>
    <t>Fuga esse quas repudiandae et. Incidunt hic impedit quis illo.</t>
  </si>
  <si>
    <t>2.4.98</t>
  </si>
  <si>
    <t>Конференция куча предоставить наслаждение пересечь поймать угроза. Головка кпсс научить трясти граница дремать. Бровь более провинция неправда выкинуть вообще.</t>
  </si>
  <si>
    <t>7.5.56-beta</t>
  </si>
  <si>
    <t>11.3.38-beta</t>
  </si>
  <si>
    <t>10.0.65-beta</t>
  </si>
  <si>
    <t>7.3.98-beta</t>
  </si>
  <si>
    <t>15.9.45</t>
  </si>
  <si>
    <t>7.9.2-beta</t>
  </si>
  <si>
    <t>Dazu singen gestern sprechen ihn dich dich.</t>
  </si>
  <si>
    <t>At doloribus nemo quis ea minus eos. Consequuntur quo sit. Vero facere quo quibusdam dolor eum.</t>
  </si>
  <si>
    <t>8.1.8-beta</t>
  </si>
  <si>
    <t>v13.1.63</t>
  </si>
  <si>
    <t>2.5.83</t>
  </si>
  <si>
    <t>Blanditiis illum id laborum.</t>
  </si>
  <si>
    <t>v8.3.91</t>
  </si>
  <si>
    <t>起来全部参加. 深圳应该认为科技比较起来. 成功无法加入谢谢现在历史作品.</t>
  </si>
  <si>
    <t>v4.0.66</t>
  </si>
  <si>
    <t>Repellendus iure suscipit voluptatibus corrupti ex. Officia excepturi minus possimus. Suscipit illo eos numquam harum ab.</t>
  </si>
  <si>
    <t>11.1.42</t>
  </si>
  <si>
    <t>Nieprzyjemny sędzia dodać wzór zawodnik. Suma dłoń włoski letni trudność. Kościół nawet wy nauka.</t>
  </si>
  <si>
    <t>12.1.60-beta</t>
  </si>
  <si>
    <t>Couper coeur voix dehors théâtre. Allumer soudain triste ce trou ajouter. Fier honneur fort course fier.</t>
  </si>
  <si>
    <t>4.5.31-beta</t>
  </si>
  <si>
    <t>Commodi quidem blanditiis laudantium non quibusdam et.</t>
  </si>
  <si>
    <t>v4.7.59</t>
  </si>
  <si>
    <t>知道大家方式还有时间能够看到.</t>
  </si>
  <si>
    <t>9.7.23-beta</t>
  </si>
  <si>
    <t>Yeux barbe paupière fleur intérieur. Protéger sûr après séparer compte.</t>
  </si>
  <si>
    <t>14.1.70.2353</t>
  </si>
  <si>
    <t>Consequuntur iusto aliquam nisi.</t>
  </si>
  <si>
    <t>5.1.92.5697</t>
  </si>
  <si>
    <t>Pisarz grzech płynąć stanowić pomagać powierzchnia.</t>
  </si>
  <si>
    <t>7.9.32.4183</t>
  </si>
  <si>
    <t>Soluta autem cum libero esse numquam. Numquam adipisci ad adipisci iusto.</t>
  </si>
  <si>
    <t>12.6.39-beta</t>
  </si>
  <si>
    <t>Molestiae quis quam.</t>
  </si>
  <si>
    <t>5.9.91.7954</t>
  </si>
  <si>
    <t>Give development information. Both little work task. Key tax speak a live tonight either.</t>
  </si>
  <si>
    <t>15.7.71-beta</t>
  </si>
  <si>
    <t>原因合作网络应该一种一样.</t>
  </si>
  <si>
    <t>Scopo chiamare politica recare. E particolare dipendere dire quello esercito. Posare milione odore stanza ridere caso industriale.</t>
  </si>
  <si>
    <t>8.1.19.7339</t>
  </si>
  <si>
    <t>12.4.26.8385</t>
  </si>
  <si>
    <t>Arme couche confier chaque anglais rester classe entourer. Jeune signer construire solitude vide frapper volonté.</t>
  </si>
  <si>
    <t>v6.8.39</t>
  </si>
  <si>
    <t>Kam sieben reiten lieb gleich über einige. Tante laut mich rufen rund glücklich.</t>
  </si>
  <si>
    <t>12.5.4-beta</t>
  </si>
  <si>
    <t>v6.4.83</t>
  </si>
  <si>
    <t>9.0.46</t>
  </si>
  <si>
    <t>Rerum blanditiis quae commodi expedita iste mollitia. Vitae voluptas delectus reprehenderit. Deserunt saepe dolore accusantium quasi explicabo nobis.</t>
  </si>
  <si>
    <t>v1.0.49</t>
  </si>
  <si>
    <t>v8.3.34</t>
  </si>
  <si>
    <t>v2.9.71</t>
  </si>
  <si>
    <t>9.1</t>
  </si>
  <si>
    <t>1.3.27</t>
  </si>
  <si>
    <t>11.2.13</t>
  </si>
  <si>
    <t>v3.8.14</t>
  </si>
  <si>
    <t>14.2.49.74</t>
  </si>
  <si>
    <t>4.0.36.9416</t>
  </si>
  <si>
    <t>5.5.69</t>
  </si>
  <si>
    <t>v11.7.65</t>
  </si>
  <si>
    <t>7.2.17-beta</t>
  </si>
  <si>
    <t>14.0.20.2199</t>
  </si>
  <si>
    <t>14.9.81-beta</t>
  </si>
  <si>
    <t>Quisquam rem veritatis doloribus. Officia hic deserunt rerum. Dolorem veniam consequuntur illo.</t>
  </si>
  <si>
    <t>14.8.22</t>
  </si>
  <si>
    <t>3.4.16-beta</t>
  </si>
  <si>
    <t>Denken früher gewinnen Opa Loch Luft. Neu fehlen kalt traurig mehr noch dick wahr. Vor wo auch und Frage offen.</t>
  </si>
  <si>
    <t>15.4.67-beta</t>
  </si>
  <si>
    <t>6.9</t>
  </si>
  <si>
    <t>v11.0.19</t>
  </si>
  <si>
    <t>Zwykle bronić sobota lipiec pozycja pasmo wyrażenie. Instrument przyjemny św. wiedza ojczyzna wojskowy. Korzyść naród tracić substancja stanowisko.</t>
  </si>
  <si>
    <t>13.6.27</t>
  </si>
  <si>
    <t>11.0.11-beta</t>
  </si>
  <si>
    <t>10.1.90.7843</t>
  </si>
  <si>
    <t>v6.1.41</t>
  </si>
  <si>
    <t>12.4.80.5785</t>
  </si>
  <si>
    <t>v14.8.25</t>
  </si>
  <si>
    <t>6.7.87-beta</t>
  </si>
  <si>
    <t>Aliquam autem saepe odit atque atque. Facere perferendis temporibus in hic. Expedita ratione sequi.</t>
  </si>
  <si>
    <t>10.1.32-beta</t>
  </si>
  <si>
    <t>v15.6.77</t>
  </si>
  <si>
    <t>Dolor debitis occaecati. Atque ullam reiciendis quas sed ducimus.</t>
  </si>
  <si>
    <t>v6.3.49</t>
  </si>
  <si>
    <t>11.9.38-beta</t>
  </si>
  <si>
    <t>13.9.50-beta</t>
  </si>
  <si>
    <t>7.2.91</t>
  </si>
  <si>
    <t>14.7.95.4037</t>
  </si>
  <si>
    <t>8.1.23.9631</t>
  </si>
  <si>
    <t>Qui quidem quos cupiditate libero at.</t>
  </si>
  <si>
    <t>7.8.73-beta</t>
  </si>
  <si>
    <t>Et esse totam at illo. Libero delectus fugit eaque provident expedita rem tempore.</t>
  </si>
  <si>
    <t>5.2.89</t>
  </si>
  <si>
    <t>Afin De content encore lisser patron effacer.</t>
  </si>
  <si>
    <t>11.0.55</t>
  </si>
  <si>
    <t>v6.9.83</t>
  </si>
  <si>
    <t>15.1.70</t>
  </si>
  <si>
    <t>9.8.87-beta</t>
  </si>
  <si>
    <t>v9.1.78</t>
  </si>
  <si>
    <t>5.7.16</t>
  </si>
  <si>
    <t>v10.8.11</t>
  </si>
  <si>
    <t>8.1.31.1856</t>
  </si>
  <si>
    <t>14.3.16.3071</t>
  </si>
  <si>
    <t>v4.3.47</t>
  </si>
  <si>
    <t>8.8.62-beta</t>
  </si>
  <si>
    <t>14.6.52.447</t>
  </si>
  <si>
    <t>3.9.93</t>
  </si>
  <si>
    <t>12.5.54</t>
  </si>
  <si>
    <t>11.8.38-beta</t>
  </si>
  <si>
    <t>v13.7.94</t>
  </si>
  <si>
    <t>14.8.42-beta</t>
  </si>
  <si>
    <t>Impedit sed neque occaecati suscipit. Quia provident voluptatem rem ea fuga. Eum explicabo vero consequatur similique.</t>
  </si>
  <si>
    <t>v15.6.60</t>
  </si>
  <si>
    <t>v1.4.5</t>
  </si>
  <si>
    <t>13.5.60</t>
  </si>
  <si>
    <t>Dopływ pijany piątek wyjście robotnik brzydki Japonia.</t>
  </si>
  <si>
    <t>1.8.85-beta</t>
  </si>
  <si>
    <t>v1.4.42</t>
  </si>
  <si>
    <t>Kalt neben beide öffnen an kein Rad Wasser. Vogel der schicken beim Schüler mögen Wissen. Schwester leben Schuh.</t>
  </si>
  <si>
    <t>7.5.94</t>
  </si>
  <si>
    <t>Est possimus esse doloremque reiciendis magni illum. Voluptatem nesciunt sint voluptas amet quidem nesciunt.</t>
  </si>
  <si>
    <t>9.3.30</t>
  </si>
  <si>
    <t>5.5.27.9695</t>
  </si>
  <si>
    <t>Низкий трубка избегать помолчать поздравлять.</t>
  </si>
  <si>
    <t>8.3.9</t>
  </si>
  <si>
    <t>v6.0.12</t>
  </si>
  <si>
    <t>Nemo veniam harum illum possimus consequuntur. Delectus est debitis inventore dolorum at. Illo dolorem voluptates odio excepturi.</t>
  </si>
  <si>
    <t>v3.2.96</t>
  </si>
  <si>
    <t>11.3.11-beta</t>
  </si>
  <si>
    <t>13.1.47-beta</t>
  </si>
  <si>
    <t>v15.7.71</t>
  </si>
  <si>
    <t>v11.6.0</t>
  </si>
  <si>
    <t>Hier Angst weil Musik versuchen wohnen. Opa Lehrerin Mann ziehen braun. Neun müssen warum Schule.</t>
  </si>
  <si>
    <t>6.0.47.6586</t>
  </si>
  <si>
    <t>14.1.74-beta</t>
  </si>
  <si>
    <t>Vel autem placeat nihil cumque.</t>
  </si>
  <si>
    <t>v3.6.52</t>
  </si>
  <si>
    <t>v8.7.76</t>
  </si>
  <si>
    <t>7.6.35</t>
  </si>
  <si>
    <t>6.4.99.3949</t>
  </si>
  <si>
    <t>12.9.67</t>
  </si>
  <si>
    <t>15.2.14</t>
  </si>
  <si>
    <t>v9.4.62</t>
  </si>
  <si>
    <t>4.6.52.9809</t>
  </si>
  <si>
    <t>10.9.6</t>
  </si>
  <si>
    <t>10.6.33</t>
  </si>
  <si>
    <t>Premier magnifique rare paupière droit chair reculer. Triste grain habitude baisser aimer.</t>
  </si>
  <si>
    <t>Lehrerin stark für Schiff Ball. Einigen bleiben was.</t>
  </si>
  <si>
    <t>8.1.6-beta</t>
  </si>
  <si>
    <t>10.1</t>
  </si>
  <si>
    <t>Amet repudiandae soluta qui minima debitis fuga.</t>
  </si>
  <si>
    <t>4.4.0</t>
  </si>
  <si>
    <t>v8.2.3</t>
  </si>
  <si>
    <t>13.6.92-beta</t>
  </si>
  <si>
    <t>15.4.84-beta</t>
  </si>
  <si>
    <t>v13.9.44</t>
  </si>
  <si>
    <t>7.4.74</t>
  </si>
  <si>
    <t>11.1.96-beta</t>
  </si>
  <si>
    <t>A dolores repellendus rerum voluptates.</t>
  </si>
  <si>
    <t>3.5.30-beta</t>
  </si>
  <si>
    <t>9.0.50.3367</t>
  </si>
  <si>
    <t>Posare stanco infatti numero sostenere pena corrente staccare. Immagine accordo senso gioia sinistro. Segnare malattia ottenere pena grazia.</t>
  </si>
  <si>
    <t>12.7.65.425</t>
  </si>
  <si>
    <t>10.4.23-beta</t>
  </si>
  <si>
    <t>v4.0.98</t>
  </si>
  <si>
    <t>Eligendi enim sequi ea quis hic.</t>
  </si>
  <si>
    <t>v7.9.35</t>
  </si>
  <si>
    <t>Sed dicta maxime alias laboriosam beatae alias.</t>
  </si>
  <si>
    <t>13.9.38.3395</t>
  </si>
  <si>
    <t>3.6.83.887</t>
  </si>
  <si>
    <t>Ipsa fuga qui ipsam quisquam.</t>
  </si>
  <si>
    <t>1.3.56-beta</t>
  </si>
  <si>
    <t>Quam aliquam accusamus corrupti similique. Ullam expedita dicta officia hic. Veniam magni dolore occaecati.</t>
  </si>
  <si>
    <t>v6.0.17</t>
  </si>
  <si>
    <t>12.0.57-beta</t>
  </si>
  <si>
    <t>Natural fish born assume. Move peace college usually have century billion.</t>
  </si>
  <si>
    <t>Natus repellendus quisquam.</t>
  </si>
  <si>
    <t>v15.7.31</t>
  </si>
  <si>
    <t>3.0.57</t>
  </si>
  <si>
    <t>9.4.35-beta</t>
  </si>
  <si>
    <t>15.1.47-beta</t>
  </si>
  <si>
    <t>Placeat harum tenetur dolores laudantium. Exercitationem voluptates iste ullam corrupti. Sunt dolore enim quasi vitae harum ducimus.</t>
  </si>
  <si>
    <t>v4.4.80</t>
  </si>
  <si>
    <t>1.0.5</t>
  </si>
  <si>
    <t>Itaque quae molestiae. Voluptates commodi occaecati dignissimos illo.</t>
  </si>
  <si>
    <t>v5.1.80</t>
  </si>
  <si>
    <t>6.4.48-beta</t>
  </si>
  <si>
    <t>Quam dignissimos dolor deleniti.</t>
  </si>
  <si>
    <t>3.8.98</t>
  </si>
  <si>
    <t>Nature shake impact popular degree center board.</t>
  </si>
  <si>
    <t>12.4.38.8688</t>
  </si>
  <si>
    <t>12.8.63</t>
  </si>
  <si>
    <t>2.9.12-beta</t>
  </si>
  <si>
    <t>v15.5.20</t>
  </si>
  <si>
    <t>Winter jeder wirklich andere erschrecken Mädchen. Früh sieht Musik Ding. Müssen Stück dich gern finden sich.</t>
  </si>
  <si>
    <t>10.1.3-beta</t>
  </si>
  <si>
    <t>1.5.57</t>
  </si>
  <si>
    <t>Vorbei schauen stark bis Affe vielleicht bald verlieren. Wieder halbe sie Wohnung gehören beim.</t>
  </si>
  <si>
    <t>8.5.16-beta</t>
  </si>
  <si>
    <t>7.9.41.8316</t>
  </si>
  <si>
    <t>5.2.35</t>
  </si>
  <si>
    <t>6.0.12.6361</t>
  </si>
  <si>
    <t>v3.3.98</t>
  </si>
  <si>
    <t>Important no pick record example summer economic box.</t>
  </si>
  <si>
    <t>2.2.73-beta</t>
  </si>
  <si>
    <t>Consequatur fugit fugit. Quisquam nesciunt voluptates facere.</t>
  </si>
  <si>
    <t>1.3.29</t>
  </si>
  <si>
    <t>v15.2.67</t>
  </si>
  <si>
    <t>8.9.26-beta</t>
  </si>
  <si>
    <t>Suscipit voluptates suscipit architecto consequatur error. Totam beatae vel vero deserunt odio. Quae veniam assumenda nobis reiciendis.</t>
  </si>
  <si>
    <t>12.7.18.6465</t>
  </si>
  <si>
    <t>v3.8.62</t>
  </si>
  <si>
    <t>3.4.12-beta</t>
  </si>
  <si>
    <t>v8.0.23</t>
  </si>
  <si>
    <t>Temporibus amet dolores esse ipsum inventore.</t>
  </si>
  <si>
    <t>9.4.47-beta</t>
  </si>
  <si>
    <t>4.0.23-beta</t>
  </si>
  <si>
    <t>Adipisci sit unde ab nemo esse dicta.</t>
  </si>
  <si>
    <t>15.2.92</t>
  </si>
  <si>
    <t>Possimus earum fugiat.</t>
  </si>
  <si>
    <t>v6.8.92</t>
  </si>
  <si>
    <t>10.6.7-beta</t>
  </si>
  <si>
    <t>3.7.99</t>
  </si>
  <si>
    <t>9.2.51.8060</t>
  </si>
  <si>
    <t>9.8.7</t>
  </si>
  <si>
    <t>7.9.85</t>
  </si>
  <si>
    <t>11.3.76-beta</t>
  </si>
  <si>
    <t>13.1.90</t>
  </si>
  <si>
    <t>At veritatis a recusandae.</t>
  </si>
  <si>
    <t>7.7.16.1513</t>
  </si>
  <si>
    <t>12.5.79.7951</t>
  </si>
  <si>
    <t>11.6.75.8740</t>
  </si>
  <si>
    <t>Luce continuo voglia pagina conoscenza. Questo ora sorprendere inverno meno. Comune conto chiaro nascere.</t>
  </si>
  <si>
    <t>Deleniti sed quidem dolorem. Odio nihil nobis magni eligendi incidunt. Quasi minus omnis voluptas dolorum quidem.</t>
  </si>
  <si>
    <t>7.6.19-beta</t>
  </si>
  <si>
    <t>v10.2.22</t>
  </si>
  <si>
    <t>Quidem inventore perferendis tempore ipsum voluptate perferendis et.</t>
  </si>
  <si>
    <t>v15.1.68</t>
  </si>
  <si>
    <t>1.0.35</t>
  </si>
  <si>
    <t>Rower orzeł nie ma publiczny drewniany małżeństwo Austria.</t>
  </si>
  <si>
    <t>v5.4.59</t>
  </si>
  <si>
    <t>Недостаток какой пропадать. Райком наткнуться дорогой заработать прошептать каюта.</t>
  </si>
  <si>
    <t>11.0.41</t>
  </si>
  <si>
    <t>13.7.70-beta</t>
  </si>
  <si>
    <t>3.0.91-beta</t>
  </si>
  <si>
    <t>13.6.71.9368</t>
  </si>
  <si>
    <t>Nihil delectus atque hic. Earum deserunt libero culpa. Eius deleniti non libero ipsa sed laborum.</t>
  </si>
  <si>
    <t>9.3.13-beta</t>
  </si>
  <si>
    <t>9.4.59-beta</t>
  </si>
  <si>
    <t>3.1.0.9232</t>
  </si>
  <si>
    <t>11.8.8-beta</t>
  </si>
  <si>
    <t>探査血まみれの尿脊椎追放する擁する癌中世。</t>
  </si>
  <si>
    <t>15.8.58.9028</t>
  </si>
  <si>
    <t>4.1.85</t>
  </si>
  <si>
    <t>Distinctio eveniet doloremque sit est. Ratione nam neque ex deserunt consectetur eum.</t>
  </si>
  <si>
    <t>13.5.62</t>
  </si>
  <si>
    <t>v15.0.97</t>
  </si>
  <si>
    <t>3.4.42-beta</t>
  </si>
  <si>
    <t>13.4.13.3731</t>
  </si>
  <si>
    <t>6.4.54-beta</t>
  </si>
  <si>
    <t>Tempore veniam quas architecto harum deserunt quo quae.</t>
  </si>
  <si>
    <t>2.4.77.595</t>
  </si>
  <si>
    <t>1.7</t>
  </si>
  <si>
    <t>v14.7.11</t>
  </si>
  <si>
    <t>13.6.43-beta</t>
  </si>
  <si>
    <t>v12.8.68</t>
  </si>
  <si>
    <t>6.7.67-beta</t>
  </si>
  <si>
    <t>11.4.13</t>
  </si>
  <si>
    <t>7.3.9.3922</t>
  </si>
  <si>
    <t>9.2.9</t>
  </si>
  <si>
    <t>8.0.47-beta</t>
  </si>
  <si>
    <t>柔らかいコミュニケーションリニア奨励します管理する。 人形インチパーセント催眠術通行料金溝。 ささやき主婦保証金デフォルトピックバスケット。</t>
  </si>
  <si>
    <t>7.5.57</t>
  </si>
  <si>
    <t>11.5.20.3127</t>
  </si>
  <si>
    <t>v12.1.59</t>
  </si>
  <si>
    <t>Hinter gesund um Arbeit führen Mutter. Arzt Licht See Schwester Lehrer Wetter dem. Luft wir Ferien so.</t>
  </si>
  <si>
    <t>擁する必要状況数字協力キャビネット。 分割野球リフト教授。</t>
  </si>
  <si>
    <t>Argue raise agency poor recently. Amount despite discussion check that may follow.</t>
  </si>
  <si>
    <t>13.3</t>
  </si>
  <si>
    <t>11.4.40-beta</t>
  </si>
  <si>
    <t>9.5.0</t>
  </si>
  <si>
    <t>5.4.94-beta</t>
  </si>
  <si>
    <t>v1.2.50</t>
  </si>
  <si>
    <t>1.6.66.5316</t>
  </si>
  <si>
    <t>v4.7.28</t>
  </si>
  <si>
    <t>6.0.61</t>
  </si>
  <si>
    <t>8.9.55</t>
  </si>
  <si>
    <t>1.8.85.8030</t>
  </si>
  <si>
    <t>Chez accomplir pareil papa discuter. Long circonstance couper offrir espérer envie. Fonction pendant humide hiver verser.</t>
  </si>
  <si>
    <t>v11.6.22</t>
  </si>
  <si>
    <t>Delectus aliquam rem quia soluta.</t>
  </si>
  <si>
    <t>Strategy purpose though stand guess. Possible discover three. Describe agency actually stop team.</t>
  </si>
  <si>
    <t>11.3.57-beta</t>
  </si>
  <si>
    <t>15.9.8</t>
  </si>
  <si>
    <t>v11.6.66</t>
  </si>
  <si>
    <t>Nisi recusandae pariatur vel aspernatur autem a. Nulla similique veniam. Esse fugit necessitatibus.</t>
  </si>
  <si>
    <t>1.8.3.5609</t>
  </si>
  <si>
    <t>1.3.7</t>
  </si>
  <si>
    <t>Quia fuga eius officiis error alias. Error ea ut suscipit. Blanditiis odio veritatis recusandae sunt.</t>
  </si>
  <si>
    <t>11.1.78.4432</t>
  </si>
  <si>
    <t>3.7.96-beta</t>
  </si>
  <si>
    <t>13.2.11.3950</t>
  </si>
  <si>
    <t>6.3.20-beta</t>
  </si>
  <si>
    <t>2.3.72-beta</t>
  </si>
  <si>
    <t>Officer analysis as. Report rest dark environment provide.</t>
  </si>
  <si>
    <t>15.4.66.2797</t>
  </si>
  <si>
    <t>Scuola vuoto antico nostro sopra noi programma.</t>
  </si>
  <si>
    <t>15.2.80.5918</t>
  </si>
  <si>
    <t>8.5.2</t>
  </si>
  <si>
    <t>9.6.27</t>
  </si>
  <si>
    <t>v11.3.84</t>
  </si>
  <si>
    <t>v15.3.35</t>
  </si>
  <si>
    <t>10.9.33</t>
  </si>
  <si>
    <t>Eum odit illum neque.</t>
  </si>
  <si>
    <t>v12.2.62</t>
  </si>
  <si>
    <t>Put imagine which beat education case under.</t>
  </si>
  <si>
    <t>Viel dort auf lesen versuchen oder neu. Oma sieben verkaufen müde Zimmer Stein trinken. Bild immer da leise auf Brot.</t>
  </si>
  <si>
    <t>3.6.91-beta</t>
  </si>
  <si>
    <t>文化对于责任怎么.</t>
  </si>
  <si>
    <t>10.7.42.6158</t>
  </si>
  <si>
    <t>v3.6.45</t>
  </si>
  <si>
    <t>14.5.67.8921</t>
  </si>
  <si>
    <t>9.9.13.159</t>
  </si>
  <si>
    <t>2.3.84</t>
  </si>
  <si>
    <t>1.7.63-beta</t>
  </si>
  <si>
    <t>Strong time could a. Son manager trouble reason fill sense field.</t>
  </si>
  <si>
    <t>v7.2.53</t>
  </si>
  <si>
    <t>Ad adipisci commodi delectus quod.</t>
  </si>
  <si>
    <t>10.6.56</t>
  </si>
  <si>
    <t>v13.6.28</t>
  </si>
  <si>
    <t>6.0.11-beta</t>
  </si>
  <si>
    <t>14.4.82</t>
  </si>
  <si>
    <t>Hold decade investment operation long pass. Quickly with matter.</t>
  </si>
  <si>
    <t>12.0.76-beta</t>
  </si>
  <si>
    <t>Similique fugit molestiae atque porro nulla expedita. Voluptatum fugit vitae quis assumenda dolorum at.</t>
  </si>
  <si>
    <t>Page light follow need region.</t>
  </si>
  <si>
    <t>6.9.47</t>
  </si>
  <si>
    <t>10.4.26</t>
  </si>
  <si>
    <t>1.7.37-beta</t>
  </si>
  <si>
    <t>1.9.44</t>
  </si>
  <si>
    <t>4.9.95.6654</t>
  </si>
  <si>
    <t>7.4.92-beta</t>
  </si>
  <si>
    <t>14.5.24-beta</t>
  </si>
  <si>
    <t>12.1.74</t>
  </si>
  <si>
    <t>仕上げブラケット編組保持する。</t>
  </si>
  <si>
    <t>15.4.31-beta</t>
  </si>
  <si>
    <t>v13.5.87</t>
  </si>
  <si>
    <t>1.5.92.1422</t>
  </si>
  <si>
    <t>9.4.24</t>
  </si>
  <si>
    <t>Sint nesciunt laudantium quae repellat veniam.</t>
  </si>
  <si>
    <t>4.4.59-beta</t>
  </si>
  <si>
    <t>v13.6.65</t>
  </si>
  <si>
    <t>9.1.51-beta</t>
  </si>
  <si>
    <t>9.2.55-beta</t>
  </si>
  <si>
    <t>v10.3.66</t>
  </si>
  <si>
    <t>Pericoloso bravo lontano dunque no industriale. Baciare stabilire porre loro.</t>
  </si>
  <si>
    <t>9.3.4</t>
  </si>
  <si>
    <t>Necessitatibus optio ipsum voluptatum. Nam labore voluptas omnis neque blanditiis.</t>
  </si>
  <si>
    <t>10.0.60-beta</t>
  </si>
  <si>
    <t>Error quia hic fuga.</t>
  </si>
  <si>
    <t>v10.3.77</t>
  </si>
  <si>
    <t>12.2.31</t>
  </si>
  <si>
    <t>Minus esse repellat eum doloribus laboriosam distinctio optio.</t>
  </si>
  <si>
    <t>v7.7.4</t>
  </si>
  <si>
    <t>5.8.57.5040</t>
  </si>
  <si>
    <t>Odio molestiae rem corporis consectetur magni similique. Labore voluptatibus asperiores cum.</t>
  </si>
  <si>
    <t>12.6.97.3085</t>
  </si>
  <si>
    <t>Материя жить применяться опасность карман.</t>
  </si>
  <si>
    <t>v10.2.88</t>
  </si>
  <si>
    <t>v5.2.34</t>
  </si>
  <si>
    <t>12.0.29-beta</t>
  </si>
  <si>
    <t>9.6.40</t>
  </si>
  <si>
    <t>Veniam magni illo sit odio dolores maxime libero. Inventore adipisci architecto assumenda.</t>
  </si>
  <si>
    <t>10.4.4-beta</t>
  </si>
  <si>
    <t>Fuga hic iure.</t>
  </si>
  <si>
    <t>2.0.87</t>
  </si>
  <si>
    <t>ブラケットはカラム建築省略サラダ符号。 デッド持つブラケットヒール埋め込む建築野球省略。</t>
  </si>
  <si>
    <t>14.9.57-beta</t>
  </si>
  <si>
    <t>14.4.77-beta</t>
  </si>
  <si>
    <t>9.7.33</t>
  </si>
  <si>
    <t>电脑日期一起一起起来点击会员其实. 影响美国销售合作世界或者责任. 世界表示数据感觉通过.</t>
  </si>
  <si>
    <t>Blanditiis quam eos doloribus. Ratione rerum delectus officia libero doloribus laborum earum.</t>
  </si>
  <si>
    <t>Chiesa pagina direttore vendere secolo vita.</t>
  </si>
  <si>
    <t>v14.9.39</t>
  </si>
  <si>
    <t>7.7.34.8945</t>
  </si>
  <si>
    <t>Maiores in eaque voluptatem occaecati. Nisi labore harum blanditiis debitis facere reiciendis.</t>
  </si>
  <si>
    <t>9.3.41</t>
  </si>
  <si>
    <t>9.6.8.998</t>
  </si>
  <si>
    <t>Environmental six understand rather daughter through note.</t>
  </si>
  <si>
    <t>1.1.24.9433</t>
  </si>
  <si>
    <t>2.7.99</t>
  </si>
  <si>
    <t>5.4.31.4206</t>
  </si>
  <si>
    <t>3.8.1.387</t>
  </si>
  <si>
    <t>v15.3.24</t>
  </si>
  <si>
    <t>Sommer dumm Zahl heute mehr also.</t>
  </si>
  <si>
    <t>注意不过单位网络谢谢地址还有联系.</t>
  </si>
  <si>
    <t>14.2.73</t>
  </si>
  <si>
    <t>6.5.36</t>
  </si>
  <si>
    <t>v12.8.77</t>
  </si>
  <si>
    <t>12.8.10.4065</t>
  </si>
  <si>
    <t>Distinctio aut aspernatur quae ipsam qui fugit. Quibusdam ad quisquam dignissimos perferendis ipsa soluta exercitationem. Libero nulla saepe.</t>
  </si>
  <si>
    <t>v11.4.6</t>
  </si>
  <si>
    <t>10.2.99</t>
  </si>
  <si>
    <t>Kawałek koza diabeł zupełnie bawić się białoruski. Źródło kolano szczególnie ukraiński Azja długość połączenie. 10 ponownie niedziela sportowy przedstawiciel bliski kij.</t>
  </si>
  <si>
    <t>Danger neuf l'une manier. Sentiment violence façon réclamer beau. Besoin pourtant arracher avenir.</t>
  </si>
  <si>
    <t>v7.0.57</t>
  </si>
  <si>
    <t>5.7.63.3116</t>
  </si>
  <si>
    <t>2.2.7-beta</t>
  </si>
  <si>
    <t>5.7.8-beta</t>
  </si>
  <si>
    <t>Ob müde Stadt von.</t>
  </si>
  <si>
    <t>7.0.37.2431</t>
  </si>
  <si>
    <t>Помимо ход дрогнуть коробка демократия. Подробность возмутиться сопровождаться картинка ложиться. Приличный заработать умолять рис тяжелый изредка прелесть.</t>
  </si>
  <si>
    <t>7.7.82-beta</t>
  </si>
  <si>
    <t>12.0.92</t>
  </si>
  <si>
    <t>更新类型电子. 这个支持有限决定.</t>
  </si>
  <si>
    <t>11.7.93.5247</t>
  </si>
  <si>
    <t>6.2.27.705</t>
  </si>
  <si>
    <t>Iste quae quae cum non. Architecto fugiat a. Minus laudantium quidem mollitia quas suscipit iure.</t>
  </si>
  <si>
    <t>4.5.64</t>
  </si>
  <si>
    <t>v15.1.13</t>
  </si>
  <si>
    <t>Minima illum magnam libero rem.</t>
  </si>
  <si>
    <t>1.9.67-beta</t>
  </si>
  <si>
    <t>v7.8.82</t>
  </si>
  <si>
    <t>6.7.56.6224</t>
  </si>
  <si>
    <t>Error ad laborum quibusdam dolor quod. Ipsum nihil quis consequuntur. Id consequuntur tempore temporibus ducimus.</t>
  </si>
  <si>
    <t>12.0.12</t>
  </si>
  <si>
    <t>2.6.16</t>
  </si>
  <si>
    <t>8.2.37</t>
  </si>
  <si>
    <t>9.3.93.4946</t>
  </si>
  <si>
    <t>13.2.48-beta</t>
  </si>
  <si>
    <t>v1.4.13</t>
  </si>
  <si>
    <t>11.5.90</t>
  </si>
  <si>
    <t>Ad illo reiciendis itaque numquam eligendi.</t>
  </si>
  <si>
    <t>v14.9.64</t>
  </si>
  <si>
    <t>6.3.77.74</t>
  </si>
  <si>
    <t>10.0.51</t>
  </si>
  <si>
    <t>1.0.89</t>
  </si>
  <si>
    <t>Ex quae quasi odio corporis quis. At fugit hic aliquam esse. Deserunt necessitatibus in repudiandae.</t>
  </si>
  <si>
    <t>8.1.7</t>
  </si>
  <si>
    <t>Ducimus totam a architecto similique eaque laboriosam.</t>
  </si>
  <si>
    <t>10.8.7</t>
  </si>
  <si>
    <t>9.5.58.2434</t>
  </si>
  <si>
    <t>12.2.75</t>
  </si>
  <si>
    <t>Veritatis ducimus nam suscipit repellendus ex pariatur.</t>
  </si>
  <si>
    <t>v10.1.35</t>
  </si>
  <si>
    <t>14.0.73-beta</t>
  </si>
  <si>
    <t>v10.7.36</t>
  </si>
  <si>
    <t>1.1.43</t>
  </si>
  <si>
    <t>Evening vote feel win yard anything option. Blood challenge difference situation thing. Less check better my guy.</t>
  </si>
  <si>
    <t>v7.7.17</t>
  </si>
  <si>
    <t>4.5.56.2164</t>
  </si>
  <si>
    <t>v8.5.93</t>
  </si>
  <si>
    <t>Idea intanto importare vicino figura genere. Destino staccare mandare uscire operazione. Insieme desiderio difficile scomparire film oro.</t>
  </si>
  <si>
    <t>v5.4.58</t>
  </si>
  <si>
    <t>Aspernatur recusandae ab molestiae. Tempore vel recusandae possimus corrupti amet iusto. Consequatur voluptates facilis.</t>
  </si>
  <si>
    <t>11.1.25-beta</t>
  </si>
  <si>
    <t>10.9.58</t>
  </si>
  <si>
    <t>Dort Geld Brief. Bild auch ab werden steigen Wasser treffen leben. Nehmen nächste lustig Tür fünf.</t>
  </si>
  <si>
    <t>6.9.19</t>
  </si>
  <si>
    <t>12.8.53-beta</t>
  </si>
  <si>
    <t>Libero dolore eligendi hic.</t>
  </si>
  <si>
    <t>3.1.88.7325</t>
  </si>
  <si>
    <t>連続オークション出演者コミュニケーションデフォルト状況サワー。 トレーナーバナー敵対的なリフト楽しんで。</t>
  </si>
  <si>
    <t>15.5.79.6019</t>
  </si>
  <si>
    <t>v12.3.44</t>
  </si>
  <si>
    <t>Corporis voluptatum commodi quam. Quo porro neque quaerat ipsa. Ut pariatur perferendis quas.</t>
  </si>
  <si>
    <t>14.7.9-beta</t>
  </si>
  <si>
    <t>Culpa deleniti architecto adipisci sequi dolorum.</t>
  </si>
  <si>
    <t>4.5.50</t>
  </si>
  <si>
    <t>v3.2.32</t>
  </si>
  <si>
    <t>4.4.6-beta</t>
  </si>
  <si>
    <t>15.3.78-beta</t>
  </si>
  <si>
    <t>v7.6.0</t>
  </si>
  <si>
    <t>大統領普通のブラケット。 舗装改善管理する虐待アクセルペダル。 リハビリ癌コミュニティホイール賞賛する不自然な。</t>
  </si>
  <si>
    <t>11.6.41-beta</t>
  </si>
  <si>
    <t>Früh hin mal neben Wetter Ende Spaß. Klasse Schüler merken.</t>
  </si>
  <si>
    <t>14.6.72</t>
  </si>
  <si>
    <t>v3.8.52</t>
  </si>
  <si>
    <t>13.2.77-beta</t>
  </si>
  <si>
    <t>8.9.46-beta</t>
  </si>
  <si>
    <t>Toit se d'autres discours suffire.</t>
  </si>
  <si>
    <t>Ducimus eaque minus aliquam veritatis ipsum id inventore.</t>
  </si>
  <si>
    <t>3.2.27.5536</t>
  </si>
  <si>
    <t>5.5.49</t>
  </si>
  <si>
    <t>Mattino unico salutare.</t>
  </si>
  <si>
    <t>2.5.25.5604</t>
  </si>
  <si>
    <t>10.4.43-beta</t>
  </si>
  <si>
    <t>Подземный естественный освободить дьявол носок тесно грудь. Разводить приятель привлекать грудь прелесть выкинуть ленинград.</t>
  </si>
  <si>
    <t>14.1.71.7140</t>
  </si>
  <si>
    <t>1.8.81.6243</t>
  </si>
  <si>
    <t>Réel eau vraiment poste. Avant chose cause tranquille. Aujourd'Hui rejeter rayon dix conclure.</t>
  </si>
  <si>
    <t>11.3.4</t>
  </si>
  <si>
    <t>3.1.14-beta</t>
  </si>
  <si>
    <t>v15.9.22</t>
  </si>
  <si>
    <t>4.5.9-beta</t>
  </si>
  <si>
    <t>2.6.22</t>
  </si>
  <si>
    <t>4.1.89-beta</t>
  </si>
  <si>
    <t>9.6.92.565</t>
  </si>
  <si>
    <t>Cum exercitationem minima porro. Laboriosam unde occaecati adipisci sequi. Aut maiores repellat distinctio deleniti odit.</t>
  </si>
  <si>
    <t>13.4.98</t>
  </si>
  <si>
    <t>Impreza trzydziesty zwycięstwo delikatny należy. Samica historia nad kupować który ser.</t>
  </si>
  <si>
    <t>v8.4.93</t>
  </si>
  <si>
    <t>您的时间成为非常公司网络. 的话发表公司今天全部因此资料. 中文责任作为推荐投资回复工作我的.</t>
  </si>
  <si>
    <t>9.6.80-beta</t>
  </si>
  <si>
    <t>12.1.45.7445</t>
  </si>
  <si>
    <t>Один указанный аж услать трясти жить. Один сравнение бригада.</t>
  </si>
  <si>
    <t>Nobis aut beatae voluptate quisquam et commodi nemo.</t>
  </si>
  <si>
    <t>1.8.82</t>
  </si>
  <si>
    <t>15.6.37</t>
  </si>
  <si>
    <t>Нажать достоинство мелочь понятный роскошный помимо тревога.</t>
  </si>
  <si>
    <t>8.6.11</t>
  </si>
  <si>
    <t>10.1.15-beta</t>
  </si>
  <si>
    <t>Ullam in omnis eaque amet.</t>
  </si>
  <si>
    <t>2.5.31-beta</t>
  </si>
  <si>
    <t>1.3.81</t>
  </si>
  <si>
    <t>15.6.51.1383</t>
  </si>
  <si>
    <t>15.1.90.8691</t>
  </si>
  <si>
    <t>v1.2.29</t>
  </si>
  <si>
    <t>ノート暖かい学生建築職人ジャム花嫁。 普通のスマッシュ目的トースト埋め込むシュガー符号。 分割極端なリフト敵対的な怒り追放する知覚。</t>
  </si>
  <si>
    <t>功能一些工具因为全国解决以上注意. 然后这么包括女人根据那个.</t>
  </si>
  <si>
    <t>Счастье низкий пастух. Нож неожиданно поезд тревога. Монета крыса эпоха металл командование следовательно правый.</t>
  </si>
  <si>
    <t>1.1.2-beta</t>
  </si>
  <si>
    <t>v12.0.80</t>
  </si>
  <si>
    <t>9.1.32.4821</t>
  </si>
  <si>
    <t>Invitare convincere pericoloso corsa fortuna. Mamma uguale internazionale direttore intendere.</t>
  </si>
  <si>
    <t>v8.9.13</t>
  </si>
  <si>
    <t>Review_id</t>
  </si>
  <si>
    <t>User_id</t>
  </si>
  <si>
    <t>App_name</t>
  </si>
  <si>
    <t>App_category</t>
  </si>
  <si>
    <t>Review_text</t>
  </si>
  <si>
    <t>Review_language</t>
  </si>
  <si>
    <t>Rating</t>
  </si>
  <si>
    <t>Review_date</t>
  </si>
  <si>
    <t>Verified_purchase</t>
  </si>
  <si>
    <t>Device_type</t>
  </si>
  <si>
    <t>Num_helpful_votes</t>
  </si>
  <si>
    <t>User_age</t>
  </si>
  <si>
    <t>User_country</t>
  </si>
  <si>
    <t>User_gender</t>
  </si>
  <si>
    <t>App_version</t>
  </si>
  <si>
    <t>review text</t>
  </si>
  <si>
    <t>review language</t>
  </si>
  <si>
    <t>rating</t>
  </si>
  <si>
    <t>rating date</t>
  </si>
  <si>
    <t>verified purchase</t>
  </si>
  <si>
    <t>device type</t>
  </si>
  <si>
    <t>votes</t>
  </si>
  <si>
    <t>age</t>
  </si>
  <si>
    <t>country</t>
  </si>
  <si>
    <t>gender</t>
  </si>
  <si>
    <t>app version</t>
  </si>
  <si>
    <t>No Review</t>
  </si>
  <si>
    <t>English</t>
  </si>
  <si>
    <t>Spanish</t>
  </si>
  <si>
    <t>French</t>
  </si>
  <si>
    <t>German</t>
  </si>
  <si>
    <t>Italian</t>
  </si>
  <si>
    <t>Russian</t>
  </si>
  <si>
    <t>Polish</t>
  </si>
  <si>
    <t>Dutch</t>
  </si>
  <si>
    <t>Swedish</t>
  </si>
  <si>
    <t>Danish</t>
  </si>
  <si>
    <t>Norwegian</t>
  </si>
  <si>
    <t>Finnish</t>
  </si>
  <si>
    <t>Chinese</t>
  </si>
  <si>
    <t>Hindi</t>
  </si>
  <si>
    <t>Japanese</t>
  </si>
  <si>
    <t>Korean</t>
  </si>
  <si>
    <t>Thai</t>
  </si>
  <si>
    <t>Vietnamese</t>
  </si>
  <si>
    <t>Indonesian</t>
  </si>
  <si>
    <t>Malay</t>
  </si>
  <si>
    <t>Arabic</t>
  </si>
  <si>
    <t>Turkish</t>
  </si>
  <si>
    <t>Filipino</t>
  </si>
  <si>
    <t>Portuguese</t>
  </si>
  <si>
    <t>Unknown</t>
  </si>
  <si>
    <t>average rating</t>
  </si>
  <si>
    <t>Review id</t>
  </si>
  <si>
    <t>user id</t>
  </si>
  <si>
    <t>app name</t>
  </si>
  <si>
    <t>app category</t>
  </si>
  <si>
    <t>1.Reviews By App</t>
  </si>
  <si>
    <t>Count of Review_id</t>
  </si>
  <si>
    <t>Average of Rating</t>
  </si>
  <si>
    <t>Row Labels</t>
  </si>
  <si>
    <t>Grand Total</t>
  </si>
  <si>
    <t>2.Reviews By App Category</t>
  </si>
  <si>
    <t>3.Reviews By Language</t>
  </si>
  <si>
    <t>4.Reviews By Country</t>
  </si>
  <si>
    <t>5.Reviews By Gender</t>
  </si>
  <si>
    <t>6.Reviews By device Type</t>
  </si>
  <si>
    <t>FALSE</t>
  </si>
  <si>
    <t>TRUE</t>
  </si>
  <si>
    <t xml:space="preserve">8.Monthly Review 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</si>
  <si>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</si>
  <si>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</si>
  <si>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</si>
  <si>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</si>
  <si>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</si>
  <si>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</si>
  <si>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</si>
  <si>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</si>
  <si>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</si>
  <si>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</si>
  <si>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</si>
  <si>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</si>
  <si>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</si>
  <si>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</si>
  <si>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</si>
  <si>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9.Yearly Review </t>
  </si>
  <si>
    <t>Total Apps</t>
  </si>
  <si>
    <t>Total Languages</t>
  </si>
  <si>
    <t>Verfied Purchase (%)</t>
  </si>
  <si>
    <t>Total Reviews</t>
  </si>
  <si>
    <t>Average Rating</t>
  </si>
  <si>
    <t>Sum of helpful_votes</t>
  </si>
  <si>
    <t>10.Rating Distribution</t>
  </si>
  <si>
    <t>1-2</t>
  </si>
  <si>
    <t>2-3</t>
  </si>
  <si>
    <t>3-4</t>
  </si>
  <si>
    <t>4-5</t>
  </si>
  <si>
    <t>7.Verified Vs Non Verified Purchased</t>
  </si>
  <si>
    <t>Review_Date_Year</t>
  </si>
  <si>
    <t>Review_Date_Month</t>
  </si>
  <si>
    <t>Review_Date_New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</si>
</sst>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22" fontId="1" fillId="0" borderId="0" xfId="0" applyNumberFormat="1" applyFont="1" applyAlignment="1">
      <alignment horizontal="left" vertical="center"/>
    </xf>
    <xf numFmtId="0" fontId="1" fillId="0" borderId="0" xfId="0" applyFont="1"/>
    <xf numFmtId="0" fontId="2" fillId="0" borderId="0" xfId="0" applyFont="1" applyAlignment="1">
      <alignment wrapText="1"/>
    </xf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2" fontId="4" fillId="0" borderId="1" xfId="0" applyNumberFormat="1" applyFont="1" applyBorder="1"/>
    <xf numFmtId="1" fontId="4" fillId="0" borderId="1" xfId="0" applyNumberFormat="1" applyFont="1" applyBorder="1"/>
    <xf numFmtId="164" fontId="0" fillId="0" borderId="0" xfId="0" applyNumberFormat="1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/>
    <xf numFmtId="0" fontId="0" fillId="3" borderId="0" xfId="0" applyFill="1"/>
    <xf numFmtId="2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</cellXfs>
  <cellStyles count="2">
    <cellStyle name="Normal" xfId="0" builtinId="0"/>
    <cellStyle name="Percent" xfId="1" builtinId="5"/>
  </cellStyles>
  <dxfs count="33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8" tint="0.79998168889431442"/>
        </patternFill>
      </fill>
    </dxf>
    <dxf>
      <alignment vertical="center"/>
    </dxf>
    <dxf>
      <alignment horizontal="center"/>
    </dxf>
    <dxf>
      <numFmt numFmtId="2" formatCode="0.00"/>
    </dxf>
    <dxf>
      <alignment wrapText="1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7" formatCode="dd/mm/yyyy\ hh:mm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7" formatCode="dd/mm/yyyy\ hh:mm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7" formatCode="dd/mm/yyyy\ hh:mm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7" formatCode="dd/mm/yyyy\ hh:mm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[Cleaned_AppDataset.xlsx]Pivot Table &amp; Charts!PivotTable2</c:name>
    <c:fmtId val="0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&amp; Charts'!$B$8</c:f>
              <c:strCache>
                <c:ptCount val="1"/>
                <c:pt idx="0">
                  <c:v>Count of Review_id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&amp; Charts'!$A$9:$A$50</c:f>
              <c:strCache>
                <c:ptCount val="41"/>
                <c:pt idx="0">
                  <c:v>Adobe Photoshop</c:v>
                </c:pt>
                <c:pt idx="1">
                  <c:v>Airbnb</c:v>
                </c:pt>
                <c:pt idx="2">
                  <c:v>Amazon</c:v>
                </c:pt>
                <c:pt idx="3">
                  <c:v>Booking.com</c:v>
                </c:pt>
                <c:pt idx="4">
                  <c:v>Bumble</c:v>
                </c:pt>
                <c:pt idx="5">
                  <c:v>Canva</c:v>
                </c:pt>
                <c:pt idx="6">
                  <c:v>Coursera</c:v>
                </c:pt>
                <c:pt idx="7">
                  <c:v>Discord</c:v>
                </c:pt>
                <c:pt idx="8">
                  <c:v>Dropbox</c:v>
                </c:pt>
                <c:pt idx="9">
                  <c:v>Duolingo</c:v>
                </c:pt>
                <c:pt idx="10">
                  <c:v>eBay</c:v>
                </c:pt>
                <c:pt idx="11">
                  <c:v>Facebook</c:v>
                </c:pt>
                <c:pt idx="12">
                  <c:v>Google Drive</c:v>
                </c:pt>
                <c:pt idx="13">
                  <c:v>Google Maps</c:v>
                </c:pt>
                <c:pt idx="14">
                  <c:v>Grammarly</c:v>
                </c:pt>
                <c:pt idx="15">
                  <c:v>Instagram</c:v>
                </c:pt>
                <c:pt idx="16">
                  <c:v>Khan Academy</c:v>
                </c:pt>
                <c:pt idx="17">
                  <c:v>LinkedIn</c:v>
                </c:pt>
                <c:pt idx="18">
                  <c:v>Lyft</c:v>
                </c:pt>
                <c:pt idx="19">
                  <c:v>Microsoft Office</c:v>
                </c:pt>
                <c:pt idx="20">
                  <c:v>MX Player</c:v>
                </c:pt>
                <c:pt idx="21">
                  <c:v>Netflix</c:v>
                </c:pt>
                <c:pt idx="22">
                  <c:v>OneDrive</c:v>
                </c:pt>
                <c:pt idx="23">
                  <c:v>PayPal</c:v>
                </c:pt>
                <c:pt idx="24">
                  <c:v>Pinterest</c:v>
                </c:pt>
                <c:pt idx="25">
                  <c:v>Reddit</c:v>
                </c:pt>
                <c:pt idx="26">
                  <c:v>Signal</c:v>
                </c:pt>
                <c:pt idx="27">
                  <c:v>Snapchat</c:v>
                </c:pt>
                <c:pt idx="28">
                  <c:v>Spotify</c:v>
                </c:pt>
                <c:pt idx="29">
                  <c:v>Telegram</c:v>
                </c:pt>
                <c:pt idx="30">
                  <c:v>TikTok</c:v>
                </c:pt>
                <c:pt idx="31">
                  <c:v>Tinder</c:v>
                </c:pt>
                <c:pt idx="32">
                  <c:v>Twitter</c:v>
                </c:pt>
                <c:pt idx="33">
                  <c:v>Uber</c:v>
                </c:pt>
                <c:pt idx="34">
                  <c:v>Udemy</c:v>
                </c:pt>
                <c:pt idx="35">
                  <c:v>Venmo</c:v>
                </c:pt>
                <c:pt idx="36">
                  <c:v>VLC</c:v>
                </c:pt>
                <c:pt idx="37">
                  <c:v>Waze</c:v>
                </c:pt>
                <c:pt idx="38">
                  <c:v>WhatsApp</c:v>
                </c:pt>
                <c:pt idx="39">
                  <c:v>YouTube</c:v>
                </c:pt>
                <c:pt idx="40">
                  <c:v>Zoom</c:v>
                </c:pt>
              </c:strCache>
            </c:strRef>
          </c:cat>
          <c:val>
            <c:numRef>
              <c:f>'Pivot Table &amp; Charts'!$B$9:$B$50</c:f>
              <c:numCache>
                <c:formatCode>General</c:formatCode>
                <c:ptCount val="41"/>
                <c:pt idx="0">
                  <c:v>68</c:v>
                </c:pt>
                <c:pt idx="1">
                  <c:v>65</c:v>
                </c:pt>
                <c:pt idx="2">
                  <c:v>54</c:v>
                </c:pt>
                <c:pt idx="3">
                  <c:v>62</c:v>
                </c:pt>
                <c:pt idx="4">
                  <c:v>56</c:v>
                </c:pt>
                <c:pt idx="5">
                  <c:v>57</c:v>
                </c:pt>
                <c:pt idx="6">
                  <c:v>59</c:v>
                </c:pt>
                <c:pt idx="7">
                  <c:v>44</c:v>
                </c:pt>
                <c:pt idx="8">
                  <c:v>70</c:v>
                </c:pt>
                <c:pt idx="9">
                  <c:v>57</c:v>
                </c:pt>
                <c:pt idx="10">
                  <c:v>57</c:v>
                </c:pt>
                <c:pt idx="11">
                  <c:v>52</c:v>
                </c:pt>
                <c:pt idx="12">
                  <c:v>76</c:v>
                </c:pt>
                <c:pt idx="13">
                  <c:v>63</c:v>
                </c:pt>
                <c:pt idx="14">
                  <c:v>66</c:v>
                </c:pt>
                <c:pt idx="15">
                  <c:v>72</c:v>
                </c:pt>
                <c:pt idx="16">
                  <c:v>54</c:v>
                </c:pt>
                <c:pt idx="17">
                  <c:v>56</c:v>
                </c:pt>
                <c:pt idx="18">
                  <c:v>55</c:v>
                </c:pt>
                <c:pt idx="19">
                  <c:v>68</c:v>
                </c:pt>
                <c:pt idx="20">
                  <c:v>72</c:v>
                </c:pt>
                <c:pt idx="21">
                  <c:v>62</c:v>
                </c:pt>
                <c:pt idx="22">
                  <c:v>74</c:v>
                </c:pt>
                <c:pt idx="23">
                  <c:v>61</c:v>
                </c:pt>
                <c:pt idx="24">
                  <c:v>80</c:v>
                </c:pt>
                <c:pt idx="25">
                  <c:v>80</c:v>
                </c:pt>
                <c:pt idx="26">
                  <c:v>56</c:v>
                </c:pt>
                <c:pt idx="27">
                  <c:v>51</c:v>
                </c:pt>
                <c:pt idx="28">
                  <c:v>51</c:v>
                </c:pt>
                <c:pt idx="29">
                  <c:v>68</c:v>
                </c:pt>
                <c:pt idx="30">
                  <c:v>63</c:v>
                </c:pt>
                <c:pt idx="31">
                  <c:v>62</c:v>
                </c:pt>
                <c:pt idx="32">
                  <c:v>59</c:v>
                </c:pt>
                <c:pt idx="33">
                  <c:v>64</c:v>
                </c:pt>
                <c:pt idx="34">
                  <c:v>52</c:v>
                </c:pt>
                <c:pt idx="35">
                  <c:v>50</c:v>
                </c:pt>
                <c:pt idx="36">
                  <c:v>49</c:v>
                </c:pt>
                <c:pt idx="37">
                  <c:v>64</c:v>
                </c:pt>
                <c:pt idx="38">
                  <c:v>59</c:v>
                </c:pt>
                <c:pt idx="39">
                  <c:v>66</c:v>
                </c:pt>
                <c:pt idx="4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9E-46D5-8A2F-47ACA954F5E5}"/>
            </c:ext>
          </c:extLst>
        </c:ser>
        <c:ser>
          <c:idx val="1"/>
          <c:order val="1"/>
          <c:tx>
            <c:strRef>
              <c:f>'Pivot Table &amp; Charts'!$C$8</c:f>
              <c:strCache>
                <c:ptCount val="1"/>
                <c:pt idx="0">
                  <c:v>Average of Rating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&amp; Charts'!$A$9:$A$50</c:f>
              <c:strCache>
                <c:ptCount val="41"/>
                <c:pt idx="0">
                  <c:v>Adobe Photoshop</c:v>
                </c:pt>
                <c:pt idx="1">
                  <c:v>Airbnb</c:v>
                </c:pt>
                <c:pt idx="2">
                  <c:v>Amazon</c:v>
                </c:pt>
                <c:pt idx="3">
                  <c:v>Booking.com</c:v>
                </c:pt>
                <c:pt idx="4">
                  <c:v>Bumble</c:v>
                </c:pt>
                <c:pt idx="5">
                  <c:v>Canva</c:v>
                </c:pt>
                <c:pt idx="6">
                  <c:v>Coursera</c:v>
                </c:pt>
                <c:pt idx="7">
                  <c:v>Discord</c:v>
                </c:pt>
                <c:pt idx="8">
                  <c:v>Dropbox</c:v>
                </c:pt>
                <c:pt idx="9">
                  <c:v>Duolingo</c:v>
                </c:pt>
                <c:pt idx="10">
                  <c:v>eBay</c:v>
                </c:pt>
                <c:pt idx="11">
                  <c:v>Facebook</c:v>
                </c:pt>
                <c:pt idx="12">
                  <c:v>Google Drive</c:v>
                </c:pt>
                <c:pt idx="13">
                  <c:v>Google Maps</c:v>
                </c:pt>
                <c:pt idx="14">
                  <c:v>Grammarly</c:v>
                </c:pt>
                <c:pt idx="15">
                  <c:v>Instagram</c:v>
                </c:pt>
                <c:pt idx="16">
                  <c:v>Khan Academy</c:v>
                </c:pt>
                <c:pt idx="17">
                  <c:v>LinkedIn</c:v>
                </c:pt>
                <c:pt idx="18">
                  <c:v>Lyft</c:v>
                </c:pt>
                <c:pt idx="19">
                  <c:v>Microsoft Office</c:v>
                </c:pt>
                <c:pt idx="20">
                  <c:v>MX Player</c:v>
                </c:pt>
                <c:pt idx="21">
                  <c:v>Netflix</c:v>
                </c:pt>
                <c:pt idx="22">
                  <c:v>OneDrive</c:v>
                </c:pt>
                <c:pt idx="23">
                  <c:v>PayPal</c:v>
                </c:pt>
                <c:pt idx="24">
                  <c:v>Pinterest</c:v>
                </c:pt>
                <c:pt idx="25">
                  <c:v>Reddit</c:v>
                </c:pt>
                <c:pt idx="26">
                  <c:v>Signal</c:v>
                </c:pt>
                <c:pt idx="27">
                  <c:v>Snapchat</c:v>
                </c:pt>
                <c:pt idx="28">
                  <c:v>Spotify</c:v>
                </c:pt>
                <c:pt idx="29">
                  <c:v>Telegram</c:v>
                </c:pt>
                <c:pt idx="30">
                  <c:v>TikTok</c:v>
                </c:pt>
                <c:pt idx="31">
                  <c:v>Tinder</c:v>
                </c:pt>
                <c:pt idx="32">
                  <c:v>Twitter</c:v>
                </c:pt>
                <c:pt idx="33">
                  <c:v>Uber</c:v>
                </c:pt>
                <c:pt idx="34">
                  <c:v>Udemy</c:v>
                </c:pt>
                <c:pt idx="35">
                  <c:v>Venmo</c:v>
                </c:pt>
                <c:pt idx="36">
                  <c:v>VLC</c:v>
                </c:pt>
                <c:pt idx="37">
                  <c:v>Waze</c:v>
                </c:pt>
                <c:pt idx="38">
                  <c:v>WhatsApp</c:v>
                </c:pt>
                <c:pt idx="39">
                  <c:v>YouTube</c:v>
                </c:pt>
                <c:pt idx="40">
                  <c:v>Zoom</c:v>
                </c:pt>
              </c:strCache>
            </c:strRef>
          </c:cat>
          <c:val>
            <c:numRef>
              <c:f>'Pivot Table &amp; Charts'!$C$9:$C$50</c:f>
              <c:numCache>
                <c:formatCode>0.0</c:formatCode>
                <c:ptCount val="41"/>
                <c:pt idx="0">
                  <c:v>2.7897058823529415</c:v>
                </c:pt>
                <c:pt idx="1">
                  <c:v>2.9399999999999986</c:v>
                </c:pt>
                <c:pt idx="2">
                  <c:v>3.0592592592592589</c:v>
                </c:pt>
                <c:pt idx="3">
                  <c:v>2.819354838709677</c:v>
                </c:pt>
                <c:pt idx="4">
                  <c:v>3.0517857142857134</c:v>
                </c:pt>
                <c:pt idx="5">
                  <c:v>3.0157894736842095</c:v>
                </c:pt>
                <c:pt idx="6">
                  <c:v>2.922033898305084</c:v>
                </c:pt>
                <c:pt idx="7">
                  <c:v>3.1250000000000004</c:v>
                </c:pt>
                <c:pt idx="8">
                  <c:v>3.1171428571428574</c:v>
                </c:pt>
                <c:pt idx="9">
                  <c:v>2.978947368421053</c:v>
                </c:pt>
                <c:pt idx="10">
                  <c:v>2.9859649122807017</c:v>
                </c:pt>
                <c:pt idx="11">
                  <c:v>2.9730769230769232</c:v>
                </c:pt>
                <c:pt idx="12">
                  <c:v>3.0881578947368422</c:v>
                </c:pt>
                <c:pt idx="13">
                  <c:v>2.9587301587301584</c:v>
                </c:pt>
                <c:pt idx="14">
                  <c:v>3.2045454545454555</c:v>
                </c:pt>
                <c:pt idx="15">
                  <c:v>3.0194444444444435</c:v>
                </c:pt>
                <c:pt idx="16">
                  <c:v>3.2574074074074066</c:v>
                </c:pt>
                <c:pt idx="17">
                  <c:v>2.9232142857142862</c:v>
                </c:pt>
                <c:pt idx="18">
                  <c:v>3.089090909090908</c:v>
                </c:pt>
                <c:pt idx="19">
                  <c:v>3.0647058823529409</c:v>
                </c:pt>
                <c:pt idx="20">
                  <c:v>2.9750000000000005</c:v>
                </c:pt>
                <c:pt idx="21">
                  <c:v>2.9854838709677405</c:v>
                </c:pt>
                <c:pt idx="22">
                  <c:v>3.2945945945945958</c:v>
                </c:pt>
                <c:pt idx="23">
                  <c:v>2.8704918032786888</c:v>
                </c:pt>
                <c:pt idx="24">
                  <c:v>3.0075000000000003</c:v>
                </c:pt>
                <c:pt idx="25">
                  <c:v>3.0837499999999998</c:v>
                </c:pt>
                <c:pt idx="26">
                  <c:v>2.9964285714285706</c:v>
                </c:pt>
                <c:pt idx="27">
                  <c:v>3.3019607843137262</c:v>
                </c:pt>
                <c:pt idx="28">
                  <c:v>3.1333333333333346</c:v>
                </c:pt>
                <c:pt idx="29">
                  <c:v>3.0573529411764708</c:v>
                </c:pt>
                <c:pt idx="30">
                  <c:v>3.0285714285714298</c:v>
                </c:pt>
                <c:pt idx="31">
                  <c:v>2.7177419354838706</c:v>
                </c:pt>
                <c:pt idx="32">
                  <c:v>2.8016949152542372</c:v>
                </c:pt>
                <c:pt idx="33">
                  <c:v>3.209375000000001</c:v>
                </c:pt>
                <c:pt idx="34">
                  <c:v>2.9365384615384613</c:v>
                </c:pt>
                <c:pt idx="35">
                  <c:v>3.0220000000000016</c:v>
                </c:pt>
                <c:pt idx="36">
                  <c:v>3.1469387755102041</c:v>
                </c:pt>
                <c:pt idx="37">
                  <c:v>2.8562500000000002</c:v>
                </c:pt>
                <c:pt idx="38">
                  <c:v>3.1271186440677972</c:v>
                </c:pt>
                <c:pt idx="39">
                  <c:v>3.0621212121212111</c:v>
                </c:pt>
                <c:pt idx="40">
                  <c:v>2.8849999999999998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9E-46D5-8A2F-47ACA954F5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17011488"/>
        <c:axId val="29770352"/>
      </c:barChart>
      <c:catAx>
        <c:axId val="170114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70352"/>
        <c:crosses val="autoZero"/>
        <c:auto val="1"/>
        <c:lblAlgn val="ctr"/>
        <c:lblOffset val="100"/>
        <c:noMultiLvlLbl val="0"/>
      </c:catAx>
      <c:valAx>
        <c:axId val="297703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[Cleaned_AppDataset.xlsx]Pivot Table &amp; Charts!PivotTable3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43181780402449699"/>
          <c:y val="0.14435331000291629"/>
          <c:w val="0.23449671916010498"/>
          <c:h val="0.74824730242053072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'Pivot Table &amp; Charts'!$B$54</c:f>
              <c:strCache>
                <c:ptCount val="1"/>
                <c:pt idx="0">
                  <c:v>Count of Review_id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Table &amp; Charts'!$A$55:$A$73</c:f>
              <c:strCache>
                <c:ptCount val="18"/>
                <c:pt idx="0">
                  <c:v>Business</c:v>
                </c:pt>
                <c:pt idx="1">
                  <c:v>Communication</c:v>
                </c:pt>
                <c:pt idx="2">
                  <c:v>Dating</c:v>
                </c:pt>
                <c:pt idx="3">
                  <c:v>Education</c:v>
                </c:pt>
                <c:pt idx="4">
                  <c:v>Entertainment</c:v>
                </c:pt>
                <c:pt idx="5">
                  <c:v>Finance</c:v>
                </c:pt>
                <c:pt idx="6">
                  <c:v>Games</c:v>
                </c:pt>
                <c:pt idx="7">
                  <c:v>Health &amp; Fitness</c:v>
                </c:pt>
                <c:pt idx="8">
                  <c:v>Music &amp; Audio</c:v>
                </c:pt>
                <c:pt idx="9">
                  <c:v>Navigation</c:v>
                </c:pt>
                <c:pt idx="10">
                  <c:v>News &amp; Magazines</c:v>
                </c:pt>
                <c:pt idx="11">
                  <c:v>Photography</c:v>
                </c:pt>
                <c:pt idx="12">
                  <c:v>Productivity</c:v>
                </c:pt>
                <c:pt idx="13">
                  <c:v>Shopping</c:v>
                </c:pt>
                <c:pt idx="14">
                  <c:v>Social Networking</c:v>
                </c:pt>
                <c:pt idx="15">
                  <c:v>Travel &amp; Local</c:v>
                </c:pt>
                <c:pt idx="16">
                  <c:v>Utilities</c:v>
                </c:pt>
                <c:pt idx="17">
                  <c:v>Video Players &amp; Editors</c:v>
                </c:pt>
              </c:strCache>
            </c:strRef>
          </c:cat>
          <c:val>
            <c:numRef>
              <c:f>'Pivot Table &amp; Charts'!$B$55:$B$73</c:f>
              <c:numCache>
                <c:formatCode>General</c:formatCode>
                <c:ptCount val="18"/>
                <c:pt idx="0">
                  <c:v>150</c:v>
                </c:pt>
                <c:pt idx="1">
                  <c:v>137</c:v>
                </c:pt>
                <c:pt idx="2">
                  <c:v>140</c:v>
                </c:pt>
                <c:pt idx="3">
                  <c:v>136</c:v>
                </c:pt>
                <c:pt idx="4">
                  <c:v>167</c:v>
                </c:pt>
                <c:pt idx="5">
                  <c:v>128</c:v>
                </c:pt>
                <c:pt idx="6">
                  <c:v>117</c:v>
                </c:pt>
                <c:pt idx="7">
                  <c:v>155</c:v>
                </c:pt>
                <c:pt idx="8">
                  <c:v>152</c:v>
                </c:pt>
                <c:pt idx="9">
                  <c:v>161</c:v>
                </c:pt>
                <c:pt idx="10">
                  <c:v>133</c:v>
                </c:pt>
                <c:pt idx="11">
                  <c:v>109</c:v>
                </c:pt>
                <c:pt idx="12">
                  <c:v>140</c:v>
                </c:pt>
                <c:pt idx="13">
                  <c:v>137</c:v>
                </c:pt>
                <c:pt idx="14">
                  <c:v>139</c:v>
                </c:pt>
                <c:pt idx="15">
                  <c:v>159</c:v>
                </c:pt>
                <c:pt idx="16">
                  <c:v>115</c:v>
                </c:pt>
                <c:pt idx="17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F-4D0C-832E-50F4E9539133}"/>
            </c:ext>
          </c:extLst>
        </c:ser>
        <c:ser>
          <c:idx val="1"/>
          <c:order val="1"/>
          <c:tx>
            <c:strRef>
              <c:f>'Pivot Table &amp; Charts'!$C$54</c:f>
              <c:strCache>
                <c:ptCount val="1"/>
                <c:pt idx="0">
                  <c:v>Average of Rating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Table &amp; Charts'!$A$55:$A$73</c:f>
              <c:strCache>
                <c:ptCount val="18"/>
                <c:pt idx="0">
                  <c:v>Business</c:v>
                </c:pt>
                <c:pt idx="1">
                  <c:v>Communication</c:v>
                </c:pt>
                <c:pt idx="2">
                  <c:v>Dating</c:v>
                </c:pt>
                <c:pt idx="3">
                  <c:v>Education</c:v>
                </c:pt>
                <c:pt idx="4">
                  <c:v>Entertainment</c:v>
                </c:pt>
                <c:pt idx="5">
                  <c:v>Finance</c:v>
                </c:pt>
                <c:pt idx="6">
                  <c:v>Games</c:v>
                </c:pt>
                <c:pt idx="7">
                  <c:v>Health &amp; Fitness</c:v>
                </c:pt>
                <c:pt idx="8">
                  <c:v>Music &amp; Audio</c:v>
                </c:pt>
                <c:pt idx="9">
                  <c:v>Navigation</c:v>
                </c:pt>
                <c:pt idx="10">
                  <c:v>News &amp; Magazines</c:v>
                </c:pt>
                <c:pt idx="11">
                  <c:v>Photography</c:v>
                </c:pt>
                <c:pt idx="12">
                  <c:v>Productivity</c:v>
                </c:pt>
                <c:pt idx="13">
                  <c:v>Shopping</c:v>
                </c:pt>
                <c:pt idx="14">
                  <c:v>Social Networking</c:v>
                </c:pt>
                <c:pt idx="15">
                  <c:v>Travel &amp; Local</c:v>
                </c:pt>
                <c:pt idx="16">
                  <c:v>Utilities</c:v>
                </c:pt>
                <c:pt idx="17">
                  <c:v>Video Players &amp; Editors</c:v>
                </c:pt>
              </c:strCache>
            </c:strRef>
          </c:cat>
          <c:val>
            <c:numRef>
              <c:f>'Pivot Table &amp; Charts'!$C$55:$C$73</c:f>
              <c:numCache>
                <c:formatCode>0.0</c:formatCode>
                <c:ptCount val="18"/>
                <c:pt idx="0">
                  <c:v>3.0433333333333339</c:v>
                </c:pt>
                <c:pt idx="1">
                  <c:v>2.9927007299270079</c:v>
                </c:pt>
                <c:pt idx="2">
                  <c:v>2.8771428571428559</c:v>
                </c:pt>
                <c:pt idx="3">
                  <c:v>3.0051470588235287</c:v>
                </c:pt>
                <c:pt idx="4">
                  <c:v>3.0976047904191608</c:v>
                </c:pt>
                <c:pt idx="5">
                  <c:v>2.9742187499999986</c:v>
                </c:pt>
                <c:pt idx="6">
                  <c:v>3.0658119658119678</c:v>
                </c:pt>
                <c:pt idx="7">
                  <c:v>3.2503225806451619</c:v>
                </c:pt>
                <c:pt idx="8">
                  <c:v>3.0203947368421051</c:v>
                </c:pt>
                <c:pt idx="9">
                  <c:v>3.1074534161490677</c:v>
                </c:pt>
                <c:pt idx="10">
                  <c:v>2.9270676691729318</c:v>
                </c:pt>
                <c:pt idx="11">
                  <c:v>3.0467889908256867</c:v>
                </c:pt>
                <c:pt idx="12">
                  <c:v>2.9678571428571434</c:v>
                </c:pt>
                <c:pt idx="13">
                  <c:v>2.9773722627737222</c:v>
                </c:pt>
                <c:pt idx="14">
                  <c:v>3.0143884892086321</c:v>
                </c:pt>
                <c:pt idx="15">
                  <c:v>2.8421383647798728</c:v>
                </c:pt>
                <c:pt idx="16">
                  <c:v>3.0826086956521745</c:v>
                </c:pt>
                <c:pt idx="17">
                  <c:v>3.064748201438849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EF-4D0C-832E-50F4E9539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69652495"/>
        <c:axId val="462242351"/>
        <c:axId val="0"/>
      </c:bar3DChart>
      <c:catAx>
        <c:axId val="469652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242351"/>
        <c:crosses val="autoZero"/>
        <c:auto val="1"/>
        <c:lblAlgn val="ctr"/>
        <c:lblOffset val="100"/>
        <c:noMultiLvlLbl val="0"/>
      </c:catAx>
      <c:valAx>
        <c:axId val="462242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65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[Cleaned_AppDataset.xlsx]Pivot Table &amp; Charts!PivotTable4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</c:pivotFmt>
      <c:pivotFmt>
        <c:idx val="10"/>
      </c:pivotFmt>
      <c:pivotFmt>
        <c:idx val="11"/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</c:pivotFmt>
      <c:pivotFmt>
        <c:idx val="14"/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</c:pivotFmt>
      <c:pivotFmt>
        <c:idx val="17"/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</c:pivotFmts>
    <c:plotArea>
      <c:layout/>
      <c:doughnutChart>
        <c:varyColors val="1"/>
        <c:ser>
          <c:idx val="0"/>
          <c:order val="0"/>
          <c:tx>
            <c:strRef>
              <c:f>'Pivot Table &amp; Charts'!$B$77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807-4A8D-B374-C7F2DCFEA94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807-4A8D-B374-C7F2DCFEA94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807-4A8D-B374-C7F2DCFEA94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807-4A8D-B374-C7F2DCFEA94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807-4A8D-B374-C7F2DCFEA94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807-4A8D-B374-C7F2DCFEA94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807-4A8D-B374-C7F2DCFEA94F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807-4A8D-B374-C7F2DCFEA94F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807-4A8D-B374-C7F2DCFEA94F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4807-4A8D-B374-C7F2DCFEA94F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4807-4A8D-B374-C7F2DCFEA94F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4807-4A8D-B374-C7F2DCFEA94F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4807-4A8D-B374-C7F2DCFEA94F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4807-4A8D-B374-C7F2DCFEA94F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4807-4A8D-B374-C7F2DCFEA94F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4807-4A8D-B374-C7F2DCFEA94F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4807-4A8D-B374-C7F2DCFEA94F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4807-4A8D-B374-C7F2DCFEA94F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4807-4A8D-B374-C7F2DCFEA94F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4807-4A8D-B374-C7F2DCFEA94F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4807-4A8D-B374-C7F2DCFEA94F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4807-4A8D-B374-C7F2DCFEA94F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4807-4A8D-B374-C7F2DCFEA94F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4807-4A8D-B374-C7F2DCFEA9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&amp; Charts'!$A$78:$A$88</c:f>
              <c:strCache>
                <c:ptCount val="10"/>
                <c:pt idx="0">
                  <c:v>Arabic</c:v>
                </c:pt>
                <c:pt idx="1">
                  <c:v>Danish</c:v>
                </c:pt>
                <c:pt idx="2">
                  <c:v>Dutch</c:v>
                </c:pt>
                <c:pt idx="3">
                  <c:v>Filipino</c:v>
                </c:pt>
                <c:pt idx="4">
                  <c:v>Finnish</c:v>
                </c:pt>
                <c:pt idx="5">
                  <c:v>Indonesian</c:v>
                </c:pt>
                <c:pt idx="6">
                  <c:v>Korean</c:v>
                </c:pt>
                <c:pt idx="7">
                  <c:v>Polish</c:v>
                </c:pt>
                <c:pt idx="8">
                  <c:v>Russian</c:v>
                </c:pt>
                <c:pt idx="9">
                  <c:v>Spanish</c:v>
                </c:pt>
              </c:strCache>
            </c:strRef>
          </c:cat>
          <c:val>
            <c:numRef>
              <c:f>'Pivot Table &amp; Charts'!$B$78:$B$88</c:f>
              <c:numCache>
                <c:formatCode>General</c:formatCode>
                <c:ptCount val="10"/>
                <c:pt idx="0">
                  <c:v>108</c:v>
                </c:pt>
                <c:pt idx="1">
                  <c:v>105</c:v>
                </c:pt>
                <c:pt idx="2">
                  <c:v>116</c:v>
                </c:pt>
                <c:pt idx="3">
                  <c:v>114</c:v>
                </c:pt>
                <c:pt idx="4">
                  <c:v>111</c:v>
                </c:pt>
                <c:pt idx="5">
                  <c:v>111</c:v>
                </c:pt>
                <c:pt idx="6">
                  <c:v>114</c:v>
                </c:pt>
                <c:pt idx="7">
                  <c:v>122</c:v>
                </c:pt>
                <c:pt idx="8">
                  <c:v>134</c:v>
                </c:pt>
                <c:pt idx="9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2C-44A9-9FAF-EA5BDF6C8DB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[Cleaned_AppDataset.xlsx]Pivot Table &amp; Charts!PivotTable5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'Pivot Table &amp; Charts'!$B$95</c:f>
              <c:strCache>
                <c:ptCount val="1"/>
                <c:pt idx="0">
                  <c:v>Count of Review_id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&amp; Charts'!$A$96:$A$121</c:f>
              <c:strCache>
                <c:ptCount val="25"/>
                <c:pt idx="0">
                  <c:v>Australia</c:v>
                </c:pt>
                <c:pt idx="1">
                  <c:v>Bangladesh</c:v>
                </c:pt>
                <c:pt idx="2">
                  <c:v>Brazil</c:v>
                </c:pt>
                <c:pt idx="3">
                  <c:v>Canada</c:v>
                </c:pt>
                <c:pt idx="4">
                  <c:v>China</c:v>
                </c:pt>
                <c:pt idx="5">
                  <c:v>France</c:v>
                </c:pt>
                <c:pt idx="6">
                  <c:v>Germany</c:v>
                </c:pt>
                <c:pt idx="7">
                  <c:v>India</c:v>
                </c:pt>
                <c:pt idx="8">
                  <c:v>Indonesia</c:v>
                </c:pt>
                <c:pt idx="9">
                  <c:v>Italy</c:v>
                </c:pt>
                <c:pt idx="10">
                  <c:v>Japan</c:v>
                </c:pt>
                <c:pt idx="11">
                  <c:v>Malaysia</c:v>
                </c:pt>
                <c:pt idx="12">
                  <c:v>Mexico</c:v>
                </c:pt>
                <c:pt idx="13">
                  <c:v>Nigeria</c:v>
                </c:pt>
                <c:pt idx="14">
                  <c:v>Pakistan</c:v>
                </c:pt>
                <c:pt idx="15">
                  <c:v>Philippines</c:v>
                </c:pt>
                <c:pt idx="16">
                  <c:v>Russia</c:v>
                </c:pt>
                <c:pt idx="17">
                  <c:v>South Korea</c:v>
                </c:pt>
                <c:pt idx="18">
                  <c:v>Spain</c:v>
                </c:pt>
                <c:pt idx="19">
                  <c:v>Thailand</c:v>
                </c:pt>
                <c:pt idx="20">
                  <c:v>Turkey</c:v>
                </c:pt>
                <c:pt idx="21">
                  <c:v>United Kingdom</c:v>
                </c:pt>
                <c:pt idx="22">
                  <c:v>United States</c:v>
                </c:pt>
                <c:pt idx="23">
                  <c:v>Unknown</c:v>
                </c:pt>
                <c:pt idx="24">
                  <c:v>Vietnam</c:v>
                </c:pt>
              </c:strCache>
            </c:strRef>
          </c:cat>
          <c:val>
            <c:numRef>
              <c:f>'Pivot Table &amp; Charts'!$B$96:$B$121</c:f>
              <c:numCache>
                <c:formatCode>General</c:formatCode>
                <c:ptCount val="25"/>
                <c:pt idx="0">
                  <c:v>128</c:v>
                </c:pt>
                <c:pt idx="1">
                  <c:v>95</c:v>
                </c:pt>
                <c:pt idx="2">
                  <c:v>96</c:v>
                </c:pt>
                <c:pt idx="3">
                  <c:v>89</c:v>
                </c:pt>
                <c:pt idx="4">
                  <c:v>100</c:v>
                </c:pt>
                <c:pt idx="5">
                  <c:v>92</c:v>
                </c:pt>
                <c:pt idx="6">
                  <c:v>119</c:v>
                </c:pt>
                <c:pt idx="7">
                  <c:v>109</c:v>
                </c:pt>
                <c:pt idx="8">
                  <c:v>114</c:v>
                </c:pt>
                <c:pt idx="9">
                  <c:v>112</c:v>
                </c:pt>
                <c:pt idx="10">
                  <c:v>103</c:v>
                </c:pt>
                <c:pt idx="11">
                  <c:v>108</c:v>
                </c:pt>
                <c:pt idx="12">
                  <c:v>111</c:v>
                </c:pt>
                <c:pt idx="13">
                  <c:v>109</c:v>
                </c:pt>
                <c:pt idx="14">
                  <c:v>94</c:v>
                </c:pt>
                <c:pt idx="15">
                  <c:v>91</c:v>
                </c:pt>
                <c:pt idx="16">
                  <c:v>97</c:v>
                </c:pt>
                <c:pt idx="17">
                  <c:v>94</c:v>
                </c:pt>
                <c:pt idx="18">
                  <c:v>99</c:v>
                </c:pt>
                <c:pt idx="19">
                  <c:v>91</c:v>
                </c:pt>
                <c:pt idx="20">
                  <c:v>115</c:v>
                </c:pt>
                <c:pt idx="21">
                  <c:v>107</c:v>
                </c:pt>
                <c:pt idx="22">
                  <c:v>89</c:v>
                </c:pt>
                <c:pt idx="23">
                  <c:v>41</c:v>
                </c:pt>
                <c:pt idx="24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3-4812-9F6E-83ED96E67CEC}"/>
            </c:ext>
          </c:extLst>
        </c:ser>
        <c:ser>
          <c:idx val="1"/>
          <c:order val="1"/>
          <c:tx>
            <c:strRef>
              <c:f>'Pivot Table &amp; Charts'!$C$95</c:f>
              <c:strCache>
                <c:ptCount val="1"/>
                <c:pt idx="0">
                  <c:v>Average of Rating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&amp; Charts'!$A$96:$A$121</c:f>
              <c:strCache>
                <c:ptCount val="25"/>
                <c:pt idx="0">
                  <c:v>Australia</c:v>
                </c:pt>
                <c:pt idx="1">
                  <c:v>Bangladesh</c:v>
                </c:pt>
                <c:pt idx="2">
                  <c:v>Brazil</c:v>
                </c:pt>
                <c:pt idx="3">
                  <c:v>Canada</c:v>
                </c:pt>
                <c:pt idx="4">
                  <c:v>China</c:v>
                </c:pt>
                <c:pt idx="5">
                  <c:v>France</c:v>
                </c:pt>
                <c:pt idx="6">
                  <c:v>Germany</c:v>
                </c:pt>
                <c:pt idx="7">
                  <c:v>India</c:v>
                </c:pt>
                <c:pt idx="8">
                  <c:v>Indonesia</c:v>
                </c:pt>
                <c:pt idx="9">
                  <c:v>Italy</c:v>
                </c:pt>
                <c:pt idx="10">
                  <c:v>Japan</c:v>
                </c:pt>
                <c:pt idx="11">
                  <c:v>Malaysia</c:v>
                </c:pt>
                <c:pt idx="12">
                  <c:v>Mexico</c:v>
                </c:pt>
                <c:pt idx="13">
                  <c:v>Nigeria</c:v>
                </c:pt>
                <c:pt idx="14">
                  <c:v>Pakistan</c:v>
                </c:pt>
                <c:pt idx="15">
                  <c:v>Philippines</c:v>
                </c:pt>
                <c:pt idx="16">
                  <c:v>Russia</c:v>
                </c:pt>
                <c:pt idx="17">
                  <c:v>South Korea</c:v>
                </c:pt>
                <c:pt idx="18">
                  <c:v>Spain</c:v>
                </c:pt>
                <c:pt idx="19">
                  <c:v>Thailand</c:v>
                </c:pt>
                <c:pt idx="20">
                  <c:v>Turkey</c:v>
                </c:pt>
                <c:pt idx="21">
                  <c:v>United Kingdom</c:v>
                </c:pt>
                <c:pt idx="22">
                  <c:v>United States</c:v>
                </c:pt>
                <c:pt idx="23">
                  <c:v>Unknown</c:v>
                </c:pt>
                <c:pt idx="24">
                  <c:v>Vietnam</c:v>
                </c:pt>
              </c:strCache>
            </c:strRef>
          </c:cat>
          <c:val>
            <c:numRef>
              <c:f>'Pivot Table &amp; Charts'!$C$96:$C$121</c:f>
              <c:numCache>
                <c:formatCode>0.0</c:formatCode>
                <c:ptCount val="25"/>
                <c:pt idx="0">
                  <c:v>2.9359374999999996</c:v>
                </c:pt>
                <c:pt idx="1">
                  <c:v>2.9957894736842103</c:v>
                </c:pt>
                <c:pt idx="2">
                  <c:v>3.2156250000000011</c:v>
                </c:pt>
                <c:pt idx="3">
                  <c:v>3.0078651685393272</c:v>
                </c:pt>
                <c:pt idx="4">
                  <c:v>2.9060000000000015</c:v>
                </c:pt>
                <c:pt idx="5">
                  <c:v>3.2184782608695657</c:v>
                </c:pt>
                <c:pt idx="6">
                  <c:v>2.9235294117647044</c:v>
                </c:pt>
                <c:pt idx="7">
                  <c:v>3.0889908256880734</c:v>
                </c:pt>
                <c:pt idx="8">
                  <c:v>2.9578947368421047</c:v>
                </c:pt>
                <c:pt idx="9">
                  <c:v>2.9142857142857124</c:v>
                </c:pt>
                <c:pt idx="10">
                  <c:v>2.9844660194174746</c:v>
                </c:pt>
                <c:pt idx="11">
                  <c:v>2.8342592592592601</c:v>
                </c:pt>
                <c:pt idx="12">
                  <c:v>2.9990990990990998</c:v>
                </c:pt>
                <c:pt idx="13">
                  <c:v>3.0467889908256875</c:v>
                </c:pt>
                <c:pt idx="14">
                  <c:v>2.8925531914893616</c:v>
                </c:pt>
                <c:pt idx="15">
                  <c:v>3.039560439560439</c:v>
                </c:pt>
                <c:pt idx="16">
                  <c:v>3.0773195876288661</c:v>
                </c:pt>
                <c:pt idx="17">
                  <c:v>3.1095744680851065</c:v>
                </c:pt>
                <c:pt idx="18">
                  <c:v>2.8919191919191922</c:v>
                </c:pt>
                <c:pt idx="19">
                  <c:v>3.2219780219780216</c:v>
                </c:pt>
                <c:pt idx="20">
                  <c:v>3.1121739130434793</c:v>
                </c:pt>
                <c:pt idx="21">
                  <c:v>2.9775700934579423</c:v>
                </c:pt>
                <c:pt idx="22">
                  <c:v>3.0999999999999996</c:v>
                </c:pt>
                <c:pt idx="23">
                  <c:v>3.2634146341463413</c:v>
                </c:pt>
                <c:pt idx="24">
                  <c:v>3.0531531531531528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83-4812-9F6E-83ED96E67CE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10933599"/>
        <c:axId val="462251471"/>
      </c:barChart>
      <c:catAx>
        <c:axId val="131093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251471"/>
        <c:crosses val="autoZero"/>
        <c:auto val="1"/>
        <c:lblAlgn val="ctr"/>
        <c:lblOffset val="100"/>
        <c:noMultiLvlLbl val="0"/>
      </c:catAx>
      <c:valAx>
        <c:axId val="46225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93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[Cleaned_AppDataset.xlsx]Pivot Table &amp; Charts!PivotTable6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&amp; Charts'!$B$125</c:f>
              <c:strCache>
                <c:ptCount val="1"/>
                <c:pt idx="0">
                  <c:v>Count of Review_id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5CC-4E28-BF5B-5173159D827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5CC-4E28-BF5B-5173159D827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5CC-4E28-BF5B-5173159D827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5CC-4E28-BF5B-5173159D827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5CC-4E28-BF5B-5173159D82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&amp; Charts'!$A$126:$A$131</c:f>
              <c:strCache>
                <c:ptCount val="5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  <c:pt idx="3">
                  <c:v>Prefer not to say</c:v>
                </c:pt>
                <c:pt idx="4">
                  <c:v>Unknown</c:v>
                </c:pt>
              </c:strCache>
            </c:strRef>
          </c:cat>
          <c:val>
            <c:numRef>
              <c:f>'Pivot Table &amp; Charts'!$B$126:$B$131</c:f>
              <c:numCache>
                <c:formatCode>General</c:formatCode>
                <c:ptCount val="5"/>
                <c:pt idx="0">
                  <c:v>495</c:v>
                </c:pt>
                <c:pt idx="1">
                  <c:v>482</c:v>
                </c:pt>
                <c:pt idx="2">
                  <c:v>486</c:v>
                </c:pt>
                <c:pt idx="3">
                  <c:v>464</c:v>
                </c:pt>
                <c:pt idx="4">
                  <c:v>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B9-4A41-BF7B-7FF16ED94A2A}"/>
            </c:ext>
          </c:extLst>
        </c:ser>
        <c:ser>
          <c:idx val="1"/>
          <c:order val="1"/>
          <c:tx>
            <c:strRef>
              <c:f>'Pivot Table &amp; Charts'!$C$125</c:f>
              <c:strCache>
                <c:ptCount val="1"/>
                <c:pt idx="0">
                  <c:v>Average of Rating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5CC-4E28-BF5B-5173159D827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5CC-4E28-BF5B-5173159D827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5CC-4E28-BF5B-5173159D827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5CC-4E28-BF5B-5173159D827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5CC-4E28-BF5B-5173159D82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&amp; Charts'!$A$126:$A$131</c:f>
              <c:strCache>
                <c:ptCount val="5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  <c:pt idx="3">
                  <c:v>Prefer not to say</c:v>
                </c:pt>
                <c:pt idx="4">
                  <c:v>Unknown</c:v>
                </c:pt>
              </c:strCache>
            </c:strRef>
          </c:cat>
          <c:val>
            <c:numRef>
              <c:f>'Pivot Table &amp; Charts'!$C$126:$C$131</c:f>
              <c:numCache>
                <c:formatCode>0.0</c:formatCode>
                <c:ptCount val="5"/>
                <c:pt idx="0">
                  <c:v>3.0498989898989941</c:v>
                </c:pt>
                <c:pt idx="1">
                  <c:v>2.9790456431535262</c:v>
                </c:pt>
                <c:pt idx="2">
                  <c:v>2.9751028806584356</c:v>
                </c:pt>
                <c:pt idx="3">
                  <c:v>3.0933189655172399</c:v>
                </c:pt>
                <c:pt idx="4">
                  <c:v>3.0107325383304957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B9-4A41-BF7B-7FF16ED94A2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[Cleaned_AppDataset.xlsx]Pivot Table &amp; Charts!PivotTable7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&amp; Charts'!$B$136</c:f>
              <c:strCache>
                <c:ptCount val="1"/>
                <c:pt idx="0">
                  <c:v>Count of Review_id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&amp; Charts'!$A$137:$A$142</c:f>
              <c:strCache>
                <c:ptCount val="5"/>
                <c:pt idx="0">
                  <c:v>Android</c:v>
                </c:pt>
                <c:pt idx="1">
                  <c:v>Android Tablet</c:v>
                </c:pt>
                <c:pt idx="2">
                  <c:v>iOS</c:v>
                </c:pt>
                <c:pt idx="3">
                  <c:v>iPad</c:v>
                </c:pt>
                <c:pt idx="4">
                  <c:v>Windows Phone</c:v>
                </c:pt>
              </c:strCache>
            </c:strRef>
          </c:cat>
          <c:val>
            <c:numRef>
              <c:f>'Pivot Table &amp; Charts'!$B$137:$B$142</c:f>
              <c:numCache>
                <c:formatCode>General</c:formatCode>
                <c:ptCount val="5"/>
                <c:pt idx="0">
                  <c:v>512</c:v>
                </c:pt>
                <c:pt idx="1">
                  <c:v>509</c:v>
                </c:pt>
                <c:pt idx="2">
                  <c:v>498</c:v>
                </c:pt>
                <c:pt idx="3">
                  <c:v>473</c:v>
                </c:pt>
                <c:pt idx="4">
                  <c:v>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B-419C-9176-48F5CA32BFE6}"/>
            </c:ext>
          </c:extLst>
        </c:ser>
        <c:ser>
          <c:idx val="1"/>
          <c:order val="1"/>
          <c:tx>
            <c:strRef>
              <c:f>'Pivot Table &amp; Charts'!$C$136</c:f>
              <c:strCache>
                <c:ptCount val="1"/>
                <c:pt idx="0">
                  <c:v>Average of Rating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&amp; Charts'!$A$137:$A$142</c:f>
              <c:strCache>
                <c:ptCount val="5"/>
                <c:pt idx="0">
                  <c:v>Android</c:v>
                </c:pt>
                <c:pt idx="1">
                  <c:v>Android Tablet</c:v>
                </c:pt>
                <c:pt idx="2">
                  <c:v>iOS</c:v>
                </c:pt>
                <c:pt idx="3">
                  <c:v>iPad</c:v>
                </c:pt>
                <c:pt idx="4">
                  <c:v>Windows Phone</c:v>
                </c:pt>
              </c:strCache>
            </c:strRef>
          </c:cat>
          <c:val>
            <c:numRef>
              <c:f>'Pivot Table &amp; Charts'!$C$137:$C$142</c:f>
              <c:numCache>
                <c:formatCode>0.0</c:formatCode>
                <c:ptCount val="5"/>
                <c:pt idx="0">
                  <c:v>2.9634765625000008</c:v>
                </c:pt>
                <c:pt idx="1">
                  <c:v>3.0638506876227889</c:v>
                </c:pt>
                <c:pt idx="2">
                  <c:v>3.0628514056224909</c:v>
                </c:pt>
                <c:pt idx="3">
                  <c:v>3.0369978858350954</c:v>
                </c:pt>
                <c:pt idx="4">
                  <c:v>2.9798850574712672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6B-419C-9176-48F5CA32BF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304166159"/>
        <c:axId val="462249071"/>
      </c:barChart>
      <c:catAx>
        <c:axId val="1304166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249071"/>
        <c:crosses val="autoZero"/>
        <c:auto val="1"/>
        <c:lblAlgn val="ctr"/>
        <c:lblOffset val="100"/>
        <c:noMultiLvlLbl val="0"/>
      </c:catAx>
      <c:valAx>
        <c:axId val="46224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16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[Cleaned_AppDataset.xlsx]Pivot Table &amp; Charts!PivotTable8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 &amp; Charts'!$B$147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3DA-47C6-A9F7-85991AC662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3DA-47C6-A9F7-85991AC6623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&amp; Charts'!$A$148:$A$150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'Pivot Table &amp; Charts'!$B$148:$B$150</c:f>
              <c:numCache>
                <c:formatCode>General</c:formatCode>
                <c:ptCount val="2"/>
                <c:pt idx="0">
                  <c:v>575</c:v>
                </c:pt>
                <c:pt idx="1">
                  <c:v>1939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0A-438C-9D43-81528AEA356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[Cleaned_AppDataset.xlsx]Pivot Table &amp; Charts!PivotTable11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&amp; Charts'!$B$154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&amp; Charts'!$A$155:$A$167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&amp; Charts'!$B$155:$B$167</c:f>
              <c:numCache>
                <c:formatCode>General</c:formatCode>
                <c:ptCount val="12"/>
                <c:pt idx="0">
                  <c:v>225</c:v>
                </c:pt>
                <c:pt idx="1">
                  <c:v>190</c:v>
                </c:pt>
                <c:pt idx="2">
                  <c:v>219</c:v>
                </c:pt>
                <c:pt idx="3">
                  <c:v>216</c:v>
                </c:pt>
                <c:pt idx="4">
                  <c:v>211</c:v>
                </c:pt>
                <c:pt idx="5">
                  <c:v>225</c:v>
                </c:pt>
                <c:pt idx="6">
                  <c:v>202</c:v>
                </c:pt>
                <c:pt idx="7">
                  <c:v>220</c:v>
                </c:pt>
                <c:pt idx="8">
                  <c:v>191</c:v>
                </c:pt>
                <c:pt idx="9">
                  <c:v>214</c:v>
                </c:pt>
                <c:pt idx="10">
                  <c:v>182</c:v>
                </c:pt>
                <c:pt idx="11">
                  <c:v>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DF-4685-B389-52C7797ED81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6340575"/>
        <c:axId val="462262991"/>
      </c:lineChart>
      <c:catAx>
        <c:axId val="131634057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262991"/>
        <c:crosses val="autoZero"/>
        <c:auto val="1"/>
        <c:lblAlgn val="ctr"/>
        <c:lblOffset val="100"/>
        <c:noMultiLvlLbl val="0"/>
      </c:catAx>
      <c:valAx>
        <c:axId val="46226299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34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[Cleaned_AppDataset.xlsx]Pivot Table &amp; Charts!PivotTable12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858092738407699"/>
          <c:y val="0.26328484981044037"/>
          <c:w val="0.72191863517060373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 &amp; Charts'!$B$172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'Pivot Table &amp; Charts'!$A$173:$A$176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'Pivot Table &amp; Charts'!$B$173:$B$176</c:f>
              <c:numCache>
                <c:formatCode>General</c:formatCode>
                <c:ptCount val="3"/>
                <c:pt idx="0">
                  <c:v>536</c:v>
                </c:pt>
                <c:pt idx="1">
                  <c:v>1216</c:v>
                </c:pt>
                <c:pt idx="2">
                  <c:v>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A0-469A-BEC9-EB522E125DB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11983823"/>
        <c:axId val="462282671"/>
      </c:lineChart>
      <c:catAx>
        <c:axId val="14119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282671"/>
        <c:crosses val="autoZero"/>
        <c:auto val="1"/>
        <c:lblAlgn val="ctr"/>
        <c:lblOffset val="100"/>
        <c:noMultiLvlLbl val="0"/>
      </c:catAx>
      <c:valAx>
        <c:axId val="46228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98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[Cleaned_AppDataset.xlsx]Pivot Table &amp; Charts!PivotTable10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&amp; Charts'!$B$188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&amp; Charts'!$A$189:$A$193</c:f>
              <c:strCache>
                <c:ptCount val="4"/>
                <c:pt idx="0">
                  <c:v>1-2</c:v>
                </c:pt>
                <c:pt idx="1">
                  <c:v>2-3</c:v>
                </c:pt>
                <c:pt idx="2">
                  <c:v>3-4</c:v>
                </c:pt>
                <c:pt idx="3">
                  <c:v>4-5</c:v>
                </c:pt>
              </c:strCache>
            </c:strRef>
          </c:cat>
          <c:val>
            <c:numRef>
              <c:f>'Pivot Table &amp; Charts'!$B$189:$B$193</c:f>
              <c:numCache>
                <c:formatCode>General</c:formatCode>
                <c:ptCount val="4"/>
                <c:pt idx="0">
                  <c:v>545</c:v>
                </c:pt>
                <c:pt idx="1">
                  <c:v>653</c:v>
                </c:pt>
                <c:pt idx="2">
                  <c:v>668</c:v>
                </c:pt>
                <c:pt idx="3">
                  <c:v>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5B-49BF-9AAB-2C89168246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85415135"/>
        <c:axId val="965605295"/>
      </c:barChart>
      <c:catAx>
        <c:axId val="38541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605295"/>
        <c:crosses val="autoZero"/>
        <c:auto val="1"/>
        <c:lblAlgn val="ctr"/>
        <c:lblOffset val="100"/>
        <c:noMultiLvlLbl val="0"/>
      </c:catAx>
      <c:valAx>
        <c:axId val="96560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41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350520</xdr:colOff>
      <xdr:row>8</xdr:row>
      <xdr:rowOff>0</xdr:rowOff>
    </xdr:from>
    <xdr:to>
      <xdr:col>12</xdr:col>
      <xdr:colOff>45720</xdr:colOff>
      <xdr:row>47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93470-5DCB-8578-261E-C9F2D13956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312420</xdr:colOff>
      <xdr:row>54</xdr:row>
      <xdr:rowOff>7620</xdr:rowOff>
    </xdr:from>
    <xdr:to>
      <xdr:col>14</xdr:col>
      <xdr:colOff>411480</xdr:colOff>
      <xdr:row>72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6405A1-AA13-C6AA-E082-BA624D26D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807720</xdr:colOff>
      <xdr:row>73</xdr:row>
      <xdr:rowOff>137160</xdr:rowOff>
    </xdr:from>
    <xdr:to>
      <xdr:col>9</xdr:col>
      <xdr:colOff>373380</xdr:colOff>
      <xdr:row>89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02F8D2-74B4-0430-73E6-BC1AADE2BA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792480</xdr:colOff>
      <xdr:row>93</xdr:row>
      <xdr:rowOff>91440</xdr:rowOff>
    </xdr:from>
    <xdr:to>
      <xdr:col>13</xdr:col>
      <xdr:colOff>365760</xdr:colOff>
      <xdr:row>114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83A352-445B-9504-1F86-6D97C721AF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1638300</xdr:colOff>
      <xdr:row>118</xdr:row>
      <xdr:rowOff>152400</xdr:rowOff>
    </xdr:from>
    <xdr:to>
      <xdr:col>11</xdr:col>
      <xdr:colOff>129540</xdr:colOff>
      <xdr:row>132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BB6B16-3962-FAC7-4CCC-C2226EB7A3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38100</xdr:colOff>
      <xdr:row>132</xdr:row>
      <xdr:rowOff>152400</xdr:rowOff>
    </xdr:from>
    <xdr:to>
      <xdr:col>11</xdr:col>
      <xdr:colOff>83820</xdr:colOff>
      <xdr:row>143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DE8A983-6EFA-0B29-46D6-E0EB557EE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144</xdr:row>
      <xdr:rowOff>22860</xdr:rowOff>
    </xdr:from>
    <xdr:to>
      <xdr:col>11</xdr:col>
      <xdr:colOff>541020</xdr:colOff>
      <xdr:row>155</xdr:row>
      <xdr:rowOff>30480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C178FA2-9FFB-88A9-188C-2B873CCE0B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213360</xdr:colOff>
      <xdr:row>155</xdr:row>
      <xdr:rowOff>99060</xdr:rowOff>
    </xdr:from>
    <xdr:to>
      <xdr:col>11</xdr:col>
      <xdr:colOff>228600</xdr:colOff>
      <xdr:row>167</xdr:row>
      <xdr:rowOff>45720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A5C74B3-BF34-B721-B868-89CDE7930B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60960</xdr:colOff>
      <xdr:row>168</xdr:row>
      <xdr:rowOff>144780</xdr:rowOff>
    </xdr:from>
    <xdr:to>
      <xdr:col>11</xdr:col>
      <xdr:colOff>365760</xdr:colOff>
      <xdr:row>183</xdr:row>
      <xdr:rowOff>144780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34EB66A-CE15-A0B6-F9BD-332DF3516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906780</xdr:colOff>
      <xdr:row>185</xdr:row>
      <xdr:rowOff>38100</xdr:rowOff>
    </xdr:from>
    <xdr:to>
      <xdr:col>10</xdr:col>
      <xdr:colOff>396240</xdr:colOff>
      <xdr:row>200</xdr:row>
      <xdr:rowOff>38100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B58CF67-F002-D45F-DDB2-82BF066EA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68.999512268521" createdVersion="8" refreshedVersion="8" minRefreshableVersion="3" recordCount="2514" xr:uid="{BA28B2BF-8371-4A91-8F93-89BE2D4A8770}">
  <cacheSource type="worksheet">
    <worksheetSource name="multilingual_mobile_app_reviews_2025"/>
  </cacheSource>
  <cacheFields count="19">
    <cacheField name="Review_id" numFmtId="0">
      <sharedItems containsSemiMixedTypes="0" containsString="0" containsNumber="1" containsInteger="1" minValue="1" maxValue="2514"/>
    </cacheField>
    <cacheField name="User_id" numFmtId="1">
      <sharedItems containsSemiMixedTypes="0" containsString="0" containsNumber="1" containsInteger="1" minValue="100599" maxValue="9995027"/>
    </cacheField>
    <cacheField name="App_name" numFmtId="0">
      <sharedItems count="41">
        <s v="MX Player"/>
        <s v="Tinder"/>
        <s v="Netflix"/>
        <s v="Venmo"/>
        <s v="Google Drive"/>
        <s v="Signal"/>
        <s v="Canva"/>
        <s v="Microsoft Office"/>
        <s v="Dropbox"/>
        <s v="Coursera"/>
        <s v="Adobe Photoshop"/>
        <s v="Udemy"/>
        <s v="eBay"/>
        <s v="Khan Academy"/>
        <s v="Snapchat"/>
        <s v="Facebook"/>
        <s v="LinkedIn"/>
        <s v="PayPal"/>
        <s v="Google Maps"/>
        <s v="Booking.com"/>
        <s v="Zoom"/>
        <s v="Reddit"/>
        <s v="Duolingo"/>
        <s v="YouTube"/>
        <s v="Waze"/>
        <s v="Discord"/>
        <s v="Instagram"/>
        <s v="Spotify"/>
        <s v="OneDrive"/>
        <s v="VLC"/>
        <s v="Amazon"/>
        <s v="Pinterest"/>
        <s v="Bumble"/>
        <s v="Uber"/>
        <s v="Airbnb"/>
        <s v="Grammarly"/>
        <s v="Lyft"/>
        <s v="Telegram"/>
        <s v="WhatsApp"/>
        <s v="Twitter"/>
        <s v="TikTok"/>
      </sharedItems>
    </cacheField>
    <cacheField name="App_category" numFmtId="0">
      <sharedItems count="18">
        <s v="Travel &amp; Local"/>
        <s v="Navigation"/>
        <s v="Dating"/>
        <s v="Productivity"/>
        <s v="Education"/>
        <s v="Music &amp; Audio"/>
        <s v="Social Networking"/>
        <s v="Video Players &amp; Editors"/>
        <s v="News &amp; Magazines"/>
        <s v="Utilities"/>
        <s v="Health &amp; Fitness"/>
        <s v="Entertainment"/>
        <s v="Communication"/>
        <s v="Photography"/>
        <s v="Games"/>
        <s v="Finance"/>
        <s v="Business"/>
        <s v="Shopping"/>
      </sharedItems>
    </cacheField>
    <cacheField name="Review_text" numFmtId="0">
      <sharedItems/>
    </cacheField>
    <cacheField name="Review_language" numFmtId="0">
      <sharedItems count="24">
        <s v="Norwegian"/>
        <s v="Russian"/>
        <s v="Spanish"/>
        <s v="Vietnamese"/>
        <s v="Filipino"/>
        <s v="Thai"/>
        <s v="Danish"/>
        <s v="Japanese"/>
        <s v="Malay"/>
        <s v="French"/>
        <s v="Italian"/>
        <s v="Dutch"/>
        <s v="Hindi"/>
        <s v="Arabic"/>
        <s v="Chinese"/>
        <s v="Indonesian"/>
        <s v="Polish"/>
        <s v="Korean"/>
        <s v="Swedish"/>
        <s v="Portuguese"/>
        <s v="Turkish"/>
        <s v="Finnish"/>
        <s v="German"/>
        <s v="English"/>
      </sharedItems>
    </cacheField>
    <cacheField name="Rating" numFmtId="164">
      <sharedItems containsSemiMixedTypes="0" containsString="0" containsNumber="1" minValue="1" maxValue="5" count="41">
        <n v="1.3"/>
        <n v="1.6"/>
        <n v="3.6"/>
        <n v="3.8"/>
        <n v="3.2"/>
        <n v="5"/>
        <n v="4"/>
        <n v="1.2"/>
        <n v="1.8"/>
        <n v="4.5999999999999996"/>
        <n v="2.7"/>
        <n v="4.2"/>
        <n v="4.7"/>
        <n v="3.7"/>
        <n v="4.5"/>
        <n v="2.1"/>
        <n v="4.9000000000000004"/>
        <n v="3.4"/>
        <n v="3.1"/>
        <n v="2.9"/>
        <n v="1.9"/>
        <n v="4.8"/>
        <n v="2.2000000000000002"/>
        <n v="1.1000000000000001"/>
        <n v="2.8"/>
        <n v="2.4"/>
        <n v="3.5"/>
        <n v="1.4"/>
        <n v="2.2999999999999998"/>
        <n v="1.5"/>
        <n v="3.3"/>
        <n v="4.3"/>
        <n v="1.7"/>
        <n v="2.5"/>
        <n v="3"/>
        <n v="2"/>
        <n v="2.6"/>
        <n v="3.9"/>
        <n v="4.4000000000000004"/>
        <n v="4.0999999999999996"/>
        <n v="1"/>
      </sharedItems>
      <fieldGroup base="6">
        <rangePr startNum="1" endNum="5"/>
        <groupItems count="6">
          <s v="&lt;1"/>
          <s v="1-2"/>
          <s v="2-3"/>
          <s v="3-4"/>
          <s v="4-5"/>
          <s v="&gt;5"/>
        </groupItems>
      </fieldGroup>
    </cacheField>
    <cacheField name="Review_date" numFmtId="22">
      <sharedItems containsSemiMixedTypes="0" containsNonDate="0" containsDate="1" containsString="0" minDate="2023-08-01T03:40:13" maxDate="2025-07-31T03:37:15" count="2514">
        <d v="2024-10-09T19:26:40"/>
        <d v="2024-06-21T17:29:40"/>
        <d v="2024-10-31T13:47:12"/>
        <d v="2025-03-12T06:16:22"/>
        <d v="2024-04-21T03:48:27"/>
        <d v="2024-01-15T02:49:03"/>
        <d v="2024-05-20T21:28:14"/>
        <d v="2025-05-26T05:21:22"/>
        <d v="2023-09-13T07:50:14"/>
        <d v="2024-08-22T15:25:24"/>
        <d v="2023-11-19T20:23:52"/>
        <d v="2024-02-08T10:32:53"/>
        <d v="2024-09-22T12:20:35"/>
        <d v="2024-06-28T15:39:49"/>
        <d v="2024-05-08T01:10:52"/>
        <d v="2024-08-30T15:20:12"/>
        <d v="2025-03-06T02:27:18"/>
        <d v="2023-10-26T12:33:41"/>
        <d v="2023-12-01T17:21:09"/>
        <d v="2024-04-08T15:47:06"/>
        <d v="2023-10-26T18:26:37"/>
        <d v="2024-02-02T20:47:34"/>
        <d v="2025-06-12T20:21:48"/>
        <d v="2023-10-06T09:46:27"/>
        <d v="2025-04-25T16:51:15"/>
        <d v="2025-06-08T12:24:32"/>
        <d v="2024-01-12T09:16:58"/>
        <d v="2025-02-04T15:24:37"/>
        <d v="2025-01-03T14:13:50"/>
        <d v="2024-07-06T03:51:20"/>
        <d v="2023-11-02T20:45:36"/>
        <d v="2023-09-19T14:36:27"/>
        <d v="2024-09-03T05:38:35"/>
        <d v="2025-01-01T11:43:40"/>
        <d v="2024-09-22T17:07:38"/>
        <d v="2024-10-21T10:26:31"/>
        <d v="2025-01-04T21:30:11"/>
        <d v="2023-09-28T10:21:16"/>
        <d v="2023-10-15T22:13:45"/>
        <d v="2025-05-11T05:45:43"/>
        <d v="2024-05-21T05:38:57"/>
        <d v="2024-02-22T20:49:17"/>
        <d v="2024-06-24T10:30:33"/>
        <d v="2024-12-26T23:15:13"/>
        <d v="2023-11-29T02:42:01"/>
        <d v="2024-01-16T23:19:01"/>
        <d v="2024-04-02T14:38:22"/>
        <d v="2025-01-02T01:40:31"/>
        <d v="2024-02-02T06:30:25"/>
        <d v="2025-05-09T11:12:38"/>
        <d v="2024-11-17T23:34:41"/>
        <d v="2023-08-06T22:54:41"/>
        <d v="2024-03-20T09:54:09"/>
        <d v="2023-11-10T11:44:00"/>
        <d v="2025-05-30T09:44:14"/>
        <d v="2024-01-11T01:11:19"/>
        <d v="2024-12-30T21:37:05"/>
        <d v="2025-03-28T19:29:56"/>
        <d v="2024-11-24T23:02:50"/>
        <d v="2025-01-26T13:51:04"/>
        <d v="2025-06-08T07:26:44"/>
        <d v="2024-01-20T15:32:36"/>
        <d v="2024-04-28T11:11:01"/>
        <d v="2024-01-21T00:40:28"/>
        <d v="2025-02-01T09:47:37"/>
        <d v="2024-09-07T17:05:45"/>
        <d v="2024-05-09T18:39:31"/>
        <d v="2024-12-28T19:21:58"/>
        <d v="2024-12-28T03:31:01"/>
        <d v="2024-08-28T18:31:37"/>
        <d v="2024-04-10T05:34:06"/>
        <d v="2024-10-04T12:04:33"/>
        <d v="2024-06-22T10:45:57"/>
        <d v="2025-01-07T23:11:59"/>
        <d v="2024-11-20T23:06:28"/>
        <d v="2024-06-11T06:52:05"/>
        <d v="2024-03-23T21:43:04"/>
        <d v="2024-06-29T18:46:27"/>
        <d v="2024-07-27T01:05:11"/>
        <d v="2025-01-06T15:40:58"/>
        <d v="2024-07-19T14:39:03"/>
        <d v="2023-12-29T21:36:49"/>
        <d v="2024-11-05T09:06:50"/>
        <d v="2024-11-18T17:44:43"/>
        <d v="2024-06-27T08:06:09"/>
        <d v="2025-06-27T18:14:58"/>
        <d v="2024-07-15T10:59:12"/>
        <d v="2025-05-14T05:15:26"/>
        <d v="2025-03-17T16:52:48"/>
        <d v="2023-11-16T08:33:28"/>
        <d v="2024-05-24T09:22:25"/>
        <d v="2025-01-30T13:41:08"/>
        <d v="2024-06-18T02:46:35"/>
        <d v="2024-09-25T08:04:59"/>
        <d v="2023-09-18T05:47:43"/>
        <d v="2024-05-29T09:27:08"/>
        <d v="2025-06-23T10:28:52"/>
        <d v="2025-03-03T11:46:49"/>
        <d v="2024-06-28T18:59:58"/>
        <d v="2025-03-29T16:19:04"/>
        <d v="2025-03-08T17:00:15"/>
        <d v="2024-01-02T17:25:50"/>
        <d v="2024-02-02T03:52:42"/>
        <d v="2025-01-01T20:41:44"/>
        <d v="2024-01-17T04:13:54"/>
        <d v="2024-05-18T09:18:25"/>
        <d v="2023-09-28T21:45:19"/>
        <d v="2023-10-19T00:39:22"/>
        <d v="2025-05-22T07:41:35"/>
        <d v="2025-04-30T14:26:15"/>
        <d v="2024-07-02T14:32:24"/>
        <d v="2025-01-31T06:16:01"/>
        <d v="2023-12-15T16:30:33"/>
        <d v="2024-03-05T02:17:25"/>
        <d v="2024-10-05T13:46:26"/>
        <d v="2023-11-02T14:16:01"/>
        <d v="2024-04-01T23:19:06"/>
        <d v="2025-03-14T21:19:20"/>
        <d v="2023-12-27T15:39:39"/>
        <d v="2023-12-29T15:41:32"/>
        <d v="2024-05-07T04:23:20"/>
        <d v="2023-08-11T20:49:22"/>
        <d v="2023-11-07T04:45:20"/>
        <d v="2023-09-12T05:31:01"/>
        <d v="2025-01-23T13:52:50"/>
        <d v="2023-10-19T13:27:02"/>
        <d v="2024-03-08T17:32:51"/>
        <d v="2024-07-08T00:00:42"/>
        <d v="2023-09-09T18:48:35"/>
        <d v="2023-10-28T11:49:00"/>
        <d v="2024-08-16T19:53:55"/>
        <d v="2024-12-01T18:47:48"/>
        <d v="2025-03-25T09:03:14"/>
        <d v="2024-07-15T19:16:35"/>
        <d v="2025-05-29T23:44:49"/>
        <d v="2024-03-14T02:32:42"/>
        <d v="2024-03-11T15:44:33"/>
        <d v="2025-01-27T21:42:58"/>
        <d v="2025-01-15T18:51:43"/>
        <d v="2025-04-03T19:15:25"/>
        <d v="2024-12-26T10:25:24"/>
        <d v="2023-10-29T00:39:49"/>
        <d v="2024-12-15T21:51:52"/>
        <d v="2024-07-05T21:29:42"/>
        <d v="2025-06-21T17:07:21"/>
        <d v="2024-02-26T05:07:40"/>
        <d v="2025-03-15T14:27:40"/>
        <d v="2024-07-31T07:50:57"/>
        <d v="2025-07-12T09:54:46"/>
        <d v="2024-10-28T12:24:48"/>
        <d v="2023-08-01T18:32:08"/>
        <d v="2024-07-24T16:56:29"/>
        <d v="2023-12-24T13:52:13"/>
        <d v="2024-03-29T05:52:50"/>
        <d v="2024-10-02T01:24:15"/>
        <d v="2025-04-05T11:51:39"/>
        <d v="2025-01-23T15:23:29"/>
        <d v="2024-05-24T08:10:20"/>
        <d v="2023-09-03T18:43:22"/>
        <d v="2025-01-29T15:28:43"/>
        <d v="2024-02-22T17:27:39"/>
        <d v="2024-12-17T14:54:41"/>
        <d v="2025-05-23T21:52:20"/>
        <d v="2024-05-22T00:58:00"/>
        <d v="2025-06-08T11:28:35"/>
        <d v="2024-11-22T11:21:25"/>
        <d v="2024-12-03T02:46:20"/>
        <d v="2024-01-24T13:43:47"/>
        <d v="2024-07-02T22:53:34"/>
        <d v="2024-02-15T04:42:47"/>
        <d v="2025-06-29T01:56:52"/>
        <d v="2025-01-08T04:39:38"/>
        <d v="2023-09-27T05:57:50"/>
        <d v="2024-10-30T06:12:31"/>
        <d v="2025-01-18T01:27:17"/>
        <d v="2024-10-20T08:20:57"/>
        <d v="2025-02-10T20:09:26"/>
        <d v="2024-04-10T15:33:51"/>
        <d v="2023-12-15T07:14:47"/>
        <d v="2025-04-02T18:44:23"/>
        <d v="2024-09-16T04:53:01"/>
        <d v="2025-01-05T16:55:17"/>
        <d v="2023-08-20T07:34:17"/>
        <d v="2024-04-11T15:33:30"/>
        <d v="2025-02-28T02:12:51"/>
        <d v="2024-06-21T10:10:02"/>
        <d v="2024-09-26T18:39:27"/>
        <d v="2024-07-19T01:37:28"/>
        <d v="2024-12-11T07:18:59"/>
        <d v="2023-09-09T03:55:48"/>
        <d v="2023-11-06T16:28:10"/>
        <d v="2023-09-23T04:03:51"/>
        <d v="2024-01-08T18:46:17"/>
        <d v="2025-04-23T09:29:03"/>
        <d v="2023-12-14T05:15:46"/>
        <d v="2023-11-07T08:01:43"/>
        <d v="2024-09-12T12:01:24"/>
        <d v="2024-08-04T18:56:47"/>
        <d v="2024-09-02T12:31:38"/>
        <d v="2024-07-16T23:04:12"/>
        <d v="2023-11-24T02:13:16"/>
        <d v="2023-10-13T17:36:24"/>
        <d v="2023-09-16T11:12:17"/>
        <d v="2024-03-11T06:52:44"/>
        <d v="2024-11-19T10:54:47"/>
        <d v="2023-08-21T06:29:06"/>
        <d v="2023-08-23T08:48:17"/>
        <d v="2025-01-27T16:19:58"/>
        <d v="2024-07-18T05:38:55"/>
        <d v="2024-05-14T07:22:04"/>
        <d v="2025-03-26T06:20:37"/>
        <d v="2025-06-16T23:46:12"/>
        <d v="2024-06-25T05:17:11"/>
        <d v="2024-06-17T14:01:22"/>
        <d v="2025-03-09T06:14:18"/>
        <d v="2024-04-24T23:34:00"/>
        <d v="2024-03-07T21:10:30"/>
        <d v="2024-06-30T09:04:10"/>
        <d v="2024-05-22T04:39:31"/>
        <d v="2024-08-23T10:38:39"/>
        <d v="2023-09-25T20:39:46"/>
        <d v="2024-07-04T16:48:03"/>
        <d v="2025-07-16T08:47:26"/>
        <d v="2024-10-21T02:00:25"/>
        <d v="2024-06-10T00:04:02"/>
        <d v="2024-03-12T18:01:58"/>
        <d v="2023-08-17T01:52:21"/>
        <d v="2023-11-22T14:59:47"/>
        <d v="2023-12-13T15:20:04"/>
        <d v="2025-03-13T08:31:06"/>
        <d v="2023-12-16T11:19:17"/>
        <d v="2024-07-26T05:47:25"/>
        <d v="2025-03-13T02:12:54"/>
        <d v="2025-01-10T22:19:35"/>
        <d v="2025-06-02T03:48:27"/>
        <d v="2023-11-26T03:07:41"/>
        <d v="2023-10-10T00:19:37"/>
        <d v="2024-05-25T12:21:04"/>
        <d v="2024-10-04T10:17:03"/>
        <d v="2024-09-10T22:25:27"/>
        <d v="2024-05-09T12:37:40"/>
        <d v="2024-05-27T19:02:47"/>
        <d v="2025-01-09T04:38:56"/>
        <d v="2024-12-22T10:49:28"/>
        <d v="2023-11-09T00:54:41"/>
        <d v="2024-03-28T08:06:10"/>
        <d v="2024-12-12T16:39:43"/>
        <d v="2025-01-02T08:57:12"/>
        <d v="2023-10-12T11:10:04"/>
        <d v="2023-11-15T17:28:56"/>
        <d v="2024-03-17T15:02:33"/>
        <d v="2025-03-21T15:13:28"/>
        <d v="2023-08-30T04:44:33"/>
        <d v="2025-06-11T14:13:25"/>
        <d v="2024-11-06T18:33:32"/>
        <d v="2023-12-04T21:35:08"/>
        <d v="2025-04-14T05:37:58"/>
        <d v="2025-07-08T02:07:15"/>
        <d v="2025-06-17T23:46:21"/>
        <d v="2024-06-18T03:19:02"/>
        <d v="2024-09-13T19:27:08"/>
        <d v="2025-03-25T17:59:05"/>
        <d v="2024-09-12T11:32:13"/>
        <d v="2025-02-21T21:57:25"/>
        <d v="2023-11-12T12:00:48"/>
        <d v="2023-09-03T21:41:11"/>
        <d v="2024-04-02T00:12:38"/>
        <d v="2024-06-05T04:30:45"/>
        <d v="2024-02-13T15:11:21"/>
        <d v="2024-03-10T02:34:19"/>
        <d v="2025-06-03T08:43:40"/>
        <d v="2023-10-04T01:04:06"/>
        <d v="2023-10-01T04:23:03"/>
        <d v="2025-01-09T14:12:36"/>
        <d v="2024-01-31T04:21:03"/>
        <d v="2025-03-15T14:00:14"/>
        <d v="2023-10-31T08:18:08"/>
        <d v="2025-05-18T14:44:10"/>
        <d v="2025-02-01T23:52:18"/>
        <d v="2024-01-22T01:14:42"/>
        <d v="2025-04-07T02:15:09"/>
        <d v="2025-04-05T18:42:00"/>
        <d v="2024-05-07T04:40:37"/>
        <d v="2025-02-07T17:41:21"/>
        <d v="2025-07-08T05:59:07"/>
        <d v="2024-09-06T07:12:07"/>
        <d v="2023-12-06T18:30:31"/>
        <d v="2024-10-11T15:40:48"/>
        <d v="2024-11-14T02:02:43"/>
        <d v="2025-05-31T00:19:26"/>
        <d v="2024-02-24T15:06:42"/>
        <d v="2023-12-26T07:50:32"/>
        <d v="2024-08-21T21:25:16"/>
        <d v="2024-08-22T06:37:59"/>
        <d v="2023-08-18T21:06:57"/>
        <d v="2024-08-27T11:14:45"/>
        <d v="2023-09-05T00:27:27"/>
        <d v="2025-04-16T08:05:17"/>
        <d v="2025-01-16T07:08:29"/>
        <d v="2024-11-06T12:16:48"/>
        <d v="2024-12-22T02:10:47"/>
        <d v="2024-08-01T04:26:28"/>
        <d v="2025-01-30T01:40:56"/>
        <d v="2024-11-16T17:43:48"/>
        <d v="2024-02-08T08:31:41"/>
        <d v="2024-03-19T17:30:21"/>
        <d v="2024-04-24T22:51:17"/>
        <d v="2024-03-13T11:30:29"/>
        <d v="2025-02-05T13:38:12"/>
        <d v="2025-07-18T13:51:58"/>
        <d v="2025-03-03T08:28:39"/>
        <d v="2024-01-04T19:53:56"/>
        <d v="2025-07-25T13:54:18"/>
        <d v="2024-03-10T23:42:50"/>
        <d v="2024-12-14T13:29:17"/>
        <d v="2024-12-19T12:48:28"/>
        <d v="2024-09-19T13:02:23"/>
        <d v="2024-09-25T20:56:00"/>
        <d v="2025-06-21T14:05:07"/>
        <d v="2024-07-29T09:37:04"/>
        <d v="2025-03-11T01:51:07"/>
        <d v="2024-11-17T10:05:44"/>
        <d v="2025-05-04T05:17:09"/>
        <d v="2024-04-11T14:04:27"/>
        <d v="2025-01-01T16:54:42"/>
        <d v="2023-11-18T02:16:25"/>
        <d v="2025-07-27T18:07:40"/>
        <d v="2024-02-19T10:28:05"/>
        <d v="2024-07-12T20:49:55"/>
        <d v="2024-04-12T21:44:21"/>
        <d v="2025-02-12T08:35:07"/>
        <d v="2024-02-20T00:46:56"/>
        <d v="2025-06-26T03:17:38"/>
        <d v="2025-01-18T01:01:25"/>
        <d v="2024-05-12T08:35:35"/>
        <d v="2024-01-18T01:55:53"/>
        <d v="2024-09-12T01:13:56"/>
        <d v="2025-02-07T17:23:52"/>
        <d v="2025-04-26T00:52:10"/>
        <d v="2024-10-23T01:34:54"/>
        <d v="2024-06-24T23:22:12"/>
        <d v="2024-09-24T05:05:49"/>
        <d v="2025-07-26T03:54:59"/>
        <d v="2024-03-10T20:50:13"/>
        <d v="2025-03-20T03:45:23"/>
        <d v="2024-05-17T17:32:08"/>
        <d v="2025-02-09T09:57:41"/>
        <d v="2023-08-25T21:39:09"/>
        <d v="2024-11-20T12:04:39"/>
        <d v="2023-09-07T16:28:14"/>
        <d v="2024-06-08T07:50:52"/>
        <d v="2024-09-08T17:54:08"/>
        <d v="2024-03-21T06:49:19"/>
        <d v="2024-10-06T07:03:22"/>
        <d v="2024-11-29T02:26:10"/>
        <d v="2024-01-22T21:48:18"/>
        <d v="2025-04-17T17:50:04"/>
        <d v="2024-10-10T16:42:44"/>
        <d v="2024-10-06T17:39:23"/>
        <d v="2024-05-28T13:44:03"/>
        <d v="2025-04-16T20:51:10"/>
        <d v="2025-02-13T11:06:23"/>
        <d v="2024-01-16T10:33:34"/>
        <d v="2025-06-06T05:14:44"/>
        <d v="2025-07-06T21:57:27"/>
        <d v="2025-07-28T19:00:09"/>
        <d v="2025-03-02T23:54:58"/>
        <d v="2024-03-07T17:41:03"/>
        <d v="2024-09-18T09:02:15"/>
        <d v="2024-03-27T10:29:11"/>
        <d v="2024-09-02T04:40:17"/>
        <d v="2024-02-19T10:15:36"/>
        <d v="2024-10-23T17:05:05"/>
        <d v="2023-09-15T11:55:23"/>
        <d v="2025-05-13T14:26:55"/>
        <d v="2025-03-16T13:23:13"/>
        <d v="2024-09-17T06:14:17"/>
        <d v="2023-08-10T01:59:47"/>
        <d v="2025-01-23T10:30:19"/>
        <d v="2025-01-13T04:32:18"/>
        <d v="2025-05-28T06:37:03"/>
        <d v="2025-07-14T19:19:03"/>
        <d v="2024-01-12T02:10:40"/>
        <d v="2024-08-04T05:02:46"/>
        <d v="2025-07-18T16:39:20"/>
        <d v="2024-09-23T17:53:32"/>
        <d v="2025-03-09T18:39:21"/>
        <d v="2025-04-05T21:01:50"/>
        <d v="2024-11-05T12:01:42"/>
        <d v="2023-10-06T10:31:56"/>
        <d v="2023-10-20T02:35:53"/>
        <d v="2024-05-01T18:31:07"/>
        <d v="2024-08-17T21:34:29"/>
        <d v="2023-12-08T18:03:00"/>
        <d v="2024-11-21T20:37:04"/>
        <d v="2023-12-16T20:28:37"/>
        <d v="2024-03-14T06:03:56"/>
        <d v="2024-12-04T19:19:04"/>
        <d v="2024-08-07T02:39:38"/>
        <d v="2024-09-18T22:24:31"/>
        <d v="2024-09-26T03:21:34"/>
        <d v="2025-01-26T20:29:21"/>
        <d v="2025-03-07T12:06:08"/>
        <d v="2023-10-22T04:01:40"/>
        <d v="2024-02-17T20:18:40"/>
        <d v="2025-03-02T23:25:40"/>
        <d v="2023-09-04T14:01:50"/>
        <d v="2023-08-18T10:05:43"/>
        <d v="2024-04-13T23:10:21"/>
        <d v="2024-07-24T18:23:31"/>
        <d v="2024-12-02T00:39:41"/>
        <d v="2024-01-14T17:10:04"/>
        <d v="2025-03-07T05:26:31"/>
        <d v="2024-10-22T07:37:24"/>
        <d v="2023-12-24T02:15:44"/>
        <d v="2023-12-31T22:48:32"/>
        <d v="2024-02-20T15:42:00"/>
        <d v="2024-09-13T18:23:57"/>
        <d v="2024-11-06T13:25:16"/>
        <d v="2024-10-29T19:38:21"/>
        <d v="2024-04-30T06:33:10"/>
        <d v="2025-04-23T22:15:31"/>
        <d v="2025-07-14T10:33:46"/>
        <d v="2025-01-03T22:07:06"/>
        <d v="2023-10-31T10:10:43"/>
        <d v="2023-10-30T17:09:50"/>
        <d v="2025-01-20T11:40:20"/>
        <d v="2024-12-14T01:35:53"/>
        <d v="2023-12-08T11:40:37"/>
        <d v="2023-11-17T20:23:43"/>
        <d v="2025-05-15T20:49:13"/>
        <d v="2025-06-03T03:34:55"/>
        <d v="2024-09-21T10:49:45"/>
        <d v="2024-05-11T19:52:38"/>
        <d v="2025-05-30T16:11:21"/>
        <d v="2023-12-07T19:11:59"/>
        <d v="2025-04-01T11:43:47"/>
        <d v="2025-04-17T11:34:38"/>
        <d v="2024-04-29T08:45:10"/>
        <d v="2024-11-06T11:18:43"/>
        <d v="2024-03-03T06:45:49"/>
        <d v="2025-06-14T11:47:56"/>
        <d v="2024-06-08T18:45:39"/>
        <d v="2025-01-21T11:17:32"/>
        <d v="2024-04-07T15:43:15"/>
        <d v="2024-09-28T23:41:10"/>
        <d v="2024-10-13T14:43:55"/>
        <d v="2025-06-25T09:19:45"/>
        <d v="2024-02-29T17:10:16"/>
        <d v="2024-02-11T08:40:22"/>
        <d v="2024-12-29T00:25:13"/>
        <d v="2024-11-04T00:03:58"/>
        <d v="2025-01-10T00:52:30"/>
        <d v="2024-05-12T08:55:29"/>
        <d v="2024-05-24T03:30:56"/>
        <d v="2023-10-07T05:03:37"/>
        <d v="2025-03-07T07:40:54"/>
        <d v="2025-02-17T21:26:06"/>
        <d v="2024-06-29T09:27:52"/>
        <d v="2024-02-09T08:09:04"/>
        <d v="2023-08-10T06:01:25"/>
        <d v="2023-11-11T09:25:03"/>
        <d v="2023-09-22T07:58:36"/>
        <d v="2023-10-01T06:08:49"/>
        <d v="2025-01-10T20:52:35"/>
        <d v="2024-03-28T19:03:24"/>
        <d v="2025-02-17T20:29:19"/>
        <d v="2025-02-26T23:14:50"/>
        <d v="2023-11-01T15:39:26"/>
        <d v="2024-02-21T02:48:54"/>
        <d v="2024-11-30T07:08:17"/>
        <d v="2024-07-19T10:34:47"/>
        <d v="2023-09-12T22:32:17"/>
        <d v="2023-12-08T11:58:22"/>
        <d v="2024-02-15T00:47:12"/>
        <d v="2025-06-25T11:26:59"/>
        <d v="2024-01-25T06:50:43"/>
        <d v="2024-12-22T04:16:25"/>
        <d v="2024-06-07T06:51:33"/>
        <d v="2024-03-14T08:48:17"/>
        <d v="2023-11-25T19:50:20"/>
        <d v="2025-05-21T07:41:49"/>
        <d v="2023-10-20T14:49:42"/>
        <d v="2024-02-01T20:50:38"/>
        <d v="2023-09-16T09:36:12"/>
        <d v="2023-10-12T03:13:14"/>
        <d v="2025-06-27T19:43:44"/>
        <d v="2024-11-02T14:48:54"/>
        <d v="2024-07-03T17:44:48"/>
        <d v="2024-01-31T18:49:24"/>
        <d v="2025-05-22T19:15:34"/>
        <d v="2025-01-26T03:33:01"/>
        <d v="2024-04-03T22:06:14"/>
        <d v="2025-03-21T05:11:46"/>
        <d v="2024-03-27T08:21:02"/>
        <d v="2024-02-18T22:56:19"/>
        <d v="2024-06-09T23:29:44"/>
        <d v="2025-03-03T22:16:16"/>
        <d v="2023-10-13T10:53:07"/>
        <d v="2025-04-16T06:47:59"/>
        <d v="2023-08-10T03:58:17"/>
        <d v="2023-11-10T09:47:13"/>
        <d v="2024-05-16T00:07:48"/>
        <d v="2024-10-26T04:22:50"/>
        <d v="2025-07-13T11:11:11"/>
        <d v="2023-09-19T22:55:27"/>
        <d v="2025-04-20T11:29:56"/>
        <d v="2024-08-22T09:05:31"/>
        <d v="2024-08-06T22:51:43"/>
        <d v="2025-04-14T22:34:30"/>
        <d v="2024-05-23T23:21:33"/>
        <d v="2024-08-07T11:02:39"/>
        <d v="2024-04-24T02:20:20"/>
        <d v="2024-04-06T16:13:09"/>
        <d v="2023-12-18T13:05:21"/>
        <d v="2024-11-06T16:08:02"/>
        <d v="2025-07-13T08:02:03"/>
        <d v="2025-03-16T07:59:50"/>
        <d v="2025-05-19T09:04:36"/>
        <d v="2024-04-14T13:02:53"/>
        <d v="2025-04-18T06:18:37"/>
        <d v="2025-02-07T17:45:52"/>
        <d v="2024-08-13T07:08:41"/>
        <d v="2025-03-21T14:23:53"/>
        <d v="2023-12-20T07:19:41"/>
        <d v="2023-08-09T17:30:29"/>
        <d v="2024-02-10T16:51:25"/>
        <d v="2024-04-29T02:31:14"/>
        <d v="2023-12-08T01:51:05"/>
        <d v="2025-06-15T18:28:29"/>
        <d v="2025-04-12T15:08:41"/>
        <d v="2023-08-16T11:21:33"/>
        <d v="2023-10-21T05:17:41"/>
        <d v="2023-12-11T00:04:08"/>
        <d v="2023-12-26T10:38:29"/>
        <d v="2024-06-04T14:24:24"/>
        <d v="2025-06-25T22:48:13"/>
        <d v="2023-10-10T15:59:34"/>
        <d v="2024-05-27T21:06:26"/>
        <d v="2025-06-18T15:51:30"/>
        <d v="2023-12-23T19:14:11"/>
        <d v="2024-02-21T09:16:15"/>
        <d v="2024-02-21T11:13:31"/>
        <d v="2024-10-12T03:23:49"/>
        <d v="2025-03-07T03:45:27"/>
        <d v="2023-10-06T10:46:42"/>
        <d v="2025-04-19T14:38:54"/>
        <d v="2024-01-30T21:45:50"/>
        <d v="2025-04-30T18:46:59"/>
        <d v="2025-05-09T17:58:50"/>
        <d v="2024-04-05T05:38:26"/>
        <d v="2023-10-07T11:23:14"/>
        <d v="2024-06-04T12:18:44"/>
        <d v="2025-05-27T05:42:37"/>
        <d v="2024-07-21T17:44:49"/>
        <d v="2024-09-09T18:20:24"/>
        <d v="2024-06-17T18:50:40"/>
        <d v="2024-10-13T23:09:16"/>
        <d v="2024-09-19T22:00:36"/>
        <d v="2024-02-22T00:56:31"/>
        <d v="2024-10-18T04:21:51"/>
        <d v="2023-08-29T23:29:20"/>
        <d v="2024-06-08T21:03:26"/>
        <d v="2023-08-31T00:02:13"/>
        <d v="2025-01-18T05:11:15"/>
        <d v="2025-03-02T02:51:45"/>
        <d v="2023-10-16T03:58:59"/>
        <d v="2024-03-21T06:26:23"/>
        <d v="2025-03-24T02:03:36"/>
        <d v="2025-02-16T22:53:02"/>
        <d v="2023-12-24T20:27:12"/>
        <d v="2025-07-10T08:41:59"/>
        <d v="2025-03-12T19:03:34"/>
        <d v="2025-04-29T13:57:06"/>
        <d v="2023-08-24T14:49:03"/>
        <d v="2024-08-14T12:43:24"/>
        <d v="2024-10-18T08:44:30"/>
        <d v="2025-02-04T11:31:26"/>
        <d v="2024-06-25T01:24:34"/>
        <d v="2024-07-22T09:25:17"/>
        <d v="2024-07-28T08:57:35"/>
        <d v="2025-05-02T03:20:44"/>
        <d v="2024-10-27T20:42:31"/>
        <d v="2024-09-01T04:23:06"/>
        <d v="2025-01-10T15:17:07"/>
        <d v="2024-12-21T22:37:49"/>
        <d v="2025-01-03T17:36:52"/>
        <d v="2024-03-21T01:06:55"/>
        <d v="2024-03-26T09:33:45"/>
        <d v="2024-07-21T06:49:41"/>
        <d v="2025-05-31T17:15:59"/>
        <d v="2025-03-27T21:35:39"/>
        <d v="2024-04-15T05:44:26"/>
        <d v="2023-08-04T12:07:02"/>
        <d v="2024-01-02T18:25:45"/>
        <d v="2023-08-11T19:29:41"/>
        <d v="2024-03-30T06:53:59"/>
        <d v="2024-05-24T18:58:38"/>
        <d v="2024-03-25T15:28:38"/>
        <d v="2025-05-01T18:38:25"/>
        <d v="2024-03-13T18:30:04"/>
        <d v="2024-11-06T02:13:09"/>
        <d v="2023-11-04T12:59:02"/>
        <d v="2024-05-18T07:10:19"/>
        <d v="2025-03-21T22:12:50"/>
        <d v="2024-11-26T14:52:13"/>
        <d v="2024-06-21T04:33:22"/>
        <d v="2025-02-09T03:51:06"/>
        <d v="2024-03-07T11:06:52"/>
        <d v="2024-08-21T11:36:25"/>
        <d v="2025-03-27T03:17:01"/>
        <d v="2024-01-04T12:32:20"/>
        <d v="2025-07-03T15:23:18"/>
        <d v="2024-07-20T15:32:18"/>
        <d v="2024-07-26T11:50:08"/>
        <d v="2025-02-20T06:27:19"/>
        <d v="2025-04-24T21:06:49"/>
        <d v="2025-05-22T14:44:45"/>
        <d v="2024-12-16T20:27:12"/>
        <d v="2023-11-11T19:16:23"/>
        <d v="2025-05-17T16:54:01"/>
        <d v="2024-06-19T00:23:49"/>
        <d v="2025-04-15T00:22:40"/>
        <d v="2023-12-19T16:01:12"/>
        <d v="2025-03-28T01:45:12"/>
        <d v="2025-05-31T20:39:22"/>
        <d v="2024-08-10T02:20:08"/>
        <d v="2025-06-20T07:01:42"/>
        <d v="2023-09-05T14:03:52"/>
        <d v="2024-12-21T14:40:14"/>
        <d v="2024-02-03T23:37:38"/>
        <d v="2024-04-02T08:53:32"/>
        <d v="2025-03-01T17:20:22"/>
        <d v="2023-10-19T14:29:18"/>
        <d v="2023-08-28T17:02:02"/>
        <d v="2024-12-08T01:39:01"/>
        <d v="2024-10-10T15:43:02"/>
        <d v="2024-08-02T08:55:45"/>
        <d v="2025-02-06T22:40:23"/>
        <d v="2025-04-13T04:31:55"/>
        <d v="2024-09-09T07:35:08"/>
        <d v="2023-09-05T10:26:38"/>
        <d v="2023-11-17T23:14:27"/>
        <d v="2023-10-22T22:59:07"/>
        <d v="2024-07-15T19:05:33"/>
        <d v="2024-08-26T12:00:08"/>
        <d v="2023-08-04T05:56:15"/>
        <d v="2024-10-03T13:57:52"/>
        <d v="2024-04-23T04:25:46"/>
        <d v="2025-05-16T17:07:29"/>
        <d v="2024-04-25T01:49:01"/>
        <d v="2024-01-03T03:31:46"/>
        <d v="2024-03-10T11:58:45"/>
        <d v="2024-12-29T00:08:10"/>
        <d v="2025-01-29T04:18:58"/>
        <d v="2025-03-09T09:18:22"/>
        <d v="2023-11-01T13:59:40"/>
        <d v="2024-11-28T14:45:28"/>
        <d v="2024-08-15T21:36:38"/>
        <d v="2024-05-05T00:16:39"/>
        <d v="2024-09-11T23:09:08"/>
        <d v="2024-09-08T05:52:58"/>
        <d v="2023-12-02T15:57:34"/>
        <d v="2024-09-21T00:09:14"/>
        <d v="2024-09-15T22:17:40"/>
        <d v="2025-05-01T15:44:34"/>
        <d v="2024-11-25T07:48:44"/>
        <d v="2025-01-12T00:45:28"/>
        <d v="2023-10-03T20:06:31"/>
        <d v="2025-03-23T12:46:49"/>
        <d v="2023-08-06T13:43:49"/>
        <d v="2024-01-11T14:19:47"/>
        <d v="2025-06-02T16:55:51"/>
        <d v="2025-05-10T23:00:16"/>
        <d v="2023-08-19T07:51:55"/>
        <d v="2023-08-30T07:19:49"/>
        <d v="2025-04-30T01:10:21"/>
        <d v="2024-06-12T11:54:14"/>
        <d v="2024-12-02T09:10:46"/>
        <d v="2024-04-02T15:16:51"/>
        <d v="2025-01-04T20:16:35"/>
        <d v="2023-08-05T11:02:32"/>
        <d v="2025-03-10T01:12:18"/>
        <d v="2025-07-20T15:50:54"/>
        <d v="2024-06-02T18:31:23"/>
        <d v="2024-08-03T00:50:56"/>
        <d v="2024-01-18T15:40:21"/>
        <d v="2023-08-09T12:55:59"/>
        <d v="2023-10-05T23:57:28"/>
        <d v="2024-04-13T20:35:12"/>
        <d v="2025-01-03T06:56:04"/>
        <d v="2024-06-28T13:18:24"/>
        <d v="2024-03-31T03:49:30"/>
        <d v="2025-02-04T01:25:56"/>
        <d v="2025-02-15T21:16:12"/>
        <d v="2024-07-26T19:44:07"/>
        <d v="2023-10-10T05:07:39"/>
        <d v="2024-08-24T22:09:17"/>
        <d v="2025-01-28T11:40:22"/>
        <d v="2025-05-10T08:13:31"/>
        <d v="2024-11-10T11:32:58"/>
        <d v="2024-12-26T09:03:19"/>
        <d v="2025-04-21T22:25:55"/>
        <d v="2024-08-08T21:11:57"/>
        <d v="2024-08-06T22:40:48"/>
        <d v="2024-12-15T14:51:53"/>
        <d v="2024-02-06T03:25:19"/>
        <d v="2024-10-19T07:38:30"/>
        <d v="2024-02-17T11:23:13"/>
        <d v="2023-10-06T11:32:46"/>
        <d v="2024-11-13T23:32:25"/>
        <d v="2023-12-11T08:40:25"/>
        <d v="2024-11-09T13:31:25"/>
        <d v="2025-07-17T06:57:54"/>
        <d v="2025-01-13T10:37:10"/>
        <d v="2024-11-13T04:37:19"/>
        <d v="2024-08-04T11:55:23"/>
        <d v="2025-06-12T15:34:25"/>
        <d v="2023-08-01T19:27:07"/>
        <d v="2024-08-05T11:38:09"/>
        <d v="2025-07-07T18:17:57"/>
        <d v="2024-11-07T14:03:22"/>
        <d v="2024-02-17T02:54:42"/>
        <d v="2025-02-01T16:34:15"/>
        <d v="2024-10-22T19:32:23"/>
        <d v="2024-09-07T14:08:30"/>
        <d v="2024-06-04T14:09:39"/>
        <d v="2024-10-22T13:16:35"/>
        <d v="2025-02-22T09:03:26"/>
        <d v="2025-03-03T17:20:44"/>
        <d v="2024-07-04T01:06:08"/>
        <d v="2024-02-21T05:28:08"/>
        <d v="2025-05-22T12:48:30"/>
        <d v="2024-03-10T00:37:35"/>
        <d v="2024-03-02T04:54:52"/>
        <d v="2024-05-01T03:51:19"/>
        <d v="2024-06-10T19:13:56"/>
        <d v="2024-09-06T00:30:07"/>
        <d v="2024-02-19T16:28:31"/>
        <d v="2024-08-28T02:02:26"/>
        <d v="2023-09-26T02:27:03"/>
        <d v="2024-07-23T17:31:48"/>
        <d v="2024-08-09T05:39:13"/>
        <d v="2023-09-22T08:22:52"/>
        <d v="2025-01-07T15:39:03"/>
        <d v="2025-04-13T09:10:05"/>
        <d v="2024-05-01T03:16:12"/>
        <d v="2023-08-08T10:19:55"/>
        <d v="2024-01-05T08:55:16"/>
        <d v="2023-09-11T22:28:25"/>
        <d v="2024-08-06T09:36:39"/>
        <d v="2024-04-09T15:38:56"/>
        <d v="2023-12-24T05:51:10"/>
        <d v="2024-02-01T01:40:22"/>
        <d v="2024-11-19T01:47:36"/>
        <d v="2024-02-26T13:17:40"/>
        <d v="2024-07-01T14:13:12"/>
        <d v="2023-11-22T03:48:10"/>
        <d v="2024-08-02T06:11:44"/>
        <d v="2024-06-23T06:47:36"/>
        <d v="2025-06-24T16:50:45"/>
        <d v="2024-09-18T15:14:07"/>
        <d v="2025-04-01T20:44:44"/>
        <d v="2024-02-11T19:34:25"/>
        <d v="2025-04-23T23:44:49"/>
        <d v="2025-05-13T12:38:41"/>
        <d v="2024-07-15T06:58:48"/>
        <d v="2024-02-18T15:31:33"/>
        <d v="2024-10-09T02:45:37"/>
        <d v="2024-04-24T04:19:06"/>
        <d v="2023-11-03T01:06:33"/>
        <d v="2024-10-21T22:24:43"/>
        <d v="2023-12-14T10:43:05"/>
        <d v="2024-07-26T02:02:38"/>
        <d v="2024-06-10T06:35:20"/>
        <d v="2023-12-04T16:58:04"/>
        <d v="2024-03-31T08:48:28"/>
        <d v="2025-03-05T05:14:25"/>
        <d v="2023-12-08T12:30:54"/>
        <d v="2023-10-14T02:19:44"/>
        <d v="2024-09-29T20:37:28"/>
        <d v="2025-03-21T16:19:28"/>
        <d v="2025-03-17T01:38:40"/>
        <d v="2024-05-04T01:04:53"/>
        <d v="2024-07-28T18:11:46"/>
        <d v="2024-10-11T22:30:41"/>
        <d v="2024-12-09T19:33:48"/>
        <d v="2024-03-28T09:35:02"/>
        <d v="2025-03-09T16:06:37"/>
        <d v="2023-08-07T23:19:21"/>
        <d v="2024-12-16T13:11:38"/>
        <d v="2025-04-20T02:21:52"/>
        <d v="2023-12-24T21:39:51"/>
        <d v="2023-11-14T23:56:06"/>
        <d v="2024-12-07T13:37:09"/>
        <d v="2024-02-28T06:01:35"/>
        <d v="2023-12-24T17:43:39"/>
        <d v="2024-01-16T13:45:28"/>
        <d v="2024-03-29T21:17:20"/>
        <d v="2024-07-26T00:47:00"/>
        <d v="2024-04-13T09:21:34"/>
        <d v="2023-09-13T09:42:32"/>
        <d v="2024-05-23T06:11:49"/>
        <d v="2025-03-19T12:21:06"/>
        <d v="2023-10-27T14:13:03"/>
        <d v="2024-04-08T22:26:54"/>
        <d v="2025-04-08T21:35:20"/>
        <d v="2023-11-01T19:30:31"/>
        <d v="2023-08-07T19:32:35"/>
        <d v="2025-03-31T10:06:56"/>
        <d v="2025-01-16T13:54:23"/>
        <d v="2024-05-15T08:27:05"/>
        <d v="2025-06-28T21:22:19"/>
        <d v="2025-06-16T16:07:51"/>
        <d v="2025-03-25T15:04:33"/>
        <d v="2023-08-25T14:11:35"/>
        <d v="2024-12-23T21:37:11"/>
        <d v="2024-11-27T12:43:53"/>
        <d v="2024-05-07T05:13:40"/>
        <d v="2025-04-30T08:45:48"/>
        <d v="2025-05-01T14:53:46"/>
        <d v="2024-09-16T19:57:32"/>
        <d v="2024-06-18T08:40:49"/>
        <d v="2025-03-18T01:38:12"/>
        <d v="2024-05-04T21:59:57"/>
        <d v="2025-01-27T13:34:03"/>
        <d v="2025-06-16T14:06:40"/>
        <d v="2025-04-07T09:38:00"/>
        <d v="2024-06-07T18:38:48"/>
        <d v="2024-12-23T14:21:40"/>
        <d v="2024-03-22T07:48:53"/>
        <d v="2025-07-14T18:34:10"/>
        <d v="2024-10-05T23:41:33"/>
        <d v="2023-11-29T01:10:16"/>
        <d v="2024-06-06T09:51:29"/>
        <d v="2025-02-21T04:47:17"/>
        <d v="2025-04-07T17:53:02"/>
        <d v="2024-08-14T03:12:37"/>
        <d v="2025-04-28T09:57:01"/>
        <d v="2023-08-09T18:13:51"/>
        <d v="2023-09-11T22:05:48"/>
        <d v="2023-09-01T20:46:17"/>
        <d v="2024-10-12T15:49:05"/>
        <d v="2024-08-25T02:31:24"/>
        <d v="2024-09-29T15:22:48"/>
        <d v="2023-10-05T23:03:57"/>
        <d v="2023-12-31T04:38:04"/>
        <d v="2024-02-08T03:26:01"/>
        <d v="2024-02-23T16:28:13"/>
        <d v="2024-04-08T01:54:30"/>
        <d v="2023-10-09T11:14:38"/>
        <d v="2024-06-24T20:26:51"/>
        <d v="2023-12-26T20:03:53"/>
        <d v="2024-11-04T03:45:03"/>
        <d v="2023-10-27T03:50:22"/>
        <d v="2024-02-05T15:49:38"/>
        <d v="2025-06-05T15:47:46"/>
        <d v="2024-04-23T12:07:14"/>
        <d v="2024-03-24T20:53:28"/>
        <d v="2023-08-18T13:08:03"/>
        <d v="2024-12-21T10:38:59"/>
        <d v="2024-05-28T17:56:57"/>
        <d v="2024-12-27T19:57:07"/>
        <d v="2025-06-02T04:28:04"/>
        <d v="2024-03-15T01:35:28"/>
        <d v="2024-08-24T05:04:59"/>
        <d v="2024-11-28T22:41:37"/>
        <d v="2025-06-22T11:22:35"/>
        <d v="2024-03-05T12:16:13"/>
        <d v="2024-04-22T08:26:03"/>
        <d v="2025-01-15T02:48:02"/>
        <d v="2025-07-06T22:06:20"/>
        <d v="2024-12-22T14:07:30"/>
        <d v="2023-08-23T18:41:16"/>
        <d v="2025-06-14T11:55:34"/>
        <d v="2024-03-23T11:53:49"/>
        <d v="2023-11-26T21:45:48"/>
        <d v="2023-10-22T19:26:32"/>
        <d v="2024-10-14T07:31:40"/>
        <d v="2024-11-06T02:02:51"/>
        <d v="2025-01-15T18:43:52"/>
        <d v="2023-10-01T14:36:28"/>
        <d v="2023-11-13T00:38:04"/>
        <d v="2025-02-03T22:04:37"/>
        <d v="2023-12-21T18:38:55"/>
        <d v="2024-08-02T22:13:31"/>
        <d v="2023-12-28T23:42:10"/>
        <d v="2024-06-13T05:43:57"/>
        <d v="2025-02-10T06:35:48"/>
        <d v="2025-06-12T15:50:27"/>
        <d v="2024-09-06T18:23:48"/>
        <d v="2025-02-21T21:38:32"/>
        <d v="2024-05-27T18:41:52"/>
        <d v="2023-12-26T08:08:43"/>
        <d v="2025-01-17T18:44:02"/>
        <d v="2024-07-25T22:48:59"/>
        <d v="2023-10-10T03:01:02"/>
        <d v="2023-10-27T18:44:59"/>
        <d v="2025-07-29T07:43:44"/>
        <d v="2023-11-13T23:22:40"/>
        <d v="2024-04-08T02:49:38"/>
        <d v="2023-10-09T22:08:57"/>
        <d v="2025-01-19T03:37:33"/>
        <d v="2025-02-08T20:33:14"/>
        <d v="2023-10-10T17:00:23"/>
        <d v="2024-10-01T08:16:10"/>
        <d v="2025-03-19T14:29:20"/>
        <d v="2024-10-13T02:36:20"/>
        <d v="2024-01-05T10:30:30"/>
        <d v="2023-08-10T08:38:52"/>
        <d v="2025-05-26T07:05:47"/>
        <d v="2025-04-19T01:07:21"/>
        <d v="2024-02-01T15:27:09"/>
        <d v="2024-12-25T02:30:07"/>
        <d v="2024-06-14T10:51:15"/>
        <d v="2024-11-09T20:34:03"/>
        <d v="2024-12-30T22:47:43"/>
        <d v="2024-04-14T01:26:11"/>
        <d v="2023-10-24T10:53:29"/>
        <d v="2024-05-21T05:01:12"/>
        <d v="2025-05-16T21:30:34"/>
        <d v="2024-03-10T22:38:16"/>
        <d v="2025-04-12T22:02:18"/>
        <d v="2024-04-19T08:40:41"/>
        <d v="2025-07-12T11:35:44"/>
        <d v="2024-12-14T08:54:30"/>
        <d v="2023-11-29T13:41:20"/>
        <d v="2025-01-08T15:35:55"/>
        <d v="2024-09-20T02:42:28"/>
        <d v="2024-05-18T08:04:25"/>
        <d v="2025-05-16T04:39:37"/>
        <d v="2024-11-13T07:56:29"/>
        <d v="2023-12-26T14:52:52"/>
        <d v="2024-07-28T12:16:34"/>
        <d v="2024-09-08T05:21:01"/>
        <d v="2023-08-18T08:08:27"/>
        <d v="2023-10-31T06:14:57"/>
        <d v="2025-01-06T13:14:08"/>
        <d v="2025-03-09T21:08:52"/>
        <d v="2025-07-13T08:07:36"/>
        <d v="2025-04-04T12:58:45"/>
        <d v="2024-08-13T12:51:46"/>
        <d v="2024-08-04T01:57:12"/>
        <d v="2024-08-06T15:48:00"/>
        <d v="2024-03-07T02:44:14"/>
        <d v="2024-07-23T22:16:21"/>
        <d v="2024-02-02T04:26:39"/>
        <d v="2024-09-29T11:35:19"/>
        <d v="2024-11-07T13:26:17"/>
        <d v="2024-04-11T04:24:38"/>
        <d v="2023-10-10T04:44:10"/>
        <d v="2025-06-20T00:49:56"/>
        <d v="2025-03-10T22:01:48"/>
        <d v="2025-07-10T04:26:23"/>
        <d v="2025-07-14T07:11:23"/>
        <d v="2023-10-09T05:30:59"/>
        <d v="2025-04-29T09:01:43"/>
        <d v="2023-08-13T01:53:35"/>
        <d v="2024-12-23T21:43:16"/>
        <d v="2023-10-05T15:19:10"/>
        <d v="2024-08-24T13:58:53"/>
        <d v="2025-03-27T20:15:51"/>
        <d v="2024-07-30T08:12:15"/>
        <d v="2023-09-09T23:20:34"/>
        <d v="2024-02-16T11:04:49"/>
        <d v="2024-11-11T21:07:40"/>
        <d v="2024-04-24T21:45:22"/>
        <d v="2025-05-17T14:50:22"/>
        <d v="2024-04-17T01:19:25"/>
        <d v="2025-04-15T01:20:22"/>
        <d v="2024-06-15T07:18:40"/>
        <d v="2023-10-20T14:03:02"/>
        <d v="2024-04-29T21:49:10"/>
        <d v="2023-12-22T09:24:54"/>
        <d v="2024-02-13T15:35:56"/>
        <d v="2024-12-25T21:16:40"/>
        <d v="2025-07-17T13:22:02"/>
        <d v="2025-01-19T13:01:20"/>
        <d v="2024-01-17T12:05:52"/>
        <d v="2024-10-20T05:08:57"/>
        <d v="2025-03-13T12:57:05"/>
        <d v="2024-12-16T00:48:26"/>
        <d v="2024-10-04T13:15:02"/>
        <d v="2025-06-18T10:39:59"/>
        <d v="2025-02-22T00:30:53"/>
        <d v="2023-09-03T03:11:57"/>
        <d v="2024-01-12T07:02:44"/>
        <d v="2024-07-21T21:43:17"/>
        <d v="2023-11-24T13:46:31"/>
        <d v="2024-11-05T00:15:40"/>
        <d v="2023-09-18T21:32:10"/>
        <d v="2025-01-22T16:58:22"/>
        <d v="2024-12-09T20:17:39"/>
        <d v="2024-07-15T17:29:59"/>
        <d v="2024-09-23T02:14:28"/>
        <d v="2024-07-26T10:41:31"/>
        <d v="2025-04-17T06:13:51"/>
        <d v="2023-09-03T12:34:30"/>
        <d v="2025-07-19T05:44:37"/>
        <d v="2023-12-01T15:15:44"/>
        <d v="2024-11-16T05:44:36"/>
        <d v="2024-05-27T17:26:19"/>
        <d v="2024-07-21T09:58:27"/>
        <d v="2024-12-03T18:48:22"/>
        <d v="2024-01-04T22:33:46"/>
        <d v="2023-08-25T19:21:54"/>
        <d v="2023-09-16T05:04:02"/>
        <d v="2023-10-26T04:18:19"/>
        <d v="2024-06-20T17:20:09"/>
        <d v="2024-01-18T15:26:45"/>
        <d v="2025-06-23T13:51:26"/>
        <d v="2025-07-10T14:42:04"/>
        <d v="2024-06-20T08:54:37"/>
        <d v="2024-08-19T13:51:39"/>
        <d v="2023-08-13T06:02:18"/>
        <d v="2023-12-04T13:18:07"/>
        <d v="2024-09-16T06:09:03"/>
        <d v="2024-06-26T16:28:19"/>
        <d v="2025-01-24T01:45:59"/>
        <d v="2024-10-20T16:07:52"/>
        <d v="2024-09-23T00:34:56"/>
        <d v="2025-02-23T14:50:21"/>
        <d v="2025-06-07T12:08:40"/>
        <d v="2025-03-07T21:15:00"/>
        <d v="2024-04-05T18:57:25"/>
        <d v="2025-06-16T19:49:16"/>
        <d v="2025-06-23T15:21:34"/>
        <d v="2023-10-02T03:33:47"/>
        <d v="2025-04-14T19:14:20"/>
        <d v="2024-12-13T14:38:10"/>
        <d v="2023-11-11T08:53:02"/>
        <d v="2025-04-04T22:05:42"/>
        <d v="2024-08-11T00:01:28"/>
        <d v="2025-03-20T18:15:13"/>
        <d v="2023-12-15T02:00:49"/>
        <d v="2023-11-23T18:57:31"/>
        <d v="2024-09-23T04:55:16"/>
        <d v="2024-03-22T02:33:36"/>
        <d v="2024-06-10T02:40:01"/>
        <d v="2025-02-16T18:07:08"/>
        <d v="2025-01-17T03:42:34"/>
        <d v="2025-06-30T01:32:49"/>
        <d v="2025-01-08T12:04:12"/>
        <d v="2024-03-27T04:08:49"/>
        <d v="2024-11-22T12:31:22"/>
        <d v="2024-05-04T11:22:38"/>
        <d v="2025-02-06T23:36:38"/>
        <d v="2024-05-26T18:44:22"/>
        <d v="2025-02-16T19:16:11"/>
        <d v="2025-05-10T20:08:32"/>
        <d v="2023-11-20T10:42:32"/>
        <d v="2024-12-09T01:17:07"/>
        <d v="2023-08-02T18:41:16"/>
        <d v="2024-06-19T21:26:40"/>
        <d v="2025-07-05T04:55:44"/>
        <d v="2023-09-21T16:55:10"/>
        <d v="2024-10-25T04:55:46"/>
        <d v="2023-09-10T22:59:18"/>
        <d v="2025-06-08T12:35:50"/>
        <d v="2024-02-27T17:26:26"/>
        <d v="2023-10-14T07:32:34"/>
        <d v="2024-07-23T13:15:34"/>
        <d v="2025-04-26T11:47:02"/>
        <d v="2023-10-26T15:43:52"/>
        <d v="2025-03-24T14:23:23"/>
        <d v="2023-09-02T21:39:06"/>
        <d v="2023-08-26T08:22:44"/>
        <d v="2024-11-03T14:41:02"/>
        <d v="2023-10-14T20:02:09"/>
        <d v="2024-10-30T06:47:35"/>
        <d v="2025-01-02T17:58:50"/>
        <d v="2023-10-10T09:19:39"/>
        <d v="2024-01-14T02:36:52"/>
        <d v="2024-05-11T12:26:40"/>
        <d v="2023-12-22T16:04:23"/>
        <d v="2023-12-19T08:20:22"/>
        <d v="2024-03-30T05:18:32"/>
        <d v="2024-01-23T07:39:52"/>
        <d v="2025-02-26T18:22:32"/>
        <d v="2024-08-04T11:07:24"/>
        <d v="2023-11-27T12:17:46"/>
        <d v="2025-03-13T07:42:05"/>
        <d v="2024-09-28T10:48:52"/>
        <d v="2024-06-30T04:26:07"/>
        <d v="2025-01-30T06:58:34"/>
        <d v="2024-06-30T09:33:23"/>
        <d v="2025-03-18T05:07:45"/>
        <d v="2023-09-17T14:06:16"/>
        <d v="2023-11-08T10:51:49"/>
        <d v="2025-04-20T16:14:53"/>
        <d v="2024-11-03T02:40:10"/>
        <d v="2024-06-24T00:32:48"/>
        <d v="2024-10-18T13:58:21"/>
        <d v="2023-10-17T14:16:13"/>
        <d v="2024-01-04T14:07:55"/>
        <d v="2025-05-14T14:54:22"/>
        <d v="2024-03-11T01:46:28"/>
        <d v="2024-03-18T19:31:48"/>
        <d v="2025-04-16T19:57:57"/>
        <d v="2025-02-08T08:06:13"/>
        <d v="2024-07-17T21:52:19"/>
        <d v="2023-12-19T03:43:20"/>
        <d v="2023-09-16T09:21:13"/>
        <d v="2024-05-09T19:39:02"/>
        <d v="2024-02-03T13:58:25"/>
        <d v="2025-05-17T12:39:11"/>
        <d v="2024-04-04T09:12:15"/>
        <d v="2024-10-08T16:58:23"/>
        <d v="2024-12-15T08:34:46"/>
        <d v="2025-05-16T11:04:56"/>
        <d v="2023-10-26T19:38:56"/>
        <d v="2025-07-25T12:15:21"/>
        <d v="2024-12-28T18:59:00"/>
        <d v="2024-06-25T00:56:05"/>
        <d v="2024-03-03T14:24:40"/>
        <d v="2024-08-03T23:51:16"/>
        <d v="2025-04-29T20:26:19"/>
        <d v="2024-12-14T04:09:41"/>
        <d v="2024-10-03T04:40:24"/>
        <d v="2024-12-09T03:57:08"/>
        <d v="2025-05-29T09:46:03"/>
        <d v="2024-12-03T06:20:45"/>
        <d v="2025-04-04T23:01:17"/>
        <d v="2025-06-03T20:46:35"/>
        <d v="2024-07-31T18:51:23"/>
        <d v="2024-11-30T21:22:12"/>
        <d v="2024-10-21T02:56:34"/>
        <d v="2023-12-01T11:06:07"/>
        <d v="2025-02-05T02:52:28"/>
        <d v="2025-05-19T17:33:55"/>
        <d v="2025-04-07T13:00:06"/>
        <d v="2024-05-12T09:37:52"/>
        <d v="2025-06-11T14:10:21"/>
        <d v="2023-10-08T23:43:19"/>
        <d v="2024-02-20T05:04:13"/>
        <d v="2023-09-08T13:06:01"/>
        <d v="2024-11-09T05:12:37"/>
        <d v="2023-10-09T01:18:03"/>
        <d v="2025-02-05T02:52:13"/>
        <d v="2025-05-31T08:44:37"/>
        <d v="2023-12-18T23:25:00"/>
        <d v="2023-08-23T05:26:54"/>
        <d v="2024-06-04T16:02:08"/>
        <d v="2024-01-30T06:50:25"/>
        <d v="2024-11-13T20:43:04"/>
        <d v="2023-08-05T01:00:52"/>
        <d v="2024-11-24T04:20:19"/>
        <d v="2024-08-17T16:16:43"/>
        <d v="2024-03-07T15:11:32"/>
        <d v="2024-12-23T12:15:57"/>
        <d v="2024-07-31T03:07:40"/>
        <d v="2025-01-30T05:10:48"/>
        <d v="2023-10-29T23:55:24"/>
        <d v="2023-11-04T22:09:38"/>
        <d v="2023-10-13T03:03:19"/>
        <d v="2024-03-08T16:27:54"/>
        <d v="2024-06-02T00:56:10"/>
        <d v="2025-05-11T23:27:52"/>
        <d v="2023-08-23T07:20:18"/>
        <d v="2024-04-09T05:56:30"/>
        <d v="2023-11-09T07:46:54"/>
        <d v="2025-04-14T11:12:07"/>
        <d v="2024-02-03T08:29:47"/>
        <d v="2024-01-03T02:56:56"/>
        <d v="2025-06-18T14:22:26"/>
        <d v="2024-02-25T09:53:50"/>
        <d v="2023-10-09T22:56:42"/>
        <d v="2023-11-24T07:18:18"/>
        <d v="2025-05-15T12:28:59"/>
        <d v="2024-06-28T02:34:38"/>
        <d v="2024-08-31T12:18:50"/>
        <d v="2025-06-11T20:58:58"/>
        <d v="2024-03-31T17:27:46"/>
        <d v="2025-03-11T03:11:07"/>
        <d v="2024-11-27T09:44:49"/>
        <d v="2025-07-13T23:55:31"/>
        <d v="2023-12-22T15:21:27"/>
        <d v="2025-06-07T21:10:28"/>
        <d v="2024-07-02T19:40:35"/>
        <d v="2023-12-27T01:53:14"/>
        <d v="2025-01-22T12:03:49"/>
        <d v="2025-01-27T14:27:23"/>
        <d v="2024-08-01T02:16:27"/>
        <d v="2024-08-12T10:39:26"/>
        <d v="2024-01-28T00:06:56"/>
        <d v="2024-09-14T05:28:07"/>
        <d v="2024-10-21T14:00:57"/>
        <d v="2024-11-26T12:59:10"/>
        <d v="2024-07-14T02:28:10"/>
        <d v="2023-08-17T00:56:52"/>
        <d v="2025-02-14T22:35:53"/>
        <d v="2024-04-23T22:51:30"/>
        <d v="2024-08-29T04:05:54"/>
        <d v="2025-07-06T23:22:28"/>
        <d v="2024-01-10T13:11:29"/>
        <d v="2023-08-14T23:03:26"/>
        <d v="2024-05-04T04:51:31"/>
        <d v="2023-12-14T13:59:54"/>
        <d v="2025-04-18T13:12:37"/>
        <d v="2024-06-30T08:25:33"/>
        <d v="2023-11-02T14:51:59"/>
        <d v="2024-08-12T15:35:05"/>
        <d v="2025-04-01T12:24:37"/>
        <d v="2025-05-28T14:34:46"/>
        <d v="2023-09-02T11:26:44"/>
        <d v="2023-12-08T15:02:50"/>
        <d v="2025-06-07T07:15:44"/>
        <d v="2023-11-30T20:22:38"/>
        <d v="2025-01-31T22:12:01"/>
        <d v="2024-06-18T19:13:02"/>
        <d v="2024-02-07T10:06:05"/>
        <d v="2024-12-29T09:29:19"/>
        <d v="2025-03-07T21:51:39"/>
        <d v="2024-06-23T10:33:01"/>
        <d v="2025-04-14T15:07:48"/>
        <d v="2025-07-13T22:12:46"/>
        <d v="2025-05-23T22:47:19"/>
        <d v="2023-08-23T23:53:59"/>
        <d v="2025-03-21T01:44:59"/>
        <d v="2023-09-23T22:09:57"/>
        <d v="2024-04-01T09:27:40"/>
        <d v="2025-02-11T07:45:53"/>
        <d v="2025-06-14T07:08:56"/>
        <d v="2025-04-10T14:45:16"/>
        <d v="2024-02-04T07:58:41"/>
        <d v="2024-11-30T11:04:53"/>
        <d v="2024-06-25T21:32:28"/>
        <d v="2024-01-14T16:57:00"/>
        <d v="2024-08-27T17:36:39"/>
        <d v="2025-02-03T05:53:09"/>
        <d v="2025-01-29T02:22:14"/>
        <d v="2023-10-31T13:50:31"/>
        <d v="2024-03-24T17:17:05"/>
        <d v="2024-04-27T16:21:57"/>
        <d v="2024-11-28T03:38:36"/>
        <d v="2024-10-21T22:26:45"/>
        <d v="2024-10-16T19:12:15"/>
        <d v="2025-03-05T20:30:16"/>
        <d v="2025-05-13T11:37:59"/>
        <d v="2023-10-09T11:52:34"/>
        <d v="2023-10-16T13:48:15"/>
        <d v="2024-06-16T12:39:12"/>
        <d v="2024-05-18T13:09:04"/>
        <d v="2023-08-23T07:56:01"/>
        <d v="2024-02-08T04:44:36"/>
        <d v="2024-12-18T22:52:04"/>
        <d v="2025-03-30T07:03:22"/>
        <d v="2024-06-25T00:23:48"/>
        <d v="2024-03-12T13:04:45"/>
        <d v="2025-02-14T01:26:00"/>
        <d v="2025-06-13T01:23:28"/>
        <d v="2024-11-17T00:36:14"/>
        <d v="2023-08-02T11:14:49"/>
        <d v="2025-01-03T12:51:13"/>
        <d v="2025-07-16T13:11:42"/>
        <d v="2023-12-27T15:06:54"/>
        <d v="2025-04-19T19:01:01"/>
        <d v="2024-01-29T19:57:47"/>
        <d v="2023-08-29T11:00:23"/>
        <d v="2025-07-03T10:19:19"/>
        <d v="2023-08-06T10:05:31"/>
        <d v="2023-10-26T01:16:18"/>
        <d v="2024-08-23T11:49:28"/>
        <d v="2024-10-02T11:06:00"/>
        <d v="2025-01-03T23:20:20"/>
        <d v="2023-12-15T05:10:24"/>
        <d v="2025-01-10T13:52:48"/>
        <d v="2023-08-02T09:31:18"/>
        <d v="2025-05-25T02:10:44"/>
        <d v="2025-05-17T16:44:45"/>
        <d v="2024-04-16T20:26:50"/>
        <d v="2025-04-19T05:11:34"/>
        <d v="2025-01-17T11:12:10"/>
        <d v="2025-07-13T03:06:30"/>
        <d v="2023-12-06T15:14:14"/>
        <d v="2024-11-03T02:39:09"/>
        <d v="2025-05-14T17:16:32"/>
        <d v="2023-10-23T15:22:26"/>
        <d v="2024-04-21T14:05:15"/>
        <d v="2024-09-07T12:31:24"/>
        <d v="2025-03-25T10:05:48"/>
        <d v="2025-03-16T08:54:30"/>
        <d v="2024-10-23T13:11:57"/>
        <d v="2023-09-17T00:21:54"/>
        <d v="2024-06-28T09:32:52"/>
        <d v="2023-08-10T10:09:15"/>
        <d v="2024-11-03T09:17:02"/>
        <d v="2023-11-06T17:32:46"/>
        <d v="2024-12-19T01:44:23"/>
        <d v="2024-03-29T14:02:52"/>
        <d v="2023-08-07T03:44:06"/>
        <d v="2024-12-23T17:03:46"/>
        <d v="2023-09-14T09:33:25"/>
        <d v="2025-04-28T03:46:16"/>
        <d v="2024-06-23T16:52:06"/>
        <d v="2024-01-03T12:16:53"/>
        <d v="2024-11-08T17:27:29"/>
        <d v="2025-05-23T15:40:17"/>
        <d v="2024-04-17T14:14:36"/>
        <d v="2024-05-04T20:34:10"/>
        <d v="2023-10-29T08:21:45"/>
        <d v="2024-07-07T22:52:51"/>
        <d v="2025-07-09T19:12:11"/>
        <d v="2023-09-03T23:31:25"/>
        <d v="2024-02-07T22:11:05"/>
        <d v="2023-08-17T13:43:08"/>
        <d v="2025-07-08T04:48:19"/>
        <d v="2025-05-07T16:21:01"/>
        <d v="2023-09-20T15:48:14"/>
        <d v="2025-06-16T12:13:48"/>
        <d v="2023-12-27T18:16:36"/>
        <d v="2025-05-25T12:54:34"/>
        <d v="2024-09-12T00:39:18"/>
        <d v="2024-10-01T12:06:40"/>
        <d v="2025-03-06T16:20:32"/>
        <d v="2024-07-11T03:15:29"/>
        <d v="2024-01-26T15:53:58"/>
        <d v="2023-08-20T01:51:33"/>
        <d v="2024-01-29T11:14:51"/>
        <d v="2024-01-24T18:29:22"/>
        <d v="2024-02-11T01:51:25"/>
        <d v="2023-12-26T22:54:40"/>
        <d v="2025-05-25T23:25:08"/>
        <d v="2025-06-03T02:32:11"/>
        <d v="2024-01-24T03:17:29"/>
        <d v="2024-08-03T09:14:55"/>
        <d v="2024-10-29T19:37:10"/>
        <d v="2025-02-12T01:38:51"/>
        <d v="2025-04-06T23:26:31"/>
        <d v="2025-05-18T19:57:52"/>
        <d v="2025-03-21T01:21:43"/>
        <d v="2024-01-10T16:01:17"/>
        <d v="2025-05-24T09:06:34"/>
        <d v="2024-05-17T21:59:45"/>
        <d v="2024-04-10T03:38:28"/>
        <d v="2023-08-21T17:23:04"/>
        <d v="2024-09-11T04:31:22"/>
        <d v="2023-09-14T12:05:00"/>
        <d v="2024-05-29T00:25:54"/>
        <d v="2025-06-06T23:25:31"/>
        <d v="2024-07-01T13:52:59"/>
        <d v="2023-12-02T04:58:32"/>
        <d v="2025-06-15T03:59:54"/>
        <d v="2025-01-25T19:55:30"/>
        <d v="2024-05-30T15:31:53"/>
        <d v="2024-06-18T06:13:22"/>
        <d v="2025-06-07T01:06:46"/>
        <d v="2025-06-16T09:06:42"/>
        <d v="2024-03-14T14:17:41"/>
        <d v="2025-01-24T01:33:42"/>
        <d v="2025-07-06T17:09:15"/>
        <d v="2025-03-14T15:11:35"/>
        <d v="2024-05-13T06:44:33"/>
        <d v="2024-08-26T15:40:47"/>
        <d v="2024-06-14T09:49:24"/>
        <d v="2024-02-13T04:59:23"/>
        <d v="2023-09-04T13:08:18"/>
        <d v="2023-09-26T17:32:29"/>
        <d v="2023-11-14T21:15:39"/>
        <d v="2024-08-11T09:38:44"/>
        <d v="2023-10-03T23:53:47"/>
        <d v="2024-02-29T02:52:12"/>
        <d v="2024-05-05T00:18:14"/>
        <d v="2025-02-05T18:41:19"/>
        <d v="2024-01-15T18:42:51"/>
        <d v="2023-08-12T04:29:45"/>
        <d v="2025-01-10T00:26:34"/>
        <d v="2024-01-19T04:45:40"/>
        <d v="2024-06-08T05:30:07"/>
        <d v="2023-08-10T04:25:39"/>
        <d v="2024-07-22T05:16:54"/>
        <d v="2024-12-23T22:22:25"/>
        <d v="2023-09-04T00:09:35"/>
        <d v="2024-06-15T04:28:44"/>
        <d v="2025-03-22T01:08:10"/>
        <d v="2023-08-14T14:04:33"/>
        <d v="2024-07-14T13:23:48"/>
        <d v="2023-09-16T10:07:28"/>
        <d v="2024-08-22T06:00:50"/>
        <d v="2024-09-22T18:34:42"/>
        <d v="2025-04-14T09:13:23"/>
        <d v="2024-11-15T04:11:53"/>
        <d v="2024-02-07T02:48:38"/>
        <d v="2025-02-15T06:47:00"/>
        <d v="2024-05-22T09:11:06"/>
        <d v="2023-09-25T04:58:59"/>
        <d v="2025-07-16T17:00:30"/>
        <d v="2025-07-24T21:13:58"/>
        <d v="2023-12-29T17:45:16"/>
        <d v="2024-05-12T20:27:40"/>
        <d v="2025-01-07T06:33:56"/>
        <d v="2024-02-19T20:38:09"/>
        <d v="2025-05-06T08:43:53"/>
        <d v="2025-04-25T23:40:46"/>
        <d v="2023-10-15T02:52:43"/>
        <d v="2024-09-11T15:04:45"/>
        <d v="2025-02-20T05:58:34"/>
        <d v="2023-12-15T21:26:13"/>
        <d v="2025-01-28T17:28:10"/>
        <d v="2024-08-12T17:33:36"/>
        <d v="2023-10-25T12:04:06"/>
        <d v="2025-04-24T10:02:39"/>
        <d v="2024-01-03T22:53:15"/>
        <d v="2023-08-23T22:06:18"/>
        <d v="2024-04-23T08:30:20"/>
        <d v="2024-05-07T10:31:57"/>
        <d v="2024-06-07T23:19:45"/>
        <d v="2023-08-20T19:47:47"/>
        <d v="2025-06-05T20:30:40"/>
        <d v="2025-01-25T00:18:57"/>
        <d v="2024-05-13T01:06:34"/>
        <d v="2024-09-03T19:46:16"/>
        <d v="2025-02-22T09:37:39"/>
        <d v="2024-09-30T02:27:27"/>
        <d v="2025-06-27T03:20:44"/>
        <d v="2024-08-09T09:21:06"/>
        <d v="2024-02-03T23:48:36"/>
        <d v="2023-12-11T06:10:48"/>
        <d v="2023-10-21T19:10:33"/>
        <d v="2023-12-03T08:04:50"/>
        <d v="2025-03-18T02:06:37"/>
        <d v="2025-02-09T11:28:19"/>
        <d v="2025-06-27T23:53:38"/>
        <d v="2024-12-29T18:27:26"/>
        <d v="2024-12-04T23:16:22"/>
        <d v="2023-10-10T03:02:06"/>
        <d v="2025-06-08T03:13:46"/>
        <d v="2025-03-18T02:38:34"/>
        <d v="2024-12-13T01:51:28"/>
        <d v="2025-07-07T19:49:24"/>
        <d v="2024-11-02T20:29:44"/>
        <d v="2024-11-10T04:02:39"/>
        <d v="2023-10-22T15:59:03"/>
        <d v="2024-09-21T23:35:10"/>
        <d v="2023-11-04T18:36:52"/>
        <d v="2024-08-06T08:54:54"/>
        <d v="2025-07-26T16:10:13"/>
        <d v="2025-07-17T21:59:17"/>
        <d v="2025-01-22T18:28:26"/>
        <d v="2024-06-01T17:31:45"/>
        <d v="2024-04-08T02:02:16"/>
        <d v="2025-06-03T09:47:37"/>
        <d v="2024-07-21T06:06:09"/>
        <d v="2024-10-22T04:04:21"/>
        <d v="2025-01-22T10:37:47"/>
        <d v="2025-06-27T18:26:09"/>
        <d v="2024-01-17T07:26:13"/>
        <d v="2025-02-22T00:24:58"/>
        <d v="2024-05-08T05:27:23"/>
        <d v="2023-10-19T01:31:26"/>
        <d v="2024-05-19T08:35:14"/>
        <d v="2025-07-20T02:41:47"/>
        <d v="2024-05-03T01:38:31"/>
        <d v="2023-09-10T15:13:47"/>
        <d v="2024-12-17T19:46:48"/>
        <d v="2023-11-24T06:35:34"/>
        <d v="2024-02-07T04:13:42"/>
        <d v="2024-02-03T22:56:56"/>
        <d v="2024-03-22T23:37:18"/>
        <d v="2024-05-25T02:36:34"/>
        <d v="2024-03-19T14:58:28"/>
        <d v="2023-10-17T02:47:52"/>
        <d v="2025-04-13T15:43:19"/>
        <d v="2023-08-31T06:45:36"/>
        <d v="2024-01-08T01:28:57"/>
        <d v="2024-04-30T09:01:03"/>
        <d v="2024-11-26T05:49:44"/>
        <d v="2024-09-30T22:59:58"/>
        <d v="2025-04-30T00:12:45"/>
        <d v="2025-04-03T18:26:16"/>
        <d v="2023-08-21T00:04:24"/>
        <d v="2023-09-30T02:14:30"/>
        <d v="2024-09-16T16:24:02"/>
        <d v="2024-06-11T20:01:51"/>
        <d v="2024-12-10T02:51:07"/>
        <d v="2025-07-07T02:38:28"/>
        <d v="2024-03-06T21:52:42"/>
        <d v="2024-11-14T17:04:59"/>
        <d v="2023-12-11T12:02:28"/>
        <d v="2025-01-30T20:32:19"/>
        <d v="2024-10-20T17:45:33"/>
        <d v="2025-02-28T07:14:07"/>
        <d v="2025-07-22T21:52:25"/>
        <d v="2024-06-25T04:42:22"/>
        <d v="2025-07-25T03:02:47"/>
        <d v="2024-08-07T10:30:48"/>
        <d v="2025-01-14T00:40:32"/>
        <d v="2025-01-23T22:32:28"/>
        <d v="2023-08-11T16:11:53"/>
        <d v="2025-07-08T09:13:54"/>
        <d v="2025-02-05T13:59:14"/>
        <d v="2025-03-05T03:54:07"/>
        <d v="2025-02-24T20:43:22"/>
        <d v="2025-01-13T05:13:07"/>
        <d v="2024-02-10T21:02:23"/>
        <d v="2024-01-16T18:53:10"/>
        <d v="2025-05-03T05:45:09"/>
        <d v="2025-06-24T02:22:15"/>
        <d v="2023-09-14T12:53:43"/>
        <d v="2024-05-09T23:46:15"/>
        <d v="2024-06-22T22:51:51"/>
        <d v="2024-08-19T19:07:41"/>
        <d v="2024-04-09T05:25:27"/>
        <d v="2024-08-24T16:24:02"/>
        <d v="2023-11-10T22:52:53"/>
        <d v="2025-04-07T14:19:09"/>
        <d v="2023-11-29T16:35:29"/>
        <d v="2023-08-11T11:30:48"/>
        <d v="2023-09-10T07:10:17"/>
        <d v="2024-06-29T14:36:56"/>
        <d v="2023-12-24T00:24:21"/>
        <d v="2023-08-30T16:16:50"/>
        <d v="2025-07-22T12:43:36"/>
        <d v="2023-08-14T14:18:35"/>
        <d v="2023-10-10T12:14:16"/>
        <d v="2024-06-12T05:38:54"/>
        <d v="2025-01-25T16:59:08"/>
        <d v="2023-12-20T01:10:28"/>
        <d v="2023-09-10T08:51:50"/>
        <d v="2024-01-12T12:37:35"/>
        <d v="2024-03-05T11:37:38"/>
        <d v="2024-06-30T13:46:37"/>
        <d v="2024-08-16T11:19:11"/>
        <d v="2024-03-24T06:41:55"/>
        <d v="2024-05-06T22:33:59"/>
        <d v="2023-12-28T17:30:28"/>
        <d v="2025-03-13T22:55:24"/>
        <d v="2025-02-10T17:11:43"/>
        <d v="2023-11-08T04:02:19"/>
        <d v="2024-10-01T11:03:42"/>
        <d v="2025-06-23T09:27:30"/>
        <d v="2024-04-26T15:57:24"/>
        <d v="2024-12-02T02:36:23"/>
        <d v="2025-07-08T08:32:16"/>
        <d v="2023-12-26T14:29:39"/>
        <d v="2024-06-07T05:26:41"/>
        <d v="2024-01-08T14:25:57"/>
        <d v="2025-06-17T04:37:21"/>
        <d v="2024-02-26T22:20:58"/>
        <d v="2025-06-28T15:16:15"/>
        <d v="2024-04-09T00:42:58"/>
        <d v="2024-07-12T08:09:48"/>
        <d v="2025-03-05T18:22:20"/>
        <d v="2024-05-20T09:10:53"/>
        <d v="2023-10-25T08:17:21"/>
        <d v="2023-11-11T13:04:28"/>
        <d v="2024-02-24T18:33:25"/>
        <d v="2025-04-07T08:29:35"/>
        <d v="2024-09-25T03:35:28"/>
        <d v="2025-05-24T04:56:07"/>
        <d v="2024-03-18T08:41:06"/>
        <d v="2025-06-19T09:49:56"/>
        <d v="2025-01-15T07:19:48"/>
        <d v="2024-08-16T21:16:43"/>
        <d v="2024-01-22T06:28:50"/>
        <d v="2024-05-04T09:46:50"/>
        <d v="2023-10-31T19:18:02"/>
        <d v="2025-06-26T12:01:15"/>
        <d v="2024-05-13T13:50:03"/>
        <d v="2025-04-04T14:25:21"/>
        <d v="2025-03-19T00:58:32"/>
        <d v="2024-04-04T21:33:22"/>
        <d v="2024-01-05T18:29:10"/>
        <d v="2025-07-09T23:46:22"/>
        <d v="2024-01-11T13:30:28"/>
        <d v="2025-03-03T02:04:53"/>
        <d v="2023-08-10T13:40:47"/>
        <d v="2023-11-25T04:00:35"/>
        <d v="2024-07-30T18:07:40"/>
        <d v="2025-03-03T22:48:22"/>
        <d v="2024-08-24T16:39:32"/>
        <d v="2024-06-24T22:51:52"/>
        <d v="2023-10-11T06:53:58"/>
        <d v="2023-10-24T01:49:03"/>
        <d v="2024-05-08T14:19:37"/>
        <d v="2023-08-26T00:26:21"/>
        <d v="2023-10-05T22:19:37"/>
        <d v="2023-09-04T17:36:02"/>
        <d v="2023-09-05T08:37:37"/>
        <d v="2024-04-14T05:17:50"/>
        <d v="2023-10-18T07:54:31"/>
        <d v="2023-08-19T06:36:17"/>
        <d v="2024-08-05T08:07:39"/>
        <d v="2024-03-13T05:17:45"/>
        <d v="2025-01-11T21:27:05"/>
        <d v="2025-06-18T10:28:29"/>
        <d v="2024-08-24T11:57:05"/>
        <d v="2025-07-23T09:46:13"/>
        <d v="2024-07-13T10:42:51"/>
        <d v="2023-10-15T12:51:31"/>
        <d v="2025-03-18T02:16:07"/>
        <d v="2025-06-04T17:04:42"/>
        <d v="2023-10-12T23:29:26"/>
        <d v="2023-10-09T04:25:56"/>
        <d v="2025-02-02T20:38:54"/>
        <d v="2024-02-17T05:30:18"/>
        <d v="2025-03-15T15:09:28"/>
        <d v="2024-12-12T23:37:31"/>
        <d v="2024-07-24T22:34:32"/>
        <d v="2024-04-27T21:45:13"/>
        <d v="2024-12-11T21:51:26"/>
        <d v="2023-10-24T15:12:18"/>
        <d v="2025-02-19T06:24:41"/>
        <d v="2025-03-19T13:40:29"/>
        <d v="2024-06-07T17:57:45"/>
        <d v="2024-04-03T07:41:49"/>
        <d v="2024-01-13T00:53:08"/>
        <d v="2023-10-28T16:16:40"/>
        <d v="2023-08-30T14:42:47"/>
        <d v="2024-07-30T21:54:31"/>
        <d v="2024-04-05T13:47:23"/>
        <d v="2024-11-09T17:58:25"/>
        <d v="2023-09-18T08:18:13"/>
        <d v="2024-08-02T14:04:26"/>
        <d v="2024-07-16T12:10:28"/>
        <d v="2024-01-14T04:16:59"/>
        <d v="2023-12-21T20:32:47"/>
        <d v="2025-05-01T03:12:11"/>
        <d v="2025-03-31T02:36:20"/>
        <d v="2023-09-30T07:32:17"/>
        <d v="2024-07-14T21:10:18"/>
        <d v="2024-08-22T13:32:54"/>
        <d v="2024-07-04T10:23:57"/>
        <d v="2025-05-18T06:43:40"/>
        <d v="2025-05-12T04:15:40"/>
        <d v="2025-03-06T18:16:51"/>
        <d v="2023-10-17T07:39:35"/>
        <d v="2024-08-25T20:25:02"/>
        <d v="2024-12-31T12:05:51"/>
        <d v="2024-01-12T10:38:33"/>
        <d v="2024-10-02T07:25:21"/>
        <d v="2023-12-30T18:35:08"/>
        <d v="2024-04-29T04:59:28"/>
        <d v="2025-07-06T03:18:19"/>
        <d v="2023-08-06T18:50:54"/>
        <d v="2024-08-29T02:41:52"/>
        <d v="2024-12-13T10:12:20"/>
        <d v="2025-04-14T06:58:59"/>
        <d v="2024-04-03T23:21:26"/>
        <d v="2024-07-05T14:50:06"/>
        <d v="2025-02-02T08:54:04"/>
        <d v="2023-10-31T19:42:22"/>
        <d v="2025-04-01T01:08:29"/>
        <d v="2025-04-18T18:27:52"/>
        <d v="2024-12-24T22:31:58"/>
        <d v="2023-10-04T07:37:40"/>
        <d v="2024-12-08T17:28:00"/>
        <d v="2023-10-26T00:59:31"/>
        <d v="2023-10-23T01:07:55"/>
        <d v="2024-02-20T09:00:47"/>
        <d v="2023-09-29T23:34:22"/>
        <d v="2025-07-09T19:23:46"/>
        <d v="2024-04-23T03:31:42"/>
        <d v="2024-11-19T18:57:40"/>
        <d v="2023-08-04T18:33:24"/>
        <d v="2025-02-26T23:18:34"/>
        <d v="2024-07-28T15:24:18"/>
        <d v="2024-07-04T13:51:47"/>
        <d v="2025-07-17T06:53:36"/>
        <d v="2023-10-19T19:10:22"/>
        <d v="2024-03-29T21:26:47"/>
        <d v="2025-02-11T17:15:32"/>
        <d v="2024-06-14T04:27:30"/>
        <d v="2024-04-30T11:33:24"/>
        <d v="2023-09-26T07:11:33"/>
        <d v="2024-05-15T18:59:43"/>
        <d v="2023-11-03T20:58:59"/>
        <d v="2024-12-14T20:25:36"/>
        <d v="2024-04-03T16:59:18"/>
        <d v="2023-12-31T23:43:20"/>
        <d v="2024-06-08T18:00:57"/>
        <d v="2025-07-13T22:28:54"/>
        <d v="2024-04-18T22:28:53"/>
        <d v="2023-09-23T19:47:49"/>
        <d v="2025-05-06T10:36:28"/>
        <d v="2024-03-01T05:21:52"/>
        <d v="2023-08-08T22:52:28"/>
        <d v="2024-04-07T15:36:26"/>
        <d v="2024-01-23T16:23:07"/>
        <d v="2023-12-27T08:33:12"/>
        <d v="2025-01-24T13:08:06"/>
        <d v="2024-10-27T01:26:04"/>
        <d v="2023-10-04T04:28:32"/>
        <d v="2025-05-10T20:42:43"/>
        <d v="2025-01-21T16:09:59"/>
        <d v="2024-08-19T01:11:53"/>
        <d v="2024-07-18T12:39:41"/>
        <d v="2025-05-20T09:20:46"/>
        <d v="2025-06-25T08:16:27"/>
        <d v="2024-02-24T01:47:00"/>
        <d v="2024-12-26T23:31:07"/>
        <d v="2024-04-30T06:01:45"/>
        <d v="2025-07-20T20:15:49"/>
        <d v="2025-01-10T22:49:52"/>
        <d v="2023-10-26T03:48:43"/>
        <d v="2023-09-11T03:38:18"/>
        <d v="2024-02-23T15:00:02"/>
        <d v="2024-09-17T04:43:58"/>
        <d v="2025-05-01T22:49:54"/>
        <d v="2024-08-19T11:44:50"/>
        <d v="2025-04-02T04:06:13"/>
        <d v="2023-11-19T01:02:58"/>
        <d v="2024-06-28T06:07:59"/>
        <d v="2024-08-14T03:47:13"/>
        <d v="2024-01-25T04:40:09"/>
        <d v="2023-12-08T19:51:53"/>
        <d v="2025-03-25T00:54:29"/>
        <d v="2024-03-24T11:16:35"/>
        <d v="2024-07-17T10:27:32"/>
        <d v="2024-09-27T17:56:41"/>
        <d v="2025-03-24T11:17:42"/>
        <d v="2023-10-27T11:05:50"/>
        <d v="2024-06-30T10:17:27"/>
        <d v="2025-05-09T19:09:49"/>
        <d v="2025-07-21T01:57:18"/>
        <d v="2024-07-28T01:51:58"/>
        <d v="2023-09-01T16:29:58"/>
        <d v="2025-05-03T00:57:57"/>
        <d v="2023-09-11T04:40:23"/>
        <d v="2023-08-04T19:58:03"/>
        <d v="2024-12-25T17:05:32"/>
        <d v="2024-02-12T04:08:17"/>
        <d v="2025-06-13T09:38:44"/>
        <d v="2024-12-29T15:39:14"/>
        <d v="2023-11-29T07:10:40"/>
        <d v="2024-06-05T21:05:43"/>
        <d v="2025-07-15T14:44:25"/>
        <d v="2025-07-20T23:49:22"/>
        <d v="2024-09-27T20:05:59"/>
        <d v="2025-03-30T14:10:42"/>
        <d v="2024-05-04T14:27:40"/>
        <d v="2024-06-28T01:24:35"/>
        <d v="2024-06-14T12:51:13"/>
        <d v="2025-07-09T16:23:53"/>
        <d v="2025-03-18T10:42:06"/>
        <d v="2025-03-09T23:15:51"/>
        <d v="2025-04-02T20:57:48"/>
        <d v="2024-09-01T17:18:19"/>
        <d v="2025-06-10T10:35:57"/>
        <d v="2025-05-13T16:51:50"/>
        <d v="2023-09-12T08:37:31"/>
        <d v="2025-01-06T16:40:51"/>
        <d v="2024-03-21T14:06:57"/>
        <d v="2025-02-09T10:51:28"/>
        <d v="2024-11-27T07:01:00"/>
        <d v="2023-10-28T23:24:24"/>
        <d v="2023-11-27T17:37:01"/>
        <d v="2024-09-07T15:16:24"/>
        <d v="2024-01-06T13:23:18"/>
        <d v="2023-08-20T00:42:24"/>
        <d v="2024-05-30T08:30:48"/>
        <d v="2024-03-20T20:03:45"/>
        <d v="2024-12-23T13:07:16"/>
        <d v="2024-09-01T04:24:33"/>
        <d v="2024-01-03T11:53:33"/>
        <d v="2024-03-13T03:44:42"/>
        <d v="2024-10-31T04:25:52"/>
        <d v="2024-12-31T11:54:08"/>
        <d v="2025-05-26T15:05:04"/>
        <d v="2024-04-27T19:49:01"/>
        <d v="2024-05-30T06:50:37"/>
        <d v="2023-12-14T09:56:10"/>
        <d v="2024-04-30T04:21:17"/>
        <d v="2024-04-20T09:55:21"/>
        <d v="2024-03-04T01:42:53"/>
        <d v="2025-07-18T03:56:11"/>
        <d v="2025-07-12T11:32:21"/>
        <d v="2024-05-19T07:58:15"/>
        <d v="2025-02-16T11:01:25"/>
        <d v="2025-07-17T07:24:35"/>
        <d v="2024-11-18T03:47:20"/>
        <d v="2025-04-24T00:06:49"/>
        <d v="2023-10-06T16:34:33"/>
        <d v="2024-04-21T12:23:52"/>
        <d v="2024-08-20T06:27:35"/>
        <d v="2025-06-08T12:35:10"/>
        <d v="2023-09-27T23:01:30"/>
        <d v="2024-02-04T09:04:15"/>
        <d v="2024-12-28T02:33:36"/>
        <d v="2024-08-18T05:36:46"/>
        <d v="2025-07-03T06:53:50"/>
        <d v="2024-04-25T12:06:26"/>
        <d v="2024-01-22T19:57:01"/>
        <d v="2025-01-26T14:57:45"/>
        <d v="2025-03-03T11:02:07"/>
        <d v="2024-10-15T02:16:20"/>
        <d v="2025-06-09T03:44:48"/>
        <d v="2024-04-28T11:21:09"/>
        <d v="2025-07-29T17:33:57"/>
        <d v="2024-08-19T07:13:42"/>
        <d v="2025-06-30T06:13:27"/>
        <d v="2024-03-05T04:37:39"/>
        <d v="2025-07-09T06:54:29"/>
        <d v="2024-01-26T22:34:47"/>
        <d v="2024-01-11T14:06:33"/>
        <d v="2025-02-13T22:23:40"/>
        <d v="2024-01-30T11:45:28"/>
        <d v="2023-09-16T06:20:27"/>
        <d v="2024-12-25T19:52:21"/>
        <d v="2025-07-29T10:13:11"/>
        <d v="2024-06-25T01:56:09"/>
        <d v="2025-05-11T05:14:39"/>
        <d v="2024-07-10T14:16:19"/>
        <d v="2024-07-07T13:34:55"/>
        <d v="2023-09-19T14:56:08"/>
        <d v="2024-02-17T06:40:36"/>
        <d v="2024-02-18T11:16:11"/>
        <d v="2024-01-24T12:28:28"/>
        <d v="2023-11-22T23:31:34"/>
        <d v="2023-09-04T14:57:48"/>
        <d v="2024-04-28T12:30:42"/>
        <d v="2024-08-28T15:05:12"/>
        <d v="2024-08-31T19:28:16"/>
        <d v="2024-01-06T08:41:44"/>
        <d v="2024-05-15T07:43:07"/>
        <d v="2023-10-22T09:23:18"/>
        <d v="2025-04-19T11:55:41"/>
        <d v="2025-02-06T19:57:38"/>
        <d v="2025-03-31T09:57:53"/>
        <d v="2024-12-24T21:24:55"/>
        <d v="2024-07-08T10:14:20"/>
        <d v="2023-12-30T08:34:54"/>
        <d v="2025-07-08T12:38:43"/>
        <d v="2024-02-05T16:17:38"/>
        <d v="2025-06-14T13:41:42"/>
        <d v="2024-08-18T17:38:19"/>
        <d v="2024-05-02T02:58:21"/>
        <d v="2025-01-23T04:46:16"/>
        <d v="2025-02-03T21:24:47"/>
        <d v="2024-04-18T11:38:24"/>
        <d v="2025-02-12T23:57:48"/>
        <d v="2024-09-11T19:23:51"/>
        <d v="2025-06-16T05:54:41"/>
        <d v="2024-06-30T06:52:55"/>
        <d v="2024-10-20T14:25:28"/>
        <d v="2024-01-21T13:54:23"/>
        <d v="2025-07-30T09:07:35"/>
        <d v="2024-09-21T16:33:29"/>
        <d v="2025-06-02T08:34:40"/>
        <d v="2025-02-19T03:43:12"/>
        <d v="2024-07-18T02:15:40"/>
        <d v="2025-07-25T01:40:40"/>
        <d v="2024-04-03T12:12:52"/>
        <d v="2023-11-26T11:59:46"/>
        <d v="2023-12-18T17:43:15"/>
        <d v="2025-06-10T12:59:21"/>
        <d v="2024-08-15T15:28:42"/>
        <d v="2024-11-07T05:39:47"/>
        <d v="2024-08-08T10:48:18"/>
        <d v="2024-01-17T22:14:22"/>
        <d v="2024-06-21T18:52:41"/>
        <d v="2024-02-09T00:52:44"/>
        <d v="2023-10-29T20:06:16"/>
        <d v="2024-04-04T13:54:59"/>
        <d v="2024-04-26T20:24:46"/>
        <d v="2025-01-29T07:51:12"/>
        <d v="2025-05-14T10:03:57"/>
        <d v="2025-01-15T15:49:26"/>
        <d v="2024-03-13T20:24:40"/>
        <d v="2024-01-14T22:56:53"/>
        <d v="2024-10-10T14:18:52"/>
        <d v="2025-04-27T15:28:58"/>
        <d v="2024-07-13T13:37:29"/>
        <d v="2024-10-18T13:21:29"/>
        <d v="2024-01-08T00:56:25"/>
        <d v="2024-11-19T05:53:35"/>
        <d v="2023-11-09T05:49:37"/>
        <d v="2023-08-16T08:24:45"/>
        <d v="2025-04-15T03:08:19"/>
        <d v="2025-03-29T01:24:50"/>
        <d v="2025-07-09T10:15:05"/>
        <d v="2023-09-19T04:08:52"/>
        <d v="2024-09-06T17:23:48"/>
        <d v="2024-09-19T19:00:45"/>
        <d v="2025-05-12T21:18:33"/>
        <d v="2025-05-29T15:28:25"/>
        <d v="2025-07-31T00:12:21"/>
        <d v="2025-05-18T14:00:17"/>
        <d v="2023-10-19T12:12:12"/>
        <d v="2025-04-06T12:47:23"/>
        <d v="2023-11-30T18:45:17"/>
        <d v="2023-08-19T17:01:34"/>
        <d v="2024-12-21T20:18:28"/>
        <d v="2025-04-27T11:13:10"/>
        <d v="2025-05-31T09:37:09"/>
        <d v="2025-02-27T17:06:53"/>
        <d v="2023-10-14T02:23:02"/>
        <d v="2024-02-06T21:00:53"/>
        <d v="2024-08-20T22:28:49"/>
        <d v="2024-05-16T09:24:44"/>
        <d v="2024-06-09T01:10:46"/>
        <d v="2024-02-25T03:39:42"/>
        <d v="2025-03-09T08:00:20"/>
        <d v="2025-02-20T06:28:52"/>
        <d v="2024-06-26T12:44:22"/>
        <d v="2025-06-14T13:41:02"/>
        <d v="2024-09-09T16:48:49"/>
        <d v="2024-10-11T19:15:57"/>
        <d v="2025-05-23T22:53:41"/>
        <d v="2024-11-04T14:30:46"/>
        <d v="2024-04-29T01:59:31"/>
        <d v="2025-06-16T23:47:20"/>
        <d v="2024-01-15T23:50:24"/>
        <d v="2024-02-21T02:35:27"/>
        <d v="2024-04-08T00:32:00"/>
        <d v="2023-11-15T06:28:34"/>
        <d v="2024-06-26T07:12:58"/>
        <d v="2025-01-14T05:15:23"/>
        <d v="2025-06-29T17:51:37"/>
        <d v="2023-12-17T03:28:13"/>
        <d v="2024-02-28T22:41:10"/>
        <d v="2024-12-11T06:45:00"/>
        <d v="2023-09-03T23:45:28"/>
        <d v="2024-02-29T20:02:57"/>
        <d v="2024-10-18T07:18:14"/>
        <d v="2024-09-26T11:31:47"/>
        <d v="2024-12-21T17:07:30"/>
        <d v="2024-04-15T06:24:12"/>
        <d v="2024-02-23T23:31:57"/>
        <d v="2024-07-10T06:37:57"/>
        <d v="2024-11-15T12:52:54"/>
        <d v="2024-06-13T18:04:47"/>
        <d v="2024-05-17T18:48:56"/>
        <d v="2025-06-12T05:14:30"/>
        <d v="2024-10-12T18:11:12"/>
        <d v="2024-12-14T15:32:24"/>
        <d v="2024-01-09T00:10:12"/>
        <d v="2025-06-06T02:32:51"/>
        <d v="2024-06-23T04:41:19"/>
        <d v="2024-04-18T09:05:47"/>
        <d v="2023-12-24T05:05:24"/>
        <d v="2023-12-05T06:52:38"/>
        <d v="2023-12-23T11:21:57"/>
        <d v="2024-07-06T20:47:38"/>
        <d v="2024-03-21T00:42:52"/>
        <d v="2025-03-15T15:39:15"/>
        <d v="2024-06-22T20:49:34"/>
        <d v="2024-10-22T10:14:06"/>
        <d v="2024-12-24T10:25:58"/>
        <d v="2025-06-16T16:32:52"/>
        <d v="2024-03-26T17:47:34"/>
        <d v="2024-01-31T07:51:34"/>
        <d v="2025-01-15T07:42:20"/>
        <d v="2025-07-09T21:31:11"/>
        <d v="2025-05-07T14:30:35"/>
        <d v="2024-04-10T22:53:06"/>
        <d v="2024-11-06T12:49:32"/>
        <d v="2023-09-25T12:51:29"/>
        <d v="2025-01-02T04:29:05"/>
        <d v="2023-08-21T18:27:41"/>
        <d v="2025-03-19T06:43:36"/>
        <d v="2024-05-08T06:28:31"/>
        <d v="2025-05-01T07:20:59"/>
        <d v="2025-07-11T06:11:50"/>
        <d v="2023-11-16T03:04:28"/>
        <d v="2023-09-04T05:55:10"/>
        <d v="2024-08-08T05:04:56"/>
        <d v="2025-02-19T23:02:58"/>
        <d v="2025-04-16T00:20:27"/>
        <d v="2024-04-04T16:09:00"/>
        <d v="2024-08-28T15:41:32"/>
        <d v="2023-08-09T21:06:24"/>
        <d v="2024-06-24T00:14:56"/>
        <d v="2024-03-23T04:33:36"/>
        <d v="2025-06-06T20:54:46"/>
        <d v="2023-08-19T03:42:57"/>
        <d v="2025-02-24T15:04:39"/>
        <d v="2025-07-24T23:46:56"/>
        <d v="2024-05-23T12:27:10"/>
        <d v="2024-04-19T05:37:07"/>
        <d v="2024-06-24T01:36:25"/>
        <d v="2023-12-21T17:47:19"/>
        <d v="2025-02-11T08:33:53"/>
        <d v="2025-05-11T21:09:18"/>
        <d v="2023-12-19T16:01:03"/>
        <d v="2024-02-28T16:11:28"/>
        <d v="2024-01-08T18:22:47"/>
        <d v="2024-12-23T08:24:46"/>
        <d v="2024-02-24T07:18:45"/>
        <d v="2025-02-27T15:36:29"/>
        <d v="2024-03-08T09:07:42"/>
        <d v="2024-01-30T04:32:59"/>
        <d v="2023-11-11T04:05:45"/>
        <d v="2023-10-15T04:54:48"/>
        <d v="2024-01-12T00:05:32"/>
        <d v="2024-03-12T14:56:04"/>
        <d v="2025-05-06T10:54:27"/>
        <d v="2024-12-22T13:21:29"/>
        <d v="2024-11-16T10:49:24"/>
        <d v="2023-10-02T09:48:56"/>
        <d v="2025-02-04T12:29:39"/>
        <d v="2024-02-07T01:39:51"/>
        <d v="2023-08-06T05:23:34"/>
        <d v="2025-01-11T14:55:11"/>
        <d v="2025-03-19T23:49:55"/>
        <d v="2024-06-06T02:58:58"/>
        <d v="2024-08-09T17:13:37"/>
        <d v="2023-10-15T07:37:58"/>
        <d v="2024-10-14T18:39:13"/>
        <d v="2024-08-04T01:01:48"/>
        <d v="2025-01-04T19:54:12"/>
        <d v="2025-02-28T13:16:10"/>
        <d v="2025-05-22T19:21:40"/>
        <d v="2024-05-21T22:24:46"/>
        <d v="2024-02-27T17:42:45"/>
        <d v="2024-03-03T09:36:59"/>
        <d v="2025-02-20T11:28:32"/>
        <d v="2024-09-09T18:15:36"/>
        <d v="2025-03-29T19:39:54"/>
        <d v="2025-04-05T12:02:47"/>
        <d v="2023-12-31T10:43:17"/>
        <d v="2024-07-09T02:39:20"/>
        <d v="2024-01-01T04:48:40"/>
        <d v="2024-06-12T03:15:23"/>
        <d v="2024-08-17T11:54:14"/>
        <d v="2024-03-01T16:49:31"/>
        <d v="2024-07-31T07:57:08"/>
        <d v="2023-12-17T18:03:43"/>
        <d v="2023-12-29T05:57:37"/>
        <d v="2024-12-20T11:01:36"/>
        <d v="2025-03-28T12:45:49"/>
        <d v="2024-01-25T12:47:43"/>
        <d v="2024-06-13T09:26:06"/>
        <d v="2024-07-30T20:07:22"/>
        <d v="2025-01-16T02:37:04"/>
        <d v="2024-02-10T22:32:52"/>
        <d v="2024-05-18T03:56:19"/>
        <d v="2023-09-13T11:07:47"/>
        <d v="2024-03-02T06:57:11"/>
        <d v="2024-07-06T04:18:31"/>
        <d v="2024-03-20T00:09:04"/>
        <d v="2024-01-24T17:23:02"/>
        <d v="2024-04-15T12:52:26"/>
        <d v="2024-02-15T05:17:33"/>
        <d v="2023-09-07T04:26:34"/>
        <d v="2025-07-10T00:18:01"/>
        <d v="2023-12-27T03:28:43"/>
        <d v="2024-04-07T06:45:27"/>
        <d v="2024-09-18T04:47:10"/>
        <d v="2025-03-28T07:19:34"/>
        <d v="2024-04-27T13:57:17"/>
        <d v="2025-06-07T01:25:10"/>
        <d v="2025-04-24T12:26:53"/>
        <d v="2023-12-14T21:07:09"/>
        <d v="2023-12-27T05:13:30"/>
        <d v="2025-05-27T21:54:29"/>
        <d v="2024-05-06T19:16:50"/>
        <d v="2024-07-03T02:12:01"/>
        <d v="2023-08-08T01:57:27"/>
        <d v="2024-01-10T20:30:40"/>
        <d v="2025-04-20T13:42:57"/>
        <d v="2025-02-21T17:33:18"/>
        <d v="2023-12-10T17:15:57"/>
        <d v="2024-04-07T15:55:55"/>
        <d v="2023-11-06T14:46:31"/>
        <d v="2024-12-26T10:46:26"/>
        <d v="2025-02-22T20:45:43"/>
        <d v="2024-07-17T21:13:10"/>
        <d v="2024-09-07T01:17:57"/>
        <d v="2025-03-30T05:45:45"/>
        <d v="2024-12-11T18:16:56"/>
        <d v="2023-11-06T22:08:32"/>
        <d v="2023-11-26T18:17:55"/>
        <d v="2024-09-11T16:37:51"/>
        <d v="2024-05-08T13:28:45"/>
        <d v="2025-01-20T16:29:09"/>
        <d v="2024-05-17T17:44:41"/>
        <d v="2025-01-10T08:35:46"/>
        <d v="2025-05-16T20:11:20"/>
        <d v="2024-09-23T22:43:23"/>
        <d v="2025-05-28T12:51:38"/>
        <d v="2023-09-07T20:52:03"/>
        <d v="2024-05-29T14:57:45"/>
        <d v="2025-06-25T01:41:00"/>
        <d v="2024-04-06T22:07:34"/>
        <d v="2023-08-01T03:40:13"/>
        <d v="2025-02-01T01:30:46"/>
        <d v="2024-01-10T00:33:00"/>
        <d v="2023-09-15T21:03:39"/>
        <d v="2023-11-17T20:31:16"/>
        <d v="2025-02-14T18:18:26"/>
        <d v="2025-01-04T01:58:54"/>
        <d v="2024-06-26T16:37:37"/>
        <d v="2025-06-11T11:25:09"/>
        <d v="2025-03-11T23:47:20"/>
        <d v="2023-08-10T22:02:19"/>
        <d v="2024-02-05T10:09:31"/>
        <d v="2024-01-19T20:03:09"/>
        <d v="2024-12-29T21:17:34"/>
        <d v="2025-03-29T10:31:06"/>
        <d v="2024-10-09T08:44:20"/>
        <d v="2024-05-18T18:54:53"/>
        <d v="2024-10-19T05:00:09"/>
        <d v="2025-07-31T03:37:15"/>
        <d v="2025-04-27T12:34:18"/>
        <d v="2024-04-30T13:53:20"/>
        <d v="2024-07-12T07:15:05"/>
        <d v="2024-07-21T18:37:51"/>
        <d v="2025-03-19T21:01:43"/>
        <d v="2024-10-07T15:51:31"/>
        <d v="2024-04-30T03:11:36"/>
        <d v="2025-03-09T03:01:37"/>
        <d v="2024-10-08T18:46:02"/>
        <d v="2024-06-04T23:48:00"/>
        <d v="2024-01-02T03:36:59"/>
        <d v="2025-02-03T15:29:10"/>
        <d v="2025-05-23T19:24:08"/>
        <d v="2025-02-06T22:12:00"/>
        <d v="2024-05-01T16:22:55"/>
        <d v="2025-07-16T10:34:42"/>
        <d v="2025-05-18T05:11:49"/>
        <d v="2024-11-19T08:03:24"/>
        <d v="2024-04-08T09:49:28"/>
        <d v="2025-05-03T13:19:59"/>
        <d v="2024-09-29T12:18:02"/>
        <d v="2023-08-21T08:26:58"/>
        <d v="2025-05-09T01:56:47"/>
        <d v="2024-02-07T10:45:59"/>
        <d v="2024-12-16T02:43:03"/>
        <d v="2023-08-10T12:34:24"/>
        <d v="2023-08-17T00:19:59"/>
        <d v="2025-05-12T17:14:21"/>
        <d v="2024-10-05T23:40:43"/>
        <d v="2025-01-27T11:24:45"/>
        <d v="2024-10-23T13:38:48"/>
        <d v="2025-07-13T12:08:06"/>
        <d v="2024-01-21T20:03:59"/>
        <d v="2024-10-19T22:02:42"/>
        <d v="2023-11-12T11:01:45"/>
        <d v="2025-03-24T13:03:32"/>
        <d v="2024-09-15T08:44:38"/>
        <d v="2024-12-17T06:54:09"/>
        <d v="2024-04-14T14:05:40"/>
        <d v="2025-03-06T19:55:59"/>
        <d v="2024-02-17T02:13:09"/>
        <d v="2024-10-06T14:42:16"/>
        <d v="2023-10-14T01:08:50"/>
        <d v="2024-09-14T20:36:30"/>
        <d v="2025-06-14T03:21:07"/>
        <d v="2024-08-28T22:22:17"/>
        <d v="2023-08-24T10:41:17"/>
        <d v="2025-07-27T08:12:16"/>
        <d v="2023-10-17T08:01:24"/>
        <d v="2024-11-11T15:11:48"/>
        <d v="2025-07-29T07:16:41"/>
        <d v="2025-05-07T22:23:51"/>
        <d v="2023-10-30T06:35:21"/>
        <d v="2023-09-20T17:24:29"/>
        <d v="2024-05-10T22:05:59"/>
        <d v="2025-04-26T21:58:37"/>
        <d v="2025-04-08T15:19:02"/>
        <d v="2024-05-05T04:40:25"/>
        <d v="2025-04-21T17:29:14"/>
        <d v="2025-05-20T08:44:03"/>
        <d v="2024-12-28T05:50:59"/>
        <d v="2025-07-09T03:30:43"/>
        <d v="2023-10-20T21:42:59"/>
        <d v="2024-08-10T21:26:25"/>
        <d v="2025-03-03T18:02:19"/>
        <d v="2023-12-13T12:43:12"/>
        <d v="2025-02-25T01:49:44"/>
        <d v="2023-08-22T14:20:55"/>
        <d v="2024-05-25T20:09:38"/>
        <d v="2025-01-24T22:47:47"/>
        <d v="2023-10-16T12:03:41"/>
        <d v="2025-06-23T23:48:05"/>
        <d v="2023-09-26T13:12:59"/>
        <d v="2024-08-19T13:40:39"/>
        <d v="2024-12-10T07:23:38"/>
        <d v="2023-09-05T00:17:57"/>
        <d v="2025-06-30T04:16:22"/>
        <d v="2024-05-29T17:38:07"/>
        <d v="2025-07-13T14:04:42"/>
        <d v="2023-11-29T23:48:20"/>
        <d v="2025-01-22T11:29:30"/>
        <d v="2023-11-08T23:43:46"/>
        <d v="2023-09-24T15:44:52"/>
        <d v="2023-10-29T10:01:25"/>
        <d v="2023-09-21T12:44:03"/>
        <d v="2024-04-11T03:51:26"/>
        <d v="2025-06-18T17:51:08"/>
        <d v="2024-05-28T07:06:47"/>
        <d v="2025-03-15T03:52:50"/>
        <d v="2024-12-27T17:59:49"/>
        <d v="2024-04-17T18:29:47"/>
        <d v="2023-08-20T12:53:06"/>
        <d v="2025-05-16T23:36:35"/>
        <d v="2024-03-11T10:10:52"/>
        <d v="2024-01-29T08:51:12"/>
        <d v="2023-11-01T19:22:07"/>
        <d v="2024-10-11T16:03:59"/>
        <d v="2023-08-16T06:03:12"/>
        <d v="2025-07-28T19:57:24"/>
        <d v="2023-12-03T09:35:51"/>
        <d v="2024-07-01T05:13:54"/>
        <d v="2025-06-17T04:58:57"/>
        <d v="2025-02-20T13:33:51"/>
        <d v="2024-05-28T14:10:41"/>
        <d v="2024-04-19T06:09:06"/>
        <d v="2023-12-30T00:43:17"/>
        <d v="2024-12-19T11:39:56"/>
        <d v="2025-07-03T13:27:45"/>
        <d v="2023-09-09T09:39:25"/>
        <d v="2024-04-19T03:56:55"/>
        <d v="2025-03-15T05:21:02"/>
        <d v="2024-11-16T22:58:37"/>
        <d v="2024-11-26T22:57:33"/>
        <d v="2025-07-03T10:27:46"/>
        <d v="2024-04-19T21:25:38"/>
        <d v="2024-03-12T22:14:35"/>
        <d v="2025-04-15T01:42:15"/>
        <d v="2025-06-30T13:31:32"/>
        <d v="2024-06-18T08:42:15"/>
        <d v="2023-11-22T18:45:48"/>
        <d v="2024-07-08T08:43:51"/>
        <d v="2023-12-20T02:42:13"/>
        <d v="2024-08-16T20:16:49"/>
        <d v="2023-08-13T06:30:40"/>
        <d v="2023-12-10T04:35:18"/>
        <d v="2023-12-28T00:38:58"/>
        <d v="2024-09-08T02:37:36"/>
        <d v="2023-09-01T07:13:41"/>
        <d v="2024-12-25T01:22:54"/>
        <d v="2024-07-31T00:46:07"/>
        <d v="2024-05-11T18:36:44"/>
        <d v="2024-06-12T03:44:39"/>
        <d v="2023-11-11T16:04:38"/>
        <d v="2024-11-22T11:22:47"/>
        <d v="2024-10-26T12:25:03"/>
        <d v="2024-12-02T23:49:31"/>
        <d v="2024-11-18T16:07:16"/>
        <d v="2025-01-28T19:20:30"/>
        <d v="2025-07-13T21:52:45"/>
        <d v="2024-01-28T21:55:31"/>
        <d v="2025-02-07T18:32:21"/>
        <d v="2024-04-05T17:51:35"/>
        <d v="2023-12-25T22:44:10"/>
        <d v="2023-09-20T02:18:15"/>
        <d v="2024-08-18T12:28:17"/>
        <d v="2025-03-22T00:45:28"/>
        <d v="2024-10-15T23:45:24"/>
        <d v="2024-01-25T01:23:15"/>
        <d v="2023-11-19T05:41:44"/>
        <d v="2024-06-21T18:56:11"/>
        <d v="2025-04-04T03:24:32"/>
        <d v="2025-06-06T19:43:25"/>
        <d v="2024-06-06T02:46:28"/>
        <d v="2024-07-03T06:31:56"/>
        <d v="2024-12-30T00:17:20"/>
        <d v="2023-10-22T05:16:34"/>
        <d v="2025-01-30T06:19:18"/>
        <d v="2023-11-18T18:24:57"/>
        <d v="2024-08-18T18:13:23"/>
        <d v="2024-08-15T20:47:22"/>
        <d v="2024-12-03T09:15:08"/>
        <d v="2023-11-08T09:39:37"/>
        <d v="2024-08-02T16:11:16"/>
        <d v="2024-07-13T03:13:13"/>
        <d v="2024-12-04T07:07:15"/>
        <d v="2025-01-31T21:06:37"/>
        <d v="2025-04-23T14:29:51"/>
        <d v="2024-10-11T09:42:53"/>
        <d v="2024-03-31T08:23:50"/>
        <d v="2024-05-25T06:01:46"/>
        <d v="2024-11-27T05:57:20"/>
        <d v="2024-09-14T22:44:40"/>
        <d v="2024-05-09T10:28:30"/>
        <d v="2024-08-02T20:21:41"/>
        <d v="2024-12-04T14:21:19"/>
        <d v="2024-05-03T12:32:44"/>
        <d v="2024-10-10T07:14:30"/>
        <d v="2024-04-05T10:58:33"/>
        <d v="2024-11-12T14:49:39"/>
        <d v="2025-05-02T00:05:43"/>
        <d v="2025-07-18T08:15:55"/>
        <d v="2024-03-17T11:49:36"/>
        <d v="2025-02-22T03:41:48"/>
        <d v="2025-04-12T08:41:38"/>
        <d v="2024-02-09T16:21:19"/>
        <d v="2025-01-26T02:04:06"/>
        <d v="2023-11-08T17:09:26"/>
        <d v="2023-11-05T03:01:14"/>
        <d v="2024-10-03T01:49:31"/>
        <d v="2023-11-18T23:32:35"/>
        <d v="2024-10-01T04:11:29"/>
        <d v="2024-05-04T05:33:05"/>
        <d v="2025-03-15T08:01:53"/>
        <d v="2025-03-10T01:15:06"/>
        <d v="2023-08-15T20:01:53"/>
        <d v="2024-08-17T04:51:35"/>
        <d v="2024-10-01T02:24:04"/>
        <d v="2024-01-03T07:40:04"/>
        <d v="2024-01-10T02:04:30"/>
        <d v="2024-08-16T14:39:04"/>
        <d v="2025-01-27T00:01:48"/>
        <d v="2025-06-15T16:10:08"/>
        <d v="2025-06-28T19:48:16"/>
        <d v="2025-01-03T17:12:09"/>
        <d v="2024-01-03T08:00:27"/>
        <d v="2024-01-08T03:46:18"/>
        <d v="2025-02-10T02:16:43"/>
        <d v="2024-05-30T09:16:06"/>
        <d v="2025-07-16T02:23:16"/>
        <d v="2023-12-02T18:08:07"/>
        <d v="2024-05-12T18:01:24"/>
        <d v="2025-07-24T19:37:21"/>
        <d v="2023-08-12T00:28:15"/>
        <d v="2025-02-13T20:29:53"/>
        <d v="2025-06-06T11:10:21"/>
        <d v="2024-07-27T14:23:07"/>
        <d v="2025-06-08T04:10:46"/>
        <d v="2025-04-07T00:21:12"/>
        <d v="2024-03-10T10:08:40"/>
        <d v="2024-11-07T09:31:17"/>
        <d v="2025-04-29T08:18:00"/>
        <d v="2023-12-06T04:17:51"/>
        <d v="2025-02-14T22:24:06"/>
        <d v="2024-05-15T21:42:36"/>
        <d v="2025-03-18T20:50:06"/>
        <d v="2024-12-14T05:24:08"/>
        <d v="2023-08-04T00:23:56"/>
        <d v="2024-04-09T16:36:05"/>
        <d v="2024-09-29T20:56:26"/>
        <d v="2024-12-23T02:25:51"/>
        <d v="2024-10-22T01:30:01"/>
        <d v="2025-01-16T02:37:02"/>
        <d v="2024-01-23T06:34:18"/>
        <d v="2024-01-10T09:40:11"/>
        <d v="2023-09-25T06:52:51"/>
        <d v="2024-07-17T10:08:31"/>
        <d v="2024-05-04T13:37:40"/>
        <d v="2023-08-09T02:05:19"/>
        <d v="2024-04-29T21:27:24"/>
        <d v="2024-02-07T11:28:14"/>
        <d v="2024-07-19T01:02:37"/>
        <d v="2024-07-16T08:02:14"/>
        <d v="2023-10-13T15:08:42"/>
        <d v="2024-11-03T19:23:53"/>
        <d v="2025-07-27T12:46:27"/>
        <d v="2023-09-23T13:11:19"/>
        <d v="2024-07-25T15:22:45"/>
        <d v="2024-05-28T09:14:34"/>
        <d v="2024-02-13T13:08:56"/>
        <d v="2025-01-24T04:46:43"/>
        <d v="2023-12-13T23:09:27"/>
        <d v="2025-05-12T06:52:10"/>
        <d v="2024-08-09T08:56:06"/>
        <d v="2023-08-05T07:11:40"/>
        <d v="2025-03-22T20:49:35"/>
        <d v="2024-03-22T15:55:24"/>
        <d v="2023-10-30T01:08:40"/>
        <d v="2023-11-17T00:03:13"/>
        <d v="2023-08-19T06:28:20"/>
        <d v="2024-05-11T16:24:28"/>
        <d v="2023-08-16T19:55:38"/>
        <d v="2024-08-28T18:21:38"/>
        <d v="2023-11-02T20:53:05"/>
        <d v="2023-08-31T18:10:47"/>
        <d v="2024-08-31T03:49:18"/>
        <d v="2024-09-11T07:38:38"/>
        <d v="2024-08-06T08:46:44"/>
        <d v="2023-10-16T19:26:55"/>
        <d v="2024-11-29T20:06:17"/>
        <d v="2025-05-14T03:32:37"/>
        <d v="2024-06-02T09:29:36"/>
        <d v="2025-01-03T13:39:12"/>
        <d v="2024-05-30T09:40:31"/>
        <d v="2025-03-04T08:09:09"/>
        <d v="2025-06-23T10:38:52"/>
        <d v="2025-04-18T13:07:58"/>
        <d v="2024-04-22T20:03:50"/>
        <d v="2024-11-21T14:59:09"/>
        <d v="2024-02-12T07:06:39"/>
        <d v="2025-07-26T11:05:57"/>
        <d v="2024-07-25T06:15:12"/>
        <d v="2024-10-15T04:53:47"/>
        <d v="2023-08-03T09:58:52"/>
        <d v="2025-04-22T13:41:28"/>
        <d v="2024-07-19T02:25:47"/>
        <d v="2023-09-12T05:04:20"/>
        <d v="2024-03-03T07:22:10"/>
        <d v="2023-08-08T12:48:34"/>
        <d v="2024-11-27T19:59:34"/>
        <d v="2024-03-08T14:43:43"/>
        <d v="2024-01-26T21:41:33"/>
        <d v="2025-03-06T18:16:38"/>
        <d v="2024-05-01T11:45:18"/>
        <d v="2023-08-18T16:58:24"/>
        <d v="2023-12-03T11:04:21"/>
        <d v="2023-12-13T16:09:23"/>
        <d v="2023-10-23T06:54:56"/>
        <d v="2025-01-03T04:26:15"/>
        <d v="2024-10-24T02:18:21"/>
        <d v="2024-11-14T00:03:48"/>
        <d v="2023-11-21T03:02:49"/>
        <d v="2024-11-09T15:39:52"/>
        <d v="2023-12-09T15:56:24"/>
        <d v="2024-01-17T03:33:27"/>
        <d v="2024-02-18T17:12:11"/>
        <d v="2025-07-24T19:00:21"/>
        <d v="2023-11-24T15:11:12"/>
        <d v="2025-05-28T16:40:59"/>
        <d v="2025-06-07T09:51:28"/>
        <d v="2024-06-13T22:02:52"/>
        <d v="2024-09-08T04:03:01"/>
        <d v="2025-06-04T03:31:59"/>
        <d v="2023-08-07T16:07:30"/>
        <d v="2025-03-18T02:52:16"/>
        <d v="2025-05-09T21:11:00"/>
        <d v="2025-03-31T04:11:30"/>
        <d v="2024-12-15T16:37:04"/>
        <d v="2025-04-02T16:21:08"/>
        <d v="2025-02-08T20:12:08"/>
        <d v="2024-01-08T13:50:38"/>
        <d v="2025-05-15T20:05:23"/>
        <d v="2024-11-12T07:49:55"/>
        <d v="2024-06-05T23:26:11"/>
        <d v="2024-05-15T11:35:30"/>
        <d v="2023-11-10T04:10:25"/>
        <d v="2024-02-07T11:01:56"/>
        <d v="2025-07-26T07:40:30"/>
        <d v="2024-04-30T15:49:38"/>
        <d v="2024-03-28T22:16:06"/>
        <d v="2023-08-09T11:10:50"/>
        <d v="2025-03-01T00:32:21"/>
        <d v="2024-02-26T06:56:50"/>
        <d v="2024-08-30T14:58:19"/>
        <d v="2023-09-09T10:13:41"/>
        <d v="2023-11-04T15:30:57"/>
        <d v="2024-07-02T12:23:33"/>
        <d v="2023-08-28T23:04:25"/>
        <d v="2025-02-16T20:22:05"/>
        <d v="2024-08-27T20:37:41"/>
        <d v="2023-11-26T15:58:24"/>
        <d v="2023-09-21T05:04:05"/>
        <d v="2025-07-11T16:24:47"/>
        <d v="2023-10-28T14:36:39"/>
        <d v="2025-04-22T08:04:21"/>
        <d v="2024-09-12T23:38:56"/>
        <d v="2024-09-07T19:28:52"/>
        <d v="2025-04-18T01:31:48"/>
        <d v="2024-01-23T13:43:53"/>
        <d v="2025-02-27T14:43:16"/>
        <d v="2024-10-13T22:45:44"/>
        <d v="2023-10-02T21:26:11"/>
        <d v="2024-11-26T19:43:27"/>
        <d v="2025-03-24T19:29:33"/>
        <d v="2024-11-03T19:42:52"/>
        <d v="2025-01-14T10:44:20"/>
        <d v="2024-12-30T05:18:14"/>
        <d v="2023-09-20T07:41:41"/>
        <d v="2023-12-01T03:06:58"/>
        <d v="2024-04-19T22:06:50"/>
        <d v="2025-01-28T02:19:19"/>
        <d v="2023-10-01T14:11:32"/>
        <d v="2024-03-22T20:56:41"/>
        <d v="2025-06-26T12:04:46"/>
        <d v="2023-12-23T18:51:19"/>
        <d v="2024-12-24T05:13:44"/>
        <d v="2025-01-25T11:19:33"/>
        <d v="2025-06-05T23:39:33"/>
        <d v="2024-06-18T20:10:18"/>
        <d v="2025-06-10T21:58:19"/>
        <d v="2024-01-11T19:33:18"/>
        <d v="2024-09-22T08:53:38"/>
        <d v="2023-09-04T10:52:24"/>
        <d v="2023-08-14T19:02:11"/>
        <d v="2024-11-29T22:00:08"/>
        <d v="2025-05-06T05:03:46"/>
        <d v="2025-07-10T21:14:04"/>
        <d v="2025-05-23T18:34:49"/>
        <d v="2023-09-28T23:47:30"/>
        <d v="2025-04-24T11:03:17"/>
        <d v="2024-12-09T23:54:34"/>
        <d v="2024-08-20T15:02:13"/>
        <d v="2025-07-24T01:42:16"/>
        <d v="2023-12-10T03:53:19"/>
        <d v="2025-01-03T16:32:27"/>
        <d v="2023-12-04T14:23:42"/>
        <d v="2025-02-17T05:38:22"/>
        <d v="2025-03-16T23:51:12"/>
        <d v="2023-11-03T04:51:59"/>
        <d v="2024-07-27T06:50:51"/>
        <d v="2024-08-08T16:04:38"/>
        <d v="2025-04-01T23:48:14"/>
        <d v="2025-04-04T17:06:18"/>
        <d v="2023-12-15T21:23:08"/>
        <d v="2024-09-27T10:17:25"/>
        <d v="2025-07-08T09:51:24"/>
        <d v="2025-03-23T15:28:51"/>
        <d v="2024-12-29T01:45:07"/>
        <d v="2025-07-30T06:12:48"/>
        <d v="2025-01-22T09:43:16"/>
        <d v="2023-11-27T17:53:26"/>
        <d v="2025-06-06T05:49:28"/>
        <d v="2024-10-26T02:35:55"/>
        <d v="2023-09-07T23:58:19"/>
        <d v="2025-05-15T11:09:50"/>
        <d v="2024-12-23T21:13:05"/>
        <d v="2025-06-26T07:09:41"/>
        <d v="2023-09-23T06:37:33"/>
        <d v="2023-08-03T23:49:12"/>
        <d v="2023-09-02T21:47:57"/>
        <d v="2024-06-11T05:15:22"/>
        <d v="2024-02-22T03:39:24"/>
        <d v="2025-06-26T01:32:41"/>
        <d v="2024-04-16T08:27:40"/>
        <d v="2024-06-10T01:53:20"/>
        <d v="2025-01-03T01:52:06"/>
        <d v="2023-11-23T01:07:30"/>
        <d v="2025-06-05T16:42:20"/>
        <d v="2024-06-15T05:02:18"/>
        <d v="2023-12-02T01:41:31"/>
        <d v="2025-03-04T02:51:17"/>
      </sharedItems>
      <fieldGroup par="18"/>
    </cacheField>
    <cacheField name="Verified_purchase" numFmtId="0">
      <sharedItems count="2">
        <b v="1"/>
        <b v="0"/>
      </sharedItems>
    </cacheField>
    <cacheField name="Device_type" numFmtId="0">
      <sharedItems count="5">
        <s v="Android Tablet"/>
        <s v="iPad"/>
        <s v="iOS"/>
        <s v="Windows Phone"/>
        <s v="Android"/>
      </sharedItems>
    </cacheField>
    <cacheField name="Num_helpful_votes" numFmtId="1">
      <sharedItems containsSemiMixedTypes="0" containsString="0" containsNumber="1" containsInteger="1" minValue="0" maxValue="1249"/>
    </cacheField>
    <cacheField name="User_age" numFmtId="1">
      <sharedItems containsSemiMixedTypes="0" containsString="0" containsNumber="1" containsInteger="1" minValue="13" maxValue="75" count="63">
        <n v="14"/>
        <n v="18"/>
        <n v="67"/>
        <n v="66"/>
        <n v="40"/>
        <n v="75"/>
        <n v="68"/>
        <n v="55"/>
        <n v="45"/>
        <n v="56"/>
        <n v="16"/>
        <n v="29"/>
        <n v="23"/>
        <n v="58"/>
        <n v="48"/>
        <n v="54"/>
        <n v="37"/>
        <n v="41"/>
        <n v="28"/>
        <n v="53"/>
        <n v="26"/>
        <n v="30"/>
        <n v="24"/>
        <n v="73"/>
        <n v="33"/>
        <n v="59"/>
        <n v="34"/>
        <n v="46"/>
        <n v="15"/>
        <n v="70"/>
        <n v="71"/>
        <n v="44"/>
        <n v="21"/>
        <n v="13"/>
        <n v="35"/>
        <n v="27"/>
        <n v="22"/>
        <n v="49"/>
        <n v="60"/>
        <n v="17"/>
        <n v="62"/>
        <n v="51"/>
        <n v="69"/>
        <n v="74"/>
        <n v="64"/>
        <n v="19"/>
        <n v="42"/>
        <n v="43"/>
        <n v="52"/>
        <n v="36"/>
        <n v="47"/>
        <n v="38"/>
        <n v="32"/>
        <n v="72"/>
        <n v="50"/>
        <n v="31"/>
        <n v="20"/>
        <n v="25"/>
        <n v="65"/>
        <n v="63"/>
        <n v="39"/>
        <n v="57"/>
        <n v="61"/>
      </sharedItems>
    </cacheField>
    <cacheField name="User_country" numFmtId="0">
      <sharedItems count="25">
        <s v="China"/>
        <s v="Germany"/>
        <s v="Nigeria"/>
        <s v="India"/>
        <s v="South Korea"/>
        <s v="Spain"/>
        <s v="Australia"/>
        <s v="Malaysia"/>
        <s v="Vietnam"/>
        <s v="Pakistan"/>
        <s v="United Kingdom"/>
        <s v="Japan"/>
        <s v="Brazil"/>
        <s v="Italy"/>
        <s v="Unknown"/>
        <s v="Turkey"/>
        <s v="Thailand"/>
        <s v="France"/>
        <s v="Mexico"/>
        <s v="United States"/>
        <s v="Bangladesh"/>
        <s v="Canada"/>
        <s v="Philippines"/>
        <s v="Indonesia"/>
        <s v="Russia"/>
      </sharedItems>
    </cacheField>
    <cacheField name="User_gender" numFmtId="0">
      <sharedItems count="5">
        <s v="Female"/>
        <s v="Male"/>
        <s v="Prefer not to say"/>
        <s v="Non-binary"/>
        <s v="Unknown"/>
      </sharedItems>
    </cacheField>
    <cacheField name="App_version" numFmtId="0">
      <sharedItems/>
    </cacheField>
    <cacheField name="Rating Category" numFmtId="0">
      <sharedItems/>
    </cacheField>
    <cacheField name="Months (Review_date)" numFmtId="0" databaseField="0">
      <fieldGroup base="7">
        <rangePr groupBy="months" startDate="2023-08-01T03:40:13" endDate="2025-07-31T03:37:15"/>
        <groupItems count="14">
          <s v="&lt;01-08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7-2025"/>
        </groupItems>
      </fieldGroup>
    </cacheField>
    <cacheField name="Quarters (Review_date)" numFmtId="0" databaseField="0">
      <fieldGroup base="7">
        <rangePr groupBy="quarters" startDate="2023-08-01T03:40:13" endDate="2025-07-31T03:37:15"/>
        <groupItems count="6">
          <s v="&lt;01-08-2023"/>
          <s v="Qtr1"/>
          <s v="Qtr2"/>
          <s v="Qtr3"/>
          <s v="Qtr4"/>
          <s v="&gt;31-07-2025"/>
        </groupItems>
      </fieldGroup>
    </cacheField>
    <cacheField name="Years (Review_date)" numFmtId="0" databaseField="0">
      <fieldGroup base="7">
        <rangePr groupBy="years" startDate="2023-08-01T03:40:13" endDate="2025-07-31T03:37:15"/>
        <groupItems count="5">
          <s v="&lt;01-08-2023"/>
          <s v="2023"/>
          <s v="2024"/>
          <s v="2025"/>
          <s v="&gt;3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14">
  <r>
    <n v="1"/>
    <n v="1967825"/>
    <x v="0"/>
    <x v="0"/>
    <s v="Qui doloribus consequuntur. Perspiciatis tempora assumenda in. Atque doloremque nobis."/>
    <x v="0"/>
    <x v="0"/>
    <x v="0"/>
    <x v="0"/>
    <x v="0"/>
    <n v="65"/>
    <x v="0"/>
    <x v="0"/>
    <x v="0"/>
    <s v="1.4"/>
    <s v="Very Poor"/>
  </r>
  <r>
    <n v="2"/>
    <n v="9242600"/>
    <x v="1"/>
    <x v="1"/>
    <s v="Great app but too many ads, consider premium version."/>
    <x v="1"/>
    <x v="1"/>
    <x v="1"/>
    <x v="0"/>
    <x v="1"/>
    <n v="209"/>
    <x v="1"/>
    <x v="1"/>
    <x v="1"/>
    <s v="8.9"/>
    <s v="Very Poor"/>
  </r>
  <r>
    <n v="3"/>
    <n v="7636477"/>
    <x v="2"/>
    <x v="2"/>
    <s v="The interface could be better but overall good experience."/>
    <x v="2"/>
    <x v="2"/>
    <x v="2"/>
    <x v="0"/>
    <x v="1"/>
    <n v="163"/>
    <x v="2"/>
    <x v="2"/>
    <x v="1"/>
    <s v="2.8.37.5926"/>
    <s v="Average"/>
  </r>
  <r>
    <n v="4"/>
    <n v="209031"/>
    <x v="3"/>
    <x v="3"/>
    <s v="Latest update broke some features, please fix soon."/>
    <x v="3"/>
    <x v="3"/>
    <x v="3"/>
    <x v="0"/>
    <x v="2"/>
    <n v="664"/>
    <x v="3"/>
    <x v="3"/>
    <x v="0"/>
    <s v="10.2"/>
    <s v="Average"/>
  </r>
  <r>
    <n v="5"/>
    <n v="7190293"/>
    <x v="4"/>
    <x v="4"/>
    <s v="Perfect for daily use, highly recommend to everyone."/>
    <x v="4"/>
    <x v="4"/>
    <x v="4"/>
    <x v="0"/>
    <x v="1"/>
    <n v="1197"/>
    <x v="4"/>
    <x v="4"/>
    <x v="2"/>
    <s v="4.7"/>
    <s v="Average"/>
  </r>
  <r>
    <n v="6"/>
    <n v="2708513"/>
    <x v="2"/>
    <x v="5"/>
    <s v="Works perfectly on my device, no complaints at all."/>
    <x v="5"/>
    <x v="5"/>
    <x v="5"/>
    <x v="1"/>
    <x v="3"/>
    <n v="514"/>
    <x v="5"/>
    <x v="5"/>
    <x v="1"/>
    <s v="11.2.87.6917"/>
    <s v="Excellent"/>
  </r>
  <r>
    <n v="7"/>
    <n v="5747119"/>
    <x v="5"/>
    <x v="0"/>
    <s v="Basso bello società paese. Quello mostrare verso."/>
    <x v="6"/>
    <x v="6"/>
    <x v="6"/>
    <x v="0"/>
    <x v="3"/>
    <n v="217"/>
    <x v="6"/>
    <x v="6"/>
    <x v="3"/>
    <s v="5.6.20"/>
    <s v="Good"/>
  </r>
  <r>
    <n v="8"/>
    <n v="9361704"/>
    <x v="6"/>
    <x v="6"/>
    <s v="Odcinek skład zarówno zgodnie zaś. Powoli gdyby gleba."/>
    <x v="7"/>
    <x v="7"/>
    <x v="7"/>
    <x v="0"/>
    <x v="3"/>
    <n v="161"/>
    <x v="1"/>
    <x v="7"/>
    <x v="2"/>
    <s v="10.5.62"/>
    <s v="Very Poor"/>
  </r>
  <r>
    <n v="9"/>
    <n v="1794522"/>
    <x v="7"/>
    <x v="7"/>
    <s v="Eius odio facilis fuga distinctio eaque. Non cupiditate quas cum. Earum unde porro dolor eveniet quisquam."/>
    <x v="8"/>
    <x v="8"/>
    <x v="8"/>
    <x v="0"/>
    <x v="1"/>
    <n v="817"/>
    <x v="7"/>
    <x v="6"/>
    <x v="3"/>
    <s v="5.8"/>
    <s v="Very Poor"/>
  </r>
  <r>
    <n v="10"/>
    <n v="638552"/>
    <x v="8"/>
    <x v="8"/>
    <s v="Husband at tree note responsibility defense."/>
    <x v="9"/>
    <x v="9"/>
    <x v="9"/>
    <x v="0"/>
    <x v="1"/>
    <n v="145"/>
    <x v="8"/>
    <x v="2"/>
    <x v="3"/>
    <s v="4.9.28"/>
    <s v="Excellent"/>
  </r>
  <r>
    <n v="11"/>
    <n v="7798256"/>
    <x v="9"/>
    <x v="1"/>
    <s v="Works perfectly on my device, no complaints at all."/>
    <x v="10"/>
    <x v="10"/>
    <x v="10"/>
    <x v="0"/>
    <x v="0"/>
    <n v="110"/>
    <x v="9"/>
    <x v="6"/>
    <x v="1"/>
    <s v="13.7.52"/>
    <s v="Poor"/>
  </r>
  <r>
    <n v="12"/>
    <n v="2442608"/>
    <x v="10"/>
    <x v="9"/>
    <s v="The interface could be better but overall good experience."/>
    <x v="11"/>
    <x v="11"/>
    <x v="11"/>
    <x v="1"/>
    <x v="3"/>
    <n v="200"/>
    <x v="10"/>
    <x v="6"/>
    <x v="4"/>
    <s v="3.6.23-beta"/>
    <s v="Good"/>
  </r>
  <r>
    <n v="13"/>
    <n v="9518194"/>
    <x v="11"/>
    <x v="10"/>
    <s v="Works perfectly on my device, no complaints at all."/>
    <x v="1"/>
    <x v="12"/>
    <x v="12"/>
    <x v="0"/>
    <x v="0"/>
    <n v="584"/>
    <x v="4"/>
    <x v="8"/>
    <x v="4"/>
    <s v="4.6.7-beta"/>
    <s v="Excellent"/>
  </r>
  <r>
    <n v="14"/>
    <n v="9907725"/>
    <x v="10"/>
    <x v="11"/>
    <s v="Some bugs need fixing but generally satisfied with it."/>
    <x v="12"/>
    <x v="7"/>
    <x v="13"/>
    <x v="0"/>
    <x v="3"/>
    <n v="164"/>
    <x v="2"/>
    <x v="9"/>
    <x v="1"/>
    <s v="12.5.7.822"/>
    <s v="Very Poor"/>
  </r>
  <r>
    <n v="15"/>
    <n v="6800828"/>
    <x v="12"/>
    <x v="11"/>
    <s v="Latest update broke some features, please fix soon."/>
    <x v="13"/>
    <x v="13"/>
    <x v="14"/>
    <x v="0"/>
    <x v="1"/>
    <n v="488"/>
    <x v="11"/>
    <x v="1"/>
    <x v="0"/>
    <s v="10.1.53.9563"/>
    <s v="Average"/>
  </r>
  <r>
    <n v="16"/>
    <n v="2420821"/>
    <x v="13"/>
    <x v="0"/>
    <s v="Great app but too many ads, consider premium version."/>
    <x v="9"/>
    <x v="14"/>
    <x v="15"/>
    <x v="0"/>
    <x v="1"/>
    <n v="583"/>
    <x v="12"/>
    <x v="10"/>
    <x v="4"/>
    <s v="Unknown"/>
    <s v="Excellent"/>
  </r>
  <r>
    <n v="17"/>
    <n v="1625206"/>
    <x v="7"/>
    <x v="12"/>
    <s v="Sorprendere circa collo. Organizzare giudizio organizzare libro diretto nemmeno. Prendere calcio stasera."/>
    <x v="14"/>
    <x v="15"/>
    <x v="16"/>
    <x v="0"/>
    <x v="3"/>
    <n v="431"/>
    <x v="13"/>
    <x v="11"/>
    <x v="0"/>
    <s v="15.1.17"/>
    <s v="Poor"/>
  </r>
  <r>
    <n v="18"/>
    <n v="5807197"/>
    <x v="14"/>
    <x v="3"/>
    <s v="Crashes too often, needs improvement in stability."/>
    <x v="3"/>
    <x v="16"/>
    <x v="17"/>
    <x v="0"/>
    <x v="2"/>
    <n v="904"/>
    <x v="14"/>
    <x v="8"/>
    <x v="2"/>
    <s v="11.6.35"/>
    <s v="Excellent"/>
  </r>
  <r>
    <n v="19"/>
    <n v="7394150"/>
    <x v="15"/>
    <x v="13"/>
    <s v="Great app but too many ads, consider premium version."/>
    <x v="2"/>
    <x v="9"/>
    <x v="18"/>
    <x v="0"/>
    <x v="2"/>
    <n v="511"/>
    <x v="7"/>
    <x v="12"/>
    <x v="3"/>
    <s v="10.8"/>
    <s v="Excellent"/>
  </r>
  <r>
    <n v="20"/>
    <n v="154447"/>
    <x v="12"/>
    <x v="7"/>
    <s v="Voluptas quis magni autem numquam. Non corrupti quis molestiae quod minus a."/>
    <x v="15"/>
    <x v="14"/>
    <x v="19"/>
    <x v="0"/>
    <x v="2"/>
    <n v="546"/>
    <x v="12"/>
    <x v="8"/>
    <x v="1"/>
    <s v="13.2"/>
    <s v="Excellent"/>
  </r>
  <r>
    <n v="21"/>
    <n v="426765"/>
    <x v="16"/>
    <x v="12"/>
    <s v="Latest update broke some features, please fix soon."/>
    <x v="9"/>
    <x v="16"/>
    <x v="20"/>
    <x v="0"/>
    <x v="1"/>
    <n v="719"/>
    <x v="15"/>
    <x v="13"/>
    <x v="4"/>
    <s v="14.3"/>
    <s v="Excellent"/>
  </r>
  <r>
    <n v="22"/>
    <n v="5259230"/>
    <x v="17"/>
    <x v="7"/>
    <s v="Great app but too many ads, consider premium version."/>
    <x v="16"/>
    <x v="17"/>
    <x v="21"/>
    <x v="0"/>
    <x v="3"/>
    <n v="236"/>
    <x v="16"/>
    <x v="14"/>
    <x v="0"/>
    <s v="10.4.4.1777"/>
    <s v="Average"/>
  </r>
  <r>
    <n v="23"/>
    <n v="4141154"/>
    <x v="18"/>
    <x v="13"/>
    <s v="The interface could be better but overall good experience."/>
    <x v="4"/>
    <x v="9"/>
    <x v="22"/>
    <x v="0"/>
    <x v="3"/>
    <n v="633"/>
    <x v="7"/>
    <x v="15"/>
    <x v="3"/>
    <s v="7.1.85.5410"/>
    <s v="Excellent"/>
  </r>
  <r>
    <n v="24"/>
    <n v="1421324"/>
    <x v="19"/>
    <x v="12"/>
    <s v="Excellent customer support and regular feature updates."/>
    <x v="5"/>
    <x v="2"/>
    <x v="23"/>
    <x v="1"/>
    <x v="0"/>
    <n v="904"/>
    <x v="17"/>
    <x v="16"/>
    <x v="0"/>
    <s v="v7.8.0"/>
    <s v="Average"/>
  </r>
  <r>
    <n v="25"/>
    <n v="8253566"/>
    <x v="20"/>
    <x v="14"/>
    <s v="Perfect for daily use, highly recommend to everyone."/>
    <x v="13"/>
    <x v="1"/>
    <x v="24"/>
    <x v="0"/>
    <x v="4"/>
    <n v="501"/>
    <x v="5"/>
    <x v="17"/>
    <x v="4"/>
    <s v="11.9"/>
    <s v="Very Poor"/>
  </r>
  <r>
    <n v="26"/>
    <n v="9037326"/>
    <x v="21"/>
    <x v="10"/>
    <s v="Das lachen mich Freude."/>
    <x v="8"/>
    <x v="18"/>
    <x v="25"/>
    <x v="0"/>
    <x v="4"/>
    <n v="1141"/>
    <x v="18"/>
    <x v="12"/>
    <x v="2"/>
    <s v="7.3.18"/>
    <s v="Average"/>
  </r>
  <r>
    <n v="27"/>
    <n v="7199076"/>
    <x v="22"/>
    <x v="14"/>
    <s v="Perfect for daily use, highly recommend to everyone."/>
    <x v="3"/>
    <x v="15"/>
    <x v="26"/>
    <x v="0"/>
    <x v="3"/>
    <n v="992"/>
    <x v="19"/>
    <x v="2"/>
    <x v="3"/>
    <s v="7.8.57-beta"/>
    <s v="Poor"/>
  </r>
  <r>
    <n v="28"/>
    <n v="3474754"/>
    <x v="23"/>
    <x v="5"/>
    <s v="Works perfectly on my device, no complaints at all."/>
    <x v="17"/>
    <x v="4"/>
    <x v="27"/>
    <x v="0"/>
    <x v="0"/>
    <n v="127"/>
    <x v="20"/>
    <x v="15"/>
    <x v="2"/>
    <s v="3.3"/>
    <s v="Average"/>
  </r>
  <r>
    <n v="29"/>
    <n v="6793979"/>
    <x v="21"/>
    <x v="10"/>
    <s v="Some bugs need fixing but generally satisfied with it."/>
    <x v="5"/>
    <x v="9"/>
    <x v="28"/>
    <x v="1"/>
    <x v="0"/>
    <n v="449"/>
    <x v="21"/>
    <x v="15"/>
    <x v="2"/>
    <s v="1.5.38-beta"/>
    <s v="Excellent"/>
  </r>
  <r>
    <n v="30"/>
    <n v="6364956"/>
    <x v="13"/>
    <x v="5"/>
    <s v="This app is amazing! Really love the new features."/>
    <x v="9"/>
    <x v="2"/>
    <x v="29"/>
    <x v="0"/>
    <x v="2"/>
    <n v="945"/>
    <x v="22"/>
    <x v="3"/>
    <x v="3"/>
    <s v="10.8.3.6456"/>
    <s v="Average"/>
  </r>
  <r>
    <n v="31"/>
    <n v="7674680"/>
    <x v="1"/>
    <x v="15"/>
    <s v="Great app but too many ads, consider premium version."/>
    <x v="7"/>
    <x v="2"/>
    <x v="30"/>
    <x v="0"/>
    <x v="4"/>
    <n v="63"/>
    <x v="23"/>
    <x v="2"/>
    <x v="0"/>
    <s v="14.1.60.318"/>
    <s v="Average"/>
  </r>
  <r>
    <n v="32"/>
    <n v="3869795"/>
    <x v="24"/>
    <x v="9"/>
    <s v="The interface could be better but overall good experience."/>
    <x v="12"/>
    <x v="16"/>
    <x v="31"/>
    <x v="0"/>
    <x v="4"/>
    <n v="1185"/>
    <x v="0"/>
    <x v="18"/>
    <x v="4"/>
    <s v="12.4"/>
    <s v="Excellent"/>
  </r>
  <r>
    <n v="33"/>
    <n v="452896"/>
    <x v="0"/>
    <x v="1"/>
    <s v="No Review"/>
    <x v="10"/>
    <x v="18"/>
    <x v="32"/>
    <x v="0"/>
    <x v="1"/>
    <n v="141"/>
    <x v="8"/>
    <x v="6"/>
    <x v="3"/>
    <s v="2.4.87"/>
    <s v="Average"/>
  </r>
  <r>
    <n v="34"/>
    <n v="4772073"/>
    <x v="13"/>
    <x v="5"/>
    <s v="Some bugs need fixing but generally satisfied with it."/>
    <x v="18"/>
    <x v="19"/>
    <x v="33"/>
    <x v="0"/>
    <x v="3"/>
    <n v="549"/>
    <x v="24"/>
    <x v="2"/>
    <x v="1"/>
    <s v="v7.2.93"/>
    <s v="Poor"/>
  </r>
  <r>
    <n v="35"/>
    <n v="3694297"/>
    <x v="5"/>
    <x v="6"/>
    <s v="Latest update broke some features, please fix soon."/>
    <x v="17"/>
    <x v="15"/>
    <x v="34"/>
    <x v="0"/>
    <x v="3"/>
    <n v="565"/>
    <x v="14"/>
    <x v="19"/>
    <x v="4"/>
    <s v="8.5"/>
    <s v="Poor"/>
  </r>
  <r>
    <n v="36"/>
    <n v="9680513"/>
    <x v="9"/>
    <x v="10"/>
    <s v="Perfect for daily use, highly recommend to everyone."/>
    <x v="19"/>
    <x v="13"/>
    <x v="35"/>
    <x v="0"/>
    <x v="1"/>
    <n v="969"/>
    <x v="14"/>
    <x v="13"/>
    <x v="3"/>
    <s v="8.0"/>
    <s v="Average"/>
  </r>
  <r>
    <n v="37"/>
    <n v="4176817"/>
    <x v="17"/>
    <x v="1"/>
    <s v="Scoprire considerare bello insomma infine libertà quasi."/>
    <x v="13"/>
    <x v="20"/>
    <x v="36"/>
    <x v="1"/>
    <x v="0"/>
    <n v="566"/>
    <x v="25"/>
    <x v="4"/>
    <x v="4"/>
    <s v="2.3.40.1959"/>
    <s v="Very Poor"/>
  </r>
  <r>
    <n v="38"/>
    <n v="1751177"/>
    <x v="25"/>
    <x v="6"/>
    <s v="Покидать деловой хлеб низкий. Чем передо пробовать заработать костер."/>
    <x v="8"/>
    <x v="21"/>
    <x v="37"/>
    <x v="0"/>
    <x v="0"/>
    <n v="210"/>
    <x v="6"/>
    <x v="19"/>
    <x v="4"/>
    <s v="12.8.16"/>
    <s v="Excellent"/>
  </r>
  <r>
    <n v="39"/>
    <n v="9332926"/>
    <x v="9"/>
    <x v="0"/>
    <s v="This app is amazing! Really love the new features."/>
    <x v="14"/>
    <x v="1"/>
    <x v="38"/>
    <x v="0"/>
    <x v="3"/>
    <n v="622"/>
    <x v="1"/>
    <x v="2"/>
    <x v="1"/>
    <s v="14.1.51"/>
    <s v="Very Poor"/>
  </r>
  <r>
    <n v="40"/>
    <n v="9169560"/>
    <x v="21"/>
    <x v="9"/>
    <s v="Excellent customer support and regular feature updates."/>
    <x v="2"/>
    <x v="17"/>
    <x v="39"/>
    <x v="0"/>
    <x v="4"/>
    <n v="425"/>
    <x v="19"/>
    <x v="20"/>
    <x v="3"/>
    <s v="Unknown"/>
    <s v="Average"/>
  </r>
  <r>
    <n v="41"/>
    <n v="1664689"/>
    <x v="22"/>
    <x v="10"/>
    <s v="創傷ホイールバス状況極端な。"/>
    <x v="15"/>
    <x v="20"/>
    <x v="40"/>
    <x v="0"/>
    <x v="1"/>
    <n v="1207"/>
    <x v="7"/>
    <x v="20"/>
    <x v="2"/>
    <s v="v5.0.29"/>
    <s v="Very Poor"/>
  </r>
  <r>
    <n v="42"/>
    <n v="6650190"/>
    <x v="14"/>
    <x v="7"/>
    <s v="User-friendly design and smooth performance throughout."/>
    <x v="8"/>
    <x v="22"/>
    <x v="41"/>
    <x v="0"/>
    <x v="0"/>
    <n v="557"/>
    <x v="8"/>
    <x v="5"/>
    <x v="2"/>
    <s v="v13.4.76"/>
    <s v="Poor"/>
  </r>
  <r>
    <n v="43"/>
    <n v="4885687"/>
    <x v="26"/>
    <x v="3"/>
    <s v="Crashes too often, needs improvement in stability."/>
    <x v="18"/>
    <x v="18"/>
    <x v="42"/>
    <x v="1"/>
    <x v="0"/>
    <n v="569"/>
    <x v="22"/>
    <x v="4"/>
    <x v="2"/>
    <s v="v4.9.75"/>
    <s v="Average"/>
  </r>
  <r>
    <n v="44"/>
    <n v="9424245"/>
    <x v="27"/>
    <x v="7"/>
    <s v="Works perfectly on my device, no complaints at all."/>
    <x v="0"/>
    <x v="23"/>
    <x v="43"/>
    <x v="1"/>
    <x v="4"/>
    <n v="644"/>
    <x v="11"/>
    <x v="11"/>
    <x v="1"/>
    <s v="v6.6.88"/>
    <s v="Very Poor"/>
  </r>
  <r>
    <n v="45"/>
    <n v="8264991"/>
    <x v="10"/>
    <x v="9"/>
    <s v="User-friendly design and smooth performance throughout."/>
    <x v="3"/>
    <x v="24"/>
    <x v="44"/>
    <x v="0"/>
    <x v="4"/>
    <n v="416"/>
    <x v="21"/>
    <x v="5"/>
    <x v="0"/>
    <s v="v7.0.24"/>
    <s v="Poor"/>
  </r>
  <r>
    <n v="46"/>
    <n v="5077931"/>
    <x v="28"/>
    <x v="1"/>
    <s v="The interface could be better but overall good experience."/>
    <x v="7"/>
    <x v="5"/>
    <x v="45"/>
    <x v="0"/>
    <x v="4"/>
    <n v="945"/>
    <x v="23"/>
    <x v="12"/>
    <x v="0"/>
    <s v="12.2.39"/>
    <s v="Excellent"/>
  </r>
  <r>
    <n v="47"/>
    <n v="9817032"/>
    <x v="9"/>
    <x v="1"/>
    <s v="Рот человечек мелькнуть единый набор вариант выраженный. Господь дошлый парень бабочка дьявол проход плясать. Выразить миф господь разводить прежний."/>
    <x v="14"/>
    <x v="14"/>
    <x v="46"/>
    <x v="0"/>
    <x v="1"/>
    <n v="849"/>
    <x v="26"/>
    <x v="13"/>
    <x v="3"/>
    <s v="8.8"/>
    <s v="Excellent"/>
  </r>
  <r>
    <n v="48"/>
    <n v="3526900"/>
    <x v="11"/>
    <x v="5"/>
    <s v="Some bugs need fixing but generally satisfied with it."/>
    <x v="20"/>
    <x v="24"/>
    <x v="47"/>
    <x v="1"/>
    <x v="1"/>
    <n v="386"/>
    <x v="5"/>
    <x v="8"/>
    <x v="0"/>
    <s v="v8.8.61"/>
    <s v="Poor"/>
  </r>
  <r>
    <n v="49"/>
    <n v="5371130"/>
    <x v="21"/>
    <x v="2"/>
    <s v="Excellent customer support and regular feature updates."/>
    <x v="17"/>
    <x v="14"/>
    <x v="48"/>
    <x v="0"/>
    <x v="0"/>
    <n v="204"/>
    <x v="27"/>
    <x v="10"/>
    <x v="1"/>
    <s v="11.2"/>
    <s v="Excellent"/>
  </r>
  <r>
    <n v="50"/>
    <n v="6740184"/>
    <x v="17"/>
    <x v="4"/>
    <s v="Srebro obiekt zdrowie wywołać. Co gniew Polak pięć. Pracownik dziedzina okręt chyba bogini gazeta silny."/>
    <x v="20"/>
    <x v="21"/>
    <x v="49"/>
    <x v="0"/>
    <x v="0"/>
    <n v="1108"/>
    <x v="28"/>
    <x v="21"/>
    <x v="1"/>
    <s v="v10.6.83"/>
    <s v="Excellent"/>
  </r>
  <r>
    <n v="51"/>
    <n v="5175395"/>
    <x v="27"/>
    <x v="0"/>
    <s v="This app is amazing! Really love the new features."/>
    <x v="19"/>
    <x v="25"/>
    <x v="50"/>
    <x v="1"/>
    <x v="0"/>
    <n v="298"/>
    <x v="18"/>
    <x v="13"/>
    <x v="2"/>
    <s v="8.2.88"/>
    <s v="Poor"/>
  </r>
  <r>
    <n v="52"/>
    <n v="8974152"/>
    <x v="29"/>
    <x v="1"/>
    <s v="User-friendly design and smooth performance throughout."/>
    <x v="1"/>
    <x v="13"/>
    <x v="51"/>
    <x v="1"/>
    <x v="0"/>
    <n v="589"/>
    <x v="9"/>
    <x v="5"/>
    <x v="0"/>
    <s v="8.9.18-beta"/>
    <s v="Average"/>
  </r>
  <r>
    <n v="53"/>
    <n v="9404682"/>
    <x v="17"/>
    <x v="9"/>
    <s v="Works perfectly on my device, no complaints at all."/>
    <x v="21"/>
    <x v="25"/>
    <x v="52"/>
    <x v="1"/>
    <x v="1"/>
    <n v="604"/>
    <x v="0"/>
    <x v="16"/>
    <x v="2"/>
    <s v="14.4.25-beta"/>
    <s v="Poor"/>
  </r>
  <r>
    <n v="54"/>
    <n v="1837893"/>
    <x v="28"/>
    <x v="10"/>
    <s v="Freude warum sie die. Nichts schön erklären Onkel fressen. Flasche weit baden Onkel turnen Auge Glas."/>
    <x v="13"/>
    <x v="26"/>
    <x v="53"/>
    <x v="1"/>
    <x v="2"/>
    <n v="198"/>
    <x v="29"/>
    <x v="6"/>
    <x v="1"/>
    <s v="14.4.99.3771"/>
    <s v="Average"/>
  </r>
  <r>
    <n v="55"/>
    <n v="4494880"/>
    <x v="20"/>
    <x v="4"/>
    <s v="Qui mollitia incidunt ab. Velit porro corrupti alias. Nesciunt corporis consectetur est tempore recusandae."/>
    <x v="6"/>
    <x v="12"/>
    <x v="54"/>
    <x v="0"/>
    <x v="2"/>
    <n v="526"/>
    <x v="30"/>
    <x v="17"/>
    <x v="3"/>
    <s v="12.6"/>
    <s v="Excellent"/>
  </r>
  <r>
    <n v="56"/>
    <n v="6103042"/>
    <x v="30"/>
    <x v="2"/>
    <s v="Some bugs need fixing but generally satisfied with it."/>
    <x v="22"/>
    <x v="24"/>
    <x v="55"/>
    <x v="1"/>
    <x v="1"/>
    <n v="1197"/>
    <x v="16"/>
    <x v="6"/>
    <x v="3"/>
    <s v="14.8.46-beta"/>
    <s v="Poor"/>
  </r>
  <r>
    <n v="57"/>
    <n v="4286414"/>
    <x v="29"/>
    <x v="1"/>
    <s v="The interface could be better but overall good experience."/>
    <x v="14"/>
    <x v="7"/>
    <x v="56"/>
    <x v="0"/>
    <x v="4"/>
    <n v="623"/>
    <x v="31"/>
    <x v="12"/>
    <x v="1"/>
    <s v="v11.1.81"/>
    <s v="Very Poor"/>
  </r>
  <r>
    <n v="58"/>
    <n v="6033742"/>
    <x v="10"/>
    <x v="16"/>
    <s v="Latest update broke some features, please fix soon."/>
    <x v="2"/>
    <x v="3"/>
    <x v="57"/>
    <x v="0"/>
    <x v="2"/>
    <n v="908"/>
    <x v="17"/>
    <x v="2"/>
    <x v="3"/>
    <s v="10.2.53-beta"/>
    <s v="Average"/>
  </r>
  <r>
    <n v="59"/>
    <n v="6917881"/>
    <x v="31"/>
    <x v="15"/>
    <s v="Excellent customer support and regular feature updates."/>
    <x v="23"/>
    <x v="7"/>
    <x v="58"/>
    <x v="1"/>
    <x v="1"/>
    <n v="498"/>
    <x v="32"/>
    <x v="4"/>
    <x v="0"/>
    <s v="4.1"/>
    <s v="Very Poor"/>
  </r>
  <r>
    <n v="60"/>
    <n v="2692974"/>
    <x v="5"/>
    <x v="5"/>
    <s v="Потом ремень конструкция слишком заплакать. Ложиться обида карандаш правление низкий идея."/>
    <x v="12"/>
    <x v="27"/>
    <x v="59"/>
    <x v="0"/>
    <x v="4"/>
    <n v="269"/>
    <x v="33"/>
    <x v="22"/>
    <x v="0"/>
    <s v="13.9"/>
    <s v="Very Poor"/>
  </r>
  <r>
    <n v="61"/>
    <n v="6517985"/>
    <x v="2"/>
    <x v="3"/>
    <s v="User-friendly design and smooth performance throughout."/>
    <x v="6"/>
    <x v="20"/>
    <x v="60"/>
    <x v="0"/>
    <x v="3"/>
    <n v="88"/>
    <x v="25"/>
    <x v="16"/>
    <x v="4"/>
    <s v="8.7.99.5932"/>
    <s v="Very Poor"/>
  </r>
  <r>
    <n v="62"/>
    <n v="7996868"/>
    <x v="32"/>
    <x v="0"/>
    <s v="The interface could be better but overall good experience."/>
    <x v="14"/>
    <x v="15"/>
    <x v="61"/>
    <x v="0"/>
    <x v="3"/>
    <n v="1123"/>
    <x v="13"/>
    <x v="11"/>
    <x v="2"/>
    <s v="v8.7.9"/>
    <s v="Poor"/>
  </r>
  <r>
    <n v="63"/>
    <n v="7822606"/>
    <x v="2"/>
    <x v="8"/>
    <s v="User-friendly design and smooth performance throughout."/>
    <x v="20"/>
    <x v="10"/>
    <x v="62"/>
    <x v="0"/>
    <x v="4"/>
    <n v="640"/>
    <x v="4"/>
    <x v="11"/>
    <x v="3"/>
    <s v="12.3"/>
    <s v="Poor"/>
  </r>
  <r>
    <n v="64"/>
    <n v="3918418"/>
    <x v="23"/>
    <x v="16"/>
    <s v="Some bugs need fixing but generally satisfied with it."/>
    <x v="0"/>
    <x v="28"/>
    <x v="63"/>
    <x v="0"/>
    <x v="4"/>
    <n v="841"/>
    <x v="34"/>
    <x v="16"/>
    <x v="2"/>
    <s v="2.5.16"/>
    <s v="Poor"/>
  </r>
  <r>
    <n v="65"/>
    <n v="3340180"/>
    <x v="4"/>
    <x v="14"/>
    <s v="Eveniet sint vitae eius odit id. Ex adipisci soluta ea neque voluptates alias. Ipsa quas et non maiores harum nemo ducimus."/>
    <x v="10"/>
    <x v="29"/>
    <x v="64"/>
    <x v="0"/>
    <x v="1"/>
    <n v="1175"/>
    <x v="35"/>
    <x v="15"/>
    <x v="4"/>
    <s v="4.2"/>
    <s v="Very Poor"/>
  </r>
  <r>
    <n v="66"/>
    <n v="128374"/>
    <x v="3"/>
    <x v="6"/>
    <s v="Crashes too often, needs improvement in stability."/>
    <x v="14"/>
    <x v="30"/>
    <x v="65"/>
    <x v="0"/>
    <x v="0"/>
    <n v="142"/>
    <x v="36"/>
    <x v="7"/>
    <x v="1"/>
    <s v="v3.4.89"/>
    <s v="Average"/>
  </r>
  <r>
    <n v="67"/>
    <n v="3405700"/>
    <x v="25"/>
    <x v="4"/>
    <s v="Excellent customer support and regular feature updates."/>
    <x v="2"/>
    <x v="13"/>
    <x v="66"/>
    <x v="0"/>
    <x v="1"/>
    <n v="907"/>
    <x v="7"/>
    <x v="15"/>
    <x v="2"/>
    <s v="13.9.76"/>
    <s v="Average"/>
  </r>
  <r>
    <n v="68"/>
    <n v="1273965"/>
    <x v="2"/>
    <x v="12"/>
    <s v="Works perfectly on my device, no complaints at all."/>
    <x v="5"/>
    <x v="7"/>
    <x v="67"/>
    <x v="0"/>
    <x v="2"/>
    <n v="617"/>
    <x v="23"/>
    <x v="20"/>
    <x v="0"/>
    <s v="v11.9.62"/>
    <s v="Very Poor"/>
  </r>
  <r>
    <n v="69"/>
    <n v="5366630"/>
    <x v="33"/>
    <x v="2"/>
    <s v="This app is amazing! Really love the new features."/>
    <x v="16"/>
    <x v="23"/>
    <x v="68"/>
    <x v="0"/>
    <x v="4"/>
    <n v="641"/>
    <x v="37"/>
    <x v="15"/>
    <x v="4"/>
    <s v="v9.3.64"/>
    <s v="Very Poor"/>
  </r>
  <r>
    <n v="70"/>
    <n v="5138571"/>
    <x v="34"/>
    <x v="9"/>
    <s v="Excellent customer support and regular feature updates."/>
    <x v="20"/>
    <x v="18"/>
    <x v="69"/>
    <x v="0"/>
    <x v="0"/>
    <n v="635"/>
    <x v="38"/>
    <x v="11"/>
    <x v="0"/>
    <s v="14.5.11"/>
    <s v="Average"/>
  </r>
  <r>
    <n v="71"/>
    <n v="6951696"/>
    <x v="16"/>
    <x v="13"/>
    <s v="Crashes too often, needs improvement in stability."/>
    <x v="5"/>
    <x v="1"/>
    <x v="70"/>
    <x v="0"/>
    <x v="4"/>
    <n v="362"/>
    <x v="23"/>
    <x v="6"/>
    <x v="2"/>
    <s v="12.2"/>
    <s v="Very Poor"/>
  </r>
  <r>
    <n v="72"/>
    <n v="5060271"/>
    <x v="0"/>
    <x v="4"/>
    <s v="Latest update broke some features, please fix soon."/>
    <x v="1"/>
    <x v="17"/>
    <x v="71"/>
    <x v="0"/>
    <x v="1"/>
    <n v="1039"/>
    <x v="39"/>
    <x v="18"/>
    <x v="2"/>
    <s v="14.5.19"/>
    <s v="Average"/>
  </r>
  <r>
    <n v="73"/>
    <n v="3318542"/>
    <x v="23"/>
    <x v="14"/>
    <s v="Excellent customer support and regular feature updates."/>
    <x v="3"/>
    <x v="8"/>
    <x v="72"/>
    <x v="1"/>
    <x v="3"/>
    <n v="974"/>
    <x v="8"/>
    <x v="23"/>
    <x v="1"/>
    <s v="7.7.74"/>
    <s v="Very Poor"/>
  </r>
  <r>
    <n v="74"/>
    <n v="6461002"/>
    <x v="19"/>
    <x v="11"/>
    <s v="Great app but too many ads, consider premium version."/>
    <x v="10"/>
    <x v="12"/>
    <x v="73"/>
    <x v="1"/>
    <x v="0"/>
    <n v="837"/>
    <x v="40"/>
    <x v="11"/>
    <x v="4"/>
    <s v="4.7.56.8587"/>
    <s v="Excellent"/>
  </r>
  <r>
    <n v="75"/>
    <n v="3019694"/>
    <x v="21"/>
    <x v="12"/>
    <s v="Crashes too often, needs improvement in stability."/>
    <x v="10"/>
    <x v="22"/>
    <x v="74"/>
    <x v="0"/>
    <x v="0"/>
    <n v="264"/>
    <x v="41"/>
    <x v="8"/>
    <x v="1"/>
    <s v="5.9.19"/>
    <s v="Poor"/>
  </r>
  <r>
    <n v="76"/>
    <n v="5149101"/>
    <x v="6"/>
    <x v="3"/>
    <s v="Crashes too often, needs improvement in stability."/>
    <x v="13"/>
    <x v="25"/>
    <x v="75"/>
    <x v="0"/>
    <x v="0"/>
    <n v="393"/>
    <x v="35"/>
    <x v="23"/>
    <x v="0"/>
    <s v="11.6.65"/>
    <s v="Poor"/>
  </r>
  <r>
    <n v="77"/>
    <n v="106810"/>
    <x v="6"/>
    <x v="11"/>
    <s v="Crashes too often, needs improvement in stability."/>
    <x v="12"/>
    <x v="31"/>
    <x v="76"/>
    <x v="0"/>
    <x v="3"/>
    <n v="339"/>
    <x v="25"/>
    <x v="10"/>
    <x v="1"/>
    <s v="11.5.98.2148"/>
    <s v="Good"/>
  </r>
  <r>
    <n v="78"/>
    <n v="3626280"/>
    <x v="22"/>
    <x v="1"/>
    <s v="Excellent customer support and regular feature updates."/>
    <x v="11"/>
    <x v="24"/>
    <x v="77"/>
    <x v="0"/>
    <x v="1"/>
    <n v="782"/>
    <x v="8"/>
    <x v="13"/>
    <x v="2"/>
    <s v="9.3"/>
    <s v="Poor"/>
  </r>
  <r>
    <n v="79"/>
    <n v="5506444"/>
    <x v="9"/>
    <x v="13"/>
    <s v="Crashes too often, needs improvement in stability."/>
    <x v="1"/>
    <x v="24"/>
    <x v="78"/>
    <x v="0"/>
    <x v="3"/>
    <n v="301"/>
    <x v="3"/>
    <x v="15"/>
    <x v="1"/>
    <s v="9.1.91"/>
    <s v="Poor"/>
  </r>
  <r>
    <n v="80"/>
    <n v="7518210"/>
    <x v="14"/>
    <x v="2"/>
    <s v="This app is amazing! Really love the new features."/>
    <x v="17"/>
    <x v="12"/>
    <x v="79"/>
    <x v="0"/>
    <x v="1"/>
    <n v="299"/>
    <x v="32"/>
    <x v="3"/>
    <x v="3"/>
    <s v="9.5.30"/>
    <s v="Excellent"/>
  </r>
  <r>
    <n v="81"/>
    <n v="8676076"/>
    <x v="29"/>
    <x v="6"/>
    <s v="Порог тревога правление промолчать около пламя разуметься. Направо дыхание означать горький. Табак пастух а засунуть встать."/>
    <x v="5"/>
    <x v="18"/>
    <x v="80"/>
    <x v="0"/>
    <x v="4"/>
    <n v="590"/>
    <x v="18"/>
    <x v="18"/>
    <x v="1"/>
    <s v="15.1"/>
    <s v="Average"/>
  </r>
  <r>
    <n v="82"/>
    <n v="9758155"/>
    <x v="11"/>
    <x v="8"/>
    <s v="This app is amazing! Really love the new features."/>
    <x v="5"/>
    <x v="25"/>
    <x v="81"/>
    <x v="1"/>
    <x v="3"/>
    <n v="853"/>
    <x v="22"/>
    <x v="16"/>
    <x v="1"/>
    <s v="1.8"/>
    <s v="Poor"/>
  </r>
  <r>
    <n v="83"/>
    <n v="6542089"/>
    <x v="35"/>
    <x v="8"/>
    <s v="看到发布表示完成完全浏览继续. 所以原因查看他们一些. 开发能够登录一定."/>
    <x v="23"/>
    <x v="25"/>
    <x v="82"/>
    <x v="0"/>
    <x v="4"/>
    <n v="706"/>
    <x v="18"/>
    <x v="7"/>
    <x v="1"/>
    <s v="1.6.60-beta"/>
    <s v="Poor"/>
  </r>
  <r>
    <n v="84"/>
    <n v="7525149"/>
    <x v="19"/>
    <x v="9"/>
    <s v="User-friendly design and smooth performance throughout."/>
    <x v="2"/>
    <x v="22"/>
    <x v="83"/>
    <x v="1"/>
    <x v="4"/>
    <n v="408"/>
    <x v="42"/>
    <x v="3"/>
    <x v="3"/>
    <s v="12.7"/>
    <s v="Poor"/>
  </r>
  <r>
    <n v="85"/>
    <n v="8568772"/>
    <x v="18"/>
    <x v="12"/>
    <s v="Great app but too many ads, consider premium version."/>
    <x v="16"/>
    <x v="9"/>
    <x v="84"/>
    <x v="0"/>
    <x v="0"/>
    <n v="791"/>
    <x v="26"/>
    <x v="9"/>
    <x v="2"/>
    <s v="v6.0.83"/>
    <s v="Excellent"/>
  </r>
  <r>
    <n v="86"/>
    <n v="7581188"/>
    <x v="32"/>
    <x v="3"/>
    <s v="The interface could be better but overall good experience."/>
    <x v="17"/>
    <x v="2"/>
    <x v="85"/>
    <x v="0"/>
    <x v="1"/>
    <n v="913"/>
    <x v="41"/>
    <x v="8"/>
    <x v="2"/>
    <s v="v7.9.23"/>
    <s v="Average"/>
  </r>
  <r>
    <n v="87"/>
    <n v="8063715"/>
    <x v="29"/>
    <x v="16"/>
    <s v="Crashes too often, needs improvement in stability."/>
    <x v="23"/>
    <x v="1"/>
    <x v="86"/>
    <x v="0"/>
    <x v="3"/>
    <n v="897"/>
    <x v="28"/>
    <x v="23"/>
    <x v="1"/>
    <s v="v5.0.9"/>
    <s v="Very Poor"/>
  </r>
  <r>
    <n v="88"/>
    <n v="4247994"/>
    <x v="36"/>
    <x v="9"/>
    <s v="Great app but too many ads, consider premium version."/>
    <x v="20"/>
    <x v="28"/>
    <x v="87"/>
    <x v="1"/>
    <x v="1"/>
    <n v="511"/>
    <x v="43"/>
    <x v="12"/>
    <x v="1"/>
    <s v="6.5.56.1260"/>
    <s v="Poor"/>
  </r>
  <r>
    <n v="89"/>
    <n v="4752512"/>
    <x v="17"/>
    <x v="9"/>
    <s v="The interface could be better but overall good experience."/>
    <x v="11"/>
    <x v="32"/>
    <x v="88"/>
    <x v="1"/>
    <x v="0"/>
    <n v="179"/>
    <x v="44"/>
    <x v="16"/>
    <x v="3"/>
    <s v="4.9"/>
    <s v="Very Poor"/>
  </r>
  <r>
    <n v="90"/>
    <n v="8845959"/>
    <x v="34"/>
    <x v="7"/>
    <s v="Occaecati earum aspernatur enim earum eum molestiae."/>
    <x v="7"/>
    <x v="11"/>
    <x v="89"/>
    <x v="0"/>
    <x v="4"/>
    <n v="739"/>
    <x v="14"/>
    <x v="4"/>
    <x v="3"/>
    <s v="13.5.65"/>
    <s v="Good"/>
  </r>
  <r>
    <n v="91"/>
    <n v="3979923"/>
    <x v="31"/>
    <x v="10"/>
    <s v="Great app but too many ads, consider premium version."/>
    <x v="3"/>
    <x v="0"/>
    <x v="90"/>
    <x v="1"/>
    <x v="0"/>
    <n v="1059"/>
    <x v="34"/>
    <x v="23"/>
    <x v="4"/>
    <s v="9.6.98.6709"/>
    <s v="Very Poor"/>
  </r>
  <r>
    <n v="92"/>
    <n v="2663646"/>
    <x v="14"/>
    <x v="0"/>
    <s v="Perfect for daily use, highly recommend to everyone."/>
    <x v="10"/>
    <x v="21"/>
    <x v="91"/>
    <x v="0"/>
    <x v="3"/>
    <n v="581"/>
    <x v="2"/>
    <x v="0"/>
    <x v="3"/>
    <s v="9.2"/>
    <s v="Excellent"/>
  </r>
  <r>
    <n v="93"/>
    <n v="1177581"/>
    <x v="23"/>
    <x v="14"/>
    <s v="Excellent customer support and regular feature updates."/>
    <x v="4"/>
    <x v="9"/>
    <x v="92"/>
    <x v="0"/>
    <x v="1"/>
    <n v="1154"/>
    <x v="28"/>
    <x v="19"/>
    <x v="1"/>
    <s v="11.2"/>
    <s v="Excellent"/>
  </r>
  <r>
    <n v="94"/>
    <n v="5651268"/>
    <x v="1"/>
    <x v="6"/>
    <s v="Works perfectly on my device, no complaints at all."/>
    <x v="19"/>
    <x v="24"/>
    <x v="93"/>
    <x v="0"/>
    <x v="4"/>
    <n v="323"/>
    <x v="17"/>
    <x v="15"/>
    <x v="2"/>
    <s v="8.8.37-beta"/>
    <s v="Poor"/>
  </r>
  <r>
    <n v="95"/>
    <n v="7075534"/>
    <x v="16"/>
    <x v="2"/>
    <s v="User-friendly design and smooth performance throughout."/>
    <x v="22"/>
    <x v="15"/>
    <x v="94"/>
    <x v="0"/>
    <x v="2"/>
    <n v="288"/>
    <x v="45"/>
    <x v="3"/>
    <x v="3"/>
    <s v="3.5.65"/>
    <s v="Poor"/>
  </r>
  <r>
    <n v="96"/>
    <n v="7148838"/>
    <x v="37"/>
    <x v="4"/>
    <s v="Latest update broke some features, please fix soon."/>
    <x v="18"/>
    <x v="23"/>
    <x v="95"/>
    <x v="1"/>
    <x v="0"/>
    <n v="1035"/>
    <x v="46"/>
    <x v="2"/>
    <x v="0"/>
    <s v="4.2.63-beta"/>
    <s v="Very Poor"/>
  </r>
  <r>
    <n v="97"/>
    <n v="9899226"/>
    <x v="9"/>
    <x v="12"/>
    <s v="Sonno rimanere giovane. Tu esame giù."/>
    <x v="20"/>
    <x v="33"/>
    <x v="96"/>
    <x v="0"/>
    <x v="0"/>
    <n v="104"/>
    <x v="37"/>
    <x v="5"/>
    <x v="0"/>
    <s v="9.0"/>
    <s v="Poor"/>
  </r>
  <r>
    <n v="98"/>
    <n v="9129842"/>
    <x v="29"/>
    <x v="0"/>
    <s v="Great app but too many ads, consider premium version."/>
    <x v="14"/>
    <x v="8"/>
    <x v="97"/>
    <x v="1"/>
    <x v="3"/>
    <n v="822"/>
    <x v="8"/>
    <x v="3"/>
    <x v="1"/>
    <s v="v3.1.50"/>
    <s v="Very Poor"/>
  </r>
  <r>
    <n v="99"/>
    <n v="9262579"/>
    <x v="35"/>
    <x v="5"/>
    <s v="Stupido malattia donna magari già posare sbagliare qualità. Tempo vino morale sviluppo ora popolazione avvicinare."/>
    <x v="21"/>
    <x v="28"/>
    <x v="98"/>
    <x v="0"/>
    <x v="3"/>
    <n v="1090"/>
    <x v="31"/>
    <x v="8"/>
    <x v="4"/>
    <s v="6.9.40-beta"/>
    <s v="Poor"/>
  </r>
  <r>
    <n v="100"/>
    <n v="7846014"/>
    <x v="8"/>
    <x v="12"/>
    <s v="Amet fugiat distinctio eveniet. Eius veritatis in rerum iusto quibusdam. Voluptatum expedita officiis."/>
    <x v="21"/>
    <x v="20"/>
    <x v="99"/>
    <x v="1"/>
    <x v="4"/>
    <n v="1195"/>
    <x v="47"/>
    <x v="9"/>
    <x v="4"/>
    <s v="v13.0.76"/>
    <s v="Very Poor"/>
  </r>
  <r>
    <n v="101"/>
    <n v="775419"/>
    <x v="15"/>
    <x v="0"/>
    <s v="Perfect for daily use, highly recommend to everyone."/>
    <x v="16"/>
    <x v="34"/>
    <x v="100"/>
    <x v="0"/>
    <x v="3"/>
    <n v="965"/>
    <x v="6"/>
    <x v="7"/>
    <x v="1"/>
    <s v="4.0.56-beta"/>
    <s v="Average"/>
  </r>
  <r>
    <n v="102"/>
    <n v="4248725"/>
    <x v="21"/>
    <x v="4"/>
    <s v="Latest update broke some features, please fix soon."/>
    <x v="5"/>
    <x v="19"/>
    <x v="101"/>
    <x v="0"/>
    <x v="2"/>
    <n v="571"/>
    <x v="14"/>
    <x v="18"/>
    <x v="0"/>
    <s v="3.7.68.5609"/>
    <s v="Poor"/>
  </r>
  <r>
    <n v="103"/>
    <n v="2656551"/>
    <x v="11"/>
    <x v="4"/>
    <s v="Some bugs need fixing but generally satisfied with it."/>
    <x v="20"/>
    <x v="9"/>
    <x v="102"/>
    <x v="0"/>
    <x v="0"/>
    <n v="706"/>
    <x v="43"/>
    <x v="23"/>
    <x v="3"/>
    <s v="v8.5.71"/>
    <s v="Excellent"/>
  </r>
  <r>
    <n v="104"/>
    <n v="8045036"/>
    <x v="9"/>
    <x v="17"/>
    <s v="Excellent customer support and regular feature updates."/>
    <x v="4"/>
    <x v="30"/>
    <x v="103"/>
    <x v="0"/>
    <x v="2"/>
    <n v="103"/>
    <x v="7"/>
    <x v="13"/>
    <x v="0"/>
    <s v="v4.8.34"/>
    <s v="Average"/>
  </r>
  <r>
    <n v="105"/>
    <n v="9561839"/>
    <x v="33"/>
    <x v="6"/>
    <s v="Latest update broke some features, please fix soon."/>
    <x v="17"/>
    <x v="15"/>
    <x v="104"/>
    <x v="0"/>
    <x v="4"/>
    <n v="183"/>
    <x v="15"/>
    <x v="4"/>
    <x v="0"/>
    <s v="9.2.52-beta"/>
    <s v="Poor"/>
  </r>
  <r>
    <n v="106"/>
    <n v="4399055"/>
    <x v="19"/>
    <x v="11"/>
    <s v="Cold parent security boy standard who. Official up office traditional."/>
    <x v="21"/>
    <x v="17"/>
    <x v="105"/>
    <x v="0"/>
    <x v="1"/>
    <n v="582"/>
    <x v="46"/>
    <x v="6"/>
    <x v="4"/>
    <s v="v14.6.63"/>
    <s v="Average"/>
  </r>
  <r>
    <n v="107"/>
    <n v="3427421"/>
    <x v="2"/>
    <x v="4"/>
    <s v="Great app but too many ads, consider premium version."/>
    <x v="19"/>
    <x v="30"/>
    <x v="106"/>
    <x v="0"/>
    <x v="2"/>
    <n v="359"/>
    <x v="48"/>
    <x v="6"/>
    <x v="2"/>
    <s v="3.7"/>
    <s v="Average"/>
  </r>
  <r>
    <n v="108"/>
    <n v="4174336"/>
    <x v="33"/>
    <x v="10"/>
    <s v="Latest update broke some features, please fix soon."/>
    <x v="17"/>
    <x v="22"/>
    <x v="107"/>
    <x v="1"/>
    <x v="3"/>
    <n v="23"/>
    <x v="11"/>
    <x v="6"/>
    <x v="3"/>
    <s v="6.3.0-beta"/>
    <s v="Poor"/>
  </r>
  <r>
    <n v="109"/>
    <n v="5159717"/>
    <x v="35"/>
    <x v="12"/>
    <s v="Perfect for daily use, highly recommend to everyone."/>
    <x v="14"/>
    <x v="19"/>
    <x v="108"/>
    <x v="1"/>
    <x v="0"/>
    <n v="1240"/>
    <x v="49"/>
    <x v="15"/>
    <x v="4"/>
    <s v="v12.1.81"/>
    <s v="Poor"/>
  </r>
  <r>
    <n v="110"/>
    <n v="2130966"/>
    <x v="28"/>
    <x v="3"/>
    <s v="Quos expedita incidunt fuga magni exercitationem sed."/>
    <x v="0"/>
    <x v="9"/>
    <x v="109"/>
    <x v="0"/>
    <x v="2"/>
    <n v="1172"/>
    <x v="50"/>
    <x v="23"/>
    <x v="0"/>
    <s v="9.7.67"/>
    <s v="Excellent"/>
  </r>
  <r>
    <n v="111"/>
    <n v="1870648"/>
    <x v="23"/>
    <x v="14"/>
    <s v="Excellent customer support and regular feature updates."/>
    <x v="2"/>
    <x v="4"/>
    <x v="110"/>
    <x v="0"/>
    <x v="1"/>
    <n v="44"/>
    <x v="51"/>
    <x v="24"/>
    <x v="1"/>
    <s v="8.0.58.2162"/>
    <s v="Average"/>
  </r>
  <r>
    <n v="112"/>
    <n v="7813146"/>
    <x v="14"/>
    <x v="3"/>
    <s v="Crashes too often, needs improvement in stability."/>
    <x v="3"/>
    <x v="16"/>
    <x v="111"/>
    <x v="0"/>
    <x v="0"/>
    <n v="766"/>
    <x v="29"/>
    <x v="1"/>
    <x v="2"/>
    <s v="15.7.4-beta"/>
    <s v="Excellent"/>
  </r>
  <r>
    <n v="113"/>
    <n v="7406261"/>
    <x v="10"/>
    <x v="5"/>
    <s v="Crashes too often, needs improvement in stability."/>
    <x v="4"/>
    <x v="16"/>
    <x v="112"/>
    <x v="1"/>
    <x v="4"/>
    <n v="46"/>
    <x v="5"/>
    <x v="18"/>
    <x v="2"/>
    <s v="11.5.15.2925"/>
    <s v="Excellent"/>
  </r>
  <r>
    <n v="114"/>
    <n v="8853457"/>
    <x v="16"/>
    <x v="5"/>
    <s v="Nulla ullam quo iure repudiandae. Eaque sequi rerum assumenda sunt doloribus iure nostrum. Excepturi laudantium eveniet laborum explicabo ea."/>
    <x v="23"/>
    <x v="35"/>
    <x v="113"/>
    <x v="0"/>
    <x v="4"/>
    <n v="206"/>
    <x v="41"/>
    <x v="3"/>
    <x v="2"/>
    <s v="5.3.92"/>
    <s v="Poor"/>
  </r>
  <r>
    <n v="115"/>
    <n v="4735017"/>
    <x v="30"/>
    <x v="8"/>
    <s v="Excellent customer support and regular feature updates."/>
    <x v="17"/>
    <x v="30"/>
    <x v="114"/>
    <x v="0"/>
    <x v="1"/>
    <n v="485"/>
    <x v="52"/>
    <x v="23"/>
    <x v="4"/>
    <s v="v4.0.17"/>
    <s v="Average"/>
  </r>
  <r>
    <n v="116"/>
    <n v="8767566"/>
    <x v="19"/>
    <x v="16"/>
    <s v="Assumenda quam laborum quidem porro. Ipsum accusantium eos illo doloribus optio fuga. Minus incidunt quia ex praesentium earum dolorum."/>
    <x v="16"/>
    <x v="36"/>
    <x v="115"/>
    <x v="1"/>
    <x v="1"/>
    <n v="770"/>
    <x v="22"/>
    <x v="5"/>
    <x v="2"/>
    <s v="9.7.6-beta"/>
    <s v="Poor"/>
  </r>
  <r>
    <n v="117"/>
    <n v="3331028"/>
    <x v="14"/>
    <x v="8"/>
    <s v="Latest update broke some features, please fix soon."/>
    <x v="13"/>
    <x v="28"/>
    <x v="116"/>
    <x v="0"/>
    <x v="4"/>
    <n v="921"/>
    <x v="2"/>
    <x v="22"/>
    <x v="1"/>
    <s v="7.6"/>
    <s v="Poor"/>
  </r>
  <r>
    <n v="118"/>
    <n v="9090305"/>
    <x v="15"/>
    <x v="3"/>
    <s v="Great app but too many ads, consider premium version."/>
    <x v="19"/>
    <x v="21"/>
    <x v="117"/>
    <x v="1"/>
    <x v="4"/>
    <n v="433"/>
    <x v="53"/>
    <x v="20"/>
    <x v="1"/>
    <s v="4.9"/>
    <s v="Excellent"/>
  </r>
  <r>
    <n v="119"/>
    <n v="3206298"/>
    <x v="31"/>
    <x v="1"/>
    <s v="Great app but too many ads, consider premium version."/>
    <x v="19"/>
    <x v="35"/>
    <x v="118"/>
    <x v="0"/>
    <x v="3"/>
    <n v="1018"/>
    <x v="46"/>
    <x v="12"/>
    <x v="2"/>
    <s v="9.5.99-beta"/>
    <s v="Poor"/>
  </r>
  <r>
    <n v="120"/>
    <n v="8223504"/>
    <x v="30"/>
    <x v="5"/>
    <s v="大小正在不要图片提供."/>
    <x v="13"/>
    <x v="28"/>
    <x v="119"/>
    <x v="0"/>
    <x v="0"/>
    <n v="1166"/>
    <x v="3"/>
    <x v="2"/>
    <x v="2"/>
    <s v="1.4.70.9569"/>
    <s v="Poor"/>
  </r>
  <r>
    <n v="121"/>
    <n v="3916534"/>
    <x v="11"/>
    <x v="9"/>
    <s v="Some bugs need fixing but generally satisfied with it."/>
    <x v="3"/>
    <x v="21"/>
    <x v="120"/>
    <x v="0"/>
    <x v="3"/>
    <n v="69"/>
    <x v="3"/>
    <x v="0"/>
    <x v="1"/>
    <s v="3.5.21.2294"/>
    <s v="Excellent"/>
  </r>
  <r>
    <n v="122"/>
    <n v="5171208"/>
    <x v="38"/>
    <x v="17"/>
    <s v="No Review"/>
    <x v="18"/>
    <x v="2"/>
    <x v="121"/>
    <x v="1"/>
    <x v="4"/>
    <n v="13"/>
    <x v="50"/>
    <x v="5"/>
    <x v="2"/>
    <s v="9.7.47.991"/>
    <s v="Average"/>
  </r>
  <r>
    <n v="123"/>
    <n v="9061299"/>
    <x v="32"/>
    <x v="7"/>
    <s v="Some bugs need fixing but generally satisfied with it."/>
    <x v="1"/>
    <x v="31"/>
    <x v="122"/>
    <x v="0"/>
    <x v="1"/>
    <n v="812"/>
    <x v="1"/>
    <x v="22"/>
    <x v="2"/>
    <s v="2.1"/>
    <s v="Good"/>
  </r>
  <r>
    <n v="124"/>
    <n v="863626"/>
    <x v="23"/>
    <x v="11"/>
    <s v="This app is amazing! Really love the new features."/>
    <x v="8"/>
    <x v="32"/>
    <x v="123"/>
    <x v="0"/>
    <x v="0"/>
    <n v="888"/>
    <x v="15"/>
    <x v="11"/>
    <x v="4"/>
    <s v="2.6.48.6180"/>
    <s v="Very Poor"/>
  </r>
  <r>
    <n v="125"/>
    <n v="5001239"/>
    <x v="4"/>
    <x v="10"/>
    <s v="This app is amazing! Really love the new features."/>
    <x v="12"/>
    <x v="12"/>
    <x v="124"/>
    <x v="0"/>
    <x v="1"/>
    <n v="32"/>
    <x v="43"/>
    <x v="20"/>
    <x v="4"/>
    <s v="5.0.9.4594"/>
    <s v="Excellent"/>
  </r>
  <r>
    <n v="126"/>
    <n v="8335577"/>
    <x v="4"/>
    <x v="1"/>
    <s v="Crashes too often, needs improvement in stability."/>
    <x v="8"/>
    <x v="37"/>
    <x v="125"/>
    <x v="0"/>
    <x v="3"/>
    <n v="708"/>
    <x v="10"/>
    <x v="12"/>
    <x v="2"/>
    <s v="v10.6.86"/>
    <s v="Average"/>
  </r>
  <r>
    <n v="127"/>
    <n v="9731199"/>
    <x v="37"/>
    <x v="6"/>
    <s v="Works perfectly on my device, no complaints at all."/>
    <x v="16"/>
    <x v="32"/>
    <x v="126"/>
    <x v="0"/>
    <x v="3"/>
    <n v="778"/>
    <x v="1"/>
    <x v="21"/>
    <x v="3"/>
    <s v="11.4"/>
    <s v="Very Poor"/>
  </r>
  <r>
    <n v="128"/>
    <n v="8131491"/>
    <x v="0"/>
    <x v="5"/>
    <s v="Latest update broke some features, please fix soon."/>
    <x v="11"/>
    <x v="25"/>
    <x v="127"/>
    <x v="0"/>
    <x v="1"/>
    <n v="209"/>
    <x v="32"/>
    <x v="0"/>
    <x v="0"/>
    <s v="12.6.40"/>
    <s v="Poor"/>
  </r>
  <r>
    <n v="129"/>
    <n v="3193109"/>
    <x v="7"/>
    <x v="3"/>
    <s v="Works perfectly on my device, no complaints at all."/>
    <x v="9"/>
    <x v="37"/>
    <x v="128"/>
    <x v="0"/>
    <x v="3"/>
    <n v="497"/>
    <x v="37"/>
    <x v="13"/>
    <x v="0"/>
    <s v="10.9.41"/>
    <s v="Average"/>
  </r>
  <r>
    <n v="130"/>
    <n v="8114965"/>
    <x v="34"/>
    <x v="16"/>
    <s v="Perfect for daily use, highly recommend to everyone."/>
    <x v="4"/>
    <x v="26"/>
    <x v="129"/>
    <x v="0"/>
    <x v="3"/>
    <n v="400"/>
    <x v="46"/>
    <x v="12"/>
    <x v="0"/>
    <s v="5.6.38"/>
    <s v="Average"/>
  </r>
  <r>
    <n v="131"/>
    <n v="6822755"/>
    <x v="5"/>
    <x v="9"/>
    <s v="Excellent customer support and regular feature updates."/>
    <x v="8"/>
    <x v="8"/>
    <x v="130"/>
    <x v="0"/>
    <x v="1"/>
    <n v="363"/>
    <x v="43"/>
    <x v="1"/>
    <x v="3"/>
    <s v="6.6"/>
    <s v="Very Poor"/>
  </r>
  <r>
    <n v="132"/>
    <n v="9780808"/>
    <x v="21"/>
    <x v="15"/>
    <s v="Some bugs need fixing but generally satisfied with it."/>
    <x v="12"/>
    <x v="13"/>
    <x v="131"/>
    <x v="1"/>
    <x v="3"/>
    <n v="55"/>
    <x v="23"/>
    <x v="7"/>
    <x v="2"/>
    <s v="14.6.46.1866"/>
    <s v="Average"/>
  </r>
  <r>
    <n v="133"/>
    <n v="999411"/>
    <x v="1"/>
    <x v="10"/>
    <s v="Corrupti natus esse voluptatibus. Nam impedit nisi nulla."/>
    <x v="9"/>
    <x v="24"/>
    <x v="132"/>
    <x v="0"/>
    <x v="3"/>
    <n v="981"/>
    <x v="54"/>
    <x v="1"/>
    <x v="4"/>
    <s v="3.4"/>
    <s v="Poor"/>
  </r>
  <r>
    <n v="134"/>
    <n v="6481684"/>
    <x v="39"/>
    <x v="8"/>
    <s v="No Review"/>
    <x v="2"/>
    <x v="30"/>
    <x v="133"/>
    <x v="0"/>
    <x v="0"/>
    <n v="679"/>
    <x v="43"/>
    <x v="15"/>
    <x v="1"/>
    <s v="v10.1.13"/>
    <s v="Average"/>
  </r>
  <r>
    <n v="135"/>
    <n v="5088757"/>
    <x v="4"/>
    <x v="1"/>
    <s v="Crashes too often, needs improvement in stability."/>
    <x v="10"/>
    <x v="5"/>
    <x v="134"/>
    <x v="0"/>
    <x v="0"/>
    <n v="214"/>
    <x v="55"/>
    <x v="15"/>
    <x v="1"/>
    <s v="8.5.50.7587"/>
    <s v="Excellent"/>
  </r>
  <r>
    <n v="136"/>
    <n v="7294570"/>
    <x v="24"/>
    <x v="14"/>
    <s v="狭い数字私スキーム品質。 バスクロス教授フレーム主人コミュニティピック溝。"/>
    <x v="9"/>
    <x v="22"/>
    <x v="135"/>
    <x v="0"/>
    <x v="4"/>
    <n v="46"/>
    <x v="2"/>
    <x v="11"/>
    <x v="1"/>
    <s v="8.5.60-beta"/>
    <s v="Poor"/>
  </r>
  <r>
    <n v="137"/>
    <n v="3983526"/>
    <x v="34"/>
    <x v="4"/>
    <s v="Crashes too often, needs improvement in stability."/>
    <x v="3"/>
    <x v="2"/>
    <x v="136"/>
    <x v="1"/>
    <x v="0"/>
    <n v="59"/>
    <x v="38"/>
    <x v="14"/>
    <x v="0"/>
    <s v="9.6.59-beta"/>
    <s v="Average"/>
  </r>
  <r>
    <n v="138"/>
    <n v="4843227"/>
    <x v="40"/>
    <x v="0"/>
    <s v="The interface could be better but overall good experience."/>
    <x v="1"/>
    <x v="13"/>
    <x v="137"/>
    <x v="0"/>
    <x v="0"/>
    <n v="1080"/>
    <x v="43"/>
    <x v="6"/>
    <x v="3"/>
    <s v="v13.8.23"/>
    <s v="Average"/>
  </r>
  <r>
    <n v="139"/>
    <n v="1294198"/>
    <x v="29"/>
    <x v="7"/>
    <s v="Great app but too many ads, consider premium version."/>
    <x v="22"/>
    <x v="35"/>
    <x v="138"/>
    <x v="0"/>
    <x v="4"/>
    <n v="374"/>
    <x v="49"/>
    <x v="8"/>
    <x v="0"/>
    <s v="14.4.78"/>
    <s v="Poor"/>
  </r>
  <r>
    <n v="140"/>
    <n v="4538490"/>
    <x v="0"/>
    <x v="8"/>
    <s v="Crashes too often, needs improvement in stability."/>
    <x v="17"/>
    <x v="38"/>
    <x v="139"/>
    <x v="1"/>
    <x v="3"/>
    <n v="109"/>
    <x v="6"/>
    <x v="22"/>
    <x v="1"/>
    <s v="12.2.71-beta"/>
    <s v="Good"/>
  </r>
  <r>
    <n v="141"/>
    <n v="9995027"/>
    <x v="1"/>
    <x v="10"/>
    <s v="Perfect for daily use, highly recommend to everyone."/>
    <x v="19"/>
    <x v="23"/>
    <x v="140"/>
    <x v="0"/>
    <x v="2"/>
    <n v="1101"/>
    <x v="55"/>
    <x v="9"/>
    <x v="2"/>
    <s v="7.7.62"/>
    <s v="Very Poor"/>
  </r>
  <r>
    <n v="142"/>
    <n v="7232648"/>
    <x v="3"/>
    <x v="8"/>
    <s v="Works perfectly on my device, no complaints at all."/>
    <x v="22"/>
    <x v="37"/>
    <x v="141"/>
    <x v="0"/>
    <x v="2"/>
    <n v="609"/>
    <x v="6"/>
    <x v="3"/>
    <x v="2"/>
    <s v="14.5.69-beta"/>
    <s v="Average"/>
  </r>
  <r>
    <n v="143"/>
    <n v="3871676"/>
    <x v="12"/>
    <x v="17"/>
    <s v="Crashes too often, needs improvement in stability."/>
    <x v="5"/>
    <x v="1"/>
    <x v="142"/>
    <x v="0"/>
    <x v="2"/>
    <n v="423"/>
    <x v="44"/>
    <x v="3"/>
    <x v="4"/>
    <s v="13.9.88.5745"/>
    <s v="Very Poor"/>
  </r>
  <r>
    <n v="144"/>
    <n v="4556573"/>
    <x v="20"/>
    <x v="15"/>
    <s v="Architecto cumque esse quibusdam. Ullam ipsa iusto esse illo earum molestiae."/>
    <x v="2"/>
    <x v="5"/>
    <x v="143"/>
    <x v="0"/>
    <x v="2"/>
    <n v="271"/>
    <x v="18"/>
    <x v="23"/>
    <x v="3"/>
    <s v="14.8"/>
    <s v="Excellent"/>
  </r>
  <r>
    <n v="145"/>
    <n v="768752"/>
    <x v="3"/>
    <x v="16"/>
    <s v="Latest update broke some features, please fix soon."/>
    <x v="8"/>
    <x v="12"/>
    <x v="144"/>
    <x v="0"/>
    <x v="1"/>
    <n v="931"/>
    <x v="23"/>
    <x v="17"/>
    <x v="3"/>
    <s v="7.7.9-beta"/>
    <s v="Excellent"/>
  </r>
  <r>
    <n v="146"/>
    <n v="5507658"/>
    <x v="0"/>
    <x v="13"/>
    <s v="Historyczny szkoła rzucić łyżka akt szkodliwy Piotr dolina."/>
    <x v="18"/>
    <x v="15"/>
    <x v="145"/>
    <x v="0"/>
    <x v="1"/>
    <n v="691"/>
    <x v="14"/>
    <x v="4"/>
    <x v="0"/>
    <s v="14.1"/>
    <s v="Poor"/>
  </r>
  <r>
    <n v="147"/>
    <n v="774975"/>
    <x v="27"/>
    <x v="9"/>
    <s v="Works perfectly on my device, no complaints at all."/>
    <x v="13"/>
    <x v="5"/>
    <x v="146"/>
    <x v="1"/>
    <x v="2"/>
    <n v="618"/>
    <x v="12"/>
    <x v="24"/>
    <x v="1"/>
    <s v="1.1.20-beta"/>
    <s v="Excellent"/>
  </r>
  <r>
    <n v="148"/>
    <n v="3039212"/>
    <x v="31"/>
    <x v="12"/>
    <s v="No Review"/>
    <x v="9"/>
    <x v="29"/>
    <x v="147"/>
    <x v="0"/>
    <x v="2"/>
    <n v="1063"/>
    <x v="9"/>
    <x v="10"/>
    <x v="1"/>
    <s v="12.3.54"/>
    <s v="Very Poor"/>
  </r>
  <r>
    <n v="149"/>
    <n v="7519378"/>
    <x v="9"/>
    <x v="3"/>
    <s v="No Review"/>
    <x v="14"/>
    <x v="33"/>
    <x v="148"/>
    <x v="0"/>
    <x v="2"/>
    <n v="292"/>
    <x v="39"/>
    <x v="13"/>
    <x v="4"/>
    <s v="4.6.11"/>
    <s v="Poor"/>
  </r>
  <r>
    <n v="150"/>
    <n v="3144882"/>
    <x v="36"/>
    <x v="16"/>
    <s v="The interface could be better but overall good experience."/>
    <x v="21"/>
    <x v="37"/>
    <x v="149"/>
    <x v="0"/>
    <x v="1"/>
    <n v="879"/>
    <x v="24"/>
    <x v="23"/>
    <x v="0"/>
    <s v="10.7.27"/>
    <s v="Average"/>
  </r>
  <r>
    <n v="151"/>
    <n v="8349789"/>
    <x v="26"/>
    <x v="12"/>
    <s v="广告如何最新我的. 人员留言功能次数. 产品现在主要发表得到很多其实."/>
    <x v="2"/>
    <x v="39"/>
    <x v="150"/>
    <x v="1"/>
    <x v="2"/>
    <n v="1013"/>
    <x v="16"/>
    <x v="12"/>
    <x v="0"/>
    <s v="4.8"/>
    <s v="Good"/>
  </r>
  <r>
    <n v="152"/>
    <n v="9203209"/>
    <x v="37"/>
    <x v="5"/>
    <s v="User-friendly design and smooth performance throughout."/>
    <x v="9"/>
    <x v="23"/>
    <x v="151"/>
    <x v="0"/>
    <x v="4"/>
    <n v="28"/>
    <x v="11"/>
    <x v="20"/>
    <x v="1"/>
    <s v="7.9.53.5987"/>
    <s v="Very Poor"/>
  </r>
  <r>
    <n v="153"/>
    <n v="1009393"/>
    <x v="1"/>
    <x v="16"/>
    <s v="Latest update broke some features, please fix soon."/>
    <x v="9"/>
    <x v="22"/>
    <x v="152"/>
    <x v="0"/>
    <x v="3"/>
    <n v="416"/>
    <x v="5"/>
    <x v="23"/>
    <x v="4"/>
    <s v="12.6.10.8792"/>
    <s v="Poor"/>
  </r>
  <r>
    <n v="154"/>
    <n v="6169650"/>
    <x v="25"/>
    <x v="16"/>
    <s v="Quidem numquam quis dignissimos molestias unde ipsa praesentium. Adipisci occaecati reiciendis quae."/>
    <x v="5"/>
    <x v="17"/>
    <x v="153"/>
    <x v="0"/>
    <x v="1"/>
    <n v="359"/>
    <x v="56"/>
    <x v="19"/>
    <x v="0"/>
    <s v="12.3.7"/>
    <s v="Average"/>
  </r>
  <r>
    <n v="155"/>
    <n v="329419"/>
    <x v="17"/>
    <x v="7"/>
    <s v="Impact different success box water positive child. Meeting event strong woman during."/>
    <x v="16"/>
    <x v="15"/>
    <x v="154"/>
    <x v="0"/>
    <x v="4"/>
    <n v="538"/>
    <x v="13"/>
    <x v="4"/>
    <x v="1"/>
    <s v="6.2.95"/>
    <s v="Poor"/>
  </r>
  <r>
    <n v="156"/>
    <n v="6535505"/>
    <x v="34"/>
    <x v="15"/>
    <s v="Two meet these tell everybody."/>
    <x v="23"/>
    <x v="35"/>
    <x v="155"/>
    <x v="0"/>
    <x v="0"/>
    <n v="745"/>
    <x v="16"/>
    <x v="23"/>
    <x v="0"/>
    <s v="13.1"/>
    <s v="Poor"/>
  </r>
  <r>
    <n v="157"/>
    <n v="5802160"/>
    <x v="1"/>
    <x v="1"/>
    <s v="Eaque a quas saepe neque optio sint. Molestiae exercitationem mollitia molestiae iste eum deleniti."/>
    <x v="22"/>
    <x v="34"/>
    <x v="156"/>
    <x v="0"/>
    <x v="4"/>
    <n v="367"/>
    <x v="35"/>
    <x v="13"/>
    <x v="1"/>
    <s v="v6.3.53"/>
    <s v="Average"/>
  </r>
  <r>
    <n v="158"/>
    <n v="9693172"/>
    <x v="37"/>
    <x v="3"/>
    <s v="Latest update broke some features, please fix soon."/>
    <x v="4"/>
    <x v="26"/>
    <x v="157"/>
    <x v="0"/>
    <x v="0"/>
    <n v="754"/>
    <x v="54"/>
    <x v="17"/>
    <x v="0"/>
    <s v="9.7"/>
    <s v="Average"/>
  </r>
  <r>
    <n v="159"/>
    <n v="6991662"/>
    <x v="26"/>
    <x v="1"/>
    <s v="Works perfectly on my device, no complaints at all."/>
    <x v="4"/>
    <x v="37"/>
    <x v="158"/>
    <x v="0"/>
    <x v="4"/>
    <n v="420"/>
    <x v="27"/>
    <x v="2"/>
    <x v="2"/>
    <s v="v9.5.81"/>
    <s v="Average"/>
  </r>
  <r>
    <n v="160"/>
    <n v="8035224"/>
    <x v="30"/>
    <x v="14"/>
    <s v="Crashes too often, needs improvement in stability."/>
    <x v="3"/>
    <x v="31"/>
    <x v="159"/>
    <x v="0"/>
    <x v="4"/>
    <n v="1212"/>
    <x v="37"/>
    <x v="3"/>
    <x v="2"/>
    <s v="7.5.58.1392"/>
    <s v="Good"/>
  </r>
  <r>
    <n v="161"/>
    <n v="6577326"/>
    <x v="31"/>
    <x v="4"/>
    <s v="Lendemain annoncer lien nombre. Songer haute maître immense. Fuir père choisir intéresser."/>
    <x v="22"/>
    <x v="1"/>
    <x v="160"/>
    <x v="0"/>
    <x v="2"/>
    <n v="920"/>
    <x v="46"/>
    <x v="11"/>
    <x v="2"/>
    <s v="6.7.34"/>
    <s v="Very Poor"/>
  </r>
  <r>
    <n v="162"/>
    <n v="6768663"/>
    <x v="2"/>
    <x v="3"/>
    <s v="Great app but too many ads, consider premium version."/>
    <x v="14"/>
    <x v="27"/>
    <x v="161"/>
    <x v="0"/>
    <x v="2"/>
    <n v="728"/>
    <x v="51"/>
    <x v="13"/>
    <x v="4"/>
    <s v="3.4.90"/>
    <s v="Very Poor"/>
  </r>
  <r>
    <n v="163"/>
    <n v="5612415"/>
    <x v="22"/>
    <x v="8"/>
    <s v="Crashes too often, needs improvement in stability."/>
    <x v="22"/>
    <x v="40"/>
    <x v="162"/>
    <x v="1"/>
    <x v="2"/>
    <n v="267"/>
    <x v="57"/>
    <x v="1"/>
    <x v="3"/>
    <s v="12.8.31-beta"/>
    <s v="Very Poor"/>
  </r>
  <r>
    <n v="164"/>
    <n v="9052696"/>
    <x v="40"/>
    <x v="6"/>
    <s v="Great app but too many ads, consider premium version."/>
    <x v="22"/>
    <x v="7"/>
    <x v="163"/>
    <x v="0"/>
    <x v="0"/>
    <n v="103"/>
    <x v="12"/>
    <x v="4"/>
    <x v="2"/>
    <s v="2.3"/>
    <s v="Very Poor"/>
  </r>
  <r>
    <n v="165"/>
    <n v="8286400"/>
    <x v="24"/>
    <x v="7"/>
    <s v="Excellent customer support and regular feature updates."/>
    <x v="7"/>
    <x v="2"/>
    <x v="164"/>
    <x v="0"/>
    <x v="0"/>
    <n v="843"/>
    <x v="42"/>
    <x v="5"/>
    <x v="2"/>
    <s v="5.4.57"/>
    <s v="Average"/>
  </r>
  <r>
    <n v="166"/>
    <n v="702286"/>
    <x v="6"/>
    <x v="1"/>
    <s v="User-friendly design and smooth performance throughout."/>
    <x v="10"/>
    <x v="12"/>
    <x v="165"/>
    <x v="0"/>
    <x v="3"/>
    <n v="658"/>
    <x v="16"/>
    <x v="24"/>
    <x v="0"/>
    <s v="v11.8.2"/>
    <s v="Excellent"/>
  </r>
  <r>
    <n v="167"/>
    <n v="4038791"/>
    <x v="9"/>
    <x v="14"/>
    <s v="Perfect for daily use, highly recommend to everyone."/>
    <x v="1"/>
    <x v="18"/>
    <x v="166"/>
    <x v="1"/>
    <x v="4"/>
    <n v="449"/>
    <x v="37"/>
    <x v="1"/>
    <x v="3"/>
    <s v="6.9.29"/>
    <s v="Average"/>
  </r>
  <r>
    <n v="168"/>
    <n v="4921419"/>
    <x v="16"/>
    <x v="6"/>
    <s v="Perfect for daily use, highly recommend to everyone."/>
    <x v="18"/>
    <x v="4"/>
    <x v="167"/>
    <x v="1"/>
    <x v="2"/>
    <n v="1004"/>
    <x v="28"/>
    <x v="0"/>
    <x v="4"/>
    <s v="12.5"/>
    <s v="Average"/>
  </r>
  <r>
    <n v="169"/>
    <n v="1616313"/>
    <x v="18"/>
    <x v="5"/>
    <s v="Crashes too often, needs improvement in stability."/>
    <x v="22"/>
    <x v="38"/>
    <x v="168"/>
    <x v="0"/>
    <x v="1"/>
    <n v="148"/>
    <x v="49"/>
    <x v="8"/>
    <x v="2"/>
    <s v="6.2.41"/>
    <s v="Good"/>
  </r>
  <r>
    <n v="170"/>
    <n v="1786231"/>
    <x v="32"/>
    <x v="10"/>
    <s v="Draußen Geburtstag Angst gestern bauen halten. Denn Mama Mutter Stein drei Bett. Ob Feuer weiß denken kochen fliegen."/>
    <x v="21"/>
    <x v="31"/>
    <x v="169"/>
    <x v="1"/>
    <x v="0"/>
    <n v="628"/>
    <x v="25"/>
    <x v="8"/>
    <x v="3"/>
    <s v="11.5.22.9208"/>
    <s v="Good"/>
  </r>
  <r>
    <n v="171"/>
    <n v="257662"/>
    <x v="4"/>
    <x v="11"/>
    <s v="User-friendly design and smooth performance throughout."/>
    <x v="14"/>
    <x v="28"/>
    <x v="170"/>
    <x v="0"/>
    <x v="4"/>
    <n v="487"/>
    <x v="34"/>
    <x v="11"/>
    <x v="0"/>
    <s v="3.9.40.3620"/>
    <s v="Poor"/>
  </r>
  <r>
    <n v="172"/>
    <n v="4925658"/>
    <x v="5"/>
    <x v="9"/>
    <s v="The interface could be better but overall good experience."/>
    <x v="4"/>
    <x v="40"/>
    <x v="171"/>
    <x v="0"/>
    <x v="0"/>
    <n v="897"/>
    <x v="25"/>
    <x v="15"/>
    <x v="0"/>
    <s v="1.4.26"/>
    <s v="Very Poor"/>
  </r>
  <r>
    <n v="173"/>
    <n v="2750391"/>
    <x v="9"/>
    <x v="1"/>
    <s v="Latest update broke some features, please fix soon."/>
    <x v="22"/>
    <x v="0"/>
    <x v="172"/>
    <x v="0"/>
    <x v="2"/>
    <n v="768"/>
    <x v="12"/>
    <x v="7"/>
    <x v="1"/>
    <s v="v3.7.9"/>
    <s v="Very Poor"/>
  </r>
  <r>
    <n v="174"/>
    <n v="5897629"/>
    <x v="9"/>
    <x v="6"/>
    <s v="Great app but too many ads, consider premium version."/>
    <x v="13"/>
    <x v="16"/>
    <x v="173"/>
    <x v="0"/>
    <x v="0"/>
    <n v="1134"/>
    <x v="25"/>
    <x v="7"/>
    <x v="4"/>
    <s v="7.2"/>
    <s v="Excellent"/>
  </r>
  <r>
    <n v="175"/>
    <n v="7218722"/>
    <x v="11"/>
    <x v="5"/>
    <s v="Excellent customer support and regular feature updates."/>
    <x v="18"/>
    <x v="8"/>
    <x v="174"/>
    <x v="0"/>
    <x v="4"/>
    <n v="423"/>
    <x v="12"/>
    <x v="6"/>
    <x v="3"/>
    <s v="1.5.0"/>
    <s v="Very Poor"/>
  </r>
  <r>
    <n v="176"/>
    <n v="7764433"/>
    <x v="17"/>
    <x v="3"/>
    <s v="Dicta harum laboriosam dolores nemo."/>
    <x v="11"/>
    <x v="7"/>
    <x v="175"/>
    <x v="0"/>
    <x v="0"/>
    <n v="952"/>
    <x v="11"/>
    <x v="2"/>
    <x v="3"/>
    <s v="v11.8.49"/>
    <s v="Very Poor"/>
  </r>
  <r>
    <n v="177"/>
    <n v="5053150"/>
    <x v="10"/>
    <x v="16"/>
    <s v="Dar mieć na imię kawałek. Św. ciężar trwały opuścić Austria wysłać dokładny. Umiejętność grzyb uderzać gniew sport."/>
    <x v="16"/>
    <x v="16"/>
    <x v="176"/>
    <x v="1"/>
    <x v="0"/>
    <n v="1172"/>
    <x v="42"/>
    <x v="2"/>
    <x v="4"/>
    <s v="13.9.29"/>
    <s v="Excellent"/>
  </r>
  <r>
    <n v="178"/>
    <n v="2394774"/>
    <x v="6"/>
    <x v="5"/>
    <s v="Blanc pareil apparence réserver anglais façon certes tellement."/>
    <x v="16"/>
    <x v="0"/>
    <x v="177"/>
    <x v="1"/>
    <x v="0"/>
    <n v="413"/>
    <x v="58"/>
    <x v="6"/>
    <x v="0"/>
    <s v="2.7"/>
    <s v="Very Poor"/>
  </r>
  <r>
    <n v="179"/>
    <n v="7070985"/>
    <x v="21"/>
    <x v="8"/>
    <s v="This app is amazing! Really love the new features."/>
    <x v="8"/>
    <x v="26"/>
    <x v="178"/>
    <x v="0"/>
    <x v="3"/>
    <n v="859"/>
    <x v="56"/>
    <x v="15"/>
    <x v="0"/>
    <s v="7.8.41.4526"/>
    <s v="Average"/>
  </r>
  <r>
    <n v="180"/>
    <n v="2317273"/>
    <x v="4"/>
    <x v="0"/>
    <s v="User-friendly design and smooth performance throughout."/>
    <x v="21"/>
    <x v="17"/>
    <x v="179"/>
    <x v="0"/>
    <x v="4"/>
    <n v="352"/>
    <x v="21"/>
    <x v="1"/>
    <x v="0"/>
    <s v="13.4.68-beta"/>
    <s v="Average"/>
  </r>
  <r>
    <n v="181"/>
    <n v="6238070"/>
    <x v="12"/>
    <x v="11"/>
    <s v="Latest update broke some features, please fix soon."/>
    <x v="19"/>
    <x v="15"/>
    <x v="180"/>
    <x v="0"/>
    <x v="0"/>
    <n v="201"/>
    <x v="5"/>
    <x v="2"/>
    <x v="0"/>
    <s v="12.7.34"/>
    <s v="Poor"/>
  </r>
  <r>
    <n v="182"/>
    <n v="4672250"/>
    <x v="28"/>
    <x v="3"/>
    <s v="Trzymać szklanka 50 wynosić. Cierpienie cierpieć raz prawny jednak temu."/>
    <x v="2"/>
    <x v="18"/>
    <x v="181"/>
    <x v="0"/>
    <x v="2"/>
    <n v="134"/>
    <x v="52"/>
    <x v="8"/>
    <x v="4"/>
    <s v="4.7.27-beta"/>
    <s v="Average"/>
  </r>
  <r>
    <n v="183"/>
    <n v="9450154"/>
    <x v="18"/>
    <x v="11"/>
    <s v="作者电子文件时候而且您的. 搜索控制计划文章设计."/>
    <x v="11"/>
    <x v="34"/>
    <x v="182"/>
    <x v="1"/>
    <x v="4"/>
    <n v="62"/>
    <x v="18"/>
    <x v="22"/>
    <x v="2"/>
    <s v="v4.0.58"/>
    <s v="Average"/>
  </r>
  <r>
    <n v="184"/>
    <n v="9518852"/>
    <x v="34"/>
    <x v="15"/>
    <s v="Excellent customer support and regular feature updates."/>
    <x v="13"/>
    <x v="38"/>
    <x v="183"/>
    <x v="1"/>
    <x v="2"/>
    <n v="423"/>
    <x v="21"/>
    <x v="6"/>
    <x v="2"/>
    <s v="12.1.36-beta"/>
    <s v="Good"/>
  </r>
  <r>
    <n v="185"/>
    <n v="3813925"/>
    <x v="33"/>
    <x v="7"/>
    <s v="科技非常处理解决. 还是次数会员应该. 同时投资朋友介绍."/>
    <x v="8"/>
    <x v="2"/>
    <x v="184"/>
    <x v="1"/>
    <x v="0"/>
    <n v="771"/>
    <x v="2"/>
    <x v="22"/>
    <x v="2"/>
    <s v="10.0.28.4136"/>
    <s v="Average"/>
  </r>
  <r>
    <n v="186"/>
    <n v="9162926"/>
    <x v="27"/>
    <x v="6"/>
    <s v="The interface could be better but overall good experience."/>
    <x v="18"/>
    <x v="0"/>
    <x v="185"/>
    <x v="0"/>
    <x v="1"/>
    <n v="665"/>
    <x v="6"/>
    <x v="24"/>
    <x v="3"/>
    <s v="9.5.71.9729"/>
    <s v="Very Poor"/>
  </r>
  <r>
    <n v="187"/>
    <n v="2692464"/>
    <x v="12"/>
    <x v="11"/>
    <s v="Omnis rerum nulla vel eius porro. Ipsam veritatis sequi aut placeat."/>
    <x v="19"/>
    <x v="35"/>
    <x v="186"/>
    <x v="1"/>
    <x v="0"/>
    <n v="828"/>
    <x v="16"/>
    <x v="7"/>
    <x v="1"/>
    <s v="13.9"/>
    <s v="Poor"/>
  </r>
  <r>
    <n v="188"/>
    <n v="6117548"/>
    <x v="10"/>
    <x v="10"/>
    <s v="Потрясти упорно вчера торговля."/>
    <x v="19"/>
    <x v="27"/>
    <x v="187"/>
    <x v="0"/>
    <x v="2"/>
    <n v="529"/>
    <x v="25"/>
    <x v="5"/>
    <x v="0"/>
    <s v="15.5"/>
    <s v="Very Poor"/>
  </r>
  <r>
    <n v="189"/>
    <n v="3658545"/>
    <x v="25"/>
    <x v="16"/>
    <s v="The interface could be better but overall good experience."/>
    <x v="18"/>
    <x v="7"/>
    <x v="188"/>
    <x v="1"/>
    <x v="3"/>
    <n v="1188"/>
    <x v="23"/>
    <x v="21"/>
    <x v="1"/>
    <s v="13.5.47.4270"/>
    <s v="Very Poor"/>
  </r>
  <r>
    <n v="190"/>
    <n v="458318"/>
    <x v="1"/>
    <x v="11"/>
    <s v="Excellent customer support and regular feature updates."/>
    <x v="11"/>
    <x v="1"/>
    <x v="189"/>
    <x v="0"/>
    <x v="2"/>
    <n v="165"/>
    <x v="31"/>
    <x v="11"/>
    <x v="0"/>
    <s v="v14.2.17"/>
    <s v="Very Poor"/>
  </r>
  <r>
    <n v="191"/>
    <n v="4186407"/>
    <x v="4"/>
    <x v="7"/>
    <s v="User-friendly design and smooth performance throughout."/>
    <x v="20"/>
    <x v="40"/>
    <x v="190"/>
    <x v="0"/>
    <x v="3"/>
    <n v="408"/>
    <x v="25"/>
    <x v="22"/>
    <x v="4"/>
    <s v="Unknown"/>
    <s v="Very Poor"/>
  </r>
  <r>
    <n v="192"/>
    <n v="3542778"/>
    <x v="12"/>
    <x v="1"/>
    <s v="Excellent customer support and regular feature updates."/>
    <x v="19"/>
    <x v="32"/>
    <x v="191"/>
    <x v="1"/>
    <x v="4"/>
    <n v="610"/>
    <x v="23"/>
    <x v="18"/>
    <x v="2"/>
    <s v="12.5.39"/>
    <s v="Very Poor"/>
  </r>
  <r>
    <n v="193"/>
    <n v="9398063"/>
    <x v="5"/>
    <x v="10"/>
    <s v="Crashes too often, needs improvement in stability."/>
    <x v="13"/>
    <x v="37"/>
    <x v="192"/>
    <x v="0"/>
    <x v="3"/>
    <n v="1033"/>
    <x v="12"/>
    <x v="12"/>
    <x v="3"/>
    <s v="6.3.21"/>
    <s v="Average"/>
  </r>
  <r>
    <n v="194"/>
    <n v="3723062"/>
    <x v="29"/>
    <x v="11"/>
    <s v="The interface could be better but overall good experience."/>
    <x v="16"/>
    <x v="24"/>
    <x v="193"/>
    <x v="0"/>
    <x v="4"/>
    <n v="1120"/>
    <x v="11"/>
    <x v="14"/>
    <x v="0"/>
    <s v="10.0.84"/>
    <s v="Poor"/>
  </r>
  <r>
    <n v="195"/>
    <n v="5612314"/>
    <x v="6"/>
    <x v="15"/>
    <s v="Ratione nisi eius voluptates. Molestiae reiciendis beatae sint. Accusamus ratione dolores eum."/>
    <x v="4"/>
    <x v="26"/>
    <x v="194"/>
    <x v="0"/>
    <x v="1"/>
    <n v="233"/>
    <x v="59"/>
    <x v="12"/>
    <x v="2"/>
    <s v="10.9.89-beta"/>
    <s v="Average"/>
  </r>
  <r>
    <n v="196"/>
    <n v="979109"/>
    <x v="1"/>
    <x v="12"/>
    <s v="User-friendly design and smooth performance throughout."/>
    <x v="17"/>
    <x v="20"/>
    <x v="195"/>
    <x v="1"/>
    <x v="4"/>
    <n v="182"/>
    <x v="30"/>
    <x v="12"/>
    <x v="4"/>
    <s v="3.0"/>
    <s v="Very Poor"/>
  </r>
  <r>
    <n v="197"/>
    <n v="7162546"/>
    <x v="27"/>
    <x v="15"/>
    <s v="The interface could be better but overall good experience."/>
    <x v="12"/>
    <x v="14"/>
    <x v="196"/>
    <x v="0"/>
    <x v="1"/>
    <n v="737"/>
    <x v="44"/>
    <x v="16"/>
    <x v="3"/>
    <s v="Unknown"/>
    <s v="Excellent"/>
  </r>
  <r>
    <n v="198"/>
    <n v="1166326"/>
    <x v="33"/>
    <x v="7"/>
    <s v="Great app but too many ads, consider premium version."/>
    <x v="12"/>
    <x v="29"/>
    <x v="197"/>
    <x v="0"/>
    <x v="0"/>
    <n v="934"/>
    <x v="21"/>
    <x v="1"/>
    <x v="2"/>
    <s v="6.5.56"/>
    <s v="Very Poor"/>
  </r>
  <r>
    <n v="199"/>
    <n v="6174006"/>
    <x v="14"/>
    <x v="7"/>
    <s v="Crashes too often, needs improvement in stability."/>
    <x v="5"/>
    <x v="33"/>
    <x v="198"/>
    <x v="0"/>
    <x v="1"/>
    <n v="59"/>
    <x v="6"/>
    <x v="16"/>
    <x v="0"/>
    <s v="2.6.75.7909"/>
    <s v="Poor"/>
  </r>
  <r>
    <n v="200"/>
    <n v="1929622"/>
    <x v="37"/>
    <x v="6"/>
    <s v="Great app but too many ads, consider premium version."/>
    <x v="6"/>
    <x v="18"/>
    <x v="199"/>
    <x v="0"/>
    <x v="3"/>
    <n v="195"/>
    <x v="4"/>
    <x v="16"/>
    <x v="0"/>
    <s v="12.8.98.9448"/>
    <s v="Average"/>
  </r>
  <r>
    <n v="201"/>
    <n v="3816988"/>
    <x v="29"/>
    <x v="11"/>
    <s v="Aliquam quos sint maxime itaque vitae aperiam laboriosam. Incidunt autem quae ipsam tempore eum."/>
    <x v="17"/>
    <x v="35"/>
    <x v="200"/>
    <x v="0"/>
    <x v="1"/>
    <n v="103"/>
    <x v="8"/>
    <x v="2"/>
    <x v="4"/>
    <s v="1.2.64-beta"/>
    <s v="Poor"/>
  </r>
  <r>
    <n v="202"/>
    <n v="2217143"/>
    <x v="22"/>
    <x v="3"/>
    <s v="Peggio onore provocare giovane origine. Lato pagina bestia profondo solito. Qualche creare largo decisione fine lato impressione."/>
    <x v="23"/>
    <x v="27"/>
    <x v="201"/>
    <x v="0"/>
    <x v="0"/>
    <n v="73"/>
    <x v="14"/>
    <x v="5"/>
    <x v="1"/>
    <s v="14.7.57"/>
    <s v="Very Poor"/>
  </r>
  <r>
    <n v="203"/>
    <n v="7259911"/>
    <x v="7"/>
    <x v="17"/>
    <s v="Wyrażenie warunek posiadać sukienka głowa wracać. Zimny chłop fala wartość."/>
    <x v="17"/>
    <x v="4"/>
    <x v="202"/>
    <x v="0"/>
    <x v="3"/>
    <n v="1228"/>
    <x v="47"/>
    <x v="8"/>
    <x v="3"/>
    <s v="11.7.43"/>
    <s v="Average"/>
  </r>
  <r>
    <n v="204"/>
    <n v="9521856"/>
    <x v="0"/>
    <x v="12"/>
    <s v="再現する同行コンペ敵対的な販売敵改善。"/>
    <x v="8"/>
    <x v="6"/>
    <x v="203"/>
    <x v="0"/>
    <x v="0"/>
    <n v="219"/>
    <x v="11"/>
    <x v="21"/>
    <x v="0"/>
    <s v="9.8.47"/>
    <s v="Good"/>
  </r>
  <r>
    <n v="205"/>
    <n v="5342022"/>
    <x v="5"/>
    <x v="0"/>
    <s v="暖かい出演者拡張ホイールバナーシェービング。 ニュース品質埋め込むサワーバナー彼女高い。"/>
    <x v="15"/>
    <x v="17"/>
    <x v="204"/>
    <x v="1"/>
    <x v="3"/>
    <n v="275"/>
    <x v="43"/>
    <x v="17"/>
    <x v="1"/>
    <s v="13.6.5"/>
    <s v="Average"/>
  </r>
  <r>
    <n v="206"/>
    <n v="9440543"/>
    <x v="35"/>
    <x v="7"/>
    <s v="Excellent customer support and regular feature updates."/>
    <x v="5"/>
    <x v="14"/>
    <x v="205"/>
    <x v="0"/>
    <x v="3"/>
    <n v="787"/>
    <x v="60"/>
    <x v="21"/>
    <x v="0"/>
    <s v="12.9.22"/>
    <s v="Excellent"/>
  </r>
  <r>
    <n v="207"/>
    <n v="4587028"/>
    <x v="1"/>
    <x v="14"/>
    <s v="Excellent customer support and regular feature updates."/>
    <x v="8"/>
    <x v="22"/>
    <x v="206"/>
    <x v="0"/>
    <x v="1"/>
    <n v="271"/>
    <x v="5"/>
    <x v="8"/>
    <x v="0"/>
    <s v="5.8"/>
    <s v="Poor"/>
  </r>
  <r>
    <n v="208"/>
    <n v="4684716"/>
    <x v="9"/>
    <x v="16"/>
    <s v="This app is amazing! Really love the new features."/>
    <x v="20"/>
    <x v="1"/>
    <x v="207"/>
    <x v="1"/>
    <x v="4"/>
    <n v="409"/>
    <x v="21"/>
    <x v="9"/>
    <x v="3"/>
    <s v="11.8.36"/>
    <s v="Very Poor"/>
  </r>
  <r>
    <n v="209"/>
    <n v="5283902"/>
    <x v="10"/>
    <x v="11"/>
    <s v="Расстегнуть поздравлять мгновение разводить коммунизм уронить. Пространство вариант бегать."/>
    <x v="7"/>
    <x v="34"/>
    <x v="208"/>
    <x v="0"/>
    <x v="1"/>
    <n v="96"/>
    <x v="53"/>
    <x v="1"/>
    <x v="2"/>
    <s v="6.7"/>
    <s v="Average"/>
  </r>
  <r>
    <n v="210"/>
    <n v="2740889"/>
    <x v="17"/>
    <x v="17"/>
    <s v="Excellent customer support and regular feature updates."/>
    <x v="13"/>
    <x v="39"/>
    <x v="209"/>
    <x v="0"/>
    <x v="2"/>
    <n v="602"/>
    <x v="17"/>
    <x v="9"/>
    <x v="1"/>
    <s v="10.7.28.6026"/>
    <s v="Good"/>
  </r>
  <r>
    <n v="211"/>
    <n v="5542241"/>
    <x v="7"/>
    <x v="15"/>
    <s v="Crashes too often, needs improvement in stability."/>
    <x v="2"/>
    <x v="1"/>
    <x v="210"/>
    <x v="0"/>
    <x v="1"/>
    <n v="1222"/>
    <x v="10"/>
    <x v="6"/>
    <x v="4"/>
    <s v="3.2.74"/>
    <s v="Very Poor"/>
  </r>
  <r>
    <n v="212"/>
    <n v="1525342"/>
    <x v="37"/>
    <x v="14"/>
    <s v="Some bugs need fixing but generally satisfied with it."/>
    <x v="0"/>
    <x v="36"/>
    <x v="211"/>
    <x v="0"/>
    <x v="1"/>
    <n v="453"/>
    <x v="42"/>
    <x v="20"/>
    <x v="3"/>
    <s v="4.2.66.1118"/>
    <s v="Poor"/>
  </r>
  <r>
    <n v="213"/>
    <n v="2710197"/>
    <x v="7"/>
    <x v="6"/>
    <s v="So baden Bild kann."/>
    <x v="15"/>
    <x v="14"/>
    <x v="212"/>
    <x v="0"/>
    <x v="0"/>
    <n v="232"/>
    <x v="16"/>
    <x v="24"/>
    <x v="4"/>
    <s v="2.5.57.3938"/>
    <s v="Excellent"/>
  </r>
  <r>
    <n v="214"/>
    <n v="7516270"/>
    <x v="35"/>
    <x v="9"/>
    <s v="The interface could be better but overall good experience."/>
    <x v="12"/>
    <x v="16"/>
    <x v="213"/>
    <x v="0"/>
    <x v="3"/>
    <n v="1092"/>
    <x v="33"/>
    <x v="6"/>
    <x v="1"/>
    <s v="v8.0.37"/>
    <s v="Excellent"/>
  </r>
  <r>
    <n v="215"/>
    <n v="3716647"/>
    <x v="24"/>
    <x v="8"/>
    <s v="Great app but too many ads, consider premium version."/>
    <x v="2"/>
    <x v="27"/>
    <x v="214"/>
    <x v="0"/>
    <x v="4"/>
    <n v="364"/>
    <x v="59"/>
    <x v="24"/>
    <x v="4"/>
    <s v="14.6"/>
    <s v="Very Poor"/>
  </r>
  <r>
    <n v="216"/>
    <n v="2009540"/>
    <x v="31"/>
    <x v="16"/>
    <s v="Excellent customer support and regular feature updates."/>
    <x v="9"/>
    <x v="6"/>
    <x v="215"/>
    <x v="0"/>
    <x v="3"/>
    <n v="93"/>
    <x v="61"/>
    <x v="0"/>
    <x v="3"/>
    <s v="6.0.49.1939"/>
    <s v="Good"/>
  </r>
  <r>
    <n v="217"/>
    <n v="1960421"/>
    <x v="22"/>
    <x v="2"/>
    <s v="Works perfectly on my device, no complaints at all."/>
    <x v="0"/>
    <x v="34"/>
    <x v="216"/>
    <x v="1"/>
    <x v="2"/>
    <n v="610"/>
    <x v="9"/>
    <x v="7"/>
    <x v="3"/>
    <s v="7.0.60.2562"/>
    <s v="Average"/>
  </r>
  <r>
    <n v="218"/>
    <n v="8264342"/>
    <x v="4"/>
    <x v="2"/>
    <s v="Portare anzi grazia osservare accettare esercito costituire. Rifiutare elemento cane marito."/>
    <x v="13"/>
    <x v="10"/>
    <x v="217"/>
    <x v="0"/>
    <x v="3"/>
    <n v="291"/>
    <x v="12"/>
    <x v="9"/>
    <x v="0"/>
    <s v="9.8"/>
    <s v="Poor"/>
  </r>
  <r>
    <n v="219"/>
    <n v="2267376"/>
    <x v="14"/>
    <x v="8"/>
    <s v="Perfect for daily use, highly recommend to everyone."/>
    <x v="4"/>
    <x v="30"/>
    <x v="218"/>
    <x v="0"/>
    <x v="1"/>
    <n v="731"/>
    <x v="32"/>
    <x v="16"/>
    <x v="0"/>
    <s v="8.8.9"/>
    <s v="Average"/>
  </r>
  <r>
    <n v="220"/>
    <n v="3960617"/>
    <x v="29"/>
    <x v="12"/>
    <s v="Great app but too many ads, consider premium version."/>
    <x v="16"/>
    <x v="32"/>
    <x v="219"/>
    <x v="0"/>
    <x v="1"/>
    <n v="504"/>
    <x v="59"/>
    <x v="2"/>
    <x v="2"/>
    <s v="12.9.19.9267"/>
    <s v="Very Poor"/>
  </r>
  <r>
    <n v="221"/>
    <n v="6041939"/>
    <x v="22"/>
    <x v="13"/>
    <s v="Excellent customer support and regular feature updates."/>
    <x v="9"/>
    <x v="38"/>
    <x v="220"/>
    <x v="0"/>
    <x v="2"/>
    <n v="1103"/>
    <x v="57"/>
    <x v="24"/>
    <x v="1"/>
    <s v="13.4.62"/>
    <s v="Good"/>
  </r>
  <r>
    <n v="222"/>
    <n v="809714"/>
    <x v="8"/>
    <x v="2"/>
    <s v="Some bugs need fixing but generally satisfied with it."/>
    <x v="18"/>
    <x v="2"/>
    <x v="221"/>
    <x v="0"/>
    <x v="2"/>
    <n v="749"/>
    <x v="51"/>
    <x v="2"/>
    <x v="4"/>
    <s v="13.9.27.601"/>
    <s v="Average"/>
  </r>
  <r>
    <n v="223"/>
    <n v="7813396"/>
    <x v="35"/>
    <x v="6"/>
    <s v="Crashes too often, needs improvement in stability."/>
    <x v="12"/>
    <x v="30"/>
    <x v="222"/>
    <x v="0"/>
    <x v="3"/>
    <n v="299"/>
    <x v="38"/>
    <x v="7"/>
    <x v="2"/>
    <s v="11.3.78.2718"/>
    <s v="Average"/>
  </r>
  <r>
    <n v="224"/>
    <n v="5352285"/>
    <x v="30"/>
    <x v="11"/>
    <s v="User-friendly design and smooth performance throughout."/>
    <x v="2"/>
    <x v="7"/>
    <x v="223"/>
    <x v="0"/>
    <x v="1"/>
    <n v="211"/>
    <x v="13"/>
    <x v="13"/>
    <x v="3"/>
    <s v="11.3.66-beta"/>
    <s v="Very Poor"/>
  </r>
  <r>
    <n v="225"/>
    <n v="9720050"/>
    <x v="39"/>
    <x v="3"/>
    <s v="Great app but too many ads, consider premium version."/>
    <x v="18"/>
    <x v="11"/>
    <x v="224"/>
    <x v="1"/>
    <x v="3"/>
    <n v="13"/>
    <x v="8"/>
    <x v="23"/>
    <x v="2"/>
    <s v="9.4.48.3652"/>
    <s v="Good"/>
  </r>
  <r>
    <n v="226"/>
    <n v="7107741"/>
    <x v="39"/>
    <x v="0"/>
    <s v="User-friendly design and smooth performance throughout."/>
    <x v="18"/>
    <x v="8"/>
    <x v="225"/>
    <x v="0"/>
    <x v="2"/>
    <n v="841"/>
    <x v="0"/>
    <x v="2"/>
    <x v="1"/>
    <s v="11.3.53"/>
    <s v="Very Poor"/>
  </r>
  <r>
    <n v="227"/>
    <n v="6895314"/>
    <x v="36"/>
    <x v="11"/>
    <s v="Excellent customer support and regular feature updates."/>
    <x v="3"/>
    <x v="23"/>
    <x v="226"/>
    <x v="0"/>
    <x v="1"/>
    <n v="175"/>
    <x v="20"/>
    <x v="10"/>
    <x v="4"/>
    <s v="3.4.23-beta"/>
    <s v="Very Poor"/>
  </r>
  <r>
    <n v="228"/>
    <n v="2983553"/>
    <x v="8"/>
    <x v="7"/>
    <s v="Itaque porro facere ipsa autem ipsa id aspernatur. Quia dolore quod asperiores odio. Magni temporibus expedita quas reprehenderit repellendus dolores."/>
    <x v="9"/>
    <x v="20"/>
    <x v="227"/>
    <x v="0"/>
    <x v="0"/>
    <n v="270"/>
    <x v="45"/>
    <x v="19"/>
    <x v="0"/>
    <s v="v10.8.33"/>
    <s v="Very Poor"/>
  </r>
  <r>
    <n v="229"/>
    <n v="3409671"/>
    <x v="19"/>
    <x v="10"/>
    <s v="The interface could be better but overall good experience."/>
    <x v="9"/>
    <x v="19"/>
    <x v="228"/>
    <x v="0"/>
    <x v="2"/>
    <n v="1235"/>
    <x v="50"/>
    <x v="19"/>
    <x v="2"/>
    <s v="15.9.76.640"/>
    <s v="Poor"/>
  </r>
  <r>
    <n v="230"/>
    <n v="2664729"/>
    <x v="9"/>
    <x v="2"/>
    <s v="Latest update broke some features, please fix soon."/>
    <x v="18"/>
    <x v="34"/>
    <x v="229"/>
    <x v="1"/>
    <x v="4"/>
    <n v="580"/>
    <x v="41"/>
    <x v="5"/>
    <x v="4"/>
    <s v="6.9.94"/>
    <s v="Average"/>
  </r>
  <r>
    <n v="231"/>
    <n v="1364218"/>
    <x v="6"/>
    <x v="6"/>
    <s v="Crashes too often, needs improvement in stability."/>
    <x v="16"/>
    <x v="2"/>
    <x v="230"/>
    <x v="1"/>
    <x v="1"/>
    <n v="535"/>
    <x v="2"/>
    <x v="5"/>
    <x v="2"/>
    <s v="7.3.88-beta"/>
    <s v="Average"/>
  </r>
  <r>
    <n v="232"/>
    <n v="8389908"/>
    <x v="7"/>
    <x v="8"/>
    <s v="Latest update broke some features, please fix soon."/>
    <x v="21"/>
    <x v="25"/>
    <x v="231"/>
    <x v="1"/>
    <x v="0"/>
    <n v="282"/>
    <x v="2"/>
    <x v="16"/>
    <x v="1"/>
    <s v="8.2.47.9161"/>
    <s v="Poor"/>
  </r>
  <r>
    <n v="233"/>
    <n v="9557911"/>
    <x v="31"/>
    <x v="4"/>
    <s v="This app is amazing! Really love the new features."/>
    <x v="9"/>
    <x v="31"/>
    <x v="232"/>
    <x v="0"/>
    <x v="0"/>
    <n v="1229"/>
    <x v="4"/>
    <x v="0"/>
    <x v="1"/>
    <s v="13.8"/>
    <s v="Good"/>
  </r>
  <r>
    <n v="234"/>
    <n v="7631380"/>
    <x v="31"/>
    <x v="14"/>
    <s v="Perfect for daily use, highly recommend to everyone."/>
    <x v="15"/>
    <x v="12"/>
    <x v="233"/>
    <x v="0"/>
    <x v="3"/>
    <n v="585"/>
    <x v="57"/>
    <x v="3"/>
    <x v="4"/>
    <s v="5.9.7-beta"/>
    <s v="Excellent"/>
  </r>
  <r>
    <n v="235"/>
    <n v="5522534"/>
    <x v="38"/>
    <x v="7"/>
    <s v="Works perfectly on my device, no complaints at all."/>
    <x v="21"/>
    <x v="8"/>
    <x v="234"/>
    <x v="1"/>
    <x v="4"/>
    <n v="140"/>
    <x v="30"/>
    <x v="0"/>
    <x v="4"/>
    <s v="v2.4.99"/>
    <s v="Very Poor"/>
  </r>
  <r>
    <n v="236"/>
    <n v="5403930"/>
    <x v="3"/>
    <x v="1"/>
    <s v="Crashes too often, needs improvement in stability."/>
    <x v="16"/>
    <x v="34"/>
    <x v="235"/>
    <x v="0"/>
    <x v="3"/>
    <n v="148"/>
    <x v="8"/>
    <x v="18"/>
    <x v="3"/>
    <s v="10.3.58.6619"/>
    <s v="Average"/>
  </r>
  <r>
    <n v="237"/>
    <n v="1245653"/>
    <x v="4"/>
    <x v="15"/>
    <s v="Ipsam esse earum animi magni est iste. Fuga enim officia voluptate."/>
    <x v="11"/>
    <x v="13"/>
    <x v="236"/>
    <x v="1"/>
    <x v="3"/>
    <n v="56"/>
    <x v="47"/>
    <x v="12"/>
    <x v="3"/>
    <s v="12.7.48-beta"/>
    <s v="Average"/>
  </r>
  <r>
    <n v="238"/>
    <n v="8607186"/>
    <x v="37"/>
    <x v="16"/>
    <s v="The interface could be better but overall good experience."/>
    <x v="20"/>
    <x v="13"/>
    <x v="237"/>
    <x v="0"/>
    <x v="1"/>
    <n v="155"/>
    <x v="14"/>
    <x v="9"/>
    <x v="2"/>
    <s v="v6.8.68"/>
    <s v="Average"/>
  </r>
  <r>
    <n v="239"/>
    <n v="9836311"/>
    <x v="18"/>
    <x v="10"/>
    <s v="Perfect for daily use, highly recommend to everyone."/>
    <x v="7"/>
    <x v="31"/>
    <x v="238"/>
    <x v="1"/>
    <x v="1"/>
    <n v="319"/>
    <x v="40"/>
    <x v="12"/>
    <x v="1"/>
    <s v="v12.3.30"/>
    <s v="Good"/>
  </r>
  <r>
    <n v="240"/>
    <n v="788246"/>
    <x v="10"/>
    <x v="11"/>
    <s v="Tenetur nemo deleniti non magnam vero ipsum. Voluptatem assumenda officia aliquam provident voluptatibus."/>
    <x v="18"/>
    <x v="32"/>
    <x v="239"/>
    <x v="0"/>
    <x v="3"/>
    <n v="573"/>
    <x v="51"/>
    <x v="2"/>
    <x v="4"/>
    <s v="14.7.47-beta"/>
    <s v="Very Poor"/>
  </r>
  <r>
    <n v="241"/>
    <n v="2763319"/>
    <x v="16"/>
    <x v="2"/>
    <s v="This app is amazing! Really love the new features."/>
    <x v="23"/>
    <x v="13"/>
    <x v="240"/>
    <x v="0"/>
    <x v="0"/>
    <n v="1189"/>
    <x v="45"/>
    <x v="11"/>
    <x v="3"/>
    <s v="14.2.58.1973"/>
    <s v="Average"/>
  </r>
  <r>
    <n v="242"/>
    <n v="4846166"/>
    <x v="29"/>
    <x v="4"/>
    <s v="Great app but too many ads, consider premium version."/>
    <x v="10"/>
    <x v="38"/>
    <x v="241"/>
    <x v="0"/>
    <x v="1"/>
    <n v="923"/>
    <x v="22"/>
    <x v="4"/>
    <x v="0"/>
    <s v="6.2"/>
    <s v="Good"/>
  </r>
  <r>
    <n v="243"/>
    <n v="5776858"/>
    <x v="7"/>
    <x v="16"/>
    <s v="This app is amazing! Really love the new features."/>
    <x v="12"/>
    <x v="10"/>
    <x v="242"/>
    <x v="0"/>
    <x v="2"/>
    <n v="1058"/>
    <x v="50"/>
    <x v="7"/>
    <x v="3"/>
    <s v="14.6"/>
    <s v="Poor"/>
  </r>
  <r>
    <n v="244"/>
    <n v="978547"/>
    <x v="34"/>
    <x v="11"/>
    <s v="工程使用就是这是经济大小地区一起. 任何设备还是为了."/>
    <x v="10"/>
    <x v="4"/>
    <x v="243"/>
    <x v="1"/>
    <x v="1"/>
    <n v="704"/>
    <x v="0"/>
    <x v="15"/>
    <x v="1"/>
    <s v="4.4.60-beta"/>
    <s v="Average"/>
  </r>
  <r>
    <n v="245"/>
    <n v="6675963"/>
    <x v="10"/>
    <x v="7"/>
    <s v="User-friendly design and smooth performance throughout."/>
    <x v="9"/>
    <x v="33"/>
    <x v="244"/>
    <x v="0"/>
    <x v="1"/>
    <n v="949"/>
    <x v="19"/>
    <x v="23"/>
    <x v="0"/>
    <s v="13.4.45.5327"/>
    <s v="Poor"/>
  </r>
  <r>
    <n v="246"/>
    <n v="1521349"/>
    <x v="40"/>
    <x v="3"/>
    <s v="Latest update broke some features, please fix soon."/>
    <x v="5"/>
    <x v="2"/>
    <x v="245"/>
    <x v="0"/>
    <x v="1"/>
    <n v="911"/>
    <x v="40"/>
    <x v="22"/>
    <x v="4"/>
    <s v="v3.5.29"/>
    <s v="Average"/>
  </r>
  <r>
    <n v="247"/>
    <n v="6419630"/>
    <x v="12"/>
    <x v="15"/>
    <s v="The interface could be better but overall good experience."/>
    <x v="18"/>
    <x v="4"/>
    <x v="246"/>
    <x v="0"/>
    <x v="4"/>
    <n v="813"/>
    <x v="27"/>
    <x v="0"/>
    <x v="1"/>
    <s v="12.1.26-beta"/>
    <s v="Average"/>
  </r>
  <r>
    <n v="248"/>
    <n v="2244023"/>
    <x v="12"/>
    <x v="12"/>
    <s v="Great app but too many ads, consider premium version."/>
    <x v="17"/>
    <x v="14"/>
    <x v="247"/>
    <x v="1"/>
    <x v="0"/>
    <n v="1107"/>
    <x v="53"/>
    <x v="24"/>
    <x v="4"/>
    <s v="8.2"/>
    <s v="Excellent"/>
  </r>
  <r>
    <n v="249"/>
    <n v="8931414"/>
    <x v="0"/>
    <x v="16"/>
    <s v="No Review"/>
    <x v="11"/>
    <x v="22"/>
    <x v="248"/>
    <x v="1"/>
    <x v="0"/>
    <n v="532"/>
    <x v="36"/>
    <x v="18"/>
    <x v="1"/>
    <s v="9.8.39-beta"/>
    <s v="Poor"/>
  </r>
  <r>
    <n v="250"/>
    <n v="7203580"/>
    <x v="38"/>
    <x v="10"/>
    <s v="Facere facere debitis distinctio veniam laborum dolorem."/>
    <x v="23"/>
    <x v="4"/>
    <x v="249"/>
    <x v="0"/>
    <x v="2"/>
    <n v="843"/>
    <x v="42"/>
    <x v="5"/>
    <x v="2"/>
    <s v="13.7.38-beta"/>
    <s v="Average"/>
  </r>
  <r>
    <n v="251"/>
    <n v="1394615"/>
    <x v="17"/>
    <x v="3"/>
    <s v="Some bugs need fixing but generally satisfied with it."/>
    <x v="1"/>
    <x v="10"/>
    <x v="250"/>
    <x v="0"/>
    <x v="4"/>
    <n v="373"/>
    <x v="32"/>
    <x v="18"/>
    <x v="1"/>
    <s v="v7.3.66"/>
    <s v="Poor"/>
  </r>
  <r>
    <n v="252"/>
    <n v="8617619"/>
    <x v="26"/>
    <x v="5"/>
    <s v="Crashes too often, needs improvement in stability."/>
    <x v="8"/>
    <x v="24"/>
    <x v="251"/>
    <x v="0"/>
    <x v="4"/>
    <n v="476"/>
    <x v="1"/>
    <x v="23"/>
    <x v="1"/>
    <s v="1.8.2"/>
    <s v="Poor"/>
  </r>
  <r>
    <n v="253"/>
    <n v="8933734"/>
    <x v="13"/>
    <x v="11"/>
    <s v="Works perfectly on my device, no complaints at all."/>
    <x v="9"/>
    <x v="4"/>
    <x v="252"/>
    <x v="1"/>
    <x v="2"/>
    <n v="393"/>
    <x v="29"/>
    <x v="24"/>
    <x v="2"/>
    <s v="6.1.96"/>
    <s v="Average"/>
  </r>
  <r>
    <n v="254"/>
    <n v="5749968"/>
    <x v="22"/>
    <x v="1"/>
    <s v="Perfect for daily use, highly recommend to everyone."/>
    <x v="18"/>
    <x v="36"/>
    <x v="253"/>
    <x v="1"/>
    <x v="1"/>
    <n v="661"/>
    <x v="12"/>
    <x v="6"/>
    <x v="1"/>
    <s v="12.0.25"/>
    <s v="Poor"/>
  </r>
  <r>
    <n v="255"/>
    <n v="2298638"/>
    <x v="39"/>
    <x v="11"/>
    <s v="Crashes too often, needs improvement in stability."/>
    <x v="1"/>
    <x v="30"/>
    <x v="254"/>
    <x v="0"/>
    <x v="0"/>
    <n v="497"/>
    <x v="33"/>
    <x v="3"/>
    <x v="4"/>
    <s v="14.3.14-beta"/>
    <s v="Average"/>
  </r>
  <r>
    <n v="256"/>
    <n v="2687931"/>
    <x v="34"/>
    <x v="10"/>
    <s v="Crashes too often, needs improvement in stability."/>
    <x v="8"/>
    <x v="18"/>
    <x v="255"/>
    <x v="0"/>
    <x v="4"/>
    <n v="257"/>
    <x v="31"/>
    <x v="2"/>
    <x v="3"/>
    <s v="2.9.43"/>
    <s v="Average"/>
  </r>
  <r>
    <n v="257"/>
    <n v="2877286"/>
    <x v="18"/>
    <x v="6"/>
    <s v="叔父細かい副彼尿軸。 ダイヤモンド普通の君はベルベット舗装ボトル部隊。 自体楽しんで動物チーズクルー君は高い。"/>
    <x v="11"/>
    <x v="4"/>
    <x v="256"/>
    <x v="0"/>
    <x v="3"/>
    <n v="1003"/>
    <x v="57"/>
    <x v="4"/>
    <x v="0"/>
    <s v="v12.6.45"/>
    <s v="Average"/>
  </r>
  <r>
    <n v="258"/>
    <n v="2421942"/>
    <x v="7"/>
    <x v="7"/>
    <s v="Полевой мрачно потянуться понятный бригада. Монета монета мягкий рабочий песня табак отметить."/>
    <x v="11"/>
    <x v="40"/>
    <x v="257"/>
    <x v="0"/>
    <x v="3"/>
    <n v="776"/>
    <x v="25"/>
    <x v="9"/>
    <x v="1"/>
    <s v="v2.8.19"/>
    <s v="Very Poor"/>
  </r>
  <r>
    <n v="259"/>
    <n v="7668671"/>
    <x v="10"/>
    <x v="2"/>
    <s v="Latest update broke some features, please fix soon."/>
    <x v="17"/>
    <x v="36"/>
    <x v="258"/>
    <x v="0"/>
    <x v="1"/>
    <n v="226"/>
    <x v="45"/>
    <x v="13"/>
    <x v="4"/>
    <s v="4.8.87.8152"/>
    <s v="Poor"/>
  </r>
  <r>
    <n v="260"/>
    <n v="547451"/>
    <x v="18"/>
    <x v="0"/>
    <s v="Excellent customer support and regular feature updates."/>
    <x v="1"/>
    <x v="7"/>
    <x v="259"/>
    <x v="0"/>
    <x v="2"/>
    <n v="1240"/>
    <x v="13"/>
    <x v="0"/>
    <x v="1"/>
    <s v="1.9.82-beta"/>
    <s v="Very Poor"/>
  </r>
  <r>
    <n v="261"/>
    <n v="6751393"/>
    <x v="0"/>
    <x v="11"/>
    <s v="Hear history bank different five between research. Social case expert stop receive catch. Large accept bad eight strong nature road."/>
    <x v="1"/>
    <x v="18"/>
    <x v="260"/>
    <x v="0"/>
    <x v="4"/>
    <n v="622"/>
    <x v="39"/>
    <x v="20"/>
    <x v="4"/>
    <s v="v6.8.95"/>
    <s v="Average"/>
  </r>
  <r>
    <n v="262"/>
    <n v="1965405"/>
    <x v="12"/>
    <x v="7"/>
    <s v="User-friendly design and smooth performance throughout."/>
    <x v="8"/>
    <x v="13"/>
    <x v="261"/>
    <x v="0"/>
    <x v="4"/>
    <n v="341"/>
    <x v="59"/>
    <x v="9"/>
    <x v="4"/>
    <s v="9.8.53.1729"/>
    <s v="Average"/>
  </r>
  <r>
    <n v="263"/>
    <n v="4086941"/>
    <x v="16"/>
    <x v="4"/>
    <s v="Commodi dolores odit numquam aperiam. Nisi accusamus maiores doloribus corporis inventore nostrum. Necessitatibus deleniti pariatur minima facere."/>
    <x v="7"/>
    <x v="30"/>
    <x v="262"/>
    <x v="0"/>
    <x v="2"/>
    <n v="768"/>
    <x v="40"/>
    <x v="5"/>
    <x v="4"/>
    <s v="9.5.47-beta"/>
    <s v="Average"/>
  </r>
  <r>
    <n v="264"/>
    <n v="8611546"/>
    <x v="20"/>
    <x v="6"/>
    <s v="Minute Himmel können Opa Zug fliegen also. Gott Seite oft Spiel."/>
    <x v="23"/>
    <x v="39"/>
    <x v="263"/>
    <x v="1"/>
    <x v="1"/>
    <n v="1133"/>
    <x v="8"/>
    <x v="5"/>
    <x v="4"/>
    <s v="v9.2.38"/>
    <s v="Good"/>
  </r>
  <r>
    <n v="265"/>
    <n v="5678736"/>
    <x v="39"/>
    <x v="1"/>
    <s v="Perfect for daily use, highly recommend to everyone."/>
    <x v="4"/>
    <x v="0"/>
    <x v="264"/>
    <x v="0"/>
    <x v="1"/>
    <n v="988"/>
    <x v="22"/>
    <x v="17"/>
    <x v="4"/>
    <s v="4.4.38.1506"/>
    <s v="Very Poor"/>
  </r>
  <r>
    <n v="266"/>
    <n v="6010597"/>
    <x v="21"/>
    <x v="3"/>
    <s v="Excepturi odit rerum placeat voluptatem laboriosam delectus. Aperiam quod itaque eos."/>
    <x v="22"/>
    <x v="14"/>
    <x v="265"/>
    <x v="0"/>
    <x v="2"/>
    <n v="1233"/>
    <x v="53"/>
    <x v="19"/>
    <x v="2"/>
    <s v="v13.0.98"/>
    <s v="Excellent"/>
  </r>
  <r>
    <n v="267"/>
    <n v="803065"/>
    <x v="30"/>
    <x v="5"/>
    <s v="Perfect for daily use, highly recommend to everyone."/>
    <x v="16"/>
    <x v="22"/>
    <x v="266"/>
    <x v="0"/>
    <x v="0"/>
    <n v="303"/>
    <x v="32"/>
    <x v="11"/>
    <x v="1"/>
    <s v="1.6.57.9751"/>
    <s v="Poor"/>
  </r>
  <r>
    <n v="268"/>
    <n v="8746701"/>
    <x v="32"/>
    <x v="5"/>
    <s v="Excellent customer support and regular feature updates."/>
    <x v="13"/>
    <x v="4"/>
    <x v="267"/>
    <x v="0"/>
    <x v="3"/>
    <n v="504"/>
    <x v="18"/>
    <x v="0"/>
    <x v="3"/>
    <s v="13.2"/>
    <s v="Average"/>
  </r>
  <r>
    <n v="269"/>
    <n v="8042330"/>
    <x v="32"/>
    <x v="13"/>
    <s v="Latest update broke some features, please fix soon."/>
    <x v="12"/>
    <x v="5"/>
    <x v="268"/>
    <x v="0"/>
    <x v="3"/>
    <n v="905"/>
    <x v="48"/>
    <x v="23"/>
    <x v="2"/>
    <s v="6.3.41.5645"/>
    <s v="Excellent"/>
  </r>
  <r>
    <n v="270"/>
    <n v="3306183"/>
    <x v="23"/>
    <x v="0"/>
    <s v="The interface could be better but overall good experience."/>
    <x v="19"/>
    <x v="24"/>
    <x v="269"/>
    <x v="0"/>
    <x v="4"/>
    <n v="679"/>
    <x v="20"/>
    <x v="7"/>
    <x v="4"/>
    <s v="v12.0.31"/>
    <s v="Poor"/>
  </r>
  <r>
    <n v="271"/>
    <n v="902018"/>
    <x v="36"/>
    <x v="6"/>
    <s v="This app is amazing! Really love the new features."/>
    <x v="19"/>
    <x v="8"/>
    <x v="270"/>
    <x v="1"/>
    <x v="3"/>
    <n v="555"/>
    <x v="10"/>
    <x v="10"/>
    <x v="1"/>
    <s v="7.9.84"/>
    <s v="Very Poor"/>
  </r>
  <r>
    <n v="272"/>
    <n v="5668772"/>
    <x v="27"/>
    <x v="6"/>
    <s v="Commodi facilis suscipit quia tempora. Excepturi deleniti porro facilis reiciendis eaque."/>
    <x v="18"/>
    <x v="14"/>
    <x v="271"/>
    <x v="1"/>
    <x v="3"/>
    <n v="180"/>
    <x v="22"/>
    <x v="20"/>
    <x v="4"/>
    <s v="5.6.29.6238"/>
    <s v="Excellent"/>
  </r>
  <r>
    <n v="273"/>
    <n v="7221922"/>
    <x v="25"/>
    <x v="4"/>
    <s v="Great app but too many ads, consider premium version."/>
    <x v="10"/>
    <x v="26"/>
    <x v="272"/>
    <x v="0"/>
    <x v="2"/>
    <n v="1026"/>
    <x v="21"/>
    <x v="3"/>
    <x v="4"/>
    <s v="8.6.95"/>
    <s v="Average"/>
  </r>
  <r>
    <n v="274"/>
    <n v="3127557"/>
    <x v="3"/>
    <x v="1"/>
    <s v="Скрытый развитый сравнение поймать художественный пересечь сомнительный. Расстегнуть опасность роскошный пища равнодушный необычный. Собеседник металл аж смелый."/>
    <x v="5"/>
    <x v="14"/>
    <x v="273"/>
    <x v="0"/>
    <x v="2"/>
    <n v="854"/>
    <x v="18"/>
    <x v="4"/>
    <x v="0"/>
    <s v="3.5.50"/>
    <s v="Excellent"/>
  </r>
  <r>
    <n v="275"/>
    <n v="622452"/>
    <x v="33"/>
    <x v="8"/>
    <s v="Sed perspiciatis ipsa commodi."/>
    <x v="3"/>
    <x v="12"/>
    <x v="274"/>
    <x v="1"/>
    <x v="2"/>
    <n v="650"/>
    <x v="39"/>
    <x v="5"/>
    <x v="4"/>
    <s v="11.3.17.5063"/>
    <s v="Excellent"/>
  </r>
  <r>
    <n v="276"/>
    <n v="6245971"/>
    <x v="37"/>
    <x v="16"/>
    <s v="Fugit necessitatibus non perspiciatis veniam fuga."/>
    <x v="12"/>
    <x v="23"/>
    <x v="275"/>
    <x v="0"/>
    <x v="3"/>
    <n v="546"/>
    <x v="41"/>
    <x v="4"/>
    <x v="4"/>
    <s v="7.4"/>
    <s v="Very Poor"/>
  </r>
  <r>
    <n v="277"/>
    <n v="9728809"/>
    <x v="9"/>
    <x v="5"/>
    <s v="追放するコピー指名ヘア。 バーゲン発生する運特徴。"/>
    <x v="14"/>
    <x v="32"/>
    <x v="276"/>
    <x v="0"/>
    <x v="2"/>
    <n v="66"/>
    <x v="60"/>
    <x v="19"/>
    <x v="3"/>
    <s v="9.9"/>
    <s v="Very Poor"/>
  </r>
  <r>
    <n v="278"/>
    <n v="4466937"/>
    <x v="19"/>
    <x v="9"/>
    <s v="Dolor nostrum possimus voluptatum dicta consequatur asperiores. Tempore ipsum assumenda placeat."/>
    <x v="2"/>
    <x v="17"/>
    <x v="277"/>
    <x v="0"/>
    <x v="0"/>
    <n v="640"/>
    <x v="51"/>
    <x v="21"/>
    <x v="4"/>
    <s v="14.9.62-beta"/>
    <s v="Average"/>
  </r>
  <r>
    <n v="279"/>
    <n v="5928829"/>
    <x v="22"/>
    <x v="9"/>
    <s v="This app is amazing! Really love the new features."/>
    <x v="0"/>
    <x v="33"/>
    <x v="278"/>
    <x v="0"/>
    <x v="4"/>
    <n v="388"/>
    <x v="55"/>
    <x v="10"/>
    <x v="2"/>
    <s v="14.0.31.8499"/>
    <s v="Poor"/>
  </r>
  <r>
    <n v="280"/>
    <n v="9327420"/>
    <x v="14"/>
    <x v="14"/>
    <s v="Enim error culpa quae praesentium cupiditate facere."/>
    <x v="21"/>
    <x v="21"/>
    <x v="279"/>
    <x v="0"/>
    <x v="3"/>
    <n v="277"/>
    <x v="51"/>
    <x v="15"/>
    <x v="3"/>
    <s v="15.2.59"/>
    <s v="Excellent"/>
  </r>
  <r>
    <n v="281"/>
    <n v="3471891"/>
    <x v="13"/>
    <x v="3"/>
    <s v="User-friendly design and smooth performance throughout."/>
    <x v="3"/>
    <x v="33"/>
    <x v="280"/>
    <x v="0"/>
    <x v="3"/>
    <n v="786"/>
    <x v="25"/>
    <x v="13"/>
    <x v="4"/>
    <s v="5.5.88"/>
    <s v="Poor"/>
  </r>
  <r>
    <n v="282"/>
    <n v="4071774"/>
    <x v="4"/>
    <x v="5"/>
    <s v="User-friendly design and smooth performance throughout."/>
    <x v="19"/>
    <x v="26"/>
    <x v="281"/>
    <x v="0"/>
    <x v="4"/>
    <n v="269"/>
    <x v="43"/>
    <x v="20"/>
    <x v="1"/>
    <s v="3.2.22-beta"/>
    <s v="Average"/>
  </r>
  <r>
    <n v="283"/>
    <n v="540972"/>
    <x v="38"/>
    <x v="10"/>
    <s v="The interface could be better but overall good experience."/>
    <x v="5"/>
    <x v="17"/>
    <x v="282"/>
    <x v="0"/>
    <x v="2"/>
    <n v="1120"/>
    <x v="21"/>
    <x v="21"/>
    <x v="4"/>
    <s v="4.3.75-beta"/>
    <s v="Average"/>
  </r>
  <r>
    <n v="284"/>
    <n v="9701221"/>
    <x v="36"/>
    <x v="11"/>
    <s v="Level work candidate this assume huge."/>
    <x v="16"/>
    <x v="5"/>
    <x v="283"/>
    <x v="1"/>
    <x v="2"/>
    <n v="582"/>
    <x v="48"/>
    <x v="16"/>
    <x v="4"/>
    <s v="v11.9.77"/>
    <s v="Excellent"/>
  </r>
  <r>
    <n v="285"/>
    <n v="8130667"/>
    <x v="15"/>
    <x v="3"/>
    <s v="Illum illum nemo commodi et asperiores iure. Exercitationem soluta quos odit delectus vitae inventore."/>
    <x v="0"/>
    <x v="0"/>
    <x v="284"/>
    <x v="0"/>
    <x v="0"/>
    <n v="275"/>
    <x v="56"/>
    <x v="8"/>
    <x v="3"/>
    <s v="13.4.41-beta"/>
    <s v="Very Poor"/>
  </r>
  <r>
    <n v="286"/>
    <n v="2183077"/>
    <x v="4"/>
    <x v="14"/>
    <s v="Great app but too many ads, consider premium version."/>
    <x v="1"/>
    <x v="18"/>
    <x v="285"/>
    <x v="0"/>
    <x v="3"/>
    <n v="724"/>
    <x v="53"/>
    <x v="23"/>
    <x v="4"/>
    <s v="v2.7.92"/>
    <s v="Average"/>
  </r>
  <r>
    <n v="287"/>
    <n v="5202363"/>
    <x v="29"/>
    <x v="1"/>
    <s v="The interface could be better but overall good experience."/>
    <x v="4"/>
    <x v="38"/>
    <x v="286"/>
    <x v="0"/>
    <x v="3"/>
    <n v="849"/>
    <x v="60"/>
    <x v="3"/>
    <x v="3"/>
    <s v="12.4.24"/>
    <s v="Good"/>
  </r>
  <r>
    <n v="288"/>
    <n v="5513349"/>
    <x v="17"/>
    <x v="3"/>
    <s v="Exercitationem velit tempora sapiente dolorum. Earum numquam nostrum atque odit nihil neque. Omnis quam non sapiente."/>
    <x v="17"/>
    <x v="25"/>
    <x v="287"/>
    <x v="0"/>
    <x v="3"/>
    <n v="59"/>
    <x v="3"/>
    <x v="9"/>
    <x v="0"/>
    <s v="v5.4.64"/>
    <s v="Poor"/>
  </r>
  <r>
    <n v="289"/>
    <n v="576028"/>
    <x v="33"/>
    <x v="10"/>
    <s v="Aliquid odit nemo officiis. Impedit odit libero occaecati enim vero laboriosam. Error asperiores animi ipsam laborum dignissimos."/>
    <x v="2"/>
    <x v="31"/>
    <x v="288"/>
    <x v="0"/>
    <x v="1"/>
    <n v="1157"/>
    <x v="25"/>
    <x v="16"/>
    <x v="3"/>
    <s v="3.7.68-beta"/>
    <s v="Good"/>
  </r>
  <r>
    <n v="290"/>
    <n v="5344264"/>
    <x v="16"/>
    <x v="3"/>
    <s v="Crashes too often, needs improvement in stability."/>
    <x v="21"/>
    <x v="17"/>
    <x v="289"/>
    <x v="1"/>
    <x v="2"/>
    <n v="1218"/>
    <x v="56"/>
    <x v="18"/>
    <x v="3"/>
    <s v="3.4.3-beta"/>
    <s v="Average"/>
  </r>
  <r>
    <n v="291"/>
    <n v="5457240"/>
    <x v="25"/>
    <x v="17"/>
    <s v="Voluptate consectetur fuga natus eum iure."/>
    <x v="9"/>
    <x v="24"/>
    <x v="290"/>
    <x v="0"/>
    <x v="4"/>
    <n v="988"/>
    <x v="29"/>
    <x v="13"/>
    <x v="0"/>
    <s v="v9.4.22"/>
    <s v="Poor"/>
  </r>
  <r>
    <n v="292"/>
    <n v="4259388"/>
    <x v="36"/>
    <x v="0"/>
    <s v="スキーム教会チーズ血まみれの。 私リンク学生あった改善。"/>
    <x v="8"/>
    <x v="14"/>
    <x v="291"/>
    <x v="1"/>
    <x v="4"/>
    <n v="8"/>
    <x v="52"/>
    <x v="3"/>
    <x v="4"/>
    <s v="14.8"/>
    <s v="Excellent"/>
  </r>
  <r>
    <n v="293"/>
    <n v="2773322"/>
    <x v="25"/>
    <x v="6"/>
    <s v="Latest update broke some features, please fix soon."/>
    <x v="1"/>
    <x v="18"/>
    <x v="292"/>
    <x v="0"/>
    <x v="0"/>
    <n v="240"/>
    <x v="21"/>
    <x v="23"/>
    <x v="0"/>
    <s v="v10.4.81"/>
    <s v="Average"/>
  </r>
  <r>
    <n v="294"/>
    <n v="7931858"/>
    <x v="16"/>
    <x v="8"/>
    <s v="The interface could be better but overall good experience."/>
    <x v="19"/>
    <x v="26"/>
    <x v="293"/>
    <x v="0"/>
    <x v="1"/>
    <n v="1107"/>
    <x v="17"/>
    <x v="3"/>
    <x v="0"/>
    <s v="6.4.18.4642"/>
    <s v="Average"/>
  </r>
  <r>
    <n v="295"/>
    <n v="8444488"/>
    <x v="31"/>
    <x v="7"/>
    <s v="Great app but too many ads, consider premium version."/>
    <x v="13"/>
    <x v="37"/>
    <x v="294"/>
    <x v="0"/>
    <x v="3"/>
    <n v="160"/>
    <x v="5"/>
    <x v="10"/>
    <x v="4"/>
    <s v="12.9.75.7305"/>
    <s v="Average"/>
  </r>
  <r>
    <n v="296"/>
    <n v="6697509"/>
    <x v="13"/>
    <x v="10"/>
    <s v="Great app but too many ads, consider premium version."/>
    <x v="17"/>
    <x v="24"/>
    <x v="295"/>
    <x v="0"/>
    <x v="4"/>
    <n v="133"/>
    <x v="47"/>
    <x v="12"/>
    <x v="3"/>
    <s v="v4.3.18"/>
    <s v="Poor"/>
  </r>
  <r>
    <n v="297"/>
    <n v="4138756"/>
    <x v="35"/>
    <x v="0"/>
    <s v="Сынок факультет ягода миллиард провал. Монета экзамен более неожиданно самостоятельно вскакивать покидать."/>
    <x v="20"/>
    <x v="17"/>
    <x v="296"/>
    <x v="0"/>
    <x v="2"/>
    <n v="499"/>
    <x v="14"/>
    <x v="9"/>
    <x v="2"/>
    <s v="7.1.41"/>
    <s v="Average"/>
  </r>
  <r>
    <n v="298"/>
    <n v="958283"/>
    <x v="32"/>
    <x v="4"/>
    <s v="Natus facere enim harum ipsum mollitia repudiandae. Perspiciatis blanditiis voluptate hic recusandae excepturi vel quidem. Nobis illo aliquam aliquam quae."/>
    <x v="5"/>
    <x v="19"/>
    <x v="297"/>
    <x v="0"/>
    <x v="3"/>
    <n v="199"/>
    <x v="58"/>
    <x v="10"/>
    <x v="0"/>
    <s v="9.3.22.1277"/>
    <s v="Poor"/>
  </r>
  <r>
    <n v="299"/>
    <n v="8812957"/>
    <x v="21"/>
    <x v="4"/>
    <s v="Corrupti tempora consequuntur ut et hic nulla. Nisi magni magni laudantium natus. Repellendus fuga perferendis voluptatem nesciunt reiciendis quas."/>
    <x v="23"/>
    <x v="6"/>
    <x v="298"/>
    <x v="1"/>
    <x v="2"/>
    <n v="927"/>
    <x v="50"/>
    <x v="18"/>
    <x v="2"/>
    <s v="8.0"/>
    <s v="Good"/>
  </r>
  <r>
    <n v="300"/>
    <n v="547065"/>
    <x v="25"/>
    <x v="16"/>
    <s v="No Review"/>
    <x v="20"/>
    <x v="38"/>
    <x v="299"/>
    <x v="0"/>
    <x v="1"/>
    <n v="127"/>
    <x v="49"/>
    <x v="5"/>
    <x v="1"/>
    <s v="12.5.11"/>
    <s v="Good"/>
  </r>
  <r>
    <n v="301"/>
    <n v="4554861"/>
    <x v="26"/>
    <x v="1"/>
    <s v="Works perfectly on my device, no complaints at all."/>
    <x v="0"/>
    <x v="8"/>
    <x v="300"/>
    <x v="1"/>
    <x v="2"/>
    <n v="972"/>
    <x v="32"/>
    <x v="20"/>
    <x v="4"/>
    <s v="7.9.50-beta"/>
    <s v="Very Poor"/>
  </r>
  <r>
    <n v="302"/>
    <n v="9805188"/>
    <x v="33"/>
    <x v="5"/>
    <s v="パイオニア差別するタワークルー改善虐待トーン。 リニア今日ささやき錯覚呼ぶ。 協力柔らかい不自然な尿。"/>
    <x v="16"/>
    <x v="16"/>
    <x v="301"/>
    <x v="1"/>
    <x v="2"/>
    <n v="173"/>
    <x v="32"/>
    <x v="6"/>
    <x v="2"/>
    <s v="1.1"/>
    <s v="Excellent"/>
  </r>
  <r>
    <n v="303"/>
    <n v="1144906"/>
    <x v="13"/>
    <x v="14"/>
    <s v="Works perfectly on my device, no complaints at all."/>
    <x v="5"/>
    <x v="40"/>
    <x v="302"/>
    <x v="0"/>
    <x v="0"/>
    <n v="484"/>
    <x v="13"/>
    <x v="13"/>
    <x v="3"/>
    <s v="v7.8.57"/>
    <s v="Very Poor"/>
  </r>
  <r>
    <n v="304"/>
    <n v="8802060"/>
    <x v="39"/>
    <x v="0"/>
    <s v="Тесно равнодушный выкинуть бегать спорт. Нажать жидкий ученый свежий вообще интернет протягивать."/>
    <x v="11"/>
    <x v="18"/>
    <x v="303"/>
    <x v="0"/>
    <x v="3"/>
    <n v="1249"/>
    <x v="1"/>
    <x v="2"/>
    <x v="2"/>
    <s v="10.7"/>
    <s v="Average"/>
  </r>
  <r>
    <n v="305"/>
    <n v="3325657"/>
    <x v="8"/>
    <x v="12"/>
    <s v="Some bugs need fixing but generally satisfied with it."/>
    <x v="18"/>
    <x v="30"/>
    <x v="304"/>
    <x v="0"/>
    <x v="1"/>
    <n v="862"/>
    <x v="34"/>
    <x v="18"/>
    <x v="3"/>
    <s v="10.0.43"/>
    <s v="Average"/>
  </r>
  <r>
    <n v="306"/>
    <n v="9463140"/>
    <x v="17"/>
    <x v="11"/>
    <s v="Latest update broke some features, please fix soon."/>
    <x v="4"/>
    <x v="26"/>
    <x v="305"/>
    <x v="0"/>
    <x v="1"/>
    <n v="992"/>
    <x v="1"/>
    <x v="23"/>
    <x v="4"/>
    <s v="11.7.74.2771"/>
    <s v="Average"/>
  </r>
  <r>
    <n v="307"/>
    <n v="5093143"/>
    <x v="17"/>
    <x v="6"/>
    <s v="Provident porro laborum laboriosam natus. Enim nemo molestiae tempore hic."/>
    <x v="10"/>
    <x v="11"/>
    <x v="306"/>
    <x v="1"/>
    <x v="1"/>
    <n v="483"/>
    <x v="31"/>
    <x v="9"/>
    <x v="4"/>
    <s v="12.1.77.2861"/>
    <s v="Good"/>
  </r>
  <r>
    <n v="308"/>
    <n v="2557461"/>
    <x v="36"/>
    <x v="10"/>
    <s v="Crashes too often, needs improvement in stability."/>
    <x v="13"/>
    <x v="30"/>
    <x v="307"/>
    <x v="0"/>
    <x v="1"/>
    <n v="111"/>
    <x v="15"/>
    <x v="24"/>
    <x v="1"/>
    <s v="13.6"/>
    <s v="Average"/>
  </r>
  <r>
    <n v="309"/>
    <n v="4925636"/>
    <x v="10"/>
    <x v="1"/>
    <s v="Works perfectly on my device, no complaints at all."/>
    <x v="23"/>
    <x v="22"/>
    <x v="308"/>
    <x v="0"/>
    <x v="0"/>
    <n v="782"/>
    <x v="9"/>
    <x v="11"/>
    <x v="4"/>
    <s v="7.6"/>
    <s v="Poor"/>
  </r>
  <r>
    <n v="310"/>
    <n v="5911015"/>
    <x v="32"/>
    <x v="15"/>
    <s v="Works perfectly on my device, no complaints at all."/>
    <x v="11"/>
    <x v="39"/>
    <x v="309"/>
    <x v="0"/>
    <x v="2"/>
    <n v="1205"/>
    <x v="40"/>
    <x v="20"/>
    <x v="4"/>
    <s v="v6.4.34"/>
    <s v="Good"/>
  </r>
  <r>
    <n v="311"/>
    <n v="4402415"/>
    <x v="40"/>
    <x v="6"/>
    <s v="Latest update broke some features, please fix soon."/>
    <x v="1"/>
    <x v="8"/>
    <x v="310"/>
    <x v="0"/>
    <x v="4"/>
    <n v="188"/>
    <x v="10"/>
    <x v="21"/>
    <x v="0"/>
    <s v="7.1.67-beta"/>
    <s v="Very Poor"/>
  </r>
  <r>
    <n v="312"/>
    <n v="3690102"/>
    <x v="33"/>
    <x v="2"/>
    <s v="User-friendly design and smooth performance throughout."/>
    <x v="15"/>
    <x v="12"/>
    <x v="311"/>
    <x v="0"/>
    <x v="0"/>
    <n v="566"/>
    <x v="40"/>
    <x v="15"/>
    <x v="3"/>
    <s v="11.9"/>
    <s v="Excellent"/>
  </r>
  <r>
    <n v="313"/>
    <n v="4648852"/>
    <x v="14"/>
    <x v="15"/>
    <s v="Perfect for daily use, highly recommend to everyone."/>
    <x v="5"/>
    <x v="36"/>
    <x v="312"/>
    <x v="0"/>
    <x v="0"/>
    <n v="222"/>
    <x v="36"/>
    <x v="5"/>
    <x v="2"/>
    <s v="14.4.22"/>
    <s v="Poor"/>
  </r>
  <r>
    <n v="314"/>
    <n v="4657052"/>
    <x v="40"/>
    <x v="3"/>
    <s v="Brusquement que dent arrêter. Debout dehors bois épaule interroger point chaleur. Vin ciel penser souhaiter jamais pendre rapporter."/>
    <x v="3"/>
    <x v="40"/>
    <x v="313"/>
    <x v="0"/>
    <x v="4"/>
    <n v="799"/>
    <x v="21"/>
    <x v="23"/>
    <x v="3"/>
    <s v="10.4.99"/>
    <s v="Very Poor"/>
  </r>
  <r>
    <n v="315"/>
    <n v="4888474"/>
    <x v="32"/>
    <x v="2"/>
    <s v="User-friendly design and smooth performance throughout."/>
    <x v="22"/>
    <x v="30"/>
    <x v="314"/>
    <x v="0"/>
    <x v="1"/>
    <n v="682"/>
    <x v="9"/>
    <x v="18"/>
    <x v="2"/>
    <s v="14.1.69"/>
    <s v="Average"/>
  </r>
  <r>
    <n v="316"/>
    <n v="1600901"/>
    <x v="5"/>
    <x v="3"/>
    <s v="This app is amazing! Really love the new features."/>
    <x v="20"/>
    <x v="2"/>
    <x v="315"/>
    <x v="0"/>
    <x v="1"/>
    <n v="798"/>
    <x v="29"/>
    <x v="12"/>
    <x v="3"/>
    <s v="14.7"/>
    <s v="Average"/>
  </r>
  <r>
    <n v="317"/>
    <n v="3996008"/>
    <x v="26"/>
    <x v="1"/>
    <s v="User-friendly design and smooth performance throughout."/>
    <x v="23"/>
    <x v="23"/>
    <x v="316"/>
    <x v="1"/>
    <x v="4"/>
    <n v="691"/>
    <x v="59"/>
    <x v="7"/>
    <x v="1"/>
    <s v="v8.6.8"/>
    <s v="Very Poor"/>
  </r>
  <r>
    <n v="318"/>
    <n v="725760"/>
    <x v="10"/>
    <x v="5"/>
    <s v="No Review"/>
    <x v="23"/>
    <x v="19"/>
    <x v="317"/>
    <x v="0"/>
    <x v="3"/>
    <n v="93"/>
    <x v="18"/>
    <x v="8"/>
    <x v="0"/>
    <s v="12.9.29"/>
    <s v="Poor"/>
  </r>
  <r>
    <n v="319"/>
    <n v="8386475"/>
    <x v="29"/>
    <x v="7"/>
    <s v="Excellent customer support and regular feature updates."/>
    <x v="7"/>
    <x v="0"/>
    <x v="318"/>
    <x v="0"/>
    <x v="2"/>
    <n v="872"/>
    <x v="26"/>
    <x v="7"/>
    <x v="2"/>
    <s v="14.9.8"/>
    <s v="Very Poor"/>
  </r>
  <r>
    <n v="320"/>
    <n v="8559284"/>
    <x v="24"/>
    <x v="11"/>
    <s v="Works perfectly on my device, no complaints at all."/>
    <x v="12"/>
    <x v="3"/>
    <x v="319"/>
    <x v="0"/>
    <x v="3"/>
    <n v="337"/>
    <x v="17"/>
    <x v="2"/>
    <x v="4"/>
    <s v="10.2.42"/>
    <s v="Average"/>
  </r>
  <r>
    <n v="321"/>
    <n v="3334838"/>
    <x v="26"/>
    <x v="10"/>
    <s v="Ex quasi officia quaerat. Qui ratione necessitatibus."/>
    <x v="16"/>
    <x v="3"/>
    <x v="320"/>
    <x v="0"/>
    <x v="0"/>
    <n v="259"/>
    <x v="20"/>
    <x v="23"/>
    <x v="3"/>
    <s v="2.0.0"/>
    <s v="Average"/>
  </r>
  <r>
    <n v="322"/>
    <n v="3044316"/>
    <x v="19"/>
    <x v="10"/>
    <s v="Some bugs need fixing but generally satisfied with it."/>
    <x v="7"/>
    <x v="8"/>
    <x v="321"/>
    <x v="1"/>
    <x v="3"/>
    <n v="195"/>
    <x v="48"/>
    <x v="22"/>
    <x v="4"/>
    <s v="v10.1.80"/>
    <s v="Very Poor"/>
  </r>
  <r>
    <n v="323"/>
    <n v="6902999"/>
    <x v="2"/>
    <x v="5"/>
    <s v="This app is amazing! Really love the new features."/>
    <x v="2"/>
    <x v="2"/>
    <x v="322"/>
    <x v="0"/>
    <x v="1"/>
    <n v="429"/>
    <x v="4"/>
    <x v="24"/>
    <x v="3"/>
    <s v="11.7"/>
    <s v="Average"/>
  </r>
  <r>
    <n v="324"/>
    <n v="8744974"/>
    <x v="10"/>
    <x v="7"/>
    <s v="Perfect for daily use, highly recommend to everyone."/>
    <x v="4"/>
    <x v="24"/>
    <x v="323"/>
    <x v="0"/>
    <x v="3"/>
    <n v="667"/>
    <x v="60"/>
    <x v="20"/>
    <x v="3"/>
    <s v="3.0.62"/>
    <s v="Poor"/>
  </r>
  <r>
    <n v="325"/>
    <n v="6824865"/>
    <x v="18"/>
    <x v="2"/>
    <s v="Works perfectly on my device, no complaints at all."/>
    <x v="14"/>
    <x v="20"/>
    <x v="324"/>
    <x v="0"/>
    <x v="3"/>
    <n v="931"/>
    <x v="22"/>
    <x v="1"/>
    <x v="3"/>
    <s v="15.3.9.7717"/>
    <s v="Very Poor"/>
  </r>
  <r>
    <n v="326"/>
    <n v="3200114"/>
    <x v="33"/>
    <x v="11"/>
    <s v="User-friendly design and smooth performance throughout."/>
    <x v="11"/>
    <x v="10"/>
    <x v="325"/>
    <x v="0"/>
    <x v="1"/>
    <n v="450"/>
    <x v="42"/>
    <x v="18"/>
    <x v="4"/>
    <s v="12.9"/>
    <s v="Poor"/>
  </r>
  <r>
    <n v="327"/>
    <n v="5529135"/>
    <x v="7"/>
    <x v="1"/>
    <s v="User-friendly design and smooth performance throughout."/>
    <x v="1"/>
    <x v="23"/>
    <x v="326"/>
    <x v="0"/>
    <x v="0"/>
    <n v="505"/>
    <x v="18"/>
    <x v="11"/>
    <x v="2"/>
    <s v="2.6"/>
    <s v="Very Poor"/>
  </r>
  <r>
    <n v="328"/>
    <n v="214590"/>
    <x v="38"/>
    <x v="16"/>
    <s v="Works perfectly on my device, no complaints at all."/>
    <x v="18"/>
    <x v="34"/>
    <x v="327"/>
    <x v="0"/>
    <x v="4"/>
    <n v="926"/>
    <x v="31"/>
    <x v="2"/>
    <x v="1"/>
    <s v="1.0.60"/>
    <s v="Average"/>
  </r>
  <r>
    <n v="329"/>
    <n v="4051390"/>
    <x v="20"/>
    <x v="1"/>
    <s v="User-friendly design and smooth performance throughout."/>
    <x v="21"/>
    <x v="6"/>
    <x v="328"/>
    <x v="1"/>
    <x v="4"/>
    <n v="931"/>
    <x v="46"/>
    <x v="23"/>
    <x v="2"/>
    <s v="Unknown"/>
    <s v="Good"/>
  </r>
  <r>
    <n v="330"/>
    <n v="4579421"/>
    <x v="0"/>
    <x v="3"/>
    <s v="Latest update broke some features, please fix soon."/>
    <x v="8"/>
    <x v="21"/>
    <x v="329"/>
    <x v="0"/>
    <x v="3"/>
    <n v="1178"/>
    <x v="59"/>
    <x v="20"/>
    <x v="1"/>
    <s v="v7.5.67"/>
    <s v="Excellent"/>
  </r>
  <r>
    <n v="331"/>
    <n v="9872069"/>
    <x v="39"/>
    <x v="11"/>
    <s v="Great app but too many ads, consider premium version."/>
    <x v="12"/>
    <x v="2"/>
    <x v="330"/>
    <x v="0"/>
    <x v="4"/>
    <n v="1148"/>
    <x v="13"/>
    <x v="20"/>
    <x v="0"/>
    <s v="2.6.46.7625"/>
    <s v="Average"/>
  </r>
  <r>
    <n v="332"/>
    <n v="291859"/>
    <x v="8"/>
    <x v="17"/>
    <s v="Works perfectly on my device, no complaints at all."/>
    <x v="1"/>
    <x v="7"/>
    <x v="331"/>
    <x v="1"/>
    <x v="1"/>
    <n v="707"/>
    <x v="17"/>
    <x v="17"/>
    <x v="4"/>
    <s v="v13.3.41"/>
    <s v="Very Poor"/>
  </r>
  <r>
    <n v="333"/>
    <n v="6132283"/>
    <x v="20"/>
    <x v="9"/>
    <s v="数字トリビュート本質的なスマッシュ不自然な。"/>
    <x v="9"/>
    <x v="36"/>
    <x v="332"/>
    <x v="1"/>
    <x v="2"/>
    <n v="590"/>
    <x v="43"/>
    <x v="0"/>
    <x v="1"/>
    <s v="10.5"/>
    <s v="Poor"/>
  </r>
  <r>
    <n v="334"/>
    <n v="5317344"/>
    <x v="0"/>
    <x v="6"/>
    <s v="Works perfectly on my device, no complaints at all."/>
    <x v="11"/>
    <x v="6"/>
    <x v="333"/>
    <x v="0"/>
    <x v="4"/>
    <n v="597"/>
    <x v="57"/>
    <x v="0"/>
    <x v="1"/>
    <s v="5.6"/>
    <s v="Good"/>
  </r>
  <r>
    <n v="335"/>
    <n v="5049909"/>
    <x v="5"/>
    <x v="4"/>
    <s v="Latest update broke some features, please fix soon."/>
    <x v="21"/>
    <x v="29"/>
    <x v="334"/>
    <x v="1"/>
    <x v="1"/>
    <n v="351"/>
    <x v="59"/>
    <x v="24"/>
    <x v="0"/>
    <s v="8.9.85.8687"/>
    <s v="Very Poor"/>
  </r>
  <r>
    <n v="336"/>
    <n v="3805235"/>
    <x v="13"/>
    <x v="7"/>
    <s v="Crashes too often, needs improvement in stability."/>
    <x v="8"/>
    <x v="3"/>
    <x v="335"/>
    <x v="0"/>
    <x v="2"/>
    <n v="330"/>
    <x v="18"/>
    <x v="12"/>
    <x v="1"/>
    <s v="v10.2.91"/>
    <s v="Average"/>
  </r>
  <r>
    <n v="337"/>
    <n v="8122561"/>
    <x v="15"/>
    <x v="4"/>
    <s v="Слишком носок угроза сутки. Бетонный смелый неправда умолять разнообразный парень присесть."/>
    <x v="22"/>
    <x v="12"/>
    <x v="336"/>
    <x v="0"/>
    <x v="0"/>
    <n v="1022"/>
    <x v="40"/>
    <x v="23"/>
    <x v="2"/>
    <s v="6.2.47.7348"/>
    <s v="Excellent"/>
  </r>
  <r>
    <n v="338"/>
    <n v="8961274"/>
    <x v="20"/>
    <x v="10"/>
    <s v="Autore notare assicurare nazione meglio né. Colpo soltanto invece prendere."/>
    <x v="17"/>
    <x v="3"/>
    <x v="337"/>
    <x v="0"/>
    <x v="0"/>
    <n v="82"/>
    <x v="32"/>
    <x v="16"/>
    <x v="4"/>
    <s v="15.4"/>
    <s v="Average"/>
  </r>
  <r>
    <n v="339"/>
    <n v="8301172"/>
    <x v="37"/>
    <x v="11"/>
    <s v="Tempore ipsum animi consequatur. Itaque animi iure rem quam id."/>
    <x v="13"/>
    <x v="23"/>
    <x v="338"/>
    <x v="0"/>
    <x v="3"/>
    <n v="912"/>
    <x v="9"/>
    <x v="16"/>
    <x v="1"/>
    <s v="10.3"/>
    <s v="Very Poor"/>
  </r>
  <r>
    <n v="340"/>
    <n v="3755777"/>
    <x v="14"/>
    <x v="13"/>
    <s v="This app is amazing! Really love the new features."/>
    <x v="19"/>
    <x v="25"/>
    <x v="339"/>
    <x v="0"/>
    <x v="1"/>
    <n v="912"/>
    <x v="6"/>
    <x v="5"/>
    <x v="1"/>
    <s v="v7.2.91"/>
    <s v="Poor"/>
  </r>
  <r>
    <n v="341"/>
    <n v="859836"/>
    <x v="34"/>
    <x v="16"/>
    <s v="Perfect for daily use, highly recommend to everyone."/>
    <x v="19"/>
    <x v="19"/>
    <x v="340"/>
    <x v="0"/>
    <x v="3"/>
    <n v="686"/>
    <x v="39"/>
    <x v="4"/>
    <x v="2"/>
    <s v="12.6.17.9621"/>
    <s v="Poor"/>
  </r>
  <r>
    <n v="342"/>
    <n v="1169713"/>
    <x v="4"/>
    <x v="5"/>
    <s v="Latest update broke some features, please fix soon."/>
    <x v="21"/>
    <x v="22"/>
    <x v="341"/>
    <x v="0"/>
    <x v="3"/>
    <n v="949"/>
    <x v="35"/>
    <x v="19"/>
    <x v="1"/>
    <s v="4.2.48.4743"/>
    <s v="Poor"/>
  </r>
  <r>
    <n v="343"/>
    <n v="1257949"/>
    <x v="20"/>
    <x v="16"/>
    <s v="Latest update broke some features, please fix soon."/>
    <x v="18"/>
    <x v="5"/>
    <x v="342"/>
    <x v="0"/>
    <x v="4"/>
    <n v="1226"/>
    <x v="38"/>
    <x v="22"/>
    <x v="4"/>
    <s v="3.7.88"/>
    <s v="Excellent"/>
  </r>
  <r>
    <n v="344"/>
    <n v="632422"/>
    <x v="2"/>
    <x v="13"/>
    <s v="Crashes too often, needs improvement in stability."/>
    <x v="17"/>
    <x v="24"/>
    <x v="343"/>
    <x v="0"/>
    <x v="2"/>
    <n v="731"/>
    <x v="12"/>
    <x v="3"/>
    <x v="3"/>
    <s v="9.9"/>
    <s v="Poor"/>
  </r>
  <r>
    <n v="345"/>
    <n v="3119585"/>
    <x v="0"/>
    <x v="3"/>
    <s v="Crashes too often, needs improvement in stability."/>
    <x v="0"/>
    <x v="28"/>
    <x v="344"/>
    <x v="0"/>
    <x v="1"/>
    <n v="616"/>
    <x v="21"/>
    <x v="16"/>
    <x v="4"/>
    <s v="9.3.98"/>
    <s v="Poor"/>
  </r>
  <r>
    <n v="346"/>
    <n v="7152503"/>
    <x v="39"/>
    <x v="10"/>
    <s v="Perfect for daily use, highly recommend to everyone."/>
    <x v="13"/>
    <x v="11"/>
    <x v="345"/>
    <x v="0"/>
    <x v="3"/>
    <n v="1076"/>
    <x v="2"/>
    <x v="5"/>
    <x v="4"/>
    <s v="7.5"/>
    <s v="Good"/>
  </r>
  <r>
    <n v="347"/>
    <n v="7625204"/>
    <x v="33"/>
    <x v="6"/>
    <s v="Fugiat placeat optio molestiae officiis expedita. Voluptatibus hic consectetur voluptatem. Quidem voluptatem iure."/>
    <x v="17"/>
    <x v="32"/>
    <x v="346"/>
    <x v="0"/>
    <x v="1"/>
    <n v="58"/>
    <x v="38"/>
    <x v="12"/>
    <x v="0"/>
    <s v="8.5"/>
    <s v="Very Poor"/>
  </r>
  <r>
    <n v="348"/>
    <n v="7215687"/>
    <x v="23"/>
    <x v="16"/>
    <s v="Here discover leave choice country themselves she."/>
    <x v="22"/>
    <x v="23"/>
    <x v="347"/>
    <x v="1"/>
    <x v="3"/>
    <n v="1214"/>
    <x v="10"/>
    <x v="17"/>
    <x v="4"/>
    <s v="12.1.9-beta"/>
    <s v="Very Poor"/>
  </r>
  <r>
    <n v="349"/>
    <n v="7133690"/>
    <x v="2"/>
    <x v="17"/>
    <s v="Latest update broke some features, please fix soon."/>
    <x v="21"/>
    <x v="25"/>
    <x v="348"/>
    <x v="1"/>
    <x v="2"/>
    <n v="1025"/>
    <x v="40"/>
    <x v="7"/>
    <x v="4"/>
    <s v="10.3.23"/>
    <s v="Poor"/>
  </r>
  <r>
    <n v="350"/>
    <n v="362492"/>
    <x v="24"/>
    <x v="17"/>
    <s v="Dignissimos aut alias nisi praesentium."/>
    <x v="6"/>
    <x v="38"/>
    <x v="349"/>
    <x v="0"/>
    <x v="0"/>
    <n v="750"/>
    <x v="61"/>
    <x v="4"/>
    <x v="0"/>
    <s v="5.2.96"/>
    <s v="Good"/>
  </r>
  <r>
    <n v="351"/>
    <n v="842169"/>
    <x v="24"/>
    <x v="14"/>
    <s v="Some bugs need fixing but generally satisfied with it."/>
    <x v="14"/>
    <x v="34"/>
    <x v="350"/>
    <x v="0"/>
    <x v="1"/>
    <n v="590"/>
    <x v="14"/>
    <x v="7"/>
    <x v="1"/>
    <s v="4.6.14"/>
    <s v="Average"/>
  </r>
  <r>
    <n v="352"/>
    <n v="4031560"/>
    <x v="22"/>
    <x v="1"/>
    <s v="Grecki zapalenie stan grudzień księga pozostać Egipt. Zgodnie handlowy zakon męski włosy gospodarczy."/>
    <x v="15"/>
    <x v="33"/>
    <x v="351"/>
    <x v="0"/>
    <x v="4"/>
    <n v="1006"/>
    <x v="9"/>
    <x v="12"/>
    <x v="2"/>
    <s v="9.6"/>
    <s v="Poor"/>
  </r>
  <r>
    <n v="353"/>
    <n v="7038388"/>
    <x v="8"/>
    <x v="0"/>
    <s v="Excellent customer support and regular feature updates."/>
    <x v="20"/>
    <x v="29"/>
    <x v="352"/>
    <x v="0"/>
    <x v="0"/>
    <n v="1022"/>
    <x v="21"/>
    <x v="8"/>
    <x v="4"/>
    <s v="12.2"/>
    <s v="Very Poor"/>
  </r>
  <r>
    <n v="354"/>
    <n v="1122699"/>
    <x v="28"/>
    <x v="2"/>
    <s v="Latest update broke some features, please fix soon."/>
    <x v="18"/>
    <x v="34"/>
    <x v="353"/>
    <x v="0"/>
    <x v="2"/>
    <n v="60"/>
    <x v="45"/>
    <x v="7"/>
    <x v="1"/>
    <s v="8.8.35-beta"/>
    <s v="Average"/>
  </r>
  <r>
    <n v="355"/>
    <n v="3038247"/>
    <x v="37"/>
    <x v="5"/>
    <s v="Some bugs need fixing but generally satisfied with it."/>
    <x v="18"/>
    <x v="11"/>
    <x v="354"/>
    <x v="1"/>
    <x v="2"/>
    <n v="601"/>
    <x v="7"/>
    <x v="17"/>
    <x v="2"/>
    <s v="5.9.79"/>
    <s v="Good"/>
  </r>
  <r>
    <n v="356"/>
    <n v="7267236"/>
    <x v="15"/>
    <x v="16"/>
    <s v="助けて彼今近代化するハンマー供給協力。 憲法発生するカレッジ普通の。"/>
    <x v="2"/>
    <x v="23"/>
    <x v="355"/>
    <x v="0"/>
    <x v="3"/>
    <n v="620"/>
    <x v="42"/>
    <x v="8"/>
    <x v="0"/>
    <s v="v15.1.49"/>
    <s v="Very Poor"/>
  </r>
  <r>
    <n v="357"/>
    <n v="2521820"/>
    <x v="11"/>
    <x v="8"/>
    <s v="Crashes too often, needs improvement in stability."/>
    <x v="6"/>
    <x v="7"/>
    <x v="356"/>
    <x v="0"/>
    <x v="1"/>
    <n v="1013"/>
    <x v="54"/>
    <x v="1"/>
    <x v="4"/>
    <s v="11.8.73-beta"/>
    <s v="Very Poor"/>
  </r>
  <r>
    <n v="358"/>
    <n v="1066769"/>
    <x v="33"/>
    <x v="13"/>
    <s v="Great app but too many ads, consider premium version."/>
    <x v="10"/>
    <x v="36"/>
    <x v="357"/>
    <x v="0"/>
    <x v="4"/>
    <n v="500"/>
    <x v="18"/>
    <x v="2"/>
    <x v="3"/>
    <s v="6.9.3-beta"/>
    <s v="Poor"/>
  </r>
  <r>
    <n v="359"/>
    <n v="7087842"/>
    <x v="26"/>
    <x v="8"/>
    <s v="Works perfectly on my device, no complaints at all."/>
    <x v="1"/>
    <x v="23"/>
    <x v="358"/>
    <x v="0"/>
    <x v="0"/>
    <n v="1204"/>
    <x v="0"/>
    <x v="11"/>
    <x v="2"/>
    <s v="6.0.58.6922"/>
    <s v="Very Poor"/>
  </r>
  <r>
    <n v="360"/>
    <n v="2349703"/>
    <x v="24"/>
    <x v="4"/>
    <s v="Great app but too many ads, consider premium version."/>
    <x v="16"/>
    <x v="8"/>
    <x v="359"/>
    <x v="0"/>
    <x v="4"/>
    <n v="1097"/>
    <x v="20"/>
    <x v="18"/>
    <x v="3"/>
    <s v="8.8"/>
    <s v="Very Poor"/>
  </r>
  <r>
    <n v="361"/>
    <n v="4378117"/>
    <x v="23"/>
    <x v="0"/>
    <s v="再現する電池ピックニュース月。 差別するトーンブラケット仕上げ必要。"/>
    <x v="13"/>
    <x v="25"/>
    <x v="360"/>
    <x v="1"/>
    <x v="4"/>
    <n v="618"/>
    <x v="8"/>
    <x v="18"/>
    <x v="2"/>
    <s v="10.5.34.1103"/>
    <s v="Poor"/>
  </r>
  <r>
    <n v="362"/>
    <n v="9958018"/>
    <x v="7"/>
    <x v="7"/>
    <s v="Perfect for daily use, highly recommend to everyone."/>
    <x v="15"/>
    <x v="21"/>
    <x v="361"/>
    <x v="1"/>
    <x v="0"/>
    <n v="548"/>
    <x v="53"/>
    <x v="6"/>
    <x v="4"/>
    <s v="15.0"/>
    <s v="Excellent"/>
  </r>
  <r>
    <n v="363"/>
    <n v="9475955"/>
    <x v="14"/>
    <x v="14"/>
    <s v="Latest update broke some features, please fix soon."/>
    <x v="16"/>
    <x v="36"/>
    <x v="362"/>
    <x v="0"/>
    <x v="4"/>
    <n v="416"/>
    <x v="2"/>
    <x v="15"/>
    <x v="3"/>
    <s v="4.5"/>
    <s v="Poor"/>
  </r>
  <r>
    <n v="364"/>
    <n v="3604577"/>
    <x v="2"/>
    <x v="5"/>
    <s v="Works perfectly on my device, no complaints at all."/>
    <x v="16"/>
    <x v="2"/>
    <x v="363"/>
    <x v="0"/>
    <x v="4"/>
    <n v="413"/>
    <x v="12"/>
    <x v="24"/>
    <x v="0"/>
    <s v="4.0.31-beta"/>
    <s v="Average"/>
  </r>
  <r>
    <n v="365"/>
    <n v="5186650"/>
    <x v="15"/>
    <x v="10"/>
    <s v="The interface could be better but overall good experience."/>
    <x v="16"/>
    <x v="9"/>
    <x v="364"/>
    <x v="0"/>
    <x v="4"/>
    <n v="812"/>
    <x v="23"/>
    <x v="7"/>
    <x v="0"/>
    <s v="v13.0.7"/>
    <s v="Excellent"/>
  </r>
  <r>
    <n v="366"/>
    <n v="3653544"/>
    <x v="8"/>
    <x v="14"/>
    <s v="Great app but too many ads, consider premium version."/>
    <x v="17"/>
    <x v="31"/>
    <x v="365"/>
    <x v="0"/>
    <x v="0"/>
    <n v="483"/>
    <x v="53"/>
    <x v="15"/>
    <x v="0"/>
    <s v="5.7.11.3901"/>
    <s v="Good"/>
  </r>
  <r>
    <n v="367"/>
    <n v="2068239"/>
    <x v="8"/>
    <x v="11"/>
    <s v="User-friendly design and smooth performance throughout."/>
    <x v="15"/>
    <x v="35"/>
    <x v="366"/>
    <x v="1"/>
    <x v="1"/>
    <n v="296"/>
    <x v="49"/>
    <x v="17"/>
    <x v="3"/>
    <s v="v8.8.47"/>
    <s v="Poor"/>
  </r>
  <r>
    <n v="368"/>
    <n v="8134958"/>
    <x v="14"/>
    <x v="1"/>
    <s v="Possimus provident id dolores eum."/>
    <x v="0"/>
    <x v="14"/>
    <x v="367"/>
    <x v="0"/>
    <x v="0"/>
    <n v="795"/>
    <x v="33"/>
    <x v="1"/>
    <x v="3"/>
    <s v="v5.8.49"/>
    <s v="Excellent"/>
  </r>
  <r>
    <n v="369"/>
    <n v="7922384"/>
    <x v="34"/>
    <x v="9"/>
    <s v="The interface could be better but overall good experience."/>
    <x v="18"/>
    <x v="19"/>
    <x v="368"/>
    <x v="1"/>
    <x v="0"/>
    <n v="681"/>
    <x v="13"/>
    <x v="15"/>
    <x v="1"/>
    <s v="11.5.98"/>
    <s v="Poor"/>
  </r>
  <r>
    <n v="370"/>
    <n v="6127375"/>
    <x v="7"/>
    <x v="4"/>
    <s v="Crashes too often, needs improvement in stability."/>
    <x v="23"/>
    <x v="36"/>
    <x v="369"/>
    <x v="0"/>
    <x v="1"/>
    <n v="642"/>
    <x v="37"/>
    <x v="0"/>
    <x v="1"/>
    <s v="8.0"/>
    <s v="Poor"/>
  </r>
  <r>
    <n v="371"/>
    <n v="6133835"/>
    <x v="28"/>
    <x v="16"/>
    <s v="Excellent customer support and regular feature updates."/>
    <x v="17"/>
    <x v="11"/>
    <x v="370"/>
    <x v="0"/>
    <x v="2"/>
    <n v="172"/>
    <x v="60"/>
    <x v="22"/>
    <x v="0"/>
    <s v="13.5"/>
    <s v="Good"/>
  </r>
  <r>
    <n v="372"/>
    <n v="7918250"/>
    <x v="26"/>
    <x v="8"/>
    <s v="Suchen See Sommer Geschichte. Heiß ihn Musik Fahrrad denn."/>
    <x v="8"/>
    <x v="38"/>
    <x v="371"/>
    <x v="0"/>
    <x v="4"/>
    <n v="821"/>
    <x v="48"/>
    <x v="15"/>
    <x v="4"/>
    <s v="11.9.80"/>
    <s v="Good"/>
  </r>
  <r>
    <n v="373"/>
    <n v="9898429"/>
    <x v="6"/>
    <x v="16"/>
    <s v="Perfect for daily use, highly recommend to everyone."/>
    <x v="13"/>
    <x v="21"/>
    <x v="372"/>
    <x v="1"/>
    <x v="1"/>
    <n v="589"/>
    <x v="38"/>
    <x v="17"/>
    <x v="2"/>
    <s v="13.7.86"/>
    <s v="Excellent"/>
  </r>
  <r>
    <n v="374"/>
    <n v="7105797"/>
    <x v="18"/>
    <x v="16"/>
    <s v="Dick gibt Herr Uhr leicht. Fragen traurig zehn Pferd leben drehen. Drehen sechs laut wenig mehr Pferd."/>
    <x v="11"/>
    <x v="9"/>
    <x v="373"/>
    <x v="0"/>
    <x v="1"/>
    <n v="1193"/>
    <x v="9"/>
    <x v="6"/>
    <x v="2"/>
    <s v="v3.6.18"/>
    <s v="Excellent"/>
  </r>
  <r>
    <n v="375"/>
    <n v="667468"/>
    <x v="24"/>
    <x v="2"/>
    <s v="Some bugs need fixing but generally satisfied with it."/>
    <x v="2"/>
    <x v="7"/>
    <x v="374"/>
    <x v="0"/>
    <x v="2"/>
    <n v="964"/>
    <x v="30"/>
    <x v="22"/>
    <x v="4"/>
    <s v="v12.6.94"/>
    <s v="Very Poor"/>
  </r>
  <r>
    <n v="376"/>
    <n v="913936"/>
    <x v="17"/>
    <x v="14"/>
    <s v="Some bugs need fixing but generally satisfied with it."/>
    <x v="2"/>
    <x v="30"/>
    <x v="375"/>
    <x v="0"/>
    <x v="1"/>
    <n v="347"/>
    <x v="8"/>
    <x v="17"/>
    <x v="3"/>
    <s v="v10.6.38"/>
    <s v="Average"/>
  </r>
  <r>
    <n v="377"/>
    <n v="7018793"/>
    <x v="2"/>
    <x v="4"/>
    <s v="出来设计各种中国. 开发问题作为那些汽车重要公司."/>
    <x v="5"/>
    <x v="31"/>
    <x v="376"/>
    <x v="0"/>
    <x v="1"/>
    <n v="1058"/>
    <x v="24"/>
    <x v="15"/>
    <x v="0"/>
    <s v="v1.2.63"/>
    <s v="Good"/>
  </r>
  <r>
    <n v="378"/>
    <n v="7001115"/>
    <x v="0"/>
    <x v="9"/>
    <s v="User-friendly design and smooth performance throughout."/>
    <x v="1"/>
    <x v="32"/>
    <x v="377"/>
    <x v="0"/>
    <x v="0"/>
    <n v="893"/>
    <x v="56"/>
    <x v="17"/>
    <x v="1"/>
    <s v="1.3"/>
    <s v="Very Poor"/>
  </r>
  <r>
    <n v="379"/>
    <n v="8982154"/>
    <x v="36"/>
    <x v="0"/>
    <s v="Morte effetto mattino processo insistere. Breve bellezza chiudere contadino. Direttore fra salvare autorità uso leggere difficile."/>
    <x v="1"/>
    <x v="30"/>
    <x v="378"/>
    <x v="0"/>
    <x v="3"/>
    <n v="434"/>
    <x v="54"/>
    <x v="19"/>
    <x v="4"/>
    <s v="6.1"/>
    <s v="Average"/>
  </r>
  <r>
    <n v="380"/>
    <n v="5132739"/>
    <x v="27"/>
    <x v="4"/>
    <s v="The interface could be better but overall good experience."/>
    <x v="17"/>
    <x v="1"/>
    <x v="379"/>
    <x v="0"/>
    <x v="4"/>
    <n v="942"/>
    <x v="3"/>
    <x v="8"/>
    <x v="4"/>
    <s v="1.4.87-beta"/>
    <s v="Very Poor"/>
  </r>
  <r>
    <n v="381"/>
    <n v="631577"/>
    <x v="29"/>
    <x v="9"/>
    <s v="电影等级方法作为. 技术谢谢工程人员."/>
    <x v="2"/>
    <x v="6"/>
    <x v="380"/>
    <x v="0"/>
    <x v="3"/>
    <n v="1233"/>
    <x v="16"/>
    <x v="0"/>
    <x v="2"/>
    <s v="6.9.16"/>
    <s v="Good"/>
  </r>
  <r>
    <n v="382"/>
    <n v="8961040"/>
    <x v="24"/>
    <x v="7"/>
    <s v="Works perfectly on my device, no complaints at all."/>
    <x v="4"/>
    <x v="11"/>
    <x v="381"/>
    <x v="0"/>
    <x v="1"/>
    <n v="1235"/>
    <x v="32"/>
    <x v="22"/>
    <x v="1"/>
    <s v="7.6.36"/>
    <s v="Good"/>
  </r>
  <r>
    <n v="383"/>
    <n v="3954842"/>
    <x v="4"/>
    <x v="16"/>
    <s v="The interface could be better but overall good experience."/>
    <x v="2"/>
    <x v="18"/>
    <x v="382"/>
    <x v="1"/>
    <x v="0"/>
    <n v="459"/>
    <x v="15"/>
    <x v="16"/>
    <x v="0"/>
    <s v="2.6.47-beta"/>
    <s v="Average"/>
  </r>
  <r>
    <n v="384"/>
    <n v="9609060"/>
    <x v="23"/>
    <x v="10"/>
    <s v="Latest update broke some features, please fix soon."/>
    <x v="21"/>
    <x v="7"/>
    <x v="383"/>
    <x v="0"/>
    <x v="4"/>
    <n v="92"/>
    <x v="8"/>
    <x v="12"/>
    <x v="4"/>
    <s v="5.2"/>
    <s v="Very Poor"/>
  </r>
  <r>
    <n v="385"/>
    <n v="881180"/>
    <x v="17"/>
    <x v="3"/>
    <s v="Crashes too often, needs improvement in stability."/>
    <x v="20"/>
    <x v="7"/>
    <x v="384"/>
    <x v="0"/>
    <x v="0"/>
    <n v="609"/>
    <x v="24"/>
    <x v="4"/>
    <x v="2"/>
    <s v="13.8.2-beta"/>
    <s v="Very Poor"/>
  </r>
  <r>
    <n v="386"/>
    <n v="4803878"/>
    <x v="19"/>
    <x v="17"/>
    <s v="Natus adipisci ut et vero nesciunt quibusdam. Ut error natus necessitatibus sed perspiciatis."/>
    <x v="0"/>
    <x v="23"/>
    <x v="385"/>
    <x v="0"/>
    <x v="0"/>
    <n v="238"/>
    <x v="33"/>
    <x v="9"/>
    <x v="2"/>
    <s v="v3.1.95"/>
    <s v="Very Poor"/>
  </r>
  <r>
    <n v="387"/>
    <n v="6539870"/>
    <x v="25"/>
    <x v="13"/>
    <s v="Perfect for daily use, highly recommend to everyone."/>
    <x v="22"/>
    <x v="31"/>
    <x v="386"/>
    <x v="1"/>
    <x v="2"/>
    <n v="54"/>
    <x v="20"/>
    <x v="17"/>
    <x v="0"/>
    <s v="12.6"/>
    <s v="Good"/>
  </r>
  <r>
    <n v="388"/>
    <n v="2447981"/>
    <x v="25"/>
    <x v="9"/>
    <s v="Crashes too often, needs improvement in stability."/>
    <x v="4"/>
    <x v="3"/>
    <x v="387"/>
    <x v="1"/>
    <x v="0"/>
    <n v="965"/>
    <x v="0"/>
    <x v="10"/>
    <x v="4"/>
    <s v="3.7.54"/>
    <s v="Average"/>
  </r>
  <r>
    <n v="389"/>
    <n v="1415798"/>
    <x v="27"/>
    <x v="16"/>
    <s v="法律都是网络设计如果提高或者."/>
    <x v="18"/>
    <x v="36"/>
    <x v="388"/>
    <x v="0"/>
    <x v="3"/>
    <n v="1210"/>
    <x v="25"/>
    <x v="14"/>
    <x v="2"/>
    <s v="7.7.94.9481"/>
    <s v="Poor"/>
  </r>
  <r>
    <n v="390"/>
    <n v="5575691"/>
    <x v="3"/>
    <x v="16"/>
    <s v="Odio quos iste. Explicabo velit inventore perspiciatis optio."/>
    <x v="8"/>
    <x v="10"/>
    <x v="389"/>
    <x v="1"/>
    <x v="2"/>
    <n v="589"/>
    <x v="25"/>
    <x v="20"/>
    <x v="2"/>
    <s v="15.7.14.8107"/>
    <s v="Poor"/>
  </r>
  <r>
    <n v="391"/>
    <n v="5055645"/>
    <x v="28"/>
    <x v="9"/>
    <s v="Quae aspernatur culpa quae odio. Et autem a est facere earum. Assumenda inventore nam maiores."/>
    <x v="4"/>
    <x v="25"/>
    <x v="390"/>
    <x v="0"/>
    <x v="0"/>
    <n v="331"/>
    <x v="48"/>
    <x v="20"/>
    <x v="3"/>
    <s v="3.4.92-beta"/>
    <s v="Poor"/>
  </r>
  <r>
    <n v="392"/>
    <n v="1603554"/>
    <x v="11"/>
    <x v="0"/>
    <s v="This app is amazing! Really love the new features."/>
    <x v="23"/>
    <x v="25"/>
    <x v="391"/>
    <x v="0"/>
    <x v="1"/>
    <n v="731"/>
    <x v="9"/>
    <x v="9"/>
    <x v="0"/>
    <s v="13.6"/>
    <s v="Poor"/>
  </r>
  <r>
    <n v="393"/>
    <n v="1661359"/>
    <x v="29"/>
    <x v="1"/>
    <s v="Nisi eveniet harum eos harum assumenda temporibus temporibus. Nemo cumque fugit consequuntur error."/>
    <x v="2"/>
    <x v="39"/>
    <x v="392"/>
    <x v="0"/>
    <x v="3"/>
    <n v="547"/>
    <x v="29"/>
    <x v="23"/>
    <x v="4"/>
    <s v="v2.8.28"/>
    <s v="Good"/>
  </r>
  <r>
    <n v="394"/>
    <n v="1161446"/>
    <x v="2"/>
    <x v="0"/>
    <s v="The interface could be better but overall good experience."/>
    <x v="12"/>
    <x v="26"/>
    <x v="393"/>
    <x v="0"/>
    <x v="2"/>
    <n v="740"/>
    <x v="12"/>
    <x v="7"/>
    <x v="3"/>
    <s v="13.9.78.1670"/>
    <s v="Average"/>
  </r>
  <r>
    <n v="395"/>
    <n v="4729871"/>
    <x v="39"/>
    <x v="4"/>
    <s v="Error quos facere velit quam libero."/>
    <x v="7"/>
    <x v="31"/>
    <x v="394"/>
    <x v="0"/>
    <x v="0"/>
    <n v="699"/>
    <x v="55"/>
    <x v="13"/>
    <x v="0"/>
    <s v="14.2.15-beta"/>
    <s v="Good"/>
  </r>
  <r>
    <n v="396"/>
    <n v="7781643"/>
    <x v="36"/>
    <x v="14"/>
    <s v="索引隠すコピー符号。 サワー再現する合計学生装置彼女。 憲法ブラケットデッドタワー。"/>
    <x v="15"/>
    <x v="25"/>
    <x v="395"/>
    <x v="0"/>
    <x v="4"/>
    <n v="906"/>
    <x v="36"/>
    <x v="19"/>
    <x v="4"/>
    <s v="7.3.17-beta"/>
    <s v="Poor"/>
  </r>
  <r>
    <n v="397"/>
    <n v="5454241"/>
    <x v="14"/>
    <x v="2"/>
    <s v="Some bugs need fixing but generally satisfied with it."/>
    <x v="19"/>
    <x v="34"/>
    <x v="396"/>
    <x v="1"/>
    <x v="3"/>
    <n v="623"/>
    <x v="25"/>
    <x v="7"/>
    <x v="3"/>
    <s v="13.0.84.2474"/>
    <s v="Average"/>
  </r>
  <r>
    <n v="398"/>
    <n v="8337735"/>
    <x v="31"/>
    <x v="9"/>
    <s v="Quos eveniet eligendi ratione facilis ut dicta. Debitis quisquam ad quas velit distinctio reiciendis. Reprehenderit recusandae illum libero."/>
    <x v="20"/>
    <x v="39"/>
    <x v="397"/>
    <x v="0"/>
    <x v="1"/>
    <n v="172"/>
    <x v="28"/>
    <x v="5"/>
    <x v="3"/>
    <s v="v11.3.69"/>
    <s v="Good"/>
  </r>
  <r>
    <n v="399"/>
    <n v="4160441"/>
    <x v="24"/>
    <x v="3"/>
    <s v="Perte prier résistance autrement voix."/>
    <x v="23"/>
    <x v="9"/>
    <x v="398"/>
    <x v="0"/>
    <x v="3"/>
    <n v="1213"/>
    <x v="11"/>
    <x v="2"/>
    <x v="3"/>
    <s v="v9.8.39"/>
    <s v="Excellent"/>
  </r>
  <r>
    <n v="400"/>
    <n v="6824393"/>
    <x v="0"/>
    <x v="14"/>
    <s v="This app is amazing! Really love the new features."/>
    <x v="11"/>
    <x v="25"/>
    <x v="399"/>
    <x v="0"/>
    <x v="2"/>
    <n v="1191"/>
    <x v="37"/>
    <x v="8"/>
    <x v="4"/>
    <s v="6.1.6-beta"/>
    <s v="Poor"/>
  </r>
  <r>
    <n v="401"/>
    <n v="7117921"/>
    <x v="4"/>
    <x v="5"/>
    <s v="Excellent customer support and regular feature updates."/>
    <x v="13"/>
    <x v="31"/>
    <x v="400"/>
    <x v="0"/>
    <x v="1"/>
    <n v="930"/>
    <x v="45"/>
    <x v="23"/>
    <x v="2"/>
    <s v="12.6.66"/>
    <s v="Good"/>
  </r>
  <r>
    <n v="402"/>
    <n v="6131903"/>
    <x v="22"/>
    <x v="3"/>
    <s v="Works perfectly on my device, no complaints at all."/>
    <x v="1"/>
    <x v="30"/>
    <x v="401"/>
    <x v="0"/>
    <x v="0"/>
    <n v="901"/>
    <x v="61"/>
    <x v="17"/>
    <x v="2"/>
    <s v="6.8.51.9638"/>
    <s v="Average"/>
  </r>
  <r>
    <n v="403"/>
    <n v="1525760"/>
    <x v="35"/>
    <x v="14"/>
    <s v="Встать разводить ученый изменение. Аллея банда изменение."/>
    <x v="22"/>
    <x v="17"/>
    <x v="402"/>
    <x v="0"/>
    <x v="0"/>
    <n v="225"/>
    <x v="56"/>
    <x v="22"/>
    <x v="4"/>
    <s v="2.3.58"/>
    <s v="Average"/>
  </r>
  <r>
    <n v="404"/>
    <n v="7321845"/>
    <x v="20"/>
    <x v="10"/>
    <s v="Latest update broke some features, please fix soon."/>
    <x v="19"/>
    <x v="20"/>
    <x v="403"/>
    <x v="0"/>
    <x v="0"/>
    <n v="4"/>
    <x v="56"/>
    <x v="5"/>
    <x v="3"/>
    <s v="1.2.18-beta"/>
    <s v="Very Poor"/>
  </r>
  <r>
    <n v="405"/>
    <n v="1754343"/>
    <x v="5"/>
    <x v="2"/>
    <s v="User-friendly design and smooth performance throughout."/>
    <x v="15"/>
    <x v="24"/>
    <x v="404"/>
    <x v="0"/>
    <x v="1"/>
    <n v="182"/>
    <x v="44"/>
    <x v="21"/>
    <x v="4"/>
    <s v="8.9.16.2270"/>
    <s v="Poor"/>
  </r>
  <r>
    <n v="406"/>
    <n v="8667725"/>
    <x v="22"/>
    <x v="15"/>
    <s v="Latest update broke some features, please fix soon."/>
    <x v="0"/>
    <x v="2"/>
    <x v="405"/>
    <x v="0"/>
    <x v="3"/>
    <n v="174"/>
    <x v="57"/>
    <x v="21"/>
    <x v="4"/>
    <s v="11.1.21.407"/>
    <s v="Average"/>
  </r>
  <r>
    <n v="407"/>
    <n v="9461576"/>
    <x v="26"/>
    <x v="0"/>
    <s v="Schlagen Fahrrad helfen kommen schenken schlimm dich über. Bruder ihr Wort dafür wir den genau. Stadt los grün braun See Kind Bein."/>
    <x v="21"/>
    <x v="24"/>
    <x v="406"/>
    <x v="1"/>
    <x v="3"/>
    <n v="1242"/>
    <x v="24"/>
    <x v="1"/>
    <x v="4"/>
    <s v="v11.8.23"/>
    <s v="Poor"/>
  </r>
  <r>
    <n v="408"/>
    <n v="2030810"/>
    <x v="6"/>
    <x v="4"/>
    <s v="Latest update broke some features, please fix soon."/>
    <x v="14"/>
    <x v="32"/>
    <x v="407"/>
    <x v="0"/>
    <x v="4"/>
    <n v="315"/>
    <x v="52"/>
    <x v="15"/>
    <x v="0"/>
    <s v="7.4.11"/>
    <s v="Very Poor"/>
  </r>
  <r>
    <n v="409"/>
    <n v="1934801"/>
    <x v="27"/>
    <x v="4"/>
    <s v="Ut qui maiores mollitia."/>
    <x v="13"/>
    <x v="35"/>
    <x v="408"/>
    <x v="0"/>
    <x v="3"/>
    <n v="1200"/>
    <x v="18"/>
    <x v="17"/>
    <x v="4"/>
    <s v="3.6.41-beta"/>
    <s v="Poor"/>
  </r>
  <r>
    <n v="410"/>
    <n v="7253291"/>
    <x v="1"/>
    <x v="3"/>
    <s v="Excellent customer support and regular feature updates."/>
    <x v="15"/>
    <x v="27"/>
    <x v="409"/>
    <x v="0"/>
    <x v="3"/>
    <n v="257"/>
    <x v="52"/>
    <x v="4"/>
    <x v="2"/>
    <s v="8.0.52"/>
    <s v="Very Poor"/>
  </r>
  <r>
    <n v="411"/>
    <n v="6895568"/>
    <x v="10"/>
    <x v="7"/>
    <s v="This app is amazing! Really love the new features."/>
    <x v="11"/>
    <x v="21"/>
    <x v="410"/>
    <x v="0"/>
    <x v="3"/>
    <n v="592"/>
    <x v="15"/>
    <x v="9"/>
    <x v="1"/>
    <s v="13.3.68.6943"/>
    <s v="Excellent"/>
  </r>
  <r>
    <n v="412"/>
    <n v="3227053"/>
    <x v="16"/>
    <x v="17"/>
    <s v="Hic qui sunt ipsum inventore a."/>
    <x v="19"/>
    <x v="27"/>
    <x v="411"/>
    <x v="0"/>
    <x v="4"/>
    <n v="286"/>
    <x v="25"/>
    <x v="5"/>
    <x v="3"/>
    <s v="10.8"/>
    <s v="Very Poor"/>
  </r>
  <r>
    <n v="413"/>
    <n v="4769851"/>
    <x v="5"/>
    <x v="15"/>
    <s v="User-friendly design and smooth performance throughout."/>
    <x v="5"/>
    <x v="28"/>
    <x v="412"/>
    <x v="1"/>
    <x v="2"/>
    <n v="4"/>
    <x v="41"/>
    <x v="17"/>
    <x v="1"/>
    <s v="v13.7.34"/>
    <s v="Poor"/>
  </r>
  <r>
    <n v="414"/>
    <n v="1149645"/>
    <x v="31"/>
    <x v="8"/>
    <s v="Great app but too many ads, consider premium version."/>
    <x v="20"/>
    <x v="31"/>
    <x v="413"/>
    <x v="0"/>
    <x v="1"/>
    <n v="792"/>
    <x v="22"/>
    <x v="8"/>
    <x v="4"/>
    <s v="2.1.68-beta"/>
    <s v="Good"/>
  </r>
  <r>
    <n v="415"/>
    <n v="9107502"/>
    <x v="3"/>
    <x v="13"/>
    <s v="User-friendly design and smooth performance throughout."/>
    <x v="10"/>
    <x v="23"/>
    <x v="414"/>
    <x v="0"/>
    <x v="0"/>
    <n v="1241"/>
    <x v="20"/>
    <x v="19"/>
    <x v="0"/>
    <s v="4.1"/>
    <s v="Very Poor"/>
  </r>
  <r>
    <n v="416"/>
    <n v="5569119"/>
    <x v="34"/>
    <x v="8"/>
    <s v="Excellent customer support and regular feature updates."/>
    <x v="14"/>
    <x v="6"/>
    <x v="415"/>
    <x v="0"/>
    <x v="2"/>
    <n v="531"/>
    <x v="53"/>
    <x v="4"/>
    <x v="0"/>
    <s v="4.9.86.9880"/>
    <s v="Good"/>
  </r>
  <r>
    <n v="417"/>
    <n v="2011847"/>
    <x v="10"/>
    <x v="15"/>
    <s v="This app is amazing! Really love the new features."/>
    <x v="17"/>
    <x v="10"/>
    <x v="416"/>
    <x v="1"/>
    <x v="0"/>
    <n v="561"/>
    <x v="56"/>
    <x v="16"/>
    <x v="4"/>
    <s v="11.8.58-beta"/>
    <s v="Poor"/>
  </r>
  <r>
    <n v="418"/>
    <n v="8312178"/>
    <x v="3"/>
    <x v="16"/>
    <s v="The interface could be better but overall good experience."/>
    <x v="21"/>
    <x v="11"/>
    <x v="417"/>
    <x v="1"/>
    <x v="2"/>
    <n v="867"/>
    <x v="43"/>
    <x v="0"/>
    <x v="0"/>
    <s v="9.7.40-beta"/>
    <s v="Good"/>
  </r>
  <r>
    <n v="419"/>
    <n v="5358048"/>
    <x v="32"/>
    <x v="6"/>
    <s v="Great app but too many ads, consider premium version."/>
    <x v="2"/>
    <x v="31"/>
    <x v="418"/>
    <x v="0"/>
    <x v="3"/>
    <n v="484"/>
    <x v="23"/>
    <x v="0"/>
    <x v="4"/>
    <s v="10.5.32"/>
    <s v="Good"/>
  </r>
  <r>
    <n v="420"/>
    <n v="6685795"/>
    <x v="14"/>
    <x v="11"/>
    <s v="User-friendly design and smooth performance throughout."/>
    <x v="2"/>
    <x v="22"/>
    <x v="419"/>
    <x v="0"/>
    <x v="0"/>
    <n v="134"/>
    <x v="45"/>
    <x v="16"/>
    <x v="1"/>
    <s v="7.5"/>
    <s v="Poor"/>
  </r>
  <r>
    <n v="421"/>
    <n v="5937206"/>
    <x v="30"/>
    <x v="6"/>
    <s v="Great app but too many ads, consider premium version."/>
    <x v="3"/>
    <x v="21"/>
    <x v="420"/>
    <x v="0"/>
    <x v="4"/>
    <n v="929"/>
    <x v="27"/>
    <x v="11"/>
    <x v="4"/>
    <s v="8.6.59.7015"/>
    <s v="Excellent"/>
  </r>
  <r>
    <n v="422"/>
    <n v="2994531"/>
    <x v="18"/>
    <x v="5"/>
    <s v="Excellent customer support and regular feature updates."/>
    <x v="11"/>
    <x v="32"/>
    <x v="421"/>
    <x v="1"/>
    <x v="2"/>
    <n v="90"/>
    <x v="10"/>
    <x v="23"/>
    <x v="3"/>
    <s v="11.8.32-beta"/>
    <s v="Very Poor"/>
  </r>
  <r>
    <n v="423"/>
    <n v="5090296"/>
    <x v="10"/>
    <x v="5"/>
    <s v="This app is amazing! Really love the new features."/>
    <x v="6"/>
    <x v="30"/>
    <x v="422"/>
    <x v="1"/>
    <x v="2"/>
    <n v="117"/>
    <x v="18"/>
    <x v="13"/>
    <x v="4"/>
    <s v="v3.7.39"/>
    <s v="Average"/>
  </r>
  <r>
    <n v="424"/>
    <n v="1521902"/>
    <x v="40"/>
    <x v="4"/>
    <s v="Excellent customer support and regular feature updates."/>
    <x v="21"/>
    <x v="16"/>
    <x v="423"/>
    <x v="0"/>
    <x v="3"/>
    <n v="613"/>
    <x v="60"/>
    <x v="11"/>
    <x v="0"/>
    <s v="4.7.88.7658"/>
    <s v="Excellent"/>
  </r>
  <r>
    <n v="425"/>
    <n v="5354384"/>
    <x v="0"/>
    <x v="1"/>
    <s v="No Review"/>
    <x v="4"/>
    <x v="33"/>
    <x v="424"/>
    <x v="0"/>
    <x v="0"/>
    <n v="377"/>
    <x v="58"/>
    <x v="19"/>
    <x v="3"/>
    <s v="12.3"/>
    <s v="Poor"/>
  </r>
  <r>
    <n v="426"/>
    <n v="5223426"/>
    <x v="0"/>
    <x v="13"/>
    <s v="Latest update broke some features, please fix soon."/>
    <x v="4"/>
    <x v="32"/>
    <x v="425"/>
    <x v="0"/>
    <x v="3"/>
    <n v="503"/>
    <x v="22"/>
    <x v="20"/>
    <x v="1"/>
    <s v="v1.0.25"/>
    <s v="Very Poor"/>
  </r>
  <r>
    <n v="427"/>
    <n v="6363036"/>
    <x v="2"/>
    <x v="4"/>
    <s v="Great app but too many ads, consider premium version."/>
    <x v="15"/>
    <x v="32"/>
    <x v="426"/>
    <x v="0"/>
    <x v="3"/>
    <n v="888"/>
    <x v="42"/>
    <x v="8"/>
    <x v="1"/>
    <s v="15.3"/>
    <s v="Very Poor"/>
  </r>
  <r>
    <n v="428"/>
    <n v="8670219"/>
    <x v="39"/>
    <x v="4"/>
    <s v="In consequuntur fugit delectus odio possimus."/>
    <x v="0"/>
    <x v="22"/>
    <x v="427"/>
    <x v="0"/>
    <x v="2"/>
    <n v="671"/>
    <x v="18"/>
    <x v="3"/>
    <x v="3"/>
    <s v="10.6.81"/>
    <s v="Poor"/>
  </r>
  <r>
    <n v="429"/>
    <n v="9409888"/>
    <x v="23"/>
    <x v="10"/>
    <s v="Some bugs need fixing but generally satisfied with it."/>
    <x v="10"/>
    <x v="34"/>
    <x v="428"/>
    <x v="0"/>
    <x v="0"/>
    <n v="366"/>
    <x v="24"/>
    <x v="8"/>
    <x v="3"/>
    <s v="13.9.8.2744"/>
    <s v="Average"/>
  </r>
  <r>
    <n v="430"/>
    <n v="4945843"/>
    <x v="0"/>
    <x v="11"/>
    <s v="Latest update broke some features, please fix soon."/>
    <x v="16"/>
    <x v="9"/>
    <x v="429"/>
    <x v="0"/>
    <x v="3"/>
    <n v="321"/>
    <x v="53"/>
    <x v="22"/>
    <x v="3"/>
    <s v="4.3"/>
    <s v="Excellent"/>
  </r>
  <r>
    <n v="431"/>
    <n v="5377776"/>
    <x v="8"/>
    <x v="11"/>
    <s v="Works perfectly on my device, no complaints at all."/>
    <x v="16"/>
    <x v="33"/>
    <x v="430"/>
    <x v="0"/>
    <x v="0"/>
    <n v="649"/>
    <x v="21"/>
    <x v="1"/>
    <x v="1"/>
    <s v="8.8.79-beta"/>
    <s v="Poor"/>
  </r>
  <r>
    <n v="432"/>
    <n v="999447"/>
    <x v="35"/>
    <x v="14"/>
    <s v="Great app but too many ads, consider premium version."/>
    <x v="2"/>
    <x v="4"/>
    <x v="431"/>
    <x v="0"/>
    <x v="1"/>
    <n v="402"/>
    <x v="9"/>
    <x v="11"/>
    <x v="3"/>
    <s v="9.1.35"/>
    <s v="Average"/>
  </r>
  <r>
    <n v="433"/>
    <n v="260783"/>
    <x v="33"/>
    <x v="8"/>
    <s v="Consequatur repellendus vitae magnam libero placeat impedit. Laborum assumenda adipisci quis eos eius."/>
    <x v="20"/>
    <x v="31"/>
    <x v="432"/>
    <x v="0"/>
    <x v="4"/>
    <n v="966"/>
    <x v="15"/>
    <x v="13"/>
    <x v="0"/>
    <s v="v15.4.1"/>
    <s v="Good"/>
  </r>
  <r>
    <n v="434"/>
    <n v="2922078"/>
    <x v="8"/>
    <x v="8"/>
    <s v="Natus quo libero magni nemo eaque molestiae."/>
    <x v="16"/>
    <x v="39"/>
    <x v="433"/>
    <x v="0"/>
    <x v="0"/>
    <n v="429"/>
    <x v="17"/>
    <x v="10"/>
    <x v="4"/>
    <s v="v13.7.92"/>
    <s v="Good"/>
  </r>
  <r>
    <n v="435"/>
    <n v="798108"/>
    <x v="11"/>
    <x v="13"/>
    <s v="Nave volere bisognare serio restare errore. Lago forma segnare. Sotto camminare scusare coscienza raggiungere prezzo."/>
    <x v="19"/>
    <x v="28"/>
    <x v="434"/>
    <x v="1"/>
    <x v="4"/>
    <n v="1162"/>
    <x v="59"/>
    <x v="3"/>
    <x v="0"/>
    <s v="6.3.53-beta"/>
    <s v="Poor"/>
  </r>
  <r>
    <n v="436"/>
    <n v="7283451"/>
    <x v="28"/>
    <x v="2"/>
    <s v="User-friendly design and smooth performance throughout."/>
    <x v="22"/>
    <x v="28"/>
    <x v="435"/>
    <x v="1"/>
    <x v="0"/>
    <n v="623"/>
    <x v="1"/>
    <x v="9"/>
    <x v="1"/>
    <s v="7.3.50.1044"/>
    <s v="Poor"/>
  </r>
  <r>
    <n v="437"/>
    <n v="2435975"/>
    <x v="18"/>
    <x v="3"/>
    <s v="Some bugs need fixing but generally satisfied with it."/>
    <x v="9"/>
    <x v="24"/>
    <x v="436"/>
    <x v="0"/>
    <x v="1"/>
    <n v="1061"/>
    <x v="33"/>
    <x v="9"/>
    <x v="3"/>
    <s v="15.6"/>
    <s v="Poor"/>
  </r>
  <r>
    <n v="438"/>
    <n v="3571922"/>
    <x v="9"/>
    <x v="3"/>
    <s v="User-friendly design and smooth performance throughout."/>
    <x v="12"/>
    <x v="34"/>
    <x v="437"/>
    <x v="0"/>
    <x v="1"/>
    <n v="1203"/>
    <x v="57"/>
    <x v="13"/>
    <x v="2"/>
    <s v="v7.3.16"/>
    <s v="Average"/>
  </r>
  <r>
    <n v="439"/>
    <n v="9664260"/>
    <x v="12"/>
    <x v="14"/>
    <s v="The interface could be better but overall good experience."/>
    <x v="19"/>
    <x v="2"/>
    <x v="438"/>
    <x v="0"/>
    <x v="0"/>
    <n v="710"/>
    <x v="61"/>
    <x v="8"/>
    <x v="3"/>
    <s v="6.9.62-beta"/>
    <s v="Average"/>
  </r>
  <r>
    <n v="440"/>
    <n v="4815824"/>
    <x v="29"/>
    <x v="16"/>
    <s v="This app is amazing! Really love the new features."/>
    <x v="7"/>
    <x v="14"/>
    <x v="439"/>
    <x v="0"/>
    <x v="2"/>
    <n v="560"/>
    <x v="42"/>
    <x v="6"/>
    <x v="4"/>
    <s v="8.6.84.3006"/>
    <s v="Excellent"/>
  </r>
  <r>
    <n v="441"/>
    <n v="2924903"/>
    <x v="11"/>
    <x v="16"/>
    <s v="Посвятить скрытый лететь казнь задержать беспомощный. Вперед дыхание обида забирать."/>
    <x v="16"/>
    <x v="24"/>
    <x v="440"/>
    <x v="1"/>
    <x v="1"/>
    <n v="424"/>
    <x v="8"/>
    <x v="3"/>
    <x v="2"/>
    <s v="13.8.15"/>
    <s v="Poor"/>
  </r>
  <r>
    <n v="442"/>
    <n v="2228830"/>
    <x v="31"/>
    <x v="17"/>
    <s v="Désormais prétendre santé recommencer. Jusque musique distinguer garde humide parti."/>
    <x v="15"/>
    <x v="6"/>
    <x v="441"/>
    <x v="1"/>
    <x v="0"/>
    <n v="944"/>
    <x v="39"/>
    <x v="0"/>
    <x v="4"/>
    <s v="7.0.1"/>
    <s v="Good"/>
  </r>
  <r>
    <n v="443"/>
    <n v="1661871"/>
    <x v="34"/>
    <x v="7"/>
    <s v="Some bugs need fixing but generally satisfied with it."/>
    <x v="4"/>
    <x v="36"/>
    <x v="442"/>
    <x v="0"/>
    <x v="4"/>
    <n v="22"/>
    <x v="9"/>
    <x v="24"/>
    <x v="0"/>
    <s v="14.0"/>
    <s v="Poor"/>
  </r>
  <r>
    <n v="444"/>
    <n v="4767852"/>
    <x v="22"/>
    <x v="11"/>
    <s v="User-friendly design and smooth performance throughout."/>
    <x v="2"/>
    <x v="17"/>
    <x v="443"/>
    <x v="0"/>
    <x v="4"/>
    <n v="772"/>
    <x v="40"/>
    <x v="20"/>
    <x v="0"/>
    <s v="14.8.82-beta"/>
    <s v="Average"/>
  </r>
  <r>
    <n v="445"/>
    <n v="7728527"/>
    <x v="5"/>
    <x v="17"/>
    <s v="Force able similar run room learn professional. Sure somebody huge why station manager."/>
    <x v="6"/>
    <x v="27"/>
    <x v="444"/>
    <x v="0"/>
    <x v="1"/>
    <n v="660"/>
    <x v="14"/>
    <x v="6"/>
    <x v="0"/>
    <s v="11.1"/>
    <s v="Very Poor"/>
  </r>
  <r>
    <n v="446"/>
    <n v="5766591"/>
    <x v="27"/>
    <x v="13"/>
    <s v="Perfect for daily use, highly recommend to everyone."/>
    <x v="11"/>
    <x v="20"/>
    <x v="445"/>
    <x v="0"/>
    <x v="1"/>
    <n v="755"/>
    <x v="28"/>
    <x v="0"/>
    <x v="0"/>
    <s v="v6.2.1"/>
    <s v="Very Poor"/>
  </r>
  <r>
    <n v="447"/>
    <n v="2291007"/>
    <x v="4"/>
    <x v="7"/>
    <s v="Crashes too often, needs improvement in stability."/>
    <x v="17"/>
    <x v="32"/>
    <x v="446"/>
    <x v="0"/>
    <x v="1"/>
    <n v="987"/>
    <x v="39"/>
    <x v="11"/>
    <x v="1"/>
    <s v="5.1.76-beta"/>
    <s v="Very Poor"/>
  </r>
  <r>
    <n v="448"/>
    <n v="5866993"/>
    <x v="8"/>
    <x v="6"/>
    <s v="Works perfectly on my device, no complaints at all."/>
    <x v="7"/>
    <x v="26"/>
    <x v="447"/>
    <x v="1"/>
    <x v="4"/>
    <n v="281"/>
    <x v="49"/>
    <x v="17"/>
    <x v="3"/>
    <s v="v4.0.78"/>
    <s v="Average"/>
  </r>
  <r>
    <n v="449"/>
    <n v="912172"/>
    <x v="22"/>
    <x v="4"/>
    <s v="Aut quos itaque. Ut culpa itaque voluptatibus. Dicta porro consequatur officiis culpa ut."/>
    <x v="19"/>
    <x v="6"/>
    <x v="448"/>
    <x v="0"/>
    <x v="2"/>
    <n v="678"/>
    <x v="26"/>
    <x v="2"/>
    <x v="0"/>
    <s v="3.4.40.649"/>
    <s v="Good"/>
  </r>
  <r>
    <n v="450"/>
    <n v="6147102"/>
    <x v="30"/>
    <x v="2"/>
    <s v="User-friendly design and smooth performance throughout."/>
    <x v="9"/>
    <x v="21"/>
    <x v="449"/>
    <x v="0"/>
    <x v="4"/>
    <n v="289"/>
    <x v="23"/>
    <x v="20"/>
    <x v="0"/>
    <s v="9.5.23"/>
    <s v="Excellent"/>
  </r>
  <r>
    <n v="451"/>
    <n v="6338503"/>
    <x v="23"/>
    <x v="16"/>
    <s v="Crashes too often, needs improvement in stability."/>
    <x v="5"/>
    <x v="35"/>
    <x v="450"/>
    <x v="1"/>
    <x v="1"/>
    <n v="1180"/>
    <x v="17"/>
    <x v="6"/>
    <x v="0"/>
    <s v="12.7"/>
    <s v="Poor"/>
  </r>
  <r>
    <n v="452"/>
    <n v="2877050"/>
    <x v="34"/>
    <x v="10"/>
    <s v="Zaczynać tkanina mi. Hiszpański szkoła wieś pracownik pochodzić."/>
    <x v="23"/>
    <x v="6"/>
    <x v="451"/>
    <x v="0"/>
    <x v="0"/>
    <n v="170"/>
    <x v="62"/>
    <x v="18"/>
    <x v="4"/>
    <s v="8.6.64-beta"/>
    <s v="Good"/>
  </r>
  <r>
    <n v="453"/>
    <n v="8814828"/>
    <x v="20"/>
    <x v="2"/>
    <s v="User-friendly design and smooth performance throughout."/>
    <x v="13"/>
    <x v="1"/>
    <x v="452"/>
    <x v="0"/>
    <x v="2"/>
    <n v="8"/>
    <x v="33"/>
    <x v="13"/>
    <x v="3"/>
    <s v="v9.9.61"/>
    <s v="Very Poor"/>
  </r>
  <r>
    <n v="454"/>
    <n v="255809"/>
    <x v="11"/>
    <x v="12"/>
    <s v="Possimus repellendus voluptates. Possimus labore dolorem at rem aut."/>
    <x v="21"/>
    <x v="1"/>
    <x v="453"/>
    <x v="0"/>
    <x v="0"/>
    <n v="522"/>
    <x v="40"/>
    <x v="7"/>
    <x v="3"/>
    <s v="11.9.9"/>
    <s v="Very Poor"/>
  </r>
  <r>
    <n v="455"/>
    <n v="2400647"/>
    <x v="32"/>
    <x v="1"/>
    <s v="Crashes too often, needs improvement in stability."/>
    <x v="1"/>
    <x v="17"/>
    <x v="454"/>
    <x v="1"/>
    <x v="2"/>
    <n v="520"/>
    <x v="18"/>
    <x v="14"/>
    <x v="4"/>
    <s v="4.7.4"/>
    <s v="Average"/>
  </r>
  <r>
    <n v="456"/>
    <n v="2333823"/>
    <x v="21"/>
    <x v="2"/>
    <s v="Aussitôt moindre on coin. Profiter parent cheveu fumer port simple."/>
    <x v="1"/>
    <x v="3"/>
    <x v="455"/>
    <x v="0"/>
    <x v="3"/>
    <n v="1091"/>
    <x v="7"/>
    <x v="1"/>
    <x v="4"/>
    <s v="12.9"/>
    <s v="Average"/>
  </r>
  <r>
    <n v="457"/>
    <n v="2449030"/>
    <x v="0"/>
    <x v="13"/>
    <s v="This app is amazing! Really love the new features."/>
    <x v="12"/>
    <x v="31"/>
    <x v="456"/>
    <x v="0"/>
    <x v="4"/>
    <n v="198"/>
    <x v="39"/>
    <x v="8"/>
    <x v="2"/>
    <s v="14.2.34-beta"/>
    <s v="Good"/>
  </r>
  <r>
    <n v="458"/>
    <n v="9991408"/>
    <x v="33"/>
    <x v="17"/>
    <s v="Perfect for daily use, highly recommend to everyone."/>
    <x v="12"/>
    <x v="8"/>
    <x v="457"/>
    <x v="0"/>
    <x v="2"/>
    <n v="392"/>
    <x v="11"/>
    <x v="15"/>
    <x v="2"/>
    <s v="8.2.64-beta"/>
    <s v="Very Poor"/>
  </r>
  <r>
    <n v="459"/>
    <n v="5997789"/>
    <x v="21"/>
    <x v="0"/>
    <s v="User-friendly design and smooth performance throughout."/>
    <x v="15"/>
    <x v="6"/>
    <x v="458"/>
    <x v="0"/>
    <x v="4"/>
    <n v="125"/>
    <x v="21"/>
    <x v="19"/>
    <x v="4"/>
    <s v="5.1.43.487"/>
    <s v="Good"/>
  </r>
  <r>
    <n v="460"/>
    <n v="2445961"/>
    <x v="6"/>
    <x v="15"/>
    <s v="Great app but too many ads, consider premium version."/>
    <x v="15"/>
    <x v="9"/>
    <x v="459"/>
    <x v="0"/>
    <x v="1"/>
    <n v="490"/>
    <x v="23"/>
    <x v="22"/>
    <x v="2"/>
    <s v="15.7.60.5522"/>
    <s v="Excellent"/>
  </r>
  <r>
    <n v="461"/>
    <n v="1513458"/>
    <x v="13"/>
    <x v="2"/>
    <s v="No Review"/>
    <x v="7"/>
    <x v="33"/>
    <x v="460"/>
    <x v="0"/>
    <x v="3"/>
    <n v="973"/>
    <x v="8"/>
    <x v="15"/>
    <x v="0"/>
    <s v="12.2.3"/>
    <s v="Poor"/>
  </r>
  <r>
    <n v="462"/>
    <n v="5409530"/>
    <x v="15"/>
    <x v="4"/>
    <s v="Excellent customer support and regular feature updates."/>
    <x v="9"/>
    <x v="25"/>
    <x v="461"/>
    <x v="0"/>
    <x v="0"/>
    <n v="205"/>
    <x v="25"/>
    <x v="1"/>
    <x v="3"/>
    <s v="11.7.29-beta"/>
    <s v="Poor"/>
  </r>
  <r>
    <n v="463"/>
    <n v="9635840"/>
    <x v="35"/>
    <x v="11"/>
    <s v="細かい目的品質午前風景陶器。"/>
    <x v="11"/>
    <x v="21"/>
    <x v="462"/>
    <x v="0"/>
    <x v="0"/>
    <n v="1107"/>
    <x v="18"/>
    <x v="2"/>
    <x v="0"/>
    <s v="3.7.11.4938"/>
    <s v="Excellent"/>
  </r>
  <r>
    <n v="464"/>
    <n v="4498739"/>
    <x v="26"/>
    <x v="7"/>
    <s v="Aliquam aperiam ratione magni occaecati. Quisquam incidunt illo odit modi corrupti assumenda."/>
    <x v="15"/>
    <x v="29"/>
    <x v="463"/>
    <x v="0"/>
    <x v="2"/>
    <n v="1094"/>
    <x v="19"/>
    <x v="7"/>
    <x v="2"/>
    <s v="15.5"/>
    <s v="Very Poor"/>
  </r>
  <r>
    <n v="465"/>
    <n v="3509088"/>
    <x v="28"/>
    <x v="3"/>
    <s v="Modi hic odio rerum."/>
    <x v="7"/>
    <x v="35"/>
    <x v="464"/>
    <x v="1"/>
    <x v="1"/>
    <n v="179"/>
    <x v="56"/>
    <x v="0"/>
    <x v="3"/>
    <s v="11.5.48.6253"/>
    <s v="Poor"/>
  </r>
  <r>
    <n v="466"/>
    <n v="1209227"/>
    <x v="37"/>
    <x v="2"/>
    <s v="Works perfectly on my device, no complaints at all."/>
    <x v="16"/>
    <x v="28"/>
    <x v="465"/>
    <x v="1"/>
    <x v="1"/>
    <n v="258"/>
    <x v="27"/>
    <x v="14"/>
    <x v="4"/>
    <s v="10.0.39.1014"/>
    <s v="Poor"/>
  </r>
  <r>
    <n v="467"/>
    <n v="7439797"/>
    <x v="20"/>
    <x v="1"/>
    <s v="This app is amazing! Really love the new features."/>
    <x v="5"/>
    <x v="28"/>
    <x v="466"/>
    <x v="0"/>
    <x v="3"/>
    <n v="252"/>
    <x v="21"/>
    <x v="8"/>
    <x v="4"/>
    <s v="v8.7.18"/>
    <s v="Poor"/>
  </r>
  <r>
    <n v="468"/>
    <n v="1071500"/>
    <x v="5"/>
    <x v="5"/>
    <s v="Assumenda ipsa iste non est."/>
    <x v="18"/>
    <x v="37"/>
    <x v="467"/>
    <x v="1"/>
    <x v="1"/>
    <n v="326"/>
    <x v="0"/>
    <x v="5"/>
    <x v="2"/>
    <s v="14.3.93"/>
    <s v="Average"/>
  </r>
  <r>
    <n v="469"/>
    <n v="3046849"/>
    <x v="6"/>
    <x v="12"/>
    <s v="Great app but too many ads, consider premium version."/>
    <x v="21"/>
    <x v="14"/>
    <x v="468"/>
    <x v="0"/>
    <x v="4"/>
    <n v="622"/>
    <x v="46"/>
    <x v="6"/>
    <x v="0"/>
    <s v="5.3.89-beta"/>
    <s v="Excellent"/>
  </r>
  <r>
    <n v="470"/>
    <n v="2402031"/>
    <x v="18"/>
    <x v="6"/>
    <s v="Cum veritatis minima. Cumque consectetur quos eaque suscipit. Ex inventore minima."/>
    <x v="12"/>
    <x v="12"/>
    <x v="469"/>
    <x v="1"/>
    <x v="4"/>
    <n v="728"/>
    <x v="5"/>
    <x v="17"/>
    <x v="0"/>
    <s v="6.9.13-beta"/>
    <s v="Excellent"/>
  </r>
  <r>
    <n v="471"/>
    <n v="9774609"/>
    <x v="36"/>
    <x v="2"/>
    <s v="Excellent customer support and regular feature updates."/>
    <x v="12"/>
    <x v="2"/>
    <x v="470"/>
    <x v="0"/>
    <x v="0"/>
    <n v="183"/>
    <x v="40"/>
    <x v="10"/>
    <x v="2"/>
    <s v="4.0.15-beta"/>
    <s v="Average"/>
  </r>
  <r>
    <n v="472"/>
    <n v="8423974"/>
    <x v="11"/>
    <x v="14"/>
    <s v="The interface could be better but overall good experience."/>
    <x v="21"/>
    <x v="32"/>
    <x v="471"/>
    <x v="0"/>
    <x v="0"/>
    <n v="888"/>
    <x v="52"/>
    <x v="4"/>
    <x v="0"/>
    <s v="4.0.75.9388"/>
    <s v="Very Poor"/>
  </r>
  <r>
    <n v="473"/>
    <n v="6141876"/>
    <x v="26"/>
    <x v="2"/>
    <s v="Excellent customer support and regular feature updates."/>
    <x v="0"/>
    <x v="37"/>
    <x v="472"/>
    <x v="0"/>
    <x v="4"/>
    <n v="424"/>
    <x v="43"/>
    <x v="16"/>
    <x v="1"/>
    <s v="9.8.67"/>
    <s v="Average"/>
  </r>
  <r>
    <n v="474"/>
    <n v="9610771"/>
    <x v="2"/>
    <x v="11"/>
    <s v="This app is amazing! Really love the new features."/>
    <x v="9"/>
    <x v="16"/>
    <x v="473"/>
    <x v="0"/>
    <x v="3"/>
    <n v="611"/>
    <x v="49"/>
    <x v="14"/>
    <x v="0"/>
    <s v="3.9.26"/>
    <s v="Excellent"/>
  </r>
  <r>
    <n v="475"/>
    <n v="2739223"/>
    <x v="6"/>
    <x v="12"/>
    <s v="Great app but too many ads, consider premium version."/>
    <x v="6"/>
    <x v="9"/>
    <x v="474"/>
    <x v="1"/>
    <x v="1"/>
    <n v="1241"/>
    <x v="50"/>
    <x v="13"/>
    <x v="0"/>
    <s v="11.8.56.2292"/>
    <s v="Excellent"/>
  </r>
  <r>
    <n v="476"/>
    <n v="1826457"/>
    <x v="24"/>
    <x v="5"/>
    <s v="Excellent customer support and regular feature updates."/>
    <x v="16"/>
    <x v="0"/>
    <x v="475"/>
    <x v="0"/>
    <x v="1"/>
    <n v="533"/>
    <x v="16"/>
    <x v="6"/>
    <x v="0"/>
    <s v="v10.8.27"/>
    <s v="Very Poor"/>
  </r>
  <r>
    <n v="477"/>
    <n v="2034976"/>
    <x v="10"/>
    <x v="17"/>
    <s v="Some bugs need fixing but generally satisfied with it."/>
    <x v="5"/>
    <x v="32"/>
    <x v="476"/>
    <x v="1"/>
    <x v="2"/>
    <n v="647"/>
    <x v="59"/>
    <x v="15"/>
    <x v="2"/>
    <s v="v2.4.81"/>
    <s v="Very Poor"/>
  </r>
  <r>
    <n v="478"/>
    <n v="8636665"/>
    <x v="7"/>
    <x v="16"/>
    <s v="Aliquid sint doloribus. Facilis ullam debitis vero alias rem quae."/>
    <x v="14"/>
    <x v="14"/>
    <x v="477"/>
    <x v="0"/>
    <x v="2"/>
    <n v="560"/>
    <x v="33"/>
    <x v="12"/>
    <x v="2"/>
    <s v="v2.5.81"/>
    <s v="Excellent"/>
  </r>
  <r>
    <n v="479"/>
    <n v="3866741"/>
    <x v="6"/>
    <x v="12"/>
    <s v="Prawy trudno czynić pomidor gwałtowny żeby. Żołnierz cierpienie mierzyć."/>
    <x v="0"/>
    <x v="15"/>
    <x v="478"/>
    <x v="0"/>
    <x v="4"/>
    <n v="98"/>
    <x v="12"/>
    <x v="11"/>
    <x v="2"/>
    <s v="v10.7.12"/>
    <s v="Poor"/>
  </r>
  <r>
    <n v="480"/>
    <n v="7902985"/>
    <x v="31"/>
    <x v="10"/>
    <s v="Quo est assumenda itaque fuga."/>
    <x v="14"/>
    <x v="33"/>
    <x v="479"/>
    <x v="0"/>
    <x v="1"/>
    <n v="108"/>
    <x v="30"/>
    <x v="7"/>
    <x v="3"/>
    <s v="10.2.33.156"/>
    <s v="Poor"/>
  </r>
  <r>
    <n v="481"/>
    <n v="5198752"/>
    <x v="16"/>
    <x v="9"/>
    <s v="Rosnąć budowa aktywny bronić uciekać wujek bitwa środa."/>
    <x v="19"/>
    <x v="26"/>
    <x v="480"/>
    <x v="0"/>
    <x v="4"/>
    <n v="625"/>
    <x v="60"/>
    <x v="11"/>
    <x v="1"/>
    <s v="9.4.35.7009"/>
    <s v="Average"/>
  </r>
  <r>
    <n v="482"/>
    <n v="6979264"/>
    <x v="23"/>
    <x v="12"/>
    <s v="Dehors étoile secrétaire. Type abattre personne."/>
    <x v="18"/>
    <x v="18"/>
    <x v="481"/>
    <x v="1"/>
    <x v="3"/>
    <n v="255"/>
    <x v="51"/>
    <x v="14"/>
    <x v="4"/>
    <s v="9.7.1.6947"/>
    <s v="Average"/>
  </r>
  <r>
    <n v="483"/>
    <n v="5259172"/>
    <x v="16"/>
    <x v="1"/>
    <s v="Crashes too often, needs improvement in stability."/>
    <x v="15"/>
    <x v="12"/>
    <x v="482"/>
    <x v="0"/>
    <x v="3"/>
    <n v="460"/>
    <x v="22"/>
    <x v="0"/>
    <x v="3"/>
    <s v="12.8.87"/>
    <s v="Excellent"/>
  </r>
  <r>
    <n v="484"/>
    <n v="8988812"/>
    <x v="39"/>
    <x v="0"/>
    <s v="Latest update broke some features, please fix soon."/>
    <x v="1"/>
    <x v="20"/>
    <x v="483"/>
    <x v="0"/>
    <x v="3"/>
    <n v="806"/>
    <x v="20"/>
    <x v="18"/>
    <x v="4"/>
    <s v="v6.3.69"/>
    <s v="Very Poor"/>
  </r>
  <r>
    <n v="485"/>
    <n v="8354874"/>
    <x v="16"/>
    <x v="6"/>
    <s v="Great app but too many ads, consider premium version."/>
    <x v="4"/>
    <x v="32"/>
    <x v="484"/>
    <x v="0"/>
    <x v="1"/>
    <n v="18"/>
    <x v="45"/>
    <x v="15"/>
    <x v="2"/>
    <s v="v10.7.42"/>
    <s v="Very Poor"/>
  </r>
  <r>
    <n v="486"/>
    <n v="4794689"/>
    <x v="38"/>
    <x v="5"/>
    <s v="Great app but too many ads, consider premium version."/>
    <x v="16"/>
    <x v="9"/>
    <x v="485"/>
    <x v="0"/>
    <x v="3"/>
    <n v="551"/>
    <x v="45"/>
    <x v="10"/>
    <x v="2"/>
    <s v="13.4.28-beta"/>
    <s v="Excellent"/>
  </r>
  <r>
    <n v="487"/>
    <n v="3983465"/>
    <x v="18"/>
    <x v="0"/>
    <s v="Great app but too many ads, consider premium version."/>
    <x v="2"/>
    <x v="1"/>
    <x v="486"/>
    <x v="0"/>
    <x v="2"/>
    <n v="981"/>
    <x v="43"/>
    <x v="16"/>
    <x v="3"/>
    <s v="4.4.5-beta"/>
    <s v="Very Poor"/>
  </r>
  <r>
    <n v="488"/>
    <n v="7029943"/>
    <x v="31"/>
    <x v="14"/>
    <s v="Importance quitter naturel lire parvenir fonder."/>
    <x v="10"/>
    <x v="34"/>
    <x v="487"/>
    <x v="0"/>
    <x v="2"/>
    <n v="106"/>
    <x v="9"/>
    <x v="11"/>
    <x v="2"/>
    <s v="12.6.16"/>
    <s v="Average"/>
  </r>
  <r>
    <n v="489"/>
    <n v="1144933"/>
    <x v="32"/>
    <x v="1"/>
    <s v="The interface could be better but overall good experience."/>
    <x v="1"/>
    <x v="5"/>
    <x v="488"/>
    <x v="1"/>
    <x v="2"/>
    <n v="878"/>
    <x v="57"/>
    <x v="17"/>
    <x v="1"/>
    <s v="10.2"/>
    <s v="Excellent"/>
  </r>
  <r>
    <n v="490"/>
    <n v="2292921"/>
    <x v="0"/>
    <x v="5"/>
    <s v="Perfect for daily use, highly recommend to everyone."/>
    <x v="14"/>
    <x v="10"/>
    <x v="489"/>
    <x v="0"/>
    <x v="3"/>
    <n v="408"/>
    <x v="1"/>
    <x v="3"/>
    <x v="2"/>
    <s v="4.1.16"/>
    <s v="Poor"/>
  </r>
  <r>
    <n v="491"/>
    <n v="4478701"/>
    <x v="9"/>
    <x v="11"/>
    <s v="Great app but too many ads, consider premium version."/>
    <x v="1"/>
    <x v="21"/>
    <x v="490"/>
    <x v="0"/>
    <x v="0"/>
    <n v="505"/>
    <x v="24"/>
    <x v="3"/>
    <x v="0"/>
    <s v="v9.6.82"/>
    <s v="Excellent"/>
  </r>
  <r>
    <n v="492"/>
    <n v="6692651"/>
    <x v="28"/>
    <x v="0"/>
    <s v="The interface could be better but overall good experience."/>
    <x v="22"/>
    <x v="13"/>
    <x v="491"/>
    <x v="1"/>
    <x v="3"/>
    <n v="266"/>
    <x v="26"/>
    <x v="22"/>
    <x v="3"/>
    <s v="v7.2.32"/>
    <s v="Average"/>
  </r>
  <r>
    <n v="493"/>
    <n v="5573593"/>
    <x v="8"/>
    <x v="2"/>
    <s v="Perfect for daily use, highly recommend to everyone."/>
    <x v="13"/>
    <x v="3"/>
    <x v="492"/>
    <x v="0"/>
    <x v="4"/>
    <n v="153"/>
    <x v="23"/>
    <x v="5"/>
    <x v="4"/>
    <s v="2.1.16"/>
    <s v="Average"/>
  </r>
  <r>
    <n v="494"/>
    <n v="4662662"/>
    <x v="15"/>
    <x v="5"/>
    <s v="Asperiores dicta quod nesciunt culpa. Ipsum et blanditiis facere."/>
    <x v="3"/>
    <x v="37"/>
    <x v="493"/>
    <x v="0"/>
    <x v="0"/>
    <n v="138"/>
    <x v="47"/>
    <x v="15"/>
    <x v="4"/>
    <s v="4.6.70.4138"/>
    <s v="Average"/>
  </r>
  <r>
    <n v="495"/>
    <n v="7681910"/>
    <x v="33"/>
    <x v="12"/>
    <s v="Some bugs need fixing but generally satisfied with it."/>
    <x v="6"/>
    <x v="16"/>
    <x v="494"/>
    <x v="0"/>
    <x v="2"/>
    <n v="896"/>
    <x v="62"/>
    <x v="13"/>
    <x v="2"/>
    <s v="Unknown"/>
    <s v="Excellent"/>
  </r>
  <r>
    <n v="496"/>
    <n v="4546095"/>
    <x v="4"/>
    <x v="17"/>
    <s v="Пространство демократия штаб предоставить. Грустный лиловый сравнение пространство низкий ученый адвокат четыре."/>
    <x v="19"/>
    <x v="38"/>
    <x v="495"/>
    <x v="0"/>
    <x v="1"/>
    <n v="549"/>
    <x v="14"/>
    <x v="12"/>
    <x v="0"/>
    <s v="10.0.65.7462"/>
    <s v="Good"/>
  </r>
  <r>
    <n v="497"/>
    <n v="621470"/>
    <x v="3"/>
    <x v="5"/>
    <s v="This app is amazing! Really love the new features."/>
    <x v="3"/>
    <x v="25"/>
    <x v="496"/>
    <x v="0"/>
    <x v="3"/>
    <n v="755"/>
    <x v="24"/>
    <x v="0"/>
    <x v="4"/>
    <s v="5.0"/>
    <s v="Poor"/>
  </r>
  <r>
    <n v="498"/>
    <n v="9427356"/>
    <x v="0"/>
    <x v="6"/>
    <s v="This app is amazing! Really love the new features."/>
    <x v="0"/>
    <x v="2"/>
    <x v="497"/>
    <x v="0"/>
    <x v="3"/>
    <n v="217"/>
    <x v="25"/>
    <x v="7"/>
    <x v="2"/>
    <s v="14.5"/>
    <s v="Average"/>
  </r>
  <r>
    <n v="499"/>
    <n v="4291831"/>
    <x v="22"/>
    <x v="1"/>
    <s v="Perfect for daily use, highly recommend to everyone."/>
    <x v="4"/>
    <x v="37"/>
    <x v="498"/>
    <x v="0"/>
    <x v="1"/>
    <n v="303"/>
    <x v="29"/>
    <x v="17"/>
    <x v="1"/>
    <s v="6.4.26-beta"/>
    <s v="Average"/>
  </r>
  <r>
    <n v="500"/>
    <n v="1809721"/>
    <x v="19"/>
    <x v="12"/>
    <s v="Perfect for daily use, highly recommend to everyone."/>
    <x v="9"/>
    <x v="1"/>
    <x v="499"/>
    <x v="0"/>
    <x v="0"/>
    <n v="502"/>
    <x v="46"/>
    <x v="6"/>
    <x v="2"/>
    <s v="1.4.20-beta"/>
    <s v="Very Poor"/>
  </r>
  <r>
    <n v="501"/>
    <n v="2137647"/>
    <x v="21"/>
    <x v="2"/>
    <s v="The interface could be better but overall good experience."/>
    <x v="1"/>
    <x v="1"/>
    <x v="500"/>
    <x v="0"/>
    <x v="3"/>
    <n v="27"/>
    <x v="59"/>
    <x v="19"/>
    <x v="1"/>
    <s v="1.1"/>
    <s v="Very Poor"/>
  </r>
  <r>
    <n v="502"/>
    <n v="3829376"/>
    <x v="4"/>
    <x v="9"/>
    <s v="This app is amazing! Really love the new features."/>
    <x v="0"/>
    <x v="3"/>
    <x v="501"/>
    <x v="0"/>
    <x v="3"/>
    <n v="252"/>
    <x v="0"/>
    <x v="3"/>
    <x v="1"/>
    <s v="Unknown"/>
    <s v="Average"/>
  </r>
  <r>
    <n v="503"/>
    <n v="6820647"/>
    <x v="30"/>
    <x v="6"/>
    <s v="Perfect for daily use, highly recommend to everyone."/>
    <x v="15"/>
    <x v="33"/>
    <x v="502"/>
    <x v="1"/>
    <x v="4"/>
    <n v="1007"/>
    <x v="12"/>
    <x v="12"/>
    <x v="0"/>
    <s v="v4.6.49"/>
    <s v="Poor"/>
  </r>
  <r>
    <n v="504"/>
    <n v="1509947"/>
    <x v="23"/>
    <x v="11"/>
    <s v="Crashes too often, needs improvement in stability."/>
    <x v="15"/>
    <x v="10"/>
    <x v="503"/>
    <x v="0"/>
    <x v="1"/>
    <n v="587"/>
    <x v="34"/>
    <x v="12"/>
    <x v="3"/>
    <s v="10.2.22.7023"/>
    <s v="Poor"/>
  </r>
  <r>
    <n v="505"/>
    <n v="4442289"/>
    <x v="40"/>
    <x v="6"/>
    <s v="User-friendly design and smooth performance throughout."/>
    <x v="4"/>
    <x v="11"/>
    <x v="504"/>
    <x v="0"/>
    <x v="0"/>
    <n v="137"/>
    <x v="56"/>
    <x v="4"/>
    <x v="2"/>
    <s v="v14.2.99"/>
    <s v="Good"/>
  </r>
  <r>
    <n v="506"/>
    <n v="465746"/>
    <x v="21"/>
    <x v="13"/>
    <s v="Great app but too many ads, consider premium version."/>
    <x v="14"/>
    <x v="11"/>
    <x v="505"/>
    <x v="0"/>
    <x v="2"/>
    <n v="784"/>
    <x v="60"/>
    <x v="5"/>
    <x v="2"/>
    <s v="6.7.54-beta"/>
    <s v="Good"/>
  </r>
  <r>
    <n v="507"/>
    <n v="7539543"/>
    <x v="1"/>
    <x v="14"/>
    <s v="Perfect for daily use, highly recommend to everyone."/>
    <x v="23"/>
    <x v="25"/>
    <x v="506"/>
    <x v="0"/>
    <x v="0"/>
    <n v="273"/>
    <x v="30"/>
    <x v="12"/>
    <x v="1"/>
    <s v="10.3"/>
    <s v="Poor"/>
  </r>
  <r>
    <n v="508"/>
    <n v="1643145"/>
    <x v="13"/>
    <x v="5"/>
    <s v="Business walk anything under item right. Ahead raise common Democrat cost evidence third. Pass pay positive."/>
    <x v="14"/>
    <x v="29"/>
    <x v="507"/>
    <x v="0"/>
    <x v="2"/>
    <n v="773"/>
    <x v="25"/>
    <x v="19"/>
    <x v="2"/>
    <s v="14.8"/>
    <s v="Very Poor"/>
  </r>
  <r>
    <n v="509"/>
    <n v="9339022"/>
    <x v="34"/>
    <x v="6"/>
    <s v="Excellent customer support and regular feature updates."/>
    <x v="16"/>
    <x v="1"/>
    <x v="508"/>
    <x v="0"/>
    <x v="2"/>
    <n v="962"/>
    <x v="38"/>
    <x v="23"/>
    <x v="4"/>
    <s v="3.5"/>
    <s v="Very Poor"/>
  </r>
  <r>
    <n v="510"/>
    <n v="1571723"/>
    <x v="38"/>
    <x v="12"/>
    <s v="Кпсс головной интернет граница низкий."/>
    <x v="23"/>
    <x v="36"/>
    <x v="509"/>
    <x v="0"/>
    <x v="0"/>
    <n v="930"/>
    <x v="14"/>
    <x v="8"/>
    <x v="3"/>
    <s v="2.2.7.527"/>
    <s v="Poor"/>
  </r>
  <r>
    <n v="511"/>
    <n v="427658"/>
    <x v="23"/>
    <x v="14"/>
    <s v="Perfect for daily use, highly recommend to everyone."/>
    <x v="20"/>
    <x v="32"/>
    <x v="510"/>
    <x v="1"/>
    <x v="3"/>
    <n v="1239"/>
    <x v="3"/>
    <x v="0"/>
    <x v="2"/>
    <s v="7.2.95-beta"/>
    <s v="Very Poor"/>
  </r>
  <r>
    <n v="512"/>
    <n v="6124901"/>
    <x v="39"/>
    <x v="16"/>
    <s v="Great app but too many ads, consider premium version."/>
    <x v="23"/>
    <x v="35"/>
    <x v="511"/>
    <x v="0"/>
    <x v="2"/>
    <n v="1109"/>
    <x v="45"/>
    <x v="0"/>
    <x v="0"/>
    <s v="4.4.13"/>
    <s v="Poor"/>
  </r>
  <r>
    <n v="513"/>
    <n v="8231572"/>
    <x v="15"/>
    <x v="1"/>
    <s v="User-friendly design and smooth performance throughout."/>
    <x v="2"/>
    <x v="7"/>
    <x v="512"/>
    <x v="0"/>
    <x v="4"/>
    <n v="632"/>
    <x v="33"/>
    <x v="22"/>
    <x v="3"/>
    <s v="5.1.72"/>
    <s v="Very Poor"/>
  </r>
  <r>
    <n v="514"/>
    <n v="8528760"/>
    <x v="33"/>
    <x v="0"/>
    <s v="Crashes too often, needs improvement in stability."/>
    <x v="23"/>
    <x v="30"/>
    <x v="513"/>
    <x v="0"/>
    <x v="0"/>
    <n v="976"/>
    <x v="54"/>
    <x v="3"/>
    <x v="3"/>
    <s v="6.6.94"/>
    <s v="Average"/>
  </r>
  <r>
    <n v="515"/>
    <n v="4637157"/>
    <x v="30"/>
    <x v="17"/>
    <s v="Excellent customer support and regular feature updates."/>
    <x v="3"/>
    <x v="18"/>
    <x v="514"/>
    <x v="0"/>
    <x v="1"/>
    <n v="916"/>
    <x v="59"/>
    <x v="23"/>
    <x v="3"/>
    <s v="13.2.98.2639"/>
    <s v="Average"/>
  </r>
  <r>
    <n v="516"/>
    <n v="5449877"/>
    <x v="21"/>
    <x v="1"/>
    <s v="User-friendly design and smooth performance throughout."/>
    <x v="22"/>
    <x v="11"/>
    <x v="515"/>
    <x v="0"/>
    <x v="2"/>
    <n v="633"/>
    <x v="14"/>
    <x v="0"/>
    <x v="2"/>
    <s v="4.9"/>
    <s v="Good"/>
  </r>
  <r>
    <n v="517"/>
    <n v="591630"/>
    <x v="39"/>
    <x v="13"/>
    <s v="问题特别无法两个准备. 提供地区你的人民."/>
    <x v="3"/>
    <x v="12"/>
    <x v="516"/>
    <x v="1"/>
    <x v="4"/>
    <n v="1164"/>
    <x v="31"/>
    <x v="3"/>
    <x v="3"/>
    <s v="v2.1.22"/>
    <s v="Excellent"/>
  </r>
  <r>
    <n v="518"/>
    <n v="1037991"/>
    <x v="39"/>
    <x v="14"/>
    <s v="No Review"/>
    <x v="11"/>
    <x v="15"/>
    <x v="517"/>
    <x v="0"/>
    <x v="4"/>
    <n v="116"/>
    <x v="38"/>
    <x v="2"/>
    <x v="4"/>
    <s v="14.9.40"/>
    <s v="Poor"/>
  </r>
  <r>
    <n v="519"/>
    <n v="9758510"/>
    <x v="40"/>
    <x v="1"/>
    <s v="Some bugs need fixing but generally satisfied with it."/>
    <x v="11"/>
    <x v="27"/>
    <x v="518"/>
    <x v="0"/>
    <x v="2"/>
    <n v="221"/>
    <x v="30"/>
    <x v="1"/>
    <x v="2"/>
    <s v="v7.7.85"/>
    <s v="Very Poor"/>
  </r>
  <r>
    <n v="520"/>
    <n v="6052633"/>
    <x v="9"/>
    <x v="0"/>
    <s v="Composer nord riche pouvoir. Âme précis trou moindre moindre consulter voir soulever. Médecin complètement apercevoir asseoir obliger ah jaune."/>
    <x v="13"/>
    <x v="28"/>
    <x v="519"/>
    <x v="1"/>
    <x v="4"/>
    <n v="1231"/>
    <x v="40"/>
    <x v="1"/>
    <x v="1"/>
    <s v="5.7"/>
    <s v="Poor"/>
  </r>
  <r>
    <n v="521"/>
    <n v="3480011"/>
    <x v="26"/>
    <x v="16"/>
    <s v="Latest update broke some features, please fix soon."/>
    <x v="20"/>
    <x v="0"/>
    <x v="520"/>
    <x v="0"/>
    <x v="0"/>
    <n v="859"/>
    <x v="27"/>
    <x v="20"/>
    <x v="3"/>
    <s v="5.4.81"/>
    <s v="Very Poor"/>
  </r>
  <r>
    <n v="522"/>
    <n v="5816988"/>
    <x v="25"/>
    <x v="7"/>
    <s v="Crashes too often, needs improvement in stability."/>
    <x v="8"/>
    <x v="10"/>
    <x v="521"/>
    <x v="0"/>
    <x v="3"/>
    <n v="796"/>
    <x v="58"/>
    <x v="19"/>
    <x v="4"/>
    <s v="4.5.53-beta"/>
    <s v="Poor"/>
  </r>
  <r>
    <n v="523"/>
    <n v="5528919"/>
    <x v="37"/>
    <x v="4"/>
    <s v="Accusantium nesciunt totam quo. Similique vero fuga velit hic aut error. Voluptate quasi ipsa odit."/>
    <x v="16"/>
    <x v="15"/>
    <x v="522"/>
    <x v="1"/>
    <x v="4"/>
    <n v="922"/>
    <x v="23"/>
    <x v="23"/>
    <x v="2"/>
    <s v="1.2.58-beta"/>
    <s v="Poor"/>
  </r>
  <r>
    <n v="524"/>
    <n v="5423132"/>
    <x v="10"/>
    <x v="7"/>
    <s v="Provident natus suscipit nostrum. Dolore nihil cupiditate esse porro consectetur. Veniam veniam hic."/>
    <x v="23"/>
    <x v="33"/>
    <x v="523"/>
    <x v="0"/>
    <x v="1"/>
    <n v="33"/>
    <x v="52"/>
    <x v="18"/>
    <x v="4"/>
    <s v="10.6"/>
    <s v="Poor"/>
  </r>
  <r>
    <n v="525"/>
    <n v="643292"/>
    <x v="16"/>
    <x v="13"/>
    <s v="Crashes too often, needs improvement in stability."/>
    <x v="11"/>
    <x v="10"/>
    <x v="524"/>
    <x v="0"/>
    <x v="2"/>
    <n v="1132"/>
    <x v="41"/>
    <x v="9"/>
    <x v="4"/>
    <s v="v14.8.54"/>
    <s v="Poor"/>
  </r>
  <r>
    <n v="526"/>
    <n v="5438793"/>
    <x v="29"/>
    <x v="0"/>
    <s v="Dolore natus vel consequuntur quia dolores voluptatem cumque. Reprehenderit pariatur quas excepturi."/>
    <x v="4"/>
    <x v="6"/>
    <x v="525"/>
    <x v="0"/>
    <x v="3"/>
    <n v="204"/>
    <x v="19"/>
    <x v="10"/>
    <x v="4"/>
    <s v="2.1.11.270"/>
    <s v="Good"/>
  </r>
  <r>
    <n v="527"/>
    <n v="3617918"/>
    <x v="13"/>
    <x v="8"/>
    <s v="User-friendly design and smooth performance throughout."/>
    <x v="16"/>
    <x v="9"/>
    <x v="526"/>
    <x v="1"/>
    <x v="0"/>
    <n v="15"/>
    <x v="23"/>
    <x v="22"/>
    <x v="0"/>
    <s v="7.1.25"/>
    <s v="Excellent"/>
  </r>
  <r>
    <n v="528"/>
    <n v="1237407"/>
    <x v="1"/>
    <x v="1"/>
    <s v="Great app but too many ads, consider premium version."/>
    <x v="6"/>
    <x v="31"/>
    <x v="527"/>
    <x v="0"/>
    <x v="3"/>
    <n v="650"/>
    <x v="26"/>
    <x v="9"/>
    <x v="4"/>
    <s v="1.6.4"/>
    <s v="Good"/>
  </r>
  <r>
    <n v="529"/>
    <n v="1912519"/>
    <x v="14"/>
    <x v="16"/>
    <s v="Факультет ведь головной."/>
    <x v="16"/>
    <x v="20"/>
    <x v="528"/>
    <x v="0"/>
    <x v="2"/>
    <n v="1032"/>
    <x v="56"/>
    <x v="6"/>
    <x v="4"/>
    <s v="3.6.93-beta"/>
    <s v="Very Poor"/>
  </r>
  <r>
    <n v="530"/>
    <n v="8372543"/>
    <x v="37"/>
    <x v="17"/>
    <s v="Excellent customer support and regular feature updates."/>
    <x v="14"/>
    <x v="23"/>
    <x v="529"/>
    <x v="0"/>
    <x v="3"/>
    <n v="161"/>
    <x v="37"/>
    <x v="1"/>
    <x v="1"/>
    <s v="2.1.3"/>
    <s v="Very Poor"/>
  </r>
  <r>
    <n v="531"/>
    <n v="5992681"/>
    <x v="12"/>
    <x v="1"/>
    <s v="Fugiat repudiandae ratione neque quis dolorem iste."/>
    <x v="1"/>
    <x v="0"/>
    <x v="530"/>
    <x v="0"/>
    <x v="2"/>
    <n v="47"/>
    <x v="19"/>
    <x v="4"/>
    <x v="1"/>
    <s v="5.3.68-beta"/>
    <s v="Very Poor"/>
  </r>
  <r>
    <n v="532"/>
    <n v="5047745"/>
    <x v="19"/>
    <x v="3"/>
    <s v="This app is amazing! Really love the new features."/>
    <x v="16"/>
    <x v="0"/>
    <x v="531"/>
    <x v="0"/>
    <x v="4"/>
    <n v="430"/>
    <x v="9"/>
    <x v="15"/>
    <x v="2"/>
    <s v="2.7.46-beta"/>
    <s v="Very Poor"/>
  </r>
  <r>
    <n v="533"/>
    <n v="4480995"/>
    <x v="19"/>
    <x v="11"/>
    <s v="This app is amazing! Really love the new features."/>
    <x v="12"/>
    <x v="18"/>
    <x v="532"/>
    <x v="0"/>
    <x v="1"/>
    <n v="249"/>
    <x v="57"/>
    <x v="21"/>
    <x v="1"/>
    <s v="2.5.44.7929"/>
    <s v="Average"/>
  </r>
  <r>
    <n v="534"/>
    <n v="5834590"/>
    <x v="24"/>
    <x v="6"/>
    <s v="User-friendly design and smooth performance throughout."/>
    <x v="13"/>
    <x v="21"/>
    <x v="533"/>
    <x v="0"/>
    <x v="1"/>
    <n v="1129"/>
    <x v="15"/>
    <x v="18"/>
    <x v="2"/>
    <s v="6.2"/>
    <s v="Excellent"/>
  </r>
  <r>
    <n v="535"/>
    <n v="2799529"/>
    <x v="19"/>
    <x v="17"/>
    <s v="Molestias tempore at nisi. Tempora provident inventore officiis non ipsa amet ex."/>
    <x v="12"/>
    <x v="11"/>
    <x v="534"/>
    <x v="0"/>
    <x v="0"/>
    <n v="887"/>
    <x v="42"/>
    <x v="10"/>
    <x v="2"/>
    <s v="11.4.50.1686"/>
    <s v="Good"/>
  </r>
  <r>
    <n v="536"/>
    <n v="9396463"/>
    <x v="18"/>
    <x v="13"/>
    <s v="文件图片这些他们一样语言支持. 我们现在其实简介地方网络. 主题国际技术出来环境."/>
    <x v="16"/>
    <x v="22"/>
    <x v="535"/>
    <x v="0"/>
    <x v="3"/>
    <n v="721"/>
    <x v="51"/>
    <x v="19"/>
    <x v="1"/>
    <s v="6.1.57"/>
    <s v="Poor"/>
  </r>
  <r>
    <n v="537"/>
    <n v="8305682"/>
    <x v="39"/>
    <x v="13"/>
    <s v="Great app but too many ads, consider premium version."/>
    <x v="13"/>
    <x v="19"/>
    <x v="536"/>
    <x v="1"/>
    <x v="1"/>
    <n v="476"/>
    <x v="14"/>
    <x v="0"/>
    <x v="2"/>
    <s v="v3.5.15"/>
    <s v="Poor"/>
  </r>
  <r>
    <n v="538"/>
    <n v="4546036"/>
    <x v="40"/>
    <x v="16"/>
    <s v="User-friendly design and smooth performance throughout."/>
    <x v="18"/>
    <x v="7"/>
    <x v="537"/>
    <x v="1"/>
    <x v="1"/>
    <n v="862"/>
    <x v="56"/>
    <x v="12"/>
    <x v="2"/>
    <s v="11.6"/>
    <s v="Very Poor"/>
  </r>
  <r>
    <n v="539"/>
    <n v="9228919"/>
    <x v="4"/>
    <x v="6"/>
    <s v="Some bugs need fixing but generally satisfied with it."/>
    <x v="6"/>
    <x v="7"/>
    <x v="538"/>
    <x v="0"/>
    <x v="4"/>
    <n v="142"/>
    <x v="47"/>
    <x v="12"/>
    <x v="2"/>
    <s v="15.7.36-beta"/>
    <s v="Very Poor"/>
  </r>
  <r>
    <n v="540"/>
    <n v="6324691"/>
    <x v="37"/>
    <x v="10"/>
    <s v="The interface could be better but overall good experience."/>
    <x v="10"/>
    <x v="21"/>
    <x v="539"/>
    <x v="0"/>
    <x v="4"/>
    <n v="59"/>
    <x v="35"/>
    <x v="3"/>
    <x v="1"/>
    <s v="10.0.50-beta"/>
    <s v="Excellent"/>
  </r>
  <r>
    <n v="541"/>
    <n v="6297531"/>
    <x v="23"/>
    <x v="17"/>
    <s v="This app is amazing! Really love the new features."/>
    <x v="22"/>
    <x v="7"/>
    <x v="540"/>
    <x v="0"/>
    <x v="1"/>
    <n v="153"/>
    <x v="11"/>
    <x v="11"/>
    <x v="4"/>
    <s v="12.5.68"/>
    <s v="Very Poor"/>
  </r>
  <r>
    <n v="542"/>
    <n v="848547"/>
    <x v="2"/>
    <x v="5"/>
    <s v="The interface could be better but overall good experience."/>
    <x v="6"/>
    <x v="18"/>
    <x v="541"/>
    <x v="0"/>
    <x v="3"/>
    <n v="978"/>
    <x v="7"/>
    <x v="17"/>
    <x v="3"/>
    <s v="6.2.96-beta"/>
    <s v="Average"/>
  </r>
  <r>
    <n v="543"/>
    <n v="7902377"/>
    <x v="23"/>
    <x v="13"/>
    <s v="User-friendly design and smooth performance throughout."/>
    <x v="2"/>
    <x v="8"/>
    <x v="542"/>
    <x v="0"/>
    <x v="2"/>
    <n v="958"/>
    <x v="58"/>
    <x v="1"/>
    <x v="0"/>
    <s v="9.3.84"/>
    <s v="Very Poor"/>
  </r>
  <r>
    <n v="544"/>
    <n v="4605722"/>
    <x v="37"/>
    <x v="12"/>
    <s v="Crashes too often, needs improvement in stability."/>
    <x v="7"/>
    <x v="12"/>
    <x v="543"/>
    <x v="0"/>
    <x v="0"/>
    <n v="926"/>
    <x v="6"/>
    <x v="21"/>
    <x v="4"/>
    <s v="12.7.83.2524"/>
    <s v="Excellent"/>
  </r>
  <r>
    <n v="545"/>
    <n v="2635551"/>
    <x v="4"/>
    <x v="0"/>
    <s v="User-friendly design and smooth performance throughout."/>
    <x v="12"/>
    <x v="15"/>
    <x v="544"/>
    <x v="1"/>
    <x v="0"/>
    <n v="1087"/>
    <x v="17"/>
    <x v="22"/>
    <x v="3"/>
    <s v="3.7"/>
    <s v="Poor"/>
  </r>
  <r>
    <n v="546"/>
    <n v="1722400"/>
    <x v="32"/>
    <x v="14"/>
    <s v="Works perfectly on my device, no complaints at all."/>
    <x v="4"/>
    <x v="12"/>
    <x v="545"/>
    <x v="1"/>
    <x v="2"/>
    <n v="602"/>
    <x v="57"/>
    <x v="1"/>
    <x v="0"/>
    <s v="v6.0.56"/>
    <s v="Excellent"/>
  </r>
  <r>
    <n v="547"/>
    <n v="5867862"/>
    <x v="12"/>
    <x v="0"/>
    <s v="The interface could be better but overall good experience."/>
    <x v="0"/>
    <x v="27"/>
    <x v="546"/>
    <x v="0"/>
    <x v="2"/>
    <n v="828"/>
    <x v="51"/>
    <x v="1"/>
    <x v="1"/>
    <s v="4.1.6.585"/>
    <s v="Very Poor"/>
  </r>
  <r>
    <n v="548"/>
    <n v="7045543"/>
    <x v="24"/>
    <x v="13"/>
    <s v="Dolorem aperiam harum minima vitae porro vel nemo."/>
    <x v="6"/>
    <x v="9"/>
    <x v="547"/>
    <x v="0"/>
    <x v="3"/>
    <n v="976"/>
    <x v="38"/>
    <x v="18"/>
    <x v="0"/>
    <s v="v11.4.90"/>
    <s v="Excellent"/>
  </r>
  <r>
    <n v="549"/>
    <n v="5113906"/>
    <x v="38"/>
    <x v="10"/>
    <s v="Force si angoisse mort. Réussir plutôt page cas rassurer commun vivre. Rire celui goût voir habitude."/>
    <x v="23"/>
    <x v="17"/>
    <x v="548"/>
    <x v="1"/>
    <x v="0"/>
    <n v="1194"/>
    <x v="33"/>
    <x v="14"/>
    <x v="0"/>
    <s v="v7.5.2"/>
    <s v="Average"/>
  </r>
  <r>
    <n v="550"/>
    <n v="2580985"/>
    <x v="30"/>
    <x v="14"/>
    <s v="Great app but too many ads, consider premium version."/>
    <x v="11"/>
    <x v="34"/>
    <x v="549"/>
    <x v="0"/>
    <x v="1"/>
    <n v="1117"/>
    <x v="11"/>
    <x v="16"/>
    <x v="2"/>
    <s v="9.2.96"/>
    <s v="Average"/>
  </r>
  <r>
    <n v="551"/>
    <n v="4426615"/>
    <x v="6"/>
    <x v="10"/>
    <s v="Works perfectly on my device, no complaints at all."/>
    <x v="7"/>
    <x v="2"/>
    <x v="550"/>
    <x v="1"/>
    <x v="2"/>
    <n v="731"/>
    <x v="31"/>
    <x v="19"/>
    <x v="0"/>
    <s v="2.4.87"/>
    <s v="Average"/>
  </r>
  <r>
    <n v="552"/>
    <n v="1224274"/>
    <x v="21"/>
    <x v="0"/>
    <s v="Great app but too many ads, consider premium version."/>
    <x v="17"/>
    <x v="36"/>
    <x v="551"/>
    <x v="0"/>
    <x v="0"/>
    <n v="565"/>
    <x v="52"/>
    <x v="20"/>
    <x v="1"/>
    <s v="5.8"/>
    <s v="Poor"/>
  </r>
  <r>
    <n v="553"/>
    <n v="9434242"/>
    <x v="4"/>
    <x v="13"/>
    <s v="Crashes too often, needs improvement in stability."/>
    <x v="6"/>
    <x v="16"/>
    <x v="552"/>
    <x v="0"/>
    <x v="3"/>
    <n v="1143"/>
    <x v="7"/>
    <x v="9"/>
    <x v="3"/>
    <s v="5.1"/>
    <s v="Excellent"/>
  </r>
  <r>
    <n v="554"/>
    <n v="5571499"/>
    <x v="8"/>
    <x v="0"/>
    <s v="This app is amazing! Really love the new features."/>
    <x v="2"/>
    <x v="35"/>
    <x v="553"/>
    <x v="0"/>
    <x v="1"/>
    <n v="580"/>
    <x v="59"/>
    <x v="13"/>
    <x v="4"/>
    <s v="1.7.39-beta"/>
    <s v="Poor"/>
  </r>
  <r>
    <n v="555"/>
    <n v="8818920"/>
    <x v="8"/>
    <x v="3"/>
    <s v="Works perfectly on my device, no complaints at all."/>
    <x v="16"/>
    <x v="36"/>
    <x v="554"/>
    <x v="0"/>
    <x v="4"/>
    <n v="535"/>
    <x v="30"/>
    <x v="18"/>
    <x v="4"/>
    <s v="v5.3.4"/>
    <s v="Poor"/>
  </r>
  <r>
    <n v="556"/>
    <n v="9957890"/>
    <x v="18"/>
    <x v="15"/>
    <s v="Latest update broke some features, please fix soon."/>
    <x v="21"/>
    <x v="12"/>
    <x v="555"/>
    <x v="0"/>
    <x v="0"/>
    <n v="1117"/>
    <x v="22"/>
    <x v="1"/>
    <x v="2"/>
    <s v="v3.6.70"/>
    <s v="Excellent"/>
  </r>
  <r>
    <n v="557"/>
    <n v="1987752"/>
    <x v="16"/>
    <x v="9"/>
    <s v="Some bugs need fixing but generally satisfied with it."/>
    <x v="23"/>
    <x v="21"/>
    <x v="556"/>
    <x v="0"/>
    <x v="0"/>
    <n v="181"/>
    <x v="62"/>
    <x v="23"/>
    <x v="4"/>
    <s v="6.6.59-beta"/>
    <s v="Excellent"/>
  </r>
  <r>
    <n v="558"/>
    <n v="2586379"/>
    <x v="4"/>
    <x v="12"/>
    <s v="Some bugs need fixing but generally satisfied with it."/>
    <x v="11"/>
    <x v="38"/>
    <x v="557"/>
    <x v="0"/>
    <x v="4"/>
    <n v="112"/>
    <x v="21"/>
    <x v="6"/>
    <x v="1"/>
    <s v="1.6.16"/>
    <s v="Good"/>
  </r>
  <r>
    <n v="559"/>
    <n v="9875699"/>
    <x v="14"/>
    <x v="0"/>
    <s v="Новый аллея даль естественный."/>
    <x v="0"/>
    <x v="6"/>
    <x v="558"/>
    <x v="0"/>
    <x v="0"/>
    <n v="279"/>
    <x v="35"/>
    <x v="16"/>
    <x v="4"/>
    <s v="12.9.86"/>
    <s v="Good"/>
  </r>
  <r>
    <n v="560"/>
    <n v="6993590"/>
    <x v="18"/>
    <x v="0"/>
    <s v="Perfect for daily use, highly recommend to everyone."/>
    <x v="13"/>
    <x v="27"/>
    <x v="559"/>
    <x v="0"/>
    <x v="4"/>
    <n v="1035"/>
    <x v="17"/>
    <x v="1"/>
    <x v="1"/>
    <s v="2.0.19"/>
    <s v="Very Poor"/>
  </r>
  <r>
    <n v="561"/>
    <n v="8246760"/>
    <x v="10"/>
    <x v="15"/>
    <s v="Crashes too often, needs improvement in stability."/>
    <x v="3"/>
    <x v="23"/>
    <x v="560"/>
    <x v="0"/>
    <x v="2"/>
    <n v="492"/>
    <x v="12"/>
    <x v="13"/>
    <x v="4"/>
    <s v="14.9.87.7195"/>
    <s v="Very Poor"/>
  </r>
  <r>
    <n v="562"/>
    <n v="8036405"/>
    <x v="39"/>
    <x v="15"/>
    <s v="Works perfectly on my device, no complaints at all."/>
    <x v="14"/>
    <x v="23"/>
    <x v="561"/>
    <x v="0"/>
    <x v="0"/>
    <n v="246"/>
    <x v="37"/>
    <x v="1"/>
    <x v="1"/>
    <s v="7.6.89-beta"/>
    <s v="Very Poor"/>
  </r>
  <r>
    <n v="563"/>
    <n v="4720682"/>
    <x v="16"/>
    <x v="5"/>
    <s v="Some bugs need fixing but generally satisfied with it."/>
    <x v="13"/>
    <x v="25"/>
    <x v="562"/>
    <x v="0"/>
    <x v="3"/>
    <n v="799"/>
    <x v="8"/>
    <x v="0"/>
    <x v="0"/>
    <s v="8.7"/>
    <s v="Poor"/>
  </r>
  <r>
    <n v="564"/>
    <n v="6839741"/>
    <x v="33"/>
    <x v="15"/>
    <s v="User-friendly design and smooth performance throughout."/>
    <x v="5"/>
    <x v="2"/>
    <x v="563"/>
    <x v="0"/>
    <x v="3"/>
    <n v="1038"/>
    <x v="40"/>
    <x v="16"/>
    <x v="4"/>
    <s v="13.4.50-beta"/>
    <s v="Average"/>
  </r>
  <r>
    <n v="565"/>
    <n v="5661547"/>
    <x v="31"/>
    <x v="3"/>
    <s v="The interface could be better but overall good experience."/>
    <x v="18"/>
    <x v="12"/>
    <x v="564"/>
    <x v="0"/>
    <x v="0"/>
    <n v="662"/>
    <x v="62"/>
    <x v="2"/>
    <x v="0"/>
    <s v="1.0"/>
    <s v="Excellent"/>
  </r>
  <r>
    <n v="566"/>
    <n v="926965"/>
    <x v="40"/>
    <x v="11"/>
    <s v="Great app but too many ads, consider premium version."/>
    <x v="5"/>
    <x v="26"/>
    <x v="565"/>
    <x v="0"/>
    <x v="4"/>
    <n v="356"/>
    <x v="24"/>
    <x v="12"/>
    <x v="2"/>
    <s v="10.4.14"/>
    <s v="Average"/>
  </r>
  <r>
    <n v="567"/>
    <n v="4606097"/>
    <x v="22"/>
    <x v="12"/>
    <s v="Accusantium repellendus esse eligendi laudantium possimus."/>
    <x v="9"/>
    <x v="30"/>
    <x v="566"/>
    <x v="0"/>
    <x v="4"/>
    <n v="416"/>
    <x v="28"/>
    <x v="23"/>
    <x v="1"/>
    <s v="4.3.94-beta"/>
    <s v="Average"/>
  </r>
  <r>
    <n v="568"/>
    <n v="2354614"/>
    <x v="6"/>
    <x v="10"/>
    <s v="Excellent customer support and regular feature updates."/>
    <x v="0"/>
    <x v="38"/>
    <x v="567"/>
    <x v="1"/>
    <x v="4"/>
    <n v="898"/>
    <x v="4"/>
    <x v="6"/>
    <x v="2"/>
    <s v="4.3.73.7762"/>
    <s v="Good"/>
  </r>
  <r>
    <n v="569"/>
    <n v="7534162"/>
    <x v="11"/>
    <x v="1"/>
    <s v="Latest update broke some features, please fix soon."/>
    <x v="1"/>
    <x v="36"/>
    <x v="568"/>
    <x v="0"/>
    <x v="1"/>
    <n v="139"/>
    <x v="6"/>
    <x v="9"/>
    <x v="3"/>
    <s v="1.9.69"/>
    <s v="Poor"/>
  </r>
  <r>
    <n v="570"/>
    <n v="4620117"/>
    <x v="31"/>
    <x v="11"/>
    <s v="This app is amazing! Really love the new features."/>
    <x v="17"/>
    <x v="10"/>
    <x v="569"/>
    <x v="0"/>
    <x v="2"/>
    <n v="685"/>
    <x v="42"/>
    <x v="3"/>
    <x v="0"/>
    <s v="v9.1.74"/>
    <s v="Poor"/>
  </r>
  <r>
    <n v="571"/>
    <n v="1597984"/>
    <x v="14"/>
    <x v="1"/>
    <s v="The interface could be better but overall good experience."/>
    <x v="16"/>
    <x v="17"/>
    <x v="570"/>
    <x v="0"/>
    <x v="3"/>
    <n v="165"/>
    <x v="42"/>
    <x v="5"/>
    <x v="2"/>
    <s v="8.1.72"/>
    <s v="Average"/>
  </r>
  <r>
    <n v="572"/>
    <n v="3646544"/>
    <x v="16"/>
    <x v="16"/>
    <s v="Perfect for daily use, highly recommend to everyone."/>
    <x v="0"/>
    <x v="17"/>
    <x v="571"/>
    <x v="0"/>
    <x v="0"/>
    <n v="37"/>
    <x v="14"/>
    <x v="17"/>
    <x v="1"/>
    <s v="8.4.29"/>
    <s v="Average"/>
  </r>
  <r>
    <n v="573"/>
    <n v="8227895"/>
    <x v="2"/>
    <x v="9"/>
    <s v="This app is amazing! Really love the new features."/>
    <x v="7"/>
    <x v="20"/>
    <x v="572"/>
    <x v="0"/>
    <x v="3"/>
    <n v="20"/>
    <x v="35"/>
    <x v="14"/>
    <x v="4"/>
    <s v="2.9"/>
    <s v="Very Poor"/>
  </r>
  <r>
    <n v="574"/>
    <n v="6373172"/>
    <x v="40"/>
    <x v="11"/>
    <s v="Excellent customer support and regular feature updates."/>
    <x v="3"/>
    <x v="9"/>
    <x v="573"/>
    <x v="0"/>
    <x v="1"/>
    <n v="265"/>
    <x v="41"/>
    <x v="1"/>
    <x v="2"/>
    <s v="3.7.23"/>
    <s v="Excellent"/>
  </r>
  <r>
    <n v="575"/>
    <n v="8744791"/>
    <x v="16"/>
    <x v="1"/>
    <s v="Beim schwarz Hunger spät. Wagen Angst Eis Uhr und Fisch klein. Schuh früh treffen lesen Opa daran."/>
    <x v="1"/>
    <x v="28"/>
    <x v="574"/>
    <x v="0"/>
    <x v="3"/>
    <n v="1031"/>
    <x v="45"/>
    <x v="3"/>
    <x v="3"/>
    <s v="v8.4.46"/>
    <s v="Poor"/>
  </r>
  <r>
    <n v="576"/>
    <n v="6348955"/>
    <x v="33"/>
    <x v="14"/>
    <s v="Crashes too often, needs improvement in stability."/>
    <x v="2"/>
    <x v="16"/>
    <x v="575"/>
    <x v="0"/>
    <x v="0"/>
    <n v="929"/>
    <x v="23"/>
    <x v="12"/>
    <x v="1"/>
    <s v="4.4"/>
    <s v="Excellent"/>
  </r>
  <r>
    <n v="577"/>
    <n v="7584373"/>
    <x v="23"/>
    <x v="11"/>
    <s v="Vero labore mollitia exercitationem. Quibusdam porro eligendi harum cum."/>
    <x v="2"/>
    <x v="20"/>
    <x v="576"/>
    <x v="1"/>
    <x v="0"/>
    <n v="377"/>
    <x v="7"/>
    <x v="15"/>
    <x v="4"/>
    <s v="5.9.49"/>
    <s v="Very Poor"/>
  </r>
  <r>
    <n v="578"/>
    <n v="3695669"/>
    <x v="28"/>
    <x v="4"/>
    <s v="Officia perspiciatis eaque illum accusantium. Labore consequatur cupiditate. Dolore non velit."/>
    <x v="5"/>
    <x v="10"/>
    <x v="577"/>
    <x v="1"/>
    <x v="0"/>
    <n v="116"/>
    <x v="44"/>
    <x v="12"/>
    <x v="4"/>
    <s v="15.4"/>
    <s v="Poor"/>
  </r>
  <r>
    <n v="579"/>
    <n v="4720085"/>
    <x v="13"/>
    <x v="16"/>
    <s v="Works perfectly on my device, no complaints at all."/>
    <x v="11"/>
    <x v="6"/>
    <x v="578"/>
    <x v="0"/>
    <x v="2"/>
    <n v="270"/>
    <x v="30"/>
    <x v="19"/>
    <x v="3"/>
    <s v="v10.9.98"/>
    <s v="Good"/>
  </r>
  <r>
    <n v="580"/>
    <n v="5950369"/>
    <x v="5"/>
    <x v="2"/>
    <s v="Excellent customer support and regular feature updates."/>
    <x v="23"/>
    <x v="29"/>
    <x v="579"/>
    <x v="0"/>
    <x v="3"/>
    <n v="657"/>
    <x v="3"/>
    <x v="14"/>
    <x v="0"/>
    <s v="v1.9.35"/>
    <s v="Very Poor"/>
  </r>
  <r>
    <n v="581"/>
    <n v="3760940"/>
    <x v="0"/>
    <x v="8"/>
    <s v="Excellent customer support and regular feature updates."/>
    <x v="0"/>
    <x v="28"/>
    <x v="580"/>
    <x v="0"/>
    <x v="4"/>
    <n v="902"/>
    <x v="22"/>
    <x v="24"/>
    <x v="3"/>
    <s v="4.6.7"/>
    <s v="Poor"/>
  </r>
  <r>
    <n v="582"/>
    <n v="8834854"/>
    <x v="14"/>
    <x v="1"/>
    <s v="This app is amazing! Really love the new features."/>
    <x v="0"/>
    <x v="37"/>
    <x v="581"/>
    <x v="1"/>
    <x v="4"/>
    <n v="530"/>
    <x v="5"/>
    <x v="24"/>
    <x v="1"/>
    <s v="2.0.23-beta"/>
    <s v="Average"/>
  </r>
  <r>
    <n v="583"/>
    <n v="6763113"/>
    <x v="16"/>
    <x v="0"/>
    <s v="Perfect for daily use, highly recommend to everyone."/>
    <x v="17"/>
    <x v="30"/>
    <x v="582"/>
    <x v="0"/>
    <x v="0"/>
    <n v="146"/>
    <x v="15"/>
    <x v="15"/>
    <x v="3"/>
    <s v="2.8.56.1855"/>
    <s v="Average"/>
  </r>
  <r>
    <n v="584"/>
    <n v="223271"/>
    <x v="39"/>
    <x v="10"/>
    <s v="Crashes too often, needs improvement in stability."/>
    <x v="21"/>
    <x v="23"/>
    <x v="583"/>
    <x v="1"/>
    <x v="3"/>
    <n v="433"/>
    <x v="44"/>
    <x v="11"/>
    <x v="4"/>
    <s v="v5.9.3"/>
    <s v="Very Poor"/>
  </r>
  <r>
    <n v="585"/>
    <n v="6378533"/>
    <x v="21"/>
    <x v="11"/>
    <s v="Polizei nimmt Geburtstag Buch beide zusammen Papa. Frei schwer was Geburtstag dich. Weg Tag Stück neun richtig."/>
    <x v="6"/>
    <x v="5"/>
    <x v="584"/>
    <x v="0"/>
    <x v="3"/>
    <n v="856"/>
    <x v="50"/>
    <x v="7"/>
    <x v="1"/>
    <s v="11.2.48"/>
    <s v="Excellent"/>
  </r>
  <r>
    <n v="586"/>
    <n v="527068"/>
    <x v="22"/>
    <x v="4"/>
    <s v="Great app but too many ads, consider premium version."/>
    <x v="7"/>
    <x v="24"/>
    <x v="585"/>
    <x v="0"/>
    <x v="4"/>
    <n v="493"/>
    <x v="17"/>
    <x v="7"/>
    <x v="2"/>
    <s v="5.3"/>
    <s v="Poor"/>
  </r>
  <r>
    <n v="587"/>
    <n v="5059422"/>
    <x v="28"/>
    <x v="1"/>
    <s v="Weinen hängen setzen Name öffnen. Glücklich Schwester schlafen packen Land."/>
    <x v="15"/>
    <x v="30"/>
    <x v="586"/>
    <x v="0"/>
    <x v="2"/>
    <n v="1240"/>
    <x v="11"/>
    <x v="18"/>
    <x v="3"/>
    <s v="8.6"/>
    <s v="Average"/>
  </r>
  <r>
    <n v="588"/>
    <n v="8611330"/>
    <x v="0"/>
    <x v="17"/>
    <s v="No Review"/>
    <x v="0"/>
    <x v="3"/>
    <x v="587"/>
    <x v="0"/>
    <x v="0"/>
    <n v="206"/>
    <x v="32"/>
    <x v="3"/>
    <x v="2"/>
    <s v="15.2"/>
    <s v="Average"/>
  </r>
  <r>
    <n v="589"/>
    <n v="9465848"/>
    <x v="21"/>
    <x v="16"/>
    <s v="Eos iusto qui quam. Quis delectus perspiciatis excepturi at explicabo quia."/>
    <x v="17"/>
    <x v="17"/>
    <x v="588"/>
    <x v="0"/>
    <x v="3"/>
    <n v="220"/>
    <x v="25"/>
    <x v="3"/>
    <x v="1"/>
    <s v="6.2"/>
    <s v="Average"/>
  </r>
  <r>
    <n v="590"/>
    <n v="5658579"/>
    <x v="32"/>
    <x v="12"/>
    <s v="Ea eos sed iusto sint nesciunt. Architecto suscipit magnam sint fugit error amet sequi. Voluptatibus exercitationem voluptates tempora."/>
    <x v="9"/>
    <x v="1"/>
    <x v="589"/>
    <x v="0"/>
    <x v="4"/>
    <n v="1215"/>
    <x v="54"/>
    <x v="22"/>
    <x v="2"/>
    <s v="13.7"/>
    <s v="Very Poor"/>
  </r>
  <r>
    <n v="591"/>
    <n v="5408033"/>
    <x v="27"/>
    <x v="1"/>
    <s v="Some bugs need fixing but generally satisfied with it."/>
    <x v="21"/>
    <x v="34"/>
    <x v="590"/>
    <x v="1"/>
    <x v="0"/>
    <n v="584"/>
    <x v="24"/>
    <x v="1"/>
    <x v="3"/>
    <s v="5.7.43.792"/>
    <s v="Average"/>
  </r>
  <r>
    <n v="592"/>
    <n v="3125884"/>
    <x v="24"/>
    <x v="16"/>
    <s v="Crashes too often, needs improvement in stability."/>
    <x v="22"/>
    <x v="22"/>
    <x v="591"/>
    <x v="0"/>
    <x v="0"/>
    <n v="898"/>
    <x v="35"/>
    <x v="9"/>
    <x v="3"/>
    <s v="9.4.73"/>
    <s v="Poor"/>
  </r>
  <r>
    <n v="593"/>
    <n v="8280249"/>
    <x v="3"/>
    <x v="5"/>
    <s v="This app is amazing! Really love the new features."/>
    <x v="0"/>
    <x v="4"/>
    <x v="592"/>
    <x v="1"/>
    <x v="2"/>
    <n v="13"/>
    <x v="31"/>
    <x v="19"/>
    <x v="3"/>
    <s v="2.3"/>
    <s v="Average"/>
  </r>
  <r>
    <n v="594"/>
    <n v="3066618"/>
    <x v="13"/>
    <x v="12"/>
    <s v="厳しい隠す主婦サラダ創傷品質。 ハンマー立派なパンジャーナル編組編組タワー。"/>
    <x v="9"/>
    <x v="14"/>
    <x v="593"/>
    <x v="0"/>
    <x v="1"/>
    <n v="238"/>
    <x v="43"/>
    <x v="22"/>
    <x v="1"/>
    <s v="15.1.91-beta"/>
    <s v="Excellent"/>
  </r>
  <r>
    <n v="595"/>
    <n v="9055386"/>
    <x v="13"/>
    <x v="14"/>
    <s v="Some bugs need fixing but generally satisfied with it."/>
    <x v="17"/>
    <x v="8"/>
    <x v="594"/>
    <x v="1"/>
    <x v="3"/>
    <n v="72"/>
    <x v="23"/>
    <x v="6"/>
    <x v="1"/>
    <s v="11.1.90"/>
    <s v="Very Poor"/>
  </r>
  <r>
    <n v="596"/>
    <n v="6359602"/>
    <x v="9"/>
    <x v="5"/>
    <s v="The interface could be better but overall good experience."/>
    <x v="6"/>
    <x v="38"/>
    <x v="595"/>
    <x v="0"/>
    <x v="2"/>
    <n v="6"/>
    <x v="4"/>
    <x v="0"/>
    <x v="2"/>
    <s v="v8.2.93"/>
    <s v="Good"/>
  </r>
  <r>
    <n v="597"/>
    <n v="9009268"/>
    <x v="21"/>
    <x v="1"/>
    <s v="Taki lub studia również medycyna."/>
    <x v="19"/>
    <x v="13"/>
    <x v="596"/>
    <x v="0"/>
    <x v="0"/>
    <n v="803"/>
    <x v="41"/>
    <x v="22"/>
    <x v="4"/>
    <s v="11.5"/>
    <s v="Average"/>
  </r>
  <r>
    <n v="598"/>
    <n v="1823158"/>
    <x v="20"/>
    <x v="16"/>
    <s v="Great app but too many ads, consider premium version."/>
    <x v="15"/>
    <x v="29"/>
    <x v="597"/>
    <x v="0"/>
    <x v="0"/>
    <n v="262"/>
    <x v="40"/>
    <x v="17"/>
    <x v="2"/>
    <s v="8.5.31"/>
    <s v="Very Poor"/>
  </r>
  <r>
    <n v="599"/>
    <n v="9976255"/>
    <x v="1"/>
    <x v="11"/>
    <s v="User-friendly design and smooth performance throughout."/>
    <x v="16"/>
    <x v="36"/>
    <x v="598"/>
    <x v="0"/>
    <x v="4"/>
    <n v="549"/>
    <x v="31"/>
    <x v="7"/>
    <x v="0"/>
    <s v="9.5.33-beta"/>
    <s v="Poor"/>
  </r>
  <r>
    <n v="600"/>
    <n v="1195334"/>
    <x v="34"/>
    <x v="8"/>
    <s v="This app is amazing! Really love the new features."/>
    <x v="4"/>
    <x v="23"/>
    <x v="599"/>
    <x v="0"/>
    <x v="0"/>
    <n v="184"/>
    <x v="40"/>
    <x v="8"/>
    <x v="3"/>
    <s v="4.1"/>
    <s v="Very Poor"/>
  </r>
  <r>
    <n v="601"/>
    <n v="5103003"/>
    <x v="39"/>
    <x v="8"/>
    <s v="Crashes too often, needs improvement in stability."/>
    <x v="10"/>
    <x v="28"/>
    <x v="600"/>
    <x v="0"/>
    <x v="2"/>
    <n v="1132"/>
    <x v="25"/>
    <x v="2"/>
    <x v="1"/>
    <s v="4.2"/>
    <s v="Poor"/>
  </r>
  <r>
    <n v="602"/>
    <n v="8828991"/>
    <x v="11"/>
    <x v="11"/>
    <s v="Perfect for daily use, highly recommend to everyone."/>
    <x v="2"/>
    <x v="15"/>
    <x v="601"/>
    <x v="0"/>
    <x v="4"/>
    <n v="773"/>
    <x v="15"/>
    <x v="1"/>
    <x v="0"/>
    <s v="3.4"/>
    <s v="Poor"/>
  </r>
  <r>
    <n v="603"/>
    <n v="5767933"/>
    <x v="1"/>
    <x v="6"/>
    <s v="Suscipit voluptatum exercitationem temporibus facere deleniti. Accusantium dolore voluptates distinctio accusantium magnam."/>
    <x v="13"/>
    <x v="31"/>
    <x v="602"/>
    <x v="0"/>
    <x v="1"/>
    <n v="662"/>
    <x v="4"/>
    <x v="13"/>
    <x v="1"/>
    <s v="1.8.77"/>
    <s v="Good"/>
  </r>
  <r>
    <n v="604"/>
    <n v="726854"/>
    <x v="21"/>
    <x v="12"/>
    <s v="Latest update broke some features, please fix soon."/>
    <x v="8"/>
    <x v="18"/>
    <x v="603"/>
    <x v="1"/>
    <x v="2"/>
    <n v="783"/>
    <x v="0"/>
    <x v="17"/>
    <x v="2"/>
    <s v="7.1.28.6658"/>
    <s v="Average"/>
  </r>
  <r>
    <n v="605"/>
    <n v="4391430"/>
    <x v="26"/>
    <x v="2"/>
    <s v="Latest update broke some features, please fix soon."/>
    <x v="17"/>
    <x v="1"/>
    <x v="604"/>
    <x v="0"/>
    <x v="4"/>
    <n v="195"/>
    <x v="14"/>
    <x v="9"/>
    <x v="0"/>
    <s v="13.3.57-beta"/>
    <s v="Very Poor"/>
  </r>
  <r>
    <n v="606"/>
    <n v="915153"/>
    <x v="9"/>
    <x v="14"/>
    <s v="全部直接经验没有程序安全可能发生. 处理要求表示中国全国提供位置."/>
    <x v="19"/>
    <x v="6"/>
    <x v="605"/>
    <x v="0"/>
    <x v="2"/>
    <n v="74"/>
    <x v="24"/>
    <x v="8"/>
    <x v="4"/>
    <s v="12.9.97"/>
    <s v="Good"/>
  </r>
  <r>
    <n v="607"/>
    <n v="2401222"/>
    <x v="11"/>
    <x v="8"/>
    <s v="User-friendly design and smooth performance throughout."/>
    <x v="6"/>
    <x v="4"/>
    <x v="606"/>
    <x v="0"/>
    <x v="4"/>
    <n v="215"/>
    <x v="4"/>
    <x v="8"/>
    <x v="1"/>
    <s v="v8.5.83"/>
    <s v="Average"/>
  </r>
  <r>
    <n v="608"/>
    <n v="8682968"/>
    <x v="22"/>
    <x v="0"/>
    <s v="Some bugs need fixing but generally satisfied with it."/>
    <x v="16"/>
    <x v="36"/>
    <x v="607"/>
    <x v="1"/>
    <x v="1"/>
    <n v="240"/>
    <x v="4"/>
    <x v="18"/>
    <x v="3"/>
    <s v="1.6.63.2798"/>
    <s v="Poor"/>
  </r>
  <r>
    <n v="609"/>
    <n v="2075258"/>
    <x v="6"/>
    <x v="17"/>
    <s v="No Review"/>
    <x v="11"/>
    <x v="8"/>
    <x v="608"/>
    <x v="0"/>
    <x v="1"/>
    <n v="277"/>
    <x v="12"/>
    <x v="13"/>
    <x v="2"/>
    <s v="13.9.91.6083"/>
    <s v="Very Poor"/>
  </r>
  <r>
    <n v="610"/>
    <n v="1882809"/>
    <x v="25"/>
    <x v="17"/>
    <s v="Excellent customer support and regular feature updates."/>
    <x v="11"/>
    <x v="34"/>
    <x v="609"/>
    <x v="0"/>
    <x v="4"/>
    <n v="717"/>
    <x v="19"/>
    <x v="5"/>
    <x v="0"/>
    <s v="v4.1.68"/>
    <s v="Average"/>
  </r>
  <r>
    <n v="611"/>
    <n v="3451238"/>
    <x v="32"/>
    <x v="12"/>
    <s v="Perfect for daily use, highly recommend to everyone."/>
    <x v="9"/>
    <x v="17"/>
    <x v="610"/>
    <x v="0"/>
    <x v="4"/>
    <n v="443"/>
    <x v="21"/>
    <x v="9"/>
    <x v="3"/>
    <s v="v6.9.98"/>
    <s v="Average"/>
  </r>
  <r>
    <n v="612"/>
    <n v="8876935"/>
    <x v="4"/>
    <x v="15"/>
    <s v="Perfect for daily use, highly recommend to everyone."/>
    <x v="13"/>
    <x v="27"/>
    <x v="611"/>
    <x v="0"/>
    <x v="3"/>
    <n v="300"/>
    <x v="36"/>
    <x v="9"/>
    <x v="2"/>
    <s v="13.9"/>
    <s v="Very Poor"/>
  </r>
  <r>
    <n v="613"/>
    <n v="6974568"/>
    <x v="22"/>
    <x v="16"/>
    <s v="Doch merken weiter schlagen langsam. Abend sagen weinen um Sache. Wo spät Berg See."/>
    <x v="20"/>
    <x v="33"/>
    <x v="612"/>
    <x v="0"/>
    <x v="0"/>
    <n v="971"/>
    <x v="34"/>
    <x v="18"/>
    <x v="4"/>
    <s v="11.7.41.4958"/>
    <s v="Poor"/>
  </r>
  <r>
    <n v="614"/>
    <n v="3978226"/>
    <x v="0"/>
    <x v="15"/>
    <s v="Latest update broke some features, please fix soon."/>
    <x v="15"/>
    <x v="29"/>
    <x v="613"/>
    <x v="0"/>
    <x v="0"/>
    <n v="713"/>
    <x v="22"/>
    <x v="19"/>
    <x v="3"/>
    <s v="12.2.55-beta"/>
    <s v="Very Poor"/>
  </r>
  <r>
    <n v="615"/>
    <n v="4531282"/>
    <x v="18"/>
    <x v="2"/>
    <s v="Some bugs need fixing but generally satisfied with it."/>
    <x v="13"/>
    <x v="34"/>
    <x v="614"/>
    <x v="0"/>
    <x v="1"/>
    <n v="672"/>
    <x v="45"/>
    <x v="22"/>
    <x v="3"/>
    <s v="6.2"/>
    <s v="Average"/>
  </r>
  <r>
    <n v="616"/>
    <n v="1774515"/>
    <x v="31"/>
    <x v="11"/>
    <s v="Tablica w ciągu religia wtorek. Dzisiejszy Rosja studiować gatunek w ciągu olej. Wybrzeże Kościół oś list."/>
    <x v="18"/>
    <x v="5"/>
    <x v="615"/>
    <x v="0"/>
    <x v="0"/>
    <n v="1004"/>
    <x v="22"/>
    <x v="17"/>
    <x v="4"/>
    <s v="12.4.35.938"/>
    <s v="Excellent"/>
  </r>
  <r>
    <n v="617"/>
    <n v="6351562"/>
    <x v="19"/>
    <x v="5"/>
    <s v="This app is amazing! Really love the new features."/>
    <x v="17"/>
    <x v="27"/>
    <x v="616"/>
    <x v="0"/>
    <x v="3"/>
    <n v="568"/>
    <x v="5"/>
    <x v="20"/>
    <x v="4"/>
    <s v="2.6.15-beta"/>
    <s v="Very Poor"/>
  </r>
  <r>
    <n v="618"/>
    <n v="3168039"/>
    <x v="34"/>
    <x v="13"/>
    <s v="Id vitae earum harum."/>
    <x v="9"/>
    <x v="8"/>
    <x v="617"/>
    <x v="0"/>
    <x v="3"/>
    <n v="302"/>
    <x v="25"/>
    <x v="24"/>
    <x v="1"/>
    <s v="9.0.85-beta"/>
    <s v="Very Poor"/>
  </r>
  <r>
    <n v="619"/>
    <n v="7175620"/>
    <x v="0"/>
    <x v="6"/>
    <s v="Excellent customer support and regular feature updates."/>
    <x v="8"/>
    <x v="0"/>
    <x v="618"/>
    <x v="0"/>
    <x v="0"/>
    <n v="180"/>
    <x v="56"/>
    <x v="0"/>
    <x v="0"/>
    <s v="5.4.71"/>
    <s v="Very Poor"/>
  </r>
  <r>
    <n v="620"/>
    <n v="1996774"/>
    <x v="38"/>
    <x v="17"/>
    <s v="Perfect for daily use, highly recommend to everyone."/>
    <x v="4"/>
    <x v="6"/>
    <x v="619"/>
    <x v="1"/>
    <x v="2"/>
    <n v="635"/>
    <x v="10"/>
    <x v="1"/>
    <x v="3"/>
    <s v="11.5"/>
    <s v="Good"/>
  </r>
  <r>
    <n v="621"/>
    <n v="1083923"/>
    <x v="18"/>
    <x v="7"/>
    <s v="Great app but too many ads, consider premium version."/>
    <x v="21"/>
    <x v="33"/>
    <x v="620"/>
    <x v="0"/>
    <x v="3"/>
    <n v="920"/>
    <x v="3"/>
    <x v="6"/>
    <x v="0"/>
    <s v="v5.4.89"/>
    <s v="Poor"/>
  </r>
  <r>
    <n v="622"/>
    <n v="1840017"/>
    <x v="32"/>
    <x v="13"/>
    <s v="Latest update broke some features, please fix soon."/>
    <x v="9"/>
    <x v="18"/>
    <x v="621"/>
    <x v="0"/>
    <x v="2"/>
    <n v="528"/>
    <x v="20"/>
    <x v="10"/>
    <x v="3"/>
    <s v="11.4.26.5607"/>
    <s v="Average"/>
  </r>
  <r>
    <n v="623"/>
    <n v="8197940"/>
    <x v="8"/>
    <x v="4"/>
    <s v="The interface could be better but overall good experience."/>
    <x v="3"/>
    <x v="25"/>
    <x v="622"/>
    <x v="0"/>
    <x v="4"/>
    <n v="325"/>
    <x v="60"/>
    <x v="17"/>
    <x v="3"/>
    <s v="6.9.48"/>
    <s v="Poor"/>
  </r>
  <r>
    <n v="624"/>
    <n v="7451152"/>
    <x v="10"/>
    <x v="7"/>
    <s v="Works perfectly on my device, no complaints at all."/>
    <x v="4"/>
    <x v="36"/>
    <x v="623"/>
    <x v="1"/>
    <x v="2"/>
    <n v="517"/>
    <x v="25"/>
    <x v="22"/>
    <x v="4"/>
    <s v="13.0.56.7479"/>
    <s v="Poor"/>
  </r>
  <r>
    <n v="625"/>
    <n v="6471160"/>
    <x v="35"/>
    <x v="0"/>
    <s v="This app is amazing! Really love the new features."/>
    <x v="12"/>
    <x v="34"/>
    <x v="624"/>
    <x v="0"/>
    <x v="1"/>
    <n v="1222"/>
    <x v="43"/>
    <x v="8"/>
    <x v="4"/>
    <s v="7.6.99.4414"/>
    <s v="Average"/>
  </r>
  <r>
    <n v="626"/>
    <n v="583456"/>
    <x v="14"/>
    <x v="3"/>
    <s v="This app is amazing! Really love the new features."/>
    <x v="15"/>
    <x v="1"/>
    <x v="625"/>
    <x v="1"/>
    <x v="2"/>
    <n v="617"/>
    <x v="52"/>
    <x v="0"/>
    <x v="0"/>
    <s v="5.2.44-beta"/>
    <s v="Very Poor"/>
  </r>
  <r>
    <n v="627"/>
    <n v="2292032"/>
    <x v="39"/>
    <x v="6"/>
    <s v="Works perfectly on my device, no complaints at all."/>
    <x v="8"/>
    <x v="8"/>
    <x v="626"/>
    <x v="0"/>
    <x v="0"/>
    <n v="770"/>
    <x v="3"/>
    <x v="10"/>
    <x v="0"/>
    <s v="8.2.44-beta"/>
    <s v="Very Poor"/>
  </r>
  <r>
    <n v="628"/>
    <n v="1994776"/>
    <x v="37"/>
    <x v="12"/>
    <s v="User-friendly design and smooth performance throughout."/>
    <x v="15"/>
    <x v="6"/>
    <x v="627"/>
    <x v="0"/>
    <x v="3"/>
    <n v="55"/>
    <x v="35"/>
    <x v="21"/>
    <x v="0"/>
    <s v="14.6.76.6453"/>
    <s v="Good"/>
  </r>
  <r>
    <n v="629"/>
    <n v="7493515"/>
    <x v="31"/>
    <x v="3"/>
    <s v="Latest update broke some features, please fix soon."/>
    <x v="16"/>
    <x v="27"/>
    <x v="628"/>
    <x v="0"/>
    <x v="0"/>
    <n v="368"/>
    <x v="4"/>
    <x v="23"/>
    <x v="3"/>
    <s v="11.3"/>
    <s v="Very Poor"/>
  </r>
  <r>
    <n v="630"/>
    <n v="4489135"/>
    <x v="19"/>
    <x v="7"/>
    <s v="The interface could be better but overall good experience."/>
    <x v="3"/>
    <x v="38"/>
    <x v="629"/>
    <x v="0"/>
    <x v="4"/>
    <n v="329"/>
    <x v="24"/>
    <x v="14"/>
    <x v="4"/>
    <s v="7.8.13"/>
    <s v="Good"/>
  </r>
  <r>
    <n v="631"/>
    <n v="307369"/>
    <x v="32"/>
    <x v="11"/>
    <s v="風景埋め込む狭いそれ近代化するダッシュクルー。 ストレージヒールヘア知覚部隊チーズ証言する通行料金。 差別する奨励します教授バケツバケツ敵主人ログ。"/>
    <x v="10"/>
    <x v="39"/>
    <x v="630"/>
    <x v="0"/>
    <x v="1"/>
    <n v="1095"/>
    <x v="5"/>
    <x v="22"/>
    <x v="1"/>
    <s v="5.6.33.1900"/>
    <s v="Good"/>
  </r>
  <r>
    <n v="632"/>
    <n v="4766702"/>
    <x v="36"/>
    <x v="6"/>
    <s v="Meno necessario giornata. Autorità io né badare massimo."/>
    <x v="16"/>
    <x v="7"/>
    <x v="631"/>
    <x v="0"/>
    <x v="1"/>
    <n v="81"/>
    <x v="56"/>
    <x v="17"/>
    <x v="2"/>
    <s v="6.9.33.3238"/>
    <s v="Very Poor"/>
  </r>
  <r>
    <n v="633"/>
    <n v="8444540"/>
    <x v="20"/>
    <x v="6"/>
    <s v="User-friendly design and smooth performance throughout."/>
    <x v="17"/>
    <x v="22"/>
    <x v="632"/>
    <x v="1"/>
    <x v="4"/>
    <n v="1220"/>
    <x v="56"/>
    <x v="22"/>
    <x v="1"/>
    <s v="v9.4.22"/>
    <s v="Poor"/>
  </r>
  <r>
    <n v="634"/>
    <n v="398116"/>
    <x v="36"/>
    <x v="10"/>
    <s v="Some bugs need fixing but generally satisfied with it."/>
    <x v="21"/>
    <x v="24"/>
    <x v="633"/>
    <x v="0"/>
    <x v="4"/>
    <n v="668"/>
    <x v="49"/>
    <x v="3"/>
    <x v="0"/>
    <s v="7.4.44.7505"/>
    <s v="Poor"/>
  </r>
  <r>
    <n v="635"/>
    <n v="7017892"/>
    <x v="23"/>
    <x v="4"/>
    <s v="Latest update broke some features, please fix soon."/>
    <x v="4"/>
    <x v="2"/>
    <x v="634"/>
    <x v="0"/>
    <x v="4"/>
    <n v="887"/>
    <x v="43"/>
    <x v="12"/>
    <x v="0"/>
    <s v="15.4.54"/>
    <s v="Average"/>
  </r>
  <r>
    <n v="636"/>
    <n v="9312349"/>
    <x v="14"/>
    <x v="13"/>
    <s v="Repudiandae recusandae vitae."/>
    <x v="1"/>
    <x v="34"/>
    <x v="635"/>
    <x v="0"/>
    <x v="4"/>
    <n v="1238"/>
    <x v="51"/>
    <x v="14"/>
    <x v="3"/>
    <s v="v10.7.27"/>
    <s v="Average"/>
  </r>
  <r>
    <n v="637"/>
    <n v="8628492"/>
    <x v="3"/>
    <x v="9"/>
    <s v="Great app but too many ads, consider premium version."/>
    <x v="7"/>
    <x v="0"/>
    <x v="636"/>
    <x v="0"/>
    <x v="1"/>
    <n v="1247"/>
    <x v="58"/>
    <x v="10"/>
    <x v="4"/>
    <s v="10.5"/>
    <s v="Very Poor"/>
  </r>
  <r>
    <n v="638"/>
    <n v="7753898"/>
    <x v="5"/>
    <x v="4"/>
    <s v="細かい差別する画面感謝する電話尊敬する。"/>
    <x v="0"/>
    <x v="3"/>
    <x v="637"/>
    <x v="1"/>
    <x v="0"/>
    <n v="523"/>
    <x v="51"/>
    <x v="3"/>
    <x v="4"/>
    <s v="6.5.56-beta"/>
    <s v="Average"/>
  </r>
  <r>
    <n v="639"/>
    <n v="6195071"/>
    <x v="6"/>
    <x v="13"/>
    <s v="This app is amazing! Really love the new features."/>
    <x v="14"/>
    <x v="26"/>
    <x v="638"/>
    <x v="0"/>
    <x v="2"/>
    <n v="720"/>
    <x v="37"/>
    <x v="15"/>
    <x v="2"/>
    <s v="5.4.96-beta"/>
    <s v="Average"/>
  </r>
  <r>
    <n v="640"/>
    <n v="2012994"/>
    <x v="12"/>
    <x v="2"/>
    <s v="Quis dolore exercitationem rerum."/>
    <x v="20"/>
    <x v="20"/>
    <x v="639"/>
    <x v="0"/>
    <x v="4"/>
    <n v="1168"/>
    <x v="55"/>
    <x v="9"/>
    <x v="0"/>
    <s v="15.8.16.6201"/>
    <s v="Very Poor"/>
  </r>
  <r>
    <n v="641"/>
    <n v="9288723"/>
    <x v="24"/>
    <x v="16"/>
    <s v="Great app but too many ads, consider premium version."/>
    <x v="6"/>
    <x v="18"/>
    <x v="640"/>
    <x v="0"/>
    <x v="0"/>
    <n v="461"/>
    <x v="2"/>
    <x v="1"/>
    <x v="2"/>
    <s v="v15.9.35"/>
    <s v="Average"/>
  </r>
  <r>
    <n v="642"/>
    <n v="1883791"/>
    <x v="31"/>
    <x v="12"/>
    <s v="The interface could be better but overall good experience."/>
    <x v="20"/>
    <x v="30"/>
    <x v="641"/>
    <x v="0"/>
    <x v="0"/>
    <n v="856"/>
    <x v="60"/>
    <x v="20"/>
    <x v="1"/>
    <s v="1.8"/>
    <s v="Average"/>
  </r>
  <r>
    <n v="643"/>
    <n v="8361472"/>
    <x v="1"/>
    <x v="6"/>
    <s v="The interface could be better but overall good experience."/>
    <x v="10"/>
    <x v="23"/>
    <x v="642"/>
    <x v="1"/>
    <x v="3"/>
    <n v="797"/>
    <x v="14"/>
    <x v="13"/>
    <x v="0"/>
    <s v="6.9.31.2728"/>
    <s v="Very Poor"/>
  </r>
  <r>
    <n v="644"/>
    <n v="6965417"/>
    <x v="18"/>
    <x v="4"/>
    <s v="User-friendly design and smooth performance throughout."/>
    <x v="7"/>
    <x v="13"/>
    <x v="643"/>
    <x v="0"/>
    <x v="0"/>
    <n v="495"/>
    <x v="59"/>
    <x v="9"/>
    <x v="2"/>
    <s v="3.4"/>
    <s v="Average"/>
  </r>
  <r>
    <n v="645"/>
    <n v="3387016"/>
    <x v="34"/>
    <x v="1"/>
    <s v="同行バケツバス賞賛する怒り。 ささやき協力持っていました証言するコーナー虐待。"/>
    <x v="9"/>
    <x v="39"/>
    <x v="644"/>
    <x v="0"/>
    <x v="1"/>
    <n v="1100"/>
    <x v="56"/>
    <x v="8"/>
    <x v="4"/>
    <s v="8.1.0-beta"/>
    <s v="Good"/>
  </r>
  <r>
    <n v="646"/>
    <n v="9987084"/>
    <x v="20"/>
    <x v="2"/>
    <s v="User-friendly design and smooth performance throughout."/>
    <x v="16"/>
    <x v="39"/>
    <x v="645"/>
    <x v="0"/>
    <x v="4"/>
    <n v="298"/>
    <x v="2"/>
    <x v="24"/>
    <x v="4"/>
    <s v="14.0.46.6545"/>
    <s v="Good"/>
  </r>
  <r>
    <n v="647"/>
    <n v="8468955"/>
    <x v="12"/>
    <x v="10"/>
    <s v="User-friendly design and smooth performance throughout."/>
    <x v="7"/>
    <x v="6"/>
    <x v="646"/>
    <x v="0"/>
    <x v="1"/>
    <n v="604"/>
    <x v="61"/>
    <x v="10"/>
    <x v="3"/>
    <s v="4.4.12"/>
    <s v="Good"/>
  </r>
  <r>
    <n v="648"/>
    <n v="914896"/>
    <x v="36"/>
    <x v="14"/>
    <s v="Latest update broke some features, please fix soon."/>
    <x v="19"/>
    <x v="21"/>
    <x v="647"/>
    <x v="0"/>
    <x v="2"/>
    <n v="1162"/>
    <x v="19"/>
    <x v="18"/>
    <x v="2"/>
    <s v="5.0.28.6077"/>
    <s v="Excellent"/>
  </r>
  <r>
    <n v="649"/>
    <n v="9916696"/>
    <x v="28"/>
    <x v="12"/>
    <s v="Unde quos tenetur porro cupiditate repellendus aut. Non eum sunt in non possimus dolorum id."/>
    <x v="14"/>
    <x v="30"/>
    <x v="648"/>
    <x v="0"/>
    <x v="1"/>
    <n v="745"/>
    <x v="25"/>
    <x v="13"/>
    <x v="4"/>
    <s v="14.6.32"/>
    <s v="Average"/>
  </r>
  <r>
    <n v="650"/>
    <n v="7697490"/>
    <x v="35"/>
    <x v="4"/>
    <s v="トスブラケット屋根裏転倒。"/>
    <x v="18"/>
    <x v="9"/>
    <x v="649"/>
    <x v="1"/>
    <x v="4"/>
    <n v="132"/>
    <x v="26"/>
    <x v="2"/>
    <x v="3"/>
    <s v="9.5"/>
    <s v="Excellent"/>
  </r>
  <r>
    <n v="651"/>
    <n v="9290659"/>
    <x v="18"/>
    <x v="13"/>
    <s v="Provincia trascinare perfetto convincere peggio elevare."/>
    <x v="10"/>
    <x v="13"/>
    <x v="650"/>
    <x v="1"/>
    <x v="0"/>
    <n v="202"/>
    <x v="23"/>
    <x v="11"/>
    <x v="4"/>
    <s v="8.7.72.200"/>
    <s v="Average"/>
  </r>
  <r>
    <n v="652"/>
    <n v="2325862"/>
    <x v="14"/>
    <x v="9"/>
    <s v="Lieu poursuivre entourer camarade. Moi nécessaire très presser pleurer suivre. Du séparer rire maintenant air chasser plaisir."/>
    <x v="3"/>
    <x v="38"/>
    <x v="651"/>
    <x v="0"/>
    <x v="2"/>
    <n v="934"/>
    <x v="22"/>
    <x v="3"/>
    <x v="4"/>
    <s v="v10.8.31"/>
    <s v="Good"/>
  </r>
  <r>
    <n v="653"/>
    <n v="2800047"/>
    <x v="33"/>
    <x v="14"/>
    <s v="Excellent customer support and regular feature updates."/>
    <x v="18"/>
    <x v="19"/>
    <x v="652"/>
    <x v="1"/>
    <x v="3"/>
    <n v="104"/>
    <x v="24"/>
    <x v="6"/>
    <x v="1"/>
    <s v="5.0"/>
    <s v="Poor"/>
  </r>
  <r>
    <n v="654"/>
    <n v="4303716"/>
    <x v="24"/>
    <x v="10"/>
    <s v="Saepe porro eos quidem. Facere iste nulla. Sint quia natus dolores quos reiciendis enim."/>
    <x v="11"/>
    <x v="39"/>
    <x v="653"/>
    <x v="0"/>
    <x v="2"/>
    <n v="1206"/>
    <x v="44"/>
    <x v="6"/>
    <x v="4"/>
    <s v="5.9.1-beta"/>
    <s v="Good"/>
  </r>
  <r>
    <n v="655"/>
    <n v="6501894"/>
    <x v="0"/>
    <x v="7"/>
    <s v="安全责任表示报告管理法律. 东西成功事情一种汽车."/>
    <x v="0"/>
    <x v="35"/>
    <x v="654"/>
    <x v="1"/>
    <x v="1"/>
    <n v="1149"/>
    <x v="8"/>
    <x v="18"/>
    <x v="4"/>
    <s v="v6.8.61"/>
    <s v="Poor"/>
  </r>
  <r>
    <n v="656"/>
    <n v="6269672"/>
    <x v="35"/>
    <x v="10"/>
    <s v="The interface could be better but overall good experience."/>
    <x v="11"/>
    <x v="25"/>
    <x v="655"/>
    <x v="0"/>
    <x v="3"/>
    <n v="374"/>
    <x v="57"/>
    <x v="12"/>
    <x v="0"/>
    <s v="8.2.22-beta"/>
    <s v="Poor"/>
  </r>
  <r>
    <n v="657"/>
    <n v="9270680"/>
    <x v="25"/>
    <x v="17"/>
    <s v="Deserunt quam deserunt ipsum voluptatem asperiores vitae quasi."/>
    <x v="12"/>
    <x v="17"/>
    <x v="656"/>
    <x v="0"/>
    <x v="2"/>
    <n v="666"/>
    <x v="43"/>
    <x v="13"/>
    <x v="2"/>
    <s v="10.2"/>
    <s v="Average"/>
  </r>
  <r>
    <n v="658"/>
    <n v="781729"/>
    <x v="9"/>
    <x v="12"/>
    <s v="Eius eaque cum sapiente ab iure. Aliquam ut nisi quo."/>
    <x v="19"/>
    <x v="10"/>
    <x v="657"/>
    <x v="1"/>
    <x v="0"/>
    <n v="854"/>
    <x v="33"/>
    <x v="1"/>
    <x v="1"/>
    <s v="v6.2.39"/>
    <s v="Poor"/>
  </r>
  <r>
    <n v="659"/>
    <n v="5152539"/>
    <x v="26"/>
    <x v="17"/>
    <s v="Works perfectly on my device, no complaints at all."/>
    <x v="17"/>
    <x v="4"/>
    <x v="658"/>
    <x v="0"/>
    <x v="2"/>
    <n v="440"/>
    <x v="48"/>
    <x v="13"/>
    <x v="2"/>
    <s v="4.4.37"/>
    <s v="Average"/>
  </r>
  <r>
    <n v="660"/>
    <n v="9330156"/>
    <x v="8"/>
    <x v="10"/>
    <s v="Excellent customer support and regular feature updates."/>
    <x v="21"/>
    <x v="33"/>
    <x v="659"/>
    <x v="0"/>
    <x v="4"/>
    <n v="114"/>
    <x v="19"/>
    <x v="11"/>
    <x v="3"/>
    <s v="1.6"/>
    <s v="Poor"/>
  </r>
  <r>
    <n v="661"/>
    <n v="5432789"/>
    <x v="40"/>
    <x v="4"/>
    <s v="Perfect for daily use, highly recommend to everyone."/>
    <x v="0"/>
    <x v="27"/>
    <x v="660"/>
    <x v="0"/>
    <x v="2"/>
    <n v="671"/>
    <x v="37"/>
    <x v="5"/>
    <x v="3"/>
    <s v="13.6.19.2465"/>
    <s v="Very Poor"/>
  </r>
  <r>
    <n v="662"/>
    <n v="3184811"/>
    <x v="37"/>
    <x v="13"/>
    <s v="Perfect for daily use, highly recommend to everyone."/>
    <x v="11"/>
    <x v="25"/>
    <x v="661"/>
    <x v="0"/>
    <x v="2"/>
    <n v="530"/>
    <x v="11"/>
    <x v="21"/>
    <x v="1"/>
    <s v="15.7"/>
    <s v="Poor"/>
  </r>
  <r>
    <n v="663"/>
    <n v="8574848"/>
    <x v="6"/>
    <x v="11"/>
    <s v="This app is amazing! Really love the new features."/>
    <x v="6"/>
    <x v="14"/>
    <x v="662"/>
    <x v="0"/>
    <x v="1"/>
    <n v="1103"/>
    <x v="31"/>
    <x v="18"/>
    <x v="4"/>
    <s v="15.8.47.266"/>
    <s v="Excellent"/>
  </r>
  <r>
    <n v="664"/>
    <n v="9211373"/>
    <x v="2"/>
    <x v="8"/>
    <s v="Perfect for daily use, highly recommend to everyone."/>
    <x v="9"/>
    <x v="39"/>
    <x v="663"/>
    <x v="0"/>
    <x v="0"/>
    <n v="567"/>
    <x v="46"/>
    <x v="10"/>
    <x v="0"/>
    <s v="3.8.11-beta"/>
    <s v="Good"/>
  </r>
  <r>
    <n v="665"/>
    <n v="1642590"/>
    <x v="32"/>
    <x v="6"/>
    <s v="Determine degree forward guess despite sell."/>
    <x v="7"/>
    <x v="28"/>
    <x v="664"/>
    <x v="0"/>
    <x v="2"/>
    <n v="530"/>
    <x v="2"/>
    <x v="2"/>
    <x v="4"/>
    <s v="7.9.37.105"/>
    <s v="Poor"/>
  </r>
  <r>
    <n v="666"/>
    <n v="9517633"/>
    <x v="4"/>
    <x v="13"/>
    <s v="Crashes too often, needs improvement in stability."/>
    <x v="22"/>
    <x v="23"/>
    <x v="665"/>
    <x v="1"/>
    <x v="3"/>
    <n v="80"/>
    <x v="40"/>
    <x v="23"/>
    <x v="4"/>
    <s v="15.9"/>
    <s v="Very Poor"/>
  </r>
  <r>
    <n v="667"/>
    <n v="247701"/>
    <x v="18"/>
    <x v="12"/>
    <s v="Protect knowledge toward party."/>
    <x v="11"/>
    <x v="29"/>
    <x v="666"/>
    <x v="0"/>
    <x v="0"/>
    <n v="52"/>
    <x v="17"/>
    <x v="7"/>
    <x v="0"/>
    <s v="3.6"/>
    <s v="Very Poor"/>
  </r>
  <r>
    <n v="668"/>
    <n v="769029"/>
    <x v="2"/>
    <x v="3"/>
    <s v="Perfect for daily use, highly recommend to everyone."/>
    <x v="22"/>
    <x v="21"/>
    <x v="667"/>
    <x v="0"/>
    <x v="3"/>
    <n v="733"/>
    <x v="38"/>
    <x v="11"/>
    <x v="2"/>
    <s v="3.8.74"/>
    <s v="Excellent"/>
  </r>
  <r>
    <n v="669"/>
    <n v="6498370"/>
    <x v="2"/>
    <x v="9"/>
    <s v="Harum molestiae eligendi tenetur. Maiores magni laborum eos officiis eum."/>
    <x v="10"/>
    <x v="21"/>
    <x v="668"/>
    <x v="0"/>
    <x v="4"/>
    <n v="889"/>
    <x v="23"/>
    <x v="6"/>
    <x v="3"/>
    <s v="1.0.48-beta"/>
    <s v="Excellent"/>
  </r>
  <r>
    <n v="670"/>
    <n v="2908418"/>
    <x v="26"/>
    <x v="15"/>
    <s v="This app is amazing! Really love the new features."/>
    <x v="14"/>
    <x v="18"/>
    <x v="669"/>
    <x v="0"/>
    <x v="2"/>
    <n v="962"/>
    <x v="62"/>
    <x v="3"/>
    <x v="1"/>
    <s v="12.5"/>
    <s v="Average"/>
  </r>
  <r>
    <n v="671"/>
    <n v="9045709"/>
    <x v="34"/>
    <x v="16"/>
    <s v="The interface could be better but overall good experience."/>
    <x v="12"/>
    <x v="23"/>
    <x v="670"/>
    <x v="1"/>
    <x v="2"/>
    <n v="626"/>
    <x v="51"/>
    <x v="6"/>
    <x v="3"/>
    <s v="3.2"/>
    <s v="Very Poor"/>
  </r>
  <r>
    <n v="672"/>
    <n v="1198434"/>
    <x v="9"/>
    <x v="11"/>
    <s v="Excellent customer support and regular feature updates."/>
    <x v="4"/>
    <x v="18"/>
    <x v="671"/>
    <x v="1"/>
    <x v="2"/>
    <n v="205"/>
    <x v="33"/>
    <x v="22"/>
    <x v="0"/>
    <s v="12.2.52.762"/>
    <s v="Average"/>
  </r>
  <r>
    <n v="673"/>
    <n v="3676485"/>
    <x v="10"/>
    <x v="9"/>
    <s v="Latest update broke some features, please fix soon."/>
    <x v="14"/>
    <x v="28"/>
    <x v="672"/>
    <x v="1"/>
    <x v="3"/>
    <n v="748"/>
    <x v="43"/>
    <x v="21"/>
    <x v="1"/>
    <s v="v3.9.81"/>
    <s v="Poor"/>
  </r>
  <r>
    <n v="674"/>
    <n v="7217053"/>
    <x v="33"/>
    <x v="5"/>
    <s v="Excellent customer support and regular feature updates."/>
    <x v="22"/>
    <x v="35"/>
    <x v="673"/>
    <x v="0"/>
    <x v="1"/>
    <n v="378"/>
    <x v="25"/>
    <x v="16"/>
    <x v="3"/>
    <s v="4.1.95-beta"/>
    <s v="Poor"/>
  </r>
  <r>
    <n v="675"/>
    <n v="3549052"/>
    <x v="3"/>
    <x v="5"/>
    <s v="No Review"/>
    <x v="4"/>
    <x v="9"/>
    <x v="674"/>
    <x v="0"/>
    <x v="0"/>
    <n v="98"/>
    <x v="59"/>
    <x v="20"/>
    <x v="0"/>
    <s v="6.6.47.2380"/>
    <s v="Excellent"/>
  </r>
  <r>
    <n v="676"/>
    <n v="5665260"/>
    <x v="38"/>
    <x v="10"/>
    <s v="Perfect for daily use, highly recommend to everyone."/>
    <x v="11"/>
    <x v="26"/>
    <x v="675"/>
    <x v="0"/>
    <x v="3"/>
    <n v="900"/>
    <x v="56"/>
    <x v="7"/>
    <x v="3"/>
    <s v="8.5.24-beta"/>
    <s v="Average"/>
  </r>
  <r>
    <n v="677"/>
    <n v="1328898"/>
    <x v="5"/>
    <x v="10"/>
    <s v="不能主要市场."/>
    <x v="10"/>
    <x v="10"/>
    <x v="676"/>
    <x v="0"/>
    <x v="4"/>
    <n v="1112"/>
    <x v="32"/>
    <x v="12"/>
    <x v="0"/>
    <s v="v13.8.58"/>
    <s v="Poor"/>
  </r>
  <r>
    <n v="678"/>
    <n v="4439392"/>
    <x v="16"/>
    <x v="12"/>
    <s v="Some bugs need fixing but generally satisfied with it."/>
    <x v="13"/>
    <x v="1"/>
    <x v="677"/>
    <x v="0"/>
    <x v="2"/>
    <n v="34"/>
    <x v="57"/>
    <x v="7"/>
    <x v="3"/>
    <s v="8.6.70.1360"/>
    <s v="Very Poor"/>
  </r>
  <r>
    <n v="679"/>
    <n v="7668632"/>
    <x v="10"/>
    <x v="13"/>
    <s v="The interface could be better but overall good experience."/>
    <x v="15"/>
    <x v="32"/>
    <x v="678"/>
    <x v="0"/>
    <x v="3"/>
    <n v="463"/>
    <x v="3"/>
    <x v="8"/>
    <x v="0"/>
    <s v="9.3"/>
    <s v="Very Poor"/>
  </r>
  <r>
    <n v="680"/>
    <n v="7364954"/>
    <x v="31"/>
    <x v="12"/>
    <s v="Latest update broke some features, please fix soon."/>
    <x v="23"/>
    <x v="0"/>
    <x v="679"/>
    <x v="0"/>
    <x v="3"/>
    <n v="638"/>
    <x v="20"/>
    <x v="7"/>
    <x v="4"/>
    <s v="7.8.53-beta"/>
    <s v="Very Poor"/>
  </r>
  <r>
    <n v="681"/>
    <n v="6634756"/>
    <x v="34"/>
    <x v="1"/>
    <s v="Perfect for daily use, highly recommend to everyone."/>
    <x v="10"/>
    <x v="0"/>
    <x v="680"/>
    <x v="0"/>
    <x v="1"/>
    <n v="287"/>
    <x v="29"/>
    <x v="1"/>
    <x v="1"/>
    <s v="7.2.82-beta"/>
    <s v="Very Poor"/>
  </r>
  <r>
    <n v="682"/>
    <n v="9073031"/>
    <x v="3"/>
    <x v="4"/>
    <s v="Excellent customer support and regular feature updates."/>
    <x v="18"/>
    <x v="20"/>
    <x v="681"/>
    <x v="1"/>
    <x v="0"/>
    <n v="611"/>
    <x v="58"/>
    <x v="12"/>
    <x v="4"/>
    <s v="1.1.66.5099"/>
    <s v="Very Poor"/>
  </r>
  <r>
    <n v="683"/>
    <n v="1160950"/>
    <x v="5"/>
    <x v="15"/>
    <s v="Crashes too often, needs improvement in stability."/>
    <x v="8"/>
    <x v="3"/>
    <x v="682"/>
    <x v="1"/>
    <x v="0"/>
    <n v="596"/>
    <x v="35"/>
    <x v="13"/>
    <x v="1"/>
    <s v="1.6.32-beta"/>
    <s v="Average"/>
  </r>
  <r>
    <n v="684"/>
    <n v="9924872"/>
    <x v="11"/>
    <x v="16"/>
    <s v="Professore attore tirare. Elettrico presidente palazzo duro."/>
    <x v="1"/>
    <x v="2"/>
    <x v="683"/>
    <x v="0"/>
    <x v="1"/>
    <n v="859"/>
    <x v="7"/>
    <x v="24"/>
    <x v="3"/>
    <s v="v7.0.81"/>
    <s v="Average"/>
  </r>
  <r>
    <n v="685"/>
    <n v="6499057"/>
    <x v="8"/>
    <x v="16"/>
    <s v="Excellent customer support and regular feature updates."/>
    <x v="20"/>
    <x v="17"/>
    <x v="684"/>
    <x v="1"/>
    <x v="0"/>
    <n v="86"/>
    <x v="41"/>
    <x v="12"/>
    <x v="4"/>
    <s v="11.4.13.7994"/>
    <s v="Average"/>
  </r>
  <r>
    <n v="686"/>
    <n v="617059"/>
    <x v="12"/>
    <x v="13"/>
    <s v="User-friendly design and smooth performance throughout."/>
    <x v="11"/>
    <x v="30"/>
    <x v="685"/>
    <x v="0"/>
    <x v="3"/>
    <n v="76"/>
    <x v="23"/>
    <x v="1"/>
    <x v="4"/>
    <s v="10.9.53"/>
    <s v="Average"/>
  </r>
  <r>
    <n v="687"/>
    <n v="9050103"/>
    <x v="27"/>
    <x v="12"/>
    <s v="Great app but too many ads, consider premium version."/>
    <x v="10"/>
    <x v="16"/>
    <x v="686"/>
    <x v="0"/>
    <x v="2"/>
    <n v="566"/>
    <x v="17"/>
    <x v="3"/>
    <x v="3"/>
    <s v="v15.6.3"/>
    <s v="Excellent"/>
  </r>
  <r>
    <n v="688"/>
    <n v="6659766"/>
    <x v="7"/>
    <x v="4"/>
    <s v="Zobaczyć przestać złoto lata narodowość trudność prędkość."/>
    <x v="17"/>
    <x v="25"/>
    <x v="687"/>
    <x v="0"/>
    <x v="3"/>
    <n v="466"/>
    <x v="24"/>
    <x v="18"/>
    <x v="1"/>
    <s v="12.6"/>
    <s v="Poor"/>
  </r>
  <r>
    <n v="689"/>
    <n v="9412525"/>
    <x v="21"/>
    <x v="17"/>
    <s v="Commodi a nisi modi."/>
    <x v="12"/>
    <x v="28"/>
    <x v="688"/>
    <x v="0"/>
    <x v="4"/>
    <n v="388"/>
    <x v="54"/>
    <x v="18"/>
    <x v="4"/>
    <s v="5.7.44-beta"/>
    <s v="Poor"/>
  </r>
  <r>
    <n v="690"/>
    <n v="3624102"/>
    <x v="40"/>
    <x v="17"/>
    <s v="Crier tantôt seuil chaque connaissance oublier. Corde confiance réunir seul seuil. Impossible mentir écarter auquel bleu promener journée."/>
    <x v="17"/>
    <x v="18"/>
    <x v="689"/>
    <x v="0"/>
    <x v="0"/>
    <n v="272"/>
    <x v="30"/>
    <x v="1"/>
    <x v="1"/>
    <s v="2.1.91-beta"/>
    <s v="Average"/>
  </r>
  <r>
    <n v="691"/>
    <n v="2251093"/>
    <x v="23"/>
    <x v="4"/>
    <s v="Latest update broke some features, please fix soon."/>
    <x v="23"/>
    <x v="34"/>
    <x v="690"/>
    <x v="1"/>
    <x v="2"/>
    <n v="502"/>
    <x v="42"/>
    <x v="14"/>
    <x v="2"/>
    <s v="4.7.5.4029"/>
    <s v="Average"/>
  </r>
  <r>
    <n v="692"/>
    <n v="4034808"/>
    <x v="29"/>
    <x v="10"/>
    <s v="Fünf Beispiel Eltern laufen. Nächste gehen Nase Mutter Hase gern."/>
    <x v="12"/>
    <x v="38"/>
    <x v="691"/>
    <x v="0"/>
    <x v="3"/>
    <n v="818"/>
    <x v="19"/>
    <x v="4"/>
    <x v="2"/>
    <s v="14.7.53.9115"/>
    <s v="Good"/>
  </r>
  <r>
    <n v="693"/>
    <n v="181065"/>
    <x v="39"/>
    <x v="13"/>
    <s v="Crashes too often, needs improvement in stability."/>
    <x v="17"/>
    <x v="38"/>
    <x v="692"/>
    <x v="0"/>
    <x v="2"/>
    <n v="1102"/>
    <x v="54"/>
    <x v="23"/>
    <x v="1"/>
    <s v="v15.3.40"/>
    <s v="Good"/>
  </r>
  <r>
    <n v="694"/>
    <n v="3816584"/>
    <x v="28"/>
    <x v="1"/>
    <s v="Excellent customer support and regular feature updates."/>
    <x v="2"/>
    <x v="24"/>
    <x v="693"/>
    <x v="1"/>
    <x v="0"/>
    <n v="1018"/>
    <x v="54"/>
    <x v="15"/>
    <x v="1"/>
    <s v="12.5"/>
    <s v="Poor"/>
  </r>
  <r>
    <n v="695"/>
    <n v="7416947"/>
    <x v="16"/>
    <x v="10"/>
    <s v="语言公司可是国内非常. 一次单位文章工程技术图片. 完成需要可是简介."/>
    <x v="1"/>
    <x v="21"/>
    <x v="694"/>
    <x v="0"/>
    <x v="4"/>
    <n v="1224"/>
    <x v="31"/>
    <x v="15"/>
    <x v="0"/>
    <s v="14.2.8"/>
    <s v="Excellent"/>
  </r>
  <r>
    <n v="696"/>
    <n v="412564"/>
    <x v="5"/>
    <x v="1"/>
    <s v="Occaecati repellat neque quisquam distinctio alias ea. Iusto quod facilis dolore quo quasi enim."/>
    <x v="23"/>
    <x v="16"/>
    <x v="695"/>
    <x v="0"/>
    <x v="4"/>
    <n v="733"/>
    <x v="54"/>
    <x v="12"/>
    <x v="1"/>
    <s v="10.8.52.2364"/>
    <s v="Excellent"/>
  </r>
  <r>
    <n v="697"/>
    <n v="8663292"/>
    <x v="28"/>
    <x v="7"/>
    <s v="The interface could be better but overall good experience."/>
    <x v="20"/>
    <x v="30"/>
    <x v="696"/>
    <x v="0"/>
    <x v="0"/>
    <n v="834"/>
    <x v="16"/>
    <x v="8"/>
    <x v="2"/>
    <s v="14.2.3"/>
    <s v="Average"/>
  </r>
  <r>
    <n v="698"/>
    <n v="6204651"/>
    <x v="17"/>
    <x v="10"/>
    <s v="The interface could be better but overall good experience."/>
    <x v="17"/>
    <x v="24"/>
    <x v="697"/>
    <x v="0"/>
    <x v="4"/>
    <n v="1072"/>
    <x v="11"/>
    <x v="19"/>
    <x v="4"/>
    <s v="Unknown"/>
    <s v="Poor"/>
  </r>
  <r>
    <n v="699"/>
    <n v="4107754"/>
    <x v="6"/>
    <x v="6"/>
    <s v="Placeat quidem consequuntur culpa necessitatibus natus sit corporis. Vel aliquam quis doloremque eaque doloremque pariatur. Tenetur facere iusto iste aliquid voluptatem eum."/>
    <x v="10"/>
    <x v="38"/>
    <x v="698"/>
    <x v="0"/>
    <x v="2"/>
    <n v="386"/>
    <x v="19"/>
    <x v="21"/>
    <x v="2"/>
    <s v="1.5.49"/>
    <s v="Good"/>
  </r>
  <r>
    <n v="700"/>
    <n v="4688489"/>
    <x v="28"/>
    <x v="13"/>
    <s v="User-friendly design and smooth performance throughout."/>
    <x v="23"/>
    <x v="26"/>
    <x v="699"/>
    <x v="1"/>
    <x v="3"/>
    <n v="246"/>
    <x v="44"/>
    <x v="18"/>
    <x v="3"/>
    <s v="10.2.56.2909"/>
    <s v="Average"/>
  </r>
  <r>
    <n v="701"/>
    <n v="4517710"/>
    <x v="18"/>
    <x v="5"/>
    <s v="Molestias cupiditate officiis facilis officiis saepe maxime fugiat. Maiores explicabo sint laborum laboriosam. Ab sunt ipsam dolorem maiores eligendi corrupti culpa."/>
    <x v="0"/>
    <x v="0"/>
    <x v="700"/>
    <x v="1"/>
    <x v="2"/>
    <n v="748"/>
    <x v="36"/>
    <x v="2"/>
    <x v="2"/>
    <s v="10.5.58-beta"/>
    <s v="Very Poor"/>
  </r>
  <r>
    <n v="702"/>
    <n v="2085251"/>
    <x v="8"/>
    <x v="0"/>
    <s v="Some bugs need fixing but generally satisfied with it."/>
    <x v="6"/>
    <x v="36"/>
    <x v="701"/>
    <x v="0"/>
    <x v="3"/>
    <n v="411"/>
    <x v="55"/>
    <x v="11"/>
    <x v="0"/>
    <s v="14.8.11.5252"/>
    <s v="Poor"/>
  </r>
  <r>
    <n v="703"/>
    <n v="7056063"/>
    <x v="23"/>
    <x v="10"/>
    <s v="Works perfectly on my device, no complaints at all."/>
    <x v="19"/>
    <x v="34"/>
    <x v="702"/>
    <x v="0"/>
    <x v="1"/>
    <n v="112"/>
    <x v="27"/>
    <x v="3"/>
    <x v="0"/>
    <s v="1.7.13.5268"/>
    <s v="Average"/>
  </r>
  <r>
    <n v="704"/>
    <n v="2001507"/>
    <x v="37"/>
    <x v="11"/>
    <s v="Some bugs need fixing but generally satisfied with it."/>
    <x v="2"/>
    <x v="31"/>
    <x v="703"/>
    <x v="1"/>
    <x v="0"/>
    <n v="1041"/>
    <x v="27"/>
    <x v="9"/>
    <x v="4"/>
    <s v="9.0.6-beta"/>
    <s v="Good"/>
  </r>
  <r>
    <n v="705"/>
    <n v="8133176"/>
    <x v="30"/>
    <x v="4"/>
    <s v="This app is amazing! Really love the new features."/>
    <x v="2"/>
    <x v="12"/>
    <x v="704"/>
    <x v="0"/>
    <x v="2"/>
    <n v="238"/>
    <x v="53"/>
    <x v="18"/>
    <x v="1"/>
    <s v="2.3.63.3388"/>
    <s v="Excellent"/>
  </r>
  <r>
    <n v="706"/>
    <n v="2805263"/>
    <x v="21"/>
    <x v="1"/>
    <s v="Excellent customer support and regular feature updates."/>
    <x v="15"/>
    <x v="35"/>
    <x v="705"/>
    <x v="0"/>
    <x v="0"/>
    <n v="1168"/>
    <x v="13"/>
    <x v="6"/>
    <x v="3"/>
    <s v="6.6"/>
    <s v="Poor"/>
  </r>
  <r>
    <n v="707"/>
    <n v="476582"/>
    <x v="1"/>
    <x v="16"/>
    <s v="Works perfectly on my device, no complaints at all."/>
    <x v="2"/>
    <x v="3"/>
    <x v="706"/>
    <x v="0"/>
    <x v="0"/>
    <n v="263"/>
    <x v="7"/>
    <x v="8"/>
    <x v="0"/>
    <s v="v7.4.24"/>
    <s v="Average"/>
  </r>
  <r>
    <n v="708"/>
    <n v="2245556"/>
    <x v="10"/>
    <x v="4"/>
    <s v="Latest update broke some features, please fix soon."/>
    <x v="21"/>
    <x v="35"/>
    <x v="707"/>
    <x v="0"/>
    <x v="4"/>
    <n v="808"/>
    <x v="58"/>
    <x v="20"/>
    <x v="1"/>
    <s v="v3.4.87"/>
    <s v="Poor"/>
  </r>
  <r>
    <n v="709"/>
    <n v="2803298"/>
    <x v="27"/>
    <x v="0"/>
    <s v="Occaecati aliquam nemo animi."/>
    <x v="7"/>
    <x v="10"/>
    <x v="708"/>
    <x v="0"/>
    <x v="1"/>
    <n v="897"/>
    <x v="38"/>
    <x v="23"/>
    <x v="2"/>
    <s v="4.0.49"/>
    <s v="Poor"/>
  </r>
  <r>
    <n v="710"/>
    <n v="8767792"/>
    <x v="24"/>
    <x v="4"/>
    <s v="组织起来没有商品重要经济."/>
    <x v="10"/>
    <x v="24"/>
    <x v="709"/>
    <x v="0"/>
    <x v="4"/>
    <n v="801"/>
    <x v="16"/>
    <x v="23"/>
    <x v="3"/>
    <s v="v1.9.1"/>
    <s v="Poor"/>
  </r>
  <r>
    <n v="711"/>
    <n v="7636381"/>
    <x v="26"/>
    <x v="9"/>
    <s v="Crashes too often, needs improvement in stability."/>
    <x v="0"/>
    <x v="16"/>
    <x v="710"/>
    <x v="0"/>
    <x v="4"/>
    <n v="228"/>
    <x v="9"/>
    <x v="0"/>
    <x v="2"/>
    <s v="v2.3.77"/>
    <s v="Excellent"/>
  </r>
  <r>
    <n v="712"/>
    <n v="8181054"/>
    <x v="15"/>
    <x v="5"/>
    <s v="Excellent customer support and regular feature updates."/>
    <x v="2"/>
    <x v="31"/>
    <x v="711"/>
    <x v="0"/>
    <x v="3"/>
    <n v="245"/>
    <x v="2"/>
    <x v="2"/>
    <x v="1"/>
    <s v="15.1.87"/>
    <s v="Good"/>
  </r>
  <r>
    <n v="713"/>
    <n v="6991524"/>
    <x v="21"/>
    <x v="12"/>
    <s v="Excellent customer support and regular feature updates."/>
    <x v="1"/>
    <x v="25"/>
    <x v="712"/>
    <x v="0"/>
    <x v="0"/>
    <n v="981"/>
    <x v="30"/>
    <x v="23"/>
    <x v="2"/>
    <s v="11.9"/>
    <s v="Poor"/>
  </r>
  <r>
    <n v="714"/>
    <n v="9875180"/>
    <x v="21"/>
    <x v="15"/>
    <s v="Papier long commander pont."/>
    <x v="11"/>
    <x v="36"/>
    <x v="713"/>
    <x v="0"/>
    <x v="3"/>
    <n v="464"/>
    <x v="51"/>
    <x v="23"/>
    <x v="3"/>
    <s v="15.2.47-beta"/>
    <s v="Poor"/>
  </r>
  <r>
    <n v="715"/>
    <n v="1254992"/>
    <x v="21"/>
    <x v="9"/>
    <s v="Heraus davon also Luft weiter."/>
    <x v="13"/>
    <x v="37"/>
    <x v="714"/>
    <x v="0"/>
    <x v="3"/>
    <n v="398"/>
    <x v="23"/>
    <x v="7"/>
    <x v="4"/>
    <s v="6.5"/>
    <s v="Average"/>
  </r>
  <r>
    <n v="716"/>
    <n v="2609220"/>
    <x v="25"/>
    <x v="17"/>
    <s v="Latest update broke some features, please fix soon."/>
    <x v="5"/>
    <x v="36"/>
    <x v="715"/>
    <x v="0"/>
    <x v="2"/>
    <n v="444"/>
    <x v="26"/>
    <x v="5"/>
    <x v="0"/>
    <s v="7.2.60.1781"/>
    <s v="Poor"/>
  </r>
  <r>
    <n v="717"/>
    <n v="3076650"/>
    <x v="24"/>
    <x v="2"/>
    <s v="Excellent customer support and regular feature updates."/>
    <x v="13"/>
    <x v="1"/>
    <x v="716"/>
    <x v="1"/>
    <x v="1"/>
    <n v="959"/>
    <x v="18"/>
    <x v="7"/>
    <x v="0"/>
    <s v="10.2"/>
    <s v="Very Poor"/>
  </r>
  <r>
    <n v="718"/>
    <n v="754924"/>
    <x v="0"/>
    <x v="11"/>
    <s v="This app is amazing! Really love the new features."/>
    <x v="17"/>
    <x v="38"/>
    <x v="717"/>
    <x v="0"/>
    <x v="1"/>
    <n v="730"/>
    <x v="57"/>
    <x v="7"/>
    <x v="0"/>
    <s v="11.1.8"/>
    <s v="Good"/>
  </r>
  <r>
    <n v="719"/>
    <n v="8544462"/>
    <x v="22"/>
    <x v="10"/>
    <s v="Bête petit tâche matière."/>
    <x v="12"/>
    <x v="10"/>
    <x v="718"/>
    <x v="1"/>
    <x v="3"/>
    <n v="839"/>
    <x v="12"/>
    <x v="5"/>
    <x v="4"/>
    <s v="6.2.37"/>
    <s v="Poor"/>
  </r>
  <r>
    <n v="720"/>
    <n v="7339315"/>
    <x v="2"/>
    <x v="5"/>
    <s v="管理するトーストノート編組ないホイール風景。 コーナー倫理品質デッドスキーム索引。"/>
    <x v="18"/>
    <x v="32"/>
    <x v="719"/>
    <x v="1"/>
    <x v="4"/>
    <n v="1200"/>
    <x v="61"/>
    <x v="22"/>
    <x v="2"/>
    <s v="15.7"/>
    <s v="Very Poor"/>
  </r>
  <r>
    <n v="721"/>
    <n v="4000918"/>
    <x v="4"/>
    <x v="13"/>
    <s v="Excellent customer support and regular feature updates."/>
    <x v="19"/>
    <x v="13"/>
    <x v="720"/>
    <x v="0"/>
    <x v="2"/>
    <n v="227"/>
    <x v="53"/>
    <x v="16"/>
    <x v="0"/>
    <s v="15.5.10"/>
    <s v="Average"/>
  </r>
  <r>
    <n v="722"/>
    <n v="4852426"/>
    <x v="28"/>
    <x v="10"/>
    <s v="Latest update broke some features, please fix soon."/>
    <x v="13"/>
    <x v="18"/>
    <x v="721"/>
    <x v="0"/>
    <x v="3"/>
    <n v="48"/>
    <x v="31"/>
    <x v="11"/>
    <x v="0"/>
    <s v="1.9"/>
    <s v="Average"/>
  </r>
  <r>
    <n v="723"/>
    <n v="6955954"/>
    <x v="15"/>
    <x v="15"/>
    <s v="Crashes too often, needs improvement in stability."/>
    <x v="5"/>
    <x v="40"/>
    <x v="722"/>
    <x v="0"/>
    <x v="3"/>
    <n v="39"/>
    <x v="52"/>
    <x v="1"/>
    <x v="0"/>
    <s v="v12.7.84"/>
    <s v="Very Poor"/>
  </r>
  <r>
    <n v="724"/>
    <n v="191762"/>
    <x v="5"/>
    <x v="13"/>
    <s v="Great app but too many ads, consider premium version."/>
    <x v="4"/>
    <x v="35"/>
    <x v="723"/>
    <x v="1"/>
    <x v="2"/>
    <n v="1001"/>
    <x v="55"/>
    <x v="24"/>
    <x v="1"/>
    <s v="v13.8.54"/>
    <s v="Poor"/>
  </r>
  <r>
    <n v="725"/>
    <n v="219354"/>
    <x v="35"/>
    <x v="0"/>
    <s v="Great app but too many ads, consider premium version."/>
    <x v="9"/>
    <x v="1"/>
    <x v="724"/>
    <x v="0"/>
    <x v="2"/>
    <n v="178"/>
    <x v="6"/>
    <x v="0"/>
    <x v="1"/>
    <s v="1.2"/>
    <s v="Very Poor"/>
  </r>
  <r>
    <n v="726"/>
    <n v="2076835"/>
    <x v="8"/>
    <x v="9"/>
    <s v="No Review"/>
    <x v="13"/>
    <x v="12"/>
    <x v="725"/>
    <x v="0"/>
    <x v="4"/>
    <n v="380"/>
    <x v="1"/>
    <x v="8"/>
    <x v="1"/>
    <s v="11.5.85.1734"/>
    <s v="Excellent"/>
  </r>
  <r>
    <n v="727"/>
    <n v="6391957"/>
    <x v="37"/>
    <x v="14"/>
    <s v="保持する呼ぶオークション拡張クール。 プラスチック月狭い尿じぶんの。"/>
    <x v="4"/>
    <x v="13"/>
    <x v="726"/>
    <x v="1"/>
    <x v="4"/>
    <n v="906"/>
    <x v="22"/>
    <x v="13"/>
    <x v="1"/>
    <s v="4.7.25.8116"/>
    <s v="Average"/>
  </r>
  <r>
    <n v="728"/>
    <n v="3517412"/>
    <x v="18"/>
    <x v="0"/>
    <s v="Milch mit dürfen Monat lassen zusammen."/>
    <x v="20"/>
    <x v="26"/>
    <x v="727"/>
    <x v="0"/>
    <x v="3"/>
    <n v="607"/>
    <x v="41"/>
    <x v="15"/>
    <x v="4"/>
    <s v="v12.1.24"/>
    <s v="Average"/>
  </r>
  <r>
    <n v="729"/>
    <n v="6779508"/>
    <x v="38"/>
    <x v="15"/>
    <s v="No Review"/>
    <x v="5"/>
    <x v="6"/>
    <x v="728"/>
    <x v="0"/>
    <x v="0"/>
    <n v="163"/>
    <x v="9"/>
    <x v="8"/>
    <x v="2"/>
    <s v="5.2.8"/>
    <s v="Good"/>
  </r>
  <r>
    <n v="730"/>
    <n v="2097927"/>
    <x v="39"/>
    <x v="3"/>
    <s v="User-friendly design and smooth performance throughout."/>
    <x v="10"/>
    <x v="34"/>
    <x v="729"/>
    <x v="0"/>
    <x v="0"/>
    <n v="641"/>
    <x v="50"/>
    <x v="7"/>
    <x v="0"/>
    <s v="10.4.93-beta"/>
    <s v="Average"/>
  </r>
  <r>
    <n v="731"/>
    <n v="7592618"/>
    <x v="37"/>
    <x v="2"/>
    <s v="Aut magni ratione reiciendis. Possimus provident cum vitae a at corporis unde."/>
    <x v="23"/>
    <x v="34"/>
    <x v="730"/>
    <x v="0"/>
    <x v="1"/>
    <n v="781"/>
    <x v="6"/>
    <x v="6"/>
    <x v="0"/>
    <s v="8.7"/>
    <s v="Average"/>
  </r>
  <r>
    <n v="732"/>
    <n v="1175091"/>
    <x v="8"/>
    <x v="7"/>
    <s v="Great app but too many ads, consider premium version."/>
    <x v="13"/>
    <x v="23"/>
    <x v="731"/>
    <x v="0"/>
    <x v="0"/>
    <n v="324"/>
    <x v="52"/>
    <x v="5"/>
    <x v="3"/>
    <s v="4.1.2-beta"/>
    <s v="Very Poor"/>
  </r>
  <r>
    <n v="733"/>
    <n v="6321581"/>
    <x v="34"/>
    <x v="10"/>
    <s v="Parecchio qualità togliere gruppo. Effetto vario articolo risposta comune mano accorgersi."/>
    <x v="5"/>
    <x v="34"/>
    <x v="732"/>
    <x v="1"/>
    <x v="2"/>
    <n v="1062"/>
    <x v="23"/>
    <x v="17"/>
    <x v="0"/>
    <s v="11.0.45"/>
    <s v="Average"/>
  </r>
  <r>
    <n v="734"/>
    <n v="8793169"/>
    <x v="29"/>
    <x v="16"/>
    <s v="No Review"/>
    <x v="8"/>
    <x v="14"/>
    <x v="733"/>
    <x v="0"/>
    <x v="1"/>
    <n v="1157"/>
    <x v="5"/>
    <x v="17"/>
    <x v="1"/>
    <s v="10.1.76.2121"/>
    <s v="Excellent"/>
  </r>
  <r>
    <n v="735"/>
    <n v="663871"/>
    <x v="37"/>
    <x v="10"/>
    <s v="Meritare prodotto particolare potenza fretta più vi azzurro."/>
    <x v="14"/>
    <x v="16"/>
    <x v="734"/>
    <x v="1"/>
    <x v="3"/>
    <n v="468"/>
    <x v="13"/>
    <x v="4"/>
    <x v="4"/>
    <s v="13.4.71.5583"/>
    <s v="Excellent"/>
  </r>
  <r>
    <n v="736"/>
    <n v="6801385"/>
    <x v="35"/>
    <x v="0"/>
    <s v="User-friendly design and smooth performance throughout."/>
    <x v="5"/>
    <x v="9"/>
    <x v="735"/>
    <x v="1"/>
    <x v="1"/>
    <n v="137"/>
    <x v="17"/>
    <x v="1"/>
    <x v="0"/>
    <s v="7.2.79"/>
    <s v="Excellent"/>
  </r>
  <r>
    <n v="737"/>
    <n v="6729401"/>
    <x v="12"/>
    <x v="1"/>
    <s v="Crashes too often, needs improvement in stability."/>
    <x v="1"/>
    <x v="21"/>
    <x v="736"/>
    <x v="0"/>
    <x v="0"/>
    <n v="643"/>
    <x v="41"/>
    <x v="5"/>
    <x v="0"/>
    <s v="11.0.41.5836"/>
    <s v="Excellent"/>
  </r>
  <r>
    <n v="738"/>
    <n v="3460650"/>
    <x v="14"/>
    <x v="17"/>
    <s v="This app is amazing! Really love the new features."/>
    <x v="19"/>
    <x v="35"/>
    <x v="737"/>
    <x v="0"/>
    <x v="2"/>
    <n v="606"/>
    <x v="0"/>
    <x v="19"/>
    <x v="2"/>
    <s v="9.8.36-beta"/>
    <s v="Poor"/>
  </r>
  <r>
    <n v="739"/>
    <n v="1251205"/>
    <x v="7"/>
    <x v="7"/>
    <s v="分割職人通行料金ブレーキ。 私保証金戦略的ボトル持っていました埋め込む。"/>
    <x v="13"/>
    <x v="3"/>
    <x v="738"/>
    <x v="0"/>
    <x v="0"/>
    <n v="583"/>
    <x v="12"/>
    <x v="4"/>
    <x v="0"/>
    <s v="10.7.97"/>
    <s v="Average"/>
  </r>
  <r>
    <n v="740"/>
    <n v="6930585"/>
    <x v="36"/>
    <x v="4"/>
    <s v="Works perfectly on my device, no complaints at all."/>
    <x v="12"/>
    <x v="28"/>
    <x v="739"/>
    <x v="0"/>
    <x v="4"/>
    <n v="579"/>
    <x v="24"/>
    <x v="4"/>
    <x v="4"/>
    <s v="14.6.70-beta"/>
    <s v="Poor"/>
  </r>
  <r>
    <n v="741"/>
    <n v="9472268"/>
    <x v="40"/>
    <x v="5"/>
    <s v="Great app but too many ads, consider premium version."/>
    <x v="10"/>
    <x v="25"/>
    <x v="740"/>
    <x v="0"/>
    <x v="0"/>
    <n v="703"/>
    <x v="62"/>
    <x v="0"/>
    <x v="2"/>
    <s v="3.1"/>
    <s v="Poor"/>
  </r>
  <r>
    <n v="742"/>
    <n v="5036726"/>
    <x v="7"/>
    <x v="3"/>
    <s v="Morze Śródziemne usuwać zamiar włosy biskup akt. Skala Polak suma relacja rozpocząć pomiędzy."/>
    <x v="7"/>
    <x v="35"/>
    <x v="741"/>
    <x v="0"/>
    <x v="3"/>
    <n v="49"/>
    <x v="10"/>
    <x v="6"/>
    <x v="0"/>
    <s v="14.3.57"/>
    <s v="Poor"/>
  </r>
  <r>
    <n v="743"/>
    <n v="558868"/>
    <x v="33"/>
    <x v="14"/>
    <s v="Latest update broke some features, please fix soon."/>
    <x v="18"/>
    <x v="23"/>
    <x v="742"/>
    <x v="0"/>
    <x v="0"/>
    <n v="1126"/>
    <x v="39"/>
    <x v="3"/>
    <x v="4"/>
    <s v="6.5.49"/>
    <s v="Very Poor"/>
  </r>
  <r>
    <n v="744"/>
    <n v="4425497"/>
    <x v="8"/>
    <x v="13"/>
    <s v="Excellent customer support and regular feature updates."/>
    <x v="19"/>
    <x v="15"/>
    <x v="743"/>
    <x v="0"/>
    <x v="1"/>
    <n v="1046"/>
    <x v="16"/>
    <x v="9"/>
    <x v="0"/>
    <s v="9.2"/>
    <s v="Poor"/>
  </r>
  <r>
    <n v="745"/>
    <n v="3797401"/>
    <x v="20"/>
    <x v="9"/>
    <s v="The interface could be better but overall good experience."/>
    <x v="2"/>
    <x v="33"/>
    <x v="744"/>
    <x v="1"/>
    <x v="4"/>
    <n v="421"/>
    <x v="57"/>
    <x v="4"/>
    <x v="3"/>
    <s v="1.7.77-beta"/>
    <s v="Poor"/>
  </r>
  <r>
    <n v="746"/>
    <n v="3957587"/>
    <x v="14"/>
    <x v="1"/>
    <s v="Perfect for daily use, highly recommend to everyone."/>
    <x v="12"/>
    <x v="38"/>
    <x v="745"/>
    <x v="0"/>
    <x v="2"/>
    <n v="1023"/>
    <x v="23"/>
    <x v="7"/>
    <x v="2"/>
    <s v="10.4.27"/>
    <s v="Good"/>
  </r>
  <r>
    <n v="747"/>
    <n v="7019359"/>
    <x v="9"/>
    <x v="8"/>
    <s v="This app is amazing! Really love the new features."/>
    <x v="23"/>
    <x v="26"/>
    <x v="746"/>
    <x v="0"/>
    <x v="4"/>
    <n v="561"/>
    <x v="53"/>
    <x v="19"/>
    <x v="3"/>
    <s v="10.4.85"/>
    <s v="Average"/>
  </r>
  <r>
    <n v="748"/>
    <n v="9086747"/>
    <x v="18"/>
    <x v="16"/>
    <s v="Latest update broke some features, please fix soon."/>
    <x v="2"/>
    <x v="9"/>
    <x v="747"/>
    <x v="1"/>
    <x v="1"/>
    <n v="290"/>
    <x v="11"/>
    <x v="10"/>
    <x v="0"/>
    <s v="12.5.9-beta"/>
    <s v="Excellent"/>
  </r>
  <r>
    <n v="749"/>
    <n v="4518274"/>
    <x v="9"/>
    <x v="7"/>
    <s v="Enim id quibusdam exercitationem mollitia. Labore explicabo tempora eaque. Libero dicta quasi sit dignissimos."/>
    <x v="0"/>
    <x v="15"/>
    <x v="748"/>
    <x v="0"/>
    <x v="4"/>
    <n v="1153"/>
    <x v="47"/>
    <x v="0"/>
    <x v="0"/>
    <s v="1.1.11-beta"/>
    <s v="Poor"/>
  </r>
  <r>
    <n v="750"/>
    <n v="6073148"/>
    <x v="13"/>
    <x v="16"/>
    <s v="继续所有系统孩子. 或者类别一般论坛地方东西应该. 网上怎么空间一点美国地址女人."/>
    <x v="19"/>
    <x v="37"/>
    <x v="749"/>
    <x v="0"/>
    <x v="2"/>
    <n v="547"/>
    <x v="0"/>
    <x v="16"/>
    <x v="3"/>
    <s v="3.0.73"/>
    <s v="Average"/>
  </r>
  <r>
    <n v="751"/>
    <n v="7199712"/>
    <x v="15"/>
    <x v="16"/>
    <s v="Excellent customer support and regular feature updates."/>
    <x v="10"/>
    <x v="24"/>
    <x v="750"/>
    <x v="0"/>
    <x v="0"/>
    <n v="1115"/>
    <x v="12"/>
    <x v="22"/>
    <x v="3"/>
    <s v="v9.7.29"/>
    <s v="Poor"/>
  </r>
  <r>
    <n v="752"/>
    <n v="646310"/>
    <x v="8"/>
    <x v="2"/>
    <s v="Expedita similique quod itaque blanditiis maxime et. Accusamus distinctio neque."/>
    <x v="15"/>
    <x v="4"/>
    <x v="751"/>
    <x v="0"/>
    <x v="1"/>
    <n v="884"/>
    <x v="1"/>
    <x v="21"/>
    <x v="3"/>
    <s v="6.7"/>
    <s v="Average"/>
  </r>
  <r>
    <n v="753"/>
    <n v="4457055"/>
    <x v="34"/>
    <x v="11"/>
    <s v="Crashes too often, needs improvement in stability."/>
    <x v="21"/>
    <x v="1"/>
    <x v="752"/>
    <x v="0"/>
    <x v="2"/>
    <n v="811"/>
    <x v="1"/>
    <x v="15"/>
    <x v="1"/>
    <s v="6.8.80.2377"/>
    <s v="Very Poor"/>
  </r>
  <r>
    <n v="754"/>
    <n v="4509875"/>
    <x v="7"/>
    <x v="7"/>
    <s v="Great app but too many ads, consider premium version."/>
    <x v="0"/>
    <x v="12"/>
    <x v="753"/>
    <x v="0"/>
    <x v="3"/>
    <n v="804"/>
    <x v="35"/>
    <x v="4"/>
    <x v="3"/>
    <s v="12.3.87-beta"/>
    <s v="Excellent"/>
  </r>
  <r>
    <n v="755"/>
    <n v="8007862"/>
    <x v="36"/>
    <x v="17"/>
    <s v="The interface could be better but overall good experience."/>
    <x v="8"/>
    <x v="21"/>
    <x v="754"/>
    <x v="0"/>
    <x v="2"/>
    <n v="831"/>
    <x v="52"/>
    <x v="20"/>
    <x v="4"/>
    <s v="12.0.64-beta"/>
    <s v="Excellent"/>
  </r>
  <r>
    <n v="756"/>
    <n v="6239188"/>
    <x v="24"/>
    <x v="7"/>
    <s v="Libero distinctio praesentium fuga. Eius debitis consectetur nemo dolorem aut."/>
    <x v="15"/>
    <x v="36"/>
    <x v="755"/>
    <x v="0"/>
    <x v="3"/>
    <n v="614"/>
    <x v="26"/>
    <x v="1"/>
    <x v="3"/>
    <s v="14.1.8-beta"/>
    <s v="Poor"/>
  </r>
  <r>
    <n v="757"/>
    <n v="9417059"/>
    <x v="15"/>
    <x v="10"/>
    <s v="User-friendly design and smooth performance throughout."/>
    <x v="20"/>
    <x v="6"/>
    <x v="756"/>
    <x v="0"/>
    <x v="4"/>
    <n v="865"/>
    <x v="61"/>
    <x v="4"/>
    <x v="4"/>
    <s v="1.7.40"/>
    <s v="Good"/>
  </r>
  <r>
    <n v="758"/>
    <n v="3389394"/>
    <x v="11"/>
    <x v="3"/>
    <s v="The interface could be better but overall good experience."/>
    <x v="11"/>
    <x v="33"/>
    <x v="757"/>
    <x v="1"/>
    <x v="1"/>
    <n v="494"/>
    <x v="41"/>
    <x v="17"/>
    <x v="1"/>
    <s v="8.4.69"/>
    <s v="Poor"/>
  </r>
  <r>
    <n v="759"/>
    <n v="2609000"/>
    <x v="27"/>
    <x v="6"/>
    <s v="Some bugs need fixing but generally satisfied with it."/>
    <x v="12"/>
    <x v="19"/>
    <x v="758"/>
    <x v="0"/>
    <x v="3"/>
    <n v="794"/>
    <x v="44"/>
    <x v="5"/>
    <x v="1"/>
    <s v="11.2.75.463"/>
    <s v="Poor"/>
  </r>
  <r>
    <n v="760"/>
    <n v="3062978"/>
    <x v="34"/>
    <x v="11"/>
    <s v="The interface could be better but overall good experience."/>
    <x v="13"/>
    <x v="19"/>
    <x v="759"/>
    <x v="0"/>
    <x v="2"/>
    <n v="11"/>
    <x v="16"/>
    <x v="7"/>
    <x v="0"/>
    <s v="5.9.42"/>
    <s v="Poor"/>
  </r>
  <r>
    <n v="761"/>
    <n v="2356060"/>
    <x v="11"/>
    <x v="1"/>
    <s v="Crashes too often, needs improvement in stability."/>
    <x v="4"/>
    <x v="16"/>
    <x v="760"/>
    <x v="1"/>
    <x v="3"/>
    <n v="1152"/>
    <x v="0"/>
    <x v="10"/>
    <x v="2"/>
    <s v="12.7.89"/>
    <s v="Excellent"/>
  </r>
  <r>
    <n v="762"/>
    <n v="8773937"/>
    <x v="0"/>
    <x v="8"/>
    <s v="Works perfectly on my device, no complaints at all."/>
    <x v="9"/>
    <x v="0"/>
    <x v="761"/>
    <x v="1"/>
    <x v="1"/>
    <n v="732"/>
    <x v="47"/>
    <x v="1"/>
    <x v="4"/>
    <s v="v2.6.60"/>
    <s v="Very Poor"/>
  </r>
  <r>
    <n v="763"/>
    <n v="5397024"/>
    <x v="4"/>
    <x v="7"/>
    <s v="User-friendly design and smooth performance throughout."/>
    <x v="9"/>
    <x v="16"/>
    <x v="762"/>
    <x v="0"/>
    <x v="2"/>
    <n v="1192"/>
    <x v="60"/>
    <x v="12"/>
    <x v="4"/>
    <s v="v11.3.57"/>
    <s v="Excellent"/>
  </r>
  <r>
    <n v="764"/>
    <n v="5133738"/>
    <x v="39"/>
    <x v="11"/>
    <s v="This app is amazing! Really love the new features."/>
    <x v="19"/>
    <x v="14"/>
    <x v="763"/>
    <x v="0"/>
    <x v="2"/>
    <n v="654"/>
    <x v="30"/>
    <x v="2"/>
    <x v="2"/>
    <s v="v9.0.14"/>
    <s v="Excellent"/>
  </r>
  <r>
    <n v="765"/>
    <n v="9626682"/>
    <x v="21"/>
    <x v="8"/>
    <s v="Fort posséder attaquer."/>
    <x v="18"/>
    <x v="18"/>
    <x v="764"/>
    <x v="0"/>
    <x v="4"/>
    <n v="1159"/>
    <x v="12"/>
    <x v="2"/>
    <x v="2"/>
    <s v="11.8"/>
    <s v="Average"/>
  </r>
  <r>
    <n v="766"/>
    <n v="8095004"/>
    <x v="32"/>
    <x v="11"/>
    <s v="Great app but too many ads, consider premium version."/>
    <x v="20"/>
    <x v="24"/>
    <x v="765"/>
    <x v="1"/>
    <x v="2"/>
    <n v="260"/>
    <x v="47"/>
    <x v="21"/>
    <x v="4"/>
    <s v="14.5.99"/>
    <s v="Poor"/>
  </r>
  <r>
    <n v="767"/>
    <n v="1715677"/>
    <x v="20"/>
    <x v="10"/>
    <s v="Some bugs need fixing but generally satisfied with it."/>
    <x v="9"/>
    <x v="3"/>
    <x v="766"/>
    <x v="1"/>
    <x v="2"/>
    <n v="81"/>
    <x v="49"/>
    <x v="24"/>
    <x v="2"/>
    <s v="13.1.55"/>
    <s v="Average"/>
  </r>
  <r>
    <n v="768"/>
    <n v="5714605"/>
    <x v="28"/>
    <x v="4"/>
    <s v="Excellent customer support and regular feature updates."/>
    <x v="8"/>
    <x v="4"/>
    <x v="767"/>
    <x v="0"/>
    <x v="3"/>
    <n v="1227"/>
    <x v="7"/>
    <x v="4"/>
    <x v="0"/>
    <s v="15.4.60-beta"/>
    <s v="Average"/>
  </r>
  <r>
    <n v="769"/>
    <n v="6144941"/>
    <x v="0"/>
    <x v="3"/>
    <s v="Great app but too many ads, consider premium version."/>
    <x v="17"/>
    <x v="9"/>
    <x v="768"/>
    <x v="0"/>
    <x v="3"/>
    <n v="391"/>
    <x v="34"/>
    <x v="18"/>
    <x v="0"/>
    <s v="5.4.34.4735"/>
    <s v="Excellent"/>
  </r>
  <r>
    <n v="770"/>
    <n v="4423737"/>
    <x v="18"/>
    <x v="5"/>
    <s v="Perfect for daily use, highly recommend to everyone."/>
    <x v="11"/>
    <x v="30"/>
    <x v="769"/>
    <x v="0"/>
    <x v="2"/>
    <n v="240"/>
    <x v="25"/>
    <x v="7"/>
    <x v="3"/>
    <s v="13.4.24.5923"/>
    <s v="Average"/>
  </r>
  <r>
    <n v="771"/>
    <n v="7008201"/>
    <x v="11"/>
    <x v="13"/>
    <s v="Great app but too many ads, consider premium version."/>
    <x v="14"/>
    <x v="34"/>
    <x v="770"/>
    <x v="0"/>
    <x v="4"/>
    <n v="517"/>
    <x v="56"/>
    <x v="1"/>
    <x v="4"/>
    <s v="4.6.61.4436"/>
    <s v="Average"/>
  </r>
  <r>
    <n v="772"/>
    <n v="3437963"/>
    <x v="13"/>
    <x v="8"/>
    <s v="This app is amazing! Really love the new features."/>
    <x v="16"/>
    <x v="26"/>
    <x v="771"/>
    <x v="0"/>
    <x v="0"/>
    <n v="1219"/>
    <x v="45"/>
    <x v="17"/>
    <x v="2"/>
    <s v="10.4.65-beta"/>
    <s v="Average"/>
  </r>
  <r>
    <n v="773"/>
    <n v="9133494"/>
    <x v="14"/>
    <x v="11"/>
    <s v="Crashes too often, needs improvement in stability."/>
    <x v="22"/>
    <x v="12"/>
    <x v="772"/>
    <x v="1"/>
    <x v="0"/>
    <n v="419"/>
    <x v="28"/>
    <x v="16"/>
    <x v="4"/>
    <s v="14.1.35.1761"/>
    <s v="Excellent"/>
  </r>
  <r>
    <n v="774"/>
    <n v="4874942"/>
    <x v="12"/>
    <x v="1"/>
    <s v="Eveniet magni quod ipsum aspernatur nostrum."/>
    <x v="14"/>
    <x v="23"/>
    <x v="773"/>
    <x v="1"/>
    <x v="3"/>
    <n v="648"/>
    <x v="62"/>
    <x v="2"/>
    <x v="0"/>
    <s v="v4.9.77"/>
    <s v="Very Poor"/>
  </r>
  <r>
    <n v="775"/>
    <n v="2530151"/>
    <x v="23"/>
    <x v="15"/>
    <s v="Papa wichtig in nun."/>
    <x v="11"/>
    <x v="17"/>
    <x v="774"/>
    <x v="0"/>
    <x v="2"/>
    <n v="451"/>
    <x v="21"/>
    <x v="12"/>
    <x v="1"/>
    <s v="13.7"/>
    <s v="Average"/>
  </r>
  <r>
    <n v="776"/>
    <n v="1427277"/>
    <x v="24"/>
    <x v="1"/>
    <s v="Works perfectly on my device, no complaints at all."/>
    <x v="5"/>
    <x v="6"/>
    <x v="775"/>
    <x v="0"/>
    <x v="4"/>
    <n v="1108"/>
    <x v="62"/>
    <x v="24"/>
    <x v="0"/>
    <s v="2.1.52-beta"/>
    <s v="Good"/>
  </r>
  <r>
    <n v="777"/>
    <n v="3928861"/>
    <x v="11"/>
    <x v="14"/>
    <s v="The interface could be better but overall good experience."/>
    <x v="5"/>
    <x v="31"/>
    <x v="776"/>
    <x v="0"/>
    <x v="0"/>
    <n v="344"/>
    <x v="59"/>
    <x v="1"/>
    <x v="0"/>
    <s v="10.6"/>
    <s v="Good"/>
  </r>
  <r>
    <n v="778"/>
    <n v="4988148"/>
    <x v="21"/>
    <x v="10"/>
    <s v="Painting house thought sit voice. Minute late cold take by doctor edge season."/>
    <x v="21"/>
    <x v="25"/>
    <x v="777"/>
    <x v="0"/>
    <x v="0"/>
    <n v="41"/>
    <x v="31"/>
    <x v="15"/>
    <x v="2"/>
    <s v="1.9.31-beta"/>
    <s v="Poor"/>
  </r>
  <r>
    <n v="779"/>
    <n v="3632803"/>
    <x v="17"/>
    <x v="10"/>
    <s v="Perfect for daily use, highly recommend to everyone."/>
    <x v="2"/>
    <x v="16"/>
    <x v="778"/>
    <x v="0"/>
    <x v="1"/>
    <n v="98"/>
    <x v="62"/>
    <x v="2"/>
    <x v="1"/>
    <s v="3.2.28.9593"/>
    <s v="Excellent"/>
  </r>
  <r>
    <n v="780"/>
    <n v="1828209"/>
    <x v="6"/>
    <x v="15"/>
    <s v="Crashes too often, needs improvement in stability."/>
    <x v="7"/>
    <x v="36"/>
    <x v="779"/>
    <x v="0"/>
    <x v="2"/>
    <n v="1066"/>
    <x v="39"/>
    <x v="2"/>
    <x v="1"/>
    <s v="8.2.37-beta"/>
    <s v="Poor"/>
  </r>
  <r>
    <n v="781"/>
    <n v="8038740"/>
    <x v="19"/>
    <x v="12"/>
    <s v="Perfect for daily use, highly recommend to everyone."/>
    <x v="5"/>
    <x v="37"/>
    <x v="780"/>
    <x v="0"/>
    <x v="4"/>
    <n v="207"/>
    <x v="21"/>
    <x v="9"/>
    <x v="4"/>
    <s v="9.7"/>
    <s v="Average"/>
  </r>
  <r>
    <n v="782"/>
    <n v="542329"/>
    <x v="19"/>
    <x v="1"/>
    <s v="This app is amazing! Really love the new features."/>
    <x v="6"/>
    <x v="34"/>
    <x v="781"/>
    <x v="0"/>
    <x v="4"/>
    <n v="806"/>
    <x v="32"/>
    <x v="9"/>
    <x v="1"/>
    <s v="v13.0.41"/>
    <s v="Average"/>
  </r>
  <r>
    <n v="783"/>
    <n v="8890972"/>
    <x v="3"/>
    <x v="9"/>
    <s v="Excellent customer support and regular feature updates."/>
    <x v="2"/>
    <x v="0"/>
    <x v="782"/>
    <x v="0"/>
    <x v="0"/>
    <n v="278"/>
    <x v="33"/>
    <x v="18"/>
    <x v="2"/>
    <s v="4.7"/>
    <s v="Very Poor"/>
  </r>
  <r>
    <n v="784"/>
    <n v="1843629"/>
    <x v="6"/>
    <x v="9"/>
    <s v="Passare avvicinare tono giù dedicare. Invitare carattere moderno compagno amore."/>
    <x v="1"/>
    <x v="18"/>
    <x v="783"/>
    <x v="0"/>
    <x v="0"/>
    <n v="341"/>
    <x v="8"/>
    <x v="17"/>
    <x v="0"/>
    <s v="11.8.45.9921"/>
    <s v="Average"/>
  </r>
  <r>
    <n v="785"/>
    <n v="8088550"/>
    <x v="28"/>
    <x v="16"/>
    <s v="Perfect for daily use, highly recommend to everyone."/>
    <x v="23"/>
    <x v="20"/>
    <x v="784"/>
    <x v="0"/>
    <x v="2"/>
    <n v="921"/>
    <x v="6"/>
    <x v="4"/>
    <x v="4"/>
    <s v="7.6.38"/>
    <s v="Very Poor"/>
  </r>
  <r>
    <n v="786"/>
    <n v="4670355"/>
    <x v="22"/>
    <x v="15"/>
    <s v="見落とす彼ノート明らかにする脊椎アクセルペダル厳しい。"/>
    <x v="16"/>
    <x v="21"/>
    <x v="785"/>
    <x v="0"/>
    <x v="2"/>
    <n v="298"/>
    <x v="29"/>
    <x v="6"/>
    <x v="1"/>
    <s v="v8.6.59"/>
    <s v="Excellent"/>
  </r>
  <r>
    <n v="787"/>
    <n v="8882198"/>
    <x v="32"/>
    <x v="3"/>
    <s v="No Review"/>
    <x v="9"/>
    <x v="25"/>
    <x v="786"/>
    <x v="1"/>
    <x v="2"/>
    <n v="635"/>
    <x v="53"/>
    <x v="13"/>
    <x v="0"/>
    <s v="10.4.45.8398"/>
    <s v="Poor"/>
  </r>
  <r>
    <n v="788"/>
    <n v="9055411"/>
    <x v="35"/>
    <x v="17"/>
    <s v="Excellent customer support and regular feature updates."/>
    <x v="11"/>
    <x v="25"/>
    <x v="787"/>
    <x v="0"/>
    <x v="1"/>
    <n v="583"/>
    <x v="49"/>
    <x v="3"/>
    <x v="4"/>
    <s v="11.8.47-beta"/>
    <s v="Poor"/>
  </r>
  <r>
    <n v="789"/>
    <n v="8180774"/>
    <x v="7"/>
    <x v="14"/>
    <s v="Dolorem at est impedit culpa ab minima. Exercitationem iusto ab ullam."/>
    <x v="14"/>
    <x v="1"/>
    <x v="788"/>
    <x v="0"/>
    <x v="2"/>
    <n v="190"/>
    <x v="48"/>
    <x v="1"/>
    <x v="3"/>
    <s v="2.2.48-beta"/>
    <s v="Very Poor"/>
  </r>
  <r>
    <n v="790"/>
    <n v="5126630"/>
    <x v="4"/>
    <x v="17"/>
    <s v="Perfect for daily use, highly recommend to everyone."/>
    <x v="23"/>
    <x v="5"/>
    <x v="789"/>
    <x v="1"/>
    <x v="2"/>
    <n v="76"/>
    <x v="11"/>
    <x v="7"/>
    <x v="2"/>
    <s v="7.2.54.8963"/>
    <s v="Excellent"/>
  </r>
  <r>
    <n v="791"/>
    <n v="7321506"/>
    <x v="2"/>
    <x v="3"/>
    <s v="销售欢迎发生世界制作. 电子生活文化朋友等级目前. 简介记者加入或者留言评论."/>
    <x v="0"/>
    <x v="4"/>
    <x v="790"/>
    <x v="1"/>
    <x v="1"/>
    <n v="668"/>
    <x v="27"/>
    <x v="23"/>
    <x v="4"/>
    <s v="11.7.43-beta"/>
    <s v="Average"/>
  </r>
  <r>
    <n v="792"/>
    <n v="9024543"/>
    <x v="26"/>
    <x v="16"/>
    <s v="Works perfectly on my device, no complaints at all."/>
    <x v="2"/>
    <x v="21"/>
    <x v="791"/>
    <x v="0"/>
    <x v="1"/>
    <n v="527"/>
    <x v="45"/>
    <x v="23"/>
    <x v="4"/>
    <s v="v8.4.42"/>
    <s v="Excellent"/>
  </r>
  <r>
    <n v="793"/>
    <n v="7027377"/>
    <x v="27"/>
    <x v="8"/>
    <s v="Latest update broke some features, please fix soon."/>
    <x v="9"/>
    <x v="35"/>
    <x v="792"/>
    <x v="0"/>
    <x v="3"/>
    <n v="985"/>
    <x v="23"/>
    <x v="16"/>
    <x v="1"/>
    <s v="9.5.52-beta"/>
    <s v="Poor"/>
  </r>
  <r>
    <n v="794"/>
    <n v="3160284"/>
    <x v="1"/>
    <x v="10"/>
    <s v="User-friendly design and smooth performance throughout."/>
    <x v="20"/>
    <x v="17"/>
    <x v="793"/>
    <x v="0"/>
    <x v="0"/>
    <n v="880"/>
    <x v="2"/>
    <x v="2"/>
    <x v="3"/>
    <s v="v1.5.47"/>
    <s v="Average"/>
  </r>
  <r>
    <n v="795"/>
    <n v="1951472"/>
    <x v="23"/>
    <x v="0"/>
    <s v="User-friendly design and smooth performance throughout."/>
    <x v="9"/>
    <x v="12"/>
    <x v="794"/>
    <x v="0"/>
    <x v="2"/>
    <n v="105"/>
    <x v="33"/>
    <x v="17"/>
    <x v="0"/>
    <s v="2.1"/>
    <s v="Excellent"/>
  </r>
  <r>
    <n v="796"/>
    <n v="7696173"/>
    <x v="16"/>
    <x v="3"/>
    <s v="Excellent customer support and regular feature updates."/>
    <x v="9"/>
    <x v="5"/>
    <x v="795"/>
    <x v="1"/>
    <x v="3"/>
    <n v="0"/>
    <x v="58"/>
    <x v="20"/>
    <x v="0"/>
    <s v="1.2.39"/>
    <s v="Excellent"/>
  </r>
  <r>
    <n v="797"/>
    <n v="8354323"/>
    <x v="6"/>
    <x v="3"/>
    <s v="Latest update broke some features, please fix soon."/>
    <x v="12"/>
    <x v="2"/>
    <x v="796"/>
    <x v="0"/>
    <x v="3"/>
    <n v="196"/>
    <x v="31"/>
    <x v="21"/>
    <x v="0"/>
    <s v="14.9.36"/>
    <s v="Average"/>
  </r>
  <r>
    <n v="798"/>
    <n v="425400"/>
    <x v="22"/>
    <x v="13"/>
    <s v="Baden Mann einige bringen. Darauf kalt Affe bleiben als."/>
    <x v="15"/>
    <x v="28"/>
    <x v="797"/>
    <x v="0"/>
    <x v="2"/>
    <n v="944"/>
    <x v="36"/>
    <x v="8"/>
    <x v="0"/>
    <s v="9.4.37-beta"/>
    <s v="Poor"/>
  </r>
  <r>
    <n v="799"/>
    <n v="7150508"/>
    <x v="33"/>
    <x v="5"/>
    <s v="User-friendly design and smooth performance throughout."/>
    <x v="16"/>
    <x v="36"/>
    <x v="798"/>
    <x v="0"/>
    <x v="3"/>
    <n v="1203"/>
    <x v="52"/>
    <x v="8"/>
    <x v="0"/>
    <s v="v12.1.36"/>
    <s v="Poor"/>
  </r>
  <r>
    <n v="800"/>
    <n v="6331009"/>
    <x v="14"/>
    <x v="11"/>
    <s v="Works perfectly on my device, no complaints at all."/>
    <x v="8"/>
    <x v="14"/>
    <x v="799"/>
    <x v="1"/>
    <x v="0"/>
    <n v="272"/>
    <x v="58"/>
    <x v="11"/>
    <x v="2"/>
    <s v="14.4.49-beta"/>
    <s v="Excellent"/>
  </r>
  <r>
    <n v="801"/>
    <n v="632460"/>
    <x v="34"/>
    <x v="15"/>
    <s v="Crashes too often, needs improvement in stability."/>
    <x v="7"/>
    <x v="18"/>
    <x v="800"/>
    <x v="0"/>
    <x v="0"/>
    <n v="569"/>
    <x v="30"/>
    <x v="20"/>
    <x v="0"/>
    <s v="7.1"/>
    <s v="Average"/>
  </r>
  <r>
    <n v="802"/>
    <n v="2550947"/>
    <x v="39"/>
    <x v="4"/>
    <s v="Great app but too many ads, consider premium version."/>
    <x v="15"/>
    <x v="2"/>
    <x v="801"/>
    <x v="0"/>
    <x v="3"/>
    <n v="560"/>
    <x v="27"/>
    <x v="1"/>
    <x v="4"/>
    <s v="1.1"/>
    <s v="Average"/>
  </r>
  <r>
    <n v="803"/>
    <n v="6683744"/>
    <x v="15"/>
    <x v="9"/>
    <s v="緩むフェミニスト残るヘア。"/>
    <x v="19"/>
    <x v="28"/>
    <x v="802"/>
    <x v="0"/>
    <x v="0"/>
    <n v="1206"/>
    <x v="19"/>
    <x v="0"/>
    <x v="2"/>
    <s v="12.9.70.4755"/>
    <s v="Poor"/>
  </r>
  <r>
    <n v="804"/>
    <n v="2146175"/>
    <x v="37"/>
    <x v="1"/>
    <s v="Excellent customer support and regular feature updates."/>
    <x v="1"/>
    <x v="36"/>
    <x v="803"/>
    <x v="1"/>
    <x v="4"/>
    <n v="1086"/>
    <x v="35"/>
    <x v="3"/>
    <x v="0"/>
    <s v="8.4"/>
    <s v="Poor"/>
  </r>
  <r>
    <n v="805"/>
    <n v="4276895"/>
    <x v="3"/>
    <x v="8"/>
    <s v="Risolvere inverno raggiungere ammazzare lei risolvere. Porta cortile già valle trasformare classe quarto. Militare direzione personaggio contrario stella sostenere crisi."/>
    <x v="19"/>
    <x v="39"/>
    <x v="804"/>
    <x v="0"/>
    <x v="4"/>
    <n v="1017"/>
    <x v="54"/>
    <x v="20"/>
    <x v="4"/>
    <s v="14.8.53.268"/>
    <s v="Good"/>
  </r>
  <r>
    <n v="806"/>
    <n v="7384023"/>
    <x v="7"/>
    <x v="4"/>
    <s v="The interface could be better but overall good experience."/>
    <x v="17"/>
    <x v="2"/>
    <x v="805"/>
    <x v="0"/>
    <x v="0"/>
    <n v="42"/>
    <x v="45"/>
    <x v="23"/>
    <x v="3"/>
    <s v="3.8.83"/>
    <s v="Average"/>
  </r>
  <r>
    <n v="807"/>
    <n v="2907840"/>
    <x v="34"/>
    <x v="13"/>
    <s v="The interface could be better but overall good experience."/>
    <x v="14"/>
    <x v="14"/>
    <x v="806"/>
    <x v="0"/>
    <x v="4"/>
    <n v="490"/>
    <x v="39"/>
    <x v="24"/>
    <x v="0"/>
    <s v="2.4.39.8886"/>
    <s v="Excellent"/>
  </r>
  <r>
    <n v="808"/>
    <n v="9909585"/>
    <x v="13"/>
    <x v="14"/>
    <s v="The interface could be better but overall good experience."/>
    <x v="10"/>
    <x v="32"/>
    <x v="807"/>
    <x v="0"/>
    <x v="2"/>
    <n v="1116"/>
    <x v="23"/>
    <x v="24"/>
    <x v="1"/>
    <s v="2.7.85"/>
    <s v="Very Poor"/>
  </r>
  <r>
    <n v="809"/>
    <n v="4178362"/>
    <x v="34"/>
    <x v="5"/>
    <s v="Great app but too many ads, consider premium version."/>
    <x v="23"/>
    <x v="25"/>
    <x v="808"/>
    <x v="0"/>
    <x v="0"/>
    <n v="885"/>
    <x v="45"/>
    <x v="13"/>
    <x v="2"/>
    <s v="6.2"/>
    <s v="Poor"/>
  </r>
  <r>
    <n v="810"/>
    <n v="9848854"/>
    <x v="40"/>
    <x v="1"/>
    <s v="Great app but too many ads, consider premium version."/>
    <x v="13"/>
    <x v="9"/>
    <x v="809"/>
    <x v="1"/>
    <x v="4"/>
    <n v="927"/>
    <x v="57"/>
    <x v="19"/>
    <x v="4"/>
    <s v="14.7.71-beta"/>
    <s v="Excellent"/>
  </r>
  <r>
    <n v="811"/>
    <n v="8073718"/>
    <x v="38"/>
    <x v="4"/>
    <s v="Some bugs need fixing but generally satisfied with it."/>
    <x v="22"/>
    <x v="17"/>
    <x v="810"/>
    <x v="0"/>
    <x v="0"/>
    <n v="1012"/>
    <x v="14"/>
    <x v="5"/>
    <x v="3"/>
    <s v="14.7.10"/>
    <s v="Average"/>
  </r>
  <r>
    <n v="812"/>
    <n v="2700333"/>
    <x v="10"/>
    <x v="16"/>
    <s v="Crashes too often, needs improvement in stability."/>
    <x v="8"/>
    <x v="35"/>
    <x v="811"/>
    <x v="1"/>
    <x v="0"/>
    <n v="313"/>
    <x v="21"/>
    <x v="11"/>
    <x v="2"/>
    <s v="v5.0.13"/>
    <s v="Poor"/>
  </r>
  <r>
    <n v="813"/>
    <n v="1601223"/>
    <x v="1"/>
    <x v="6"/>
    <s v="Салон пространство разуметься волк увеличиваться. Рот ученый тяжелый чем более иной чувство научить. Роса ведь затянуться шлем успокоиться вперед."/>
    <x v="5"/>
    <x v="38"/>
    <x v="812"/>
    <x v="0"/>
    <x v="1"/>
    <n v="232"/>
    <x v="45"/>
    <x v="24"/>
    <x v="3"/>
    <s v="1.4.41"/>
    <s v="Good"/>
  </r>
  <r>
    <n v="814"/>
    <n v="8242018"/>
    <x v="14"/>
    <x v="15"/>
    <s v="Научить поговорить природа посидеть поговорить деньги. Необычный кидать видимо сохранять коммунизм рассуждение поймать. Магазин слишком цепочка функция важный."/>
    <x v="8"/>
    <x v="4"/>
    <x v="813"/>
    <x v="0"/>
    <x v="3"/>
    <n v="609"/>
    <x v="45"/>
    <x v="1"/>
    <x v="1"/>
    <s v="5.8.96"/>
    <s v="Average"/>
  </r>
  <r>
    <n v="815"/>
    <n v="6208168"/>
    <x v="33"/>
    <x v="3"/>
    <s v="Great app but too many ads, consider premium version."/>
    <x v="20"/>
    <x v="4"/>
    <x v="814"/>
    <x v="1"/>
    <x v="1"/>
    <n v="325"/>
    <x v="54"/>
    <x v="5"/>
    <x v="0"/>
    <s v="2.9.0-beta"/>
    <s v="Average"/>
  </r>
  <r>
    <n v="816"/>
    <n v="4106173"/>
    <x v="0"/>
    <x v="6"/>
    <s v="Kosz mieć na imię obecny zachód zatoka literatura. Działać zjawisko złożyć przeznaczyć wyspa jądro roślina. Więc mieszkaniec żyć mąż."/>
    <x v="6"/>
    <x v="35"/>
    <x v="815"/>
    <x v="0"/>
    <x v="0"/>
    <n v="10"/>
    <x v="9"/>
    <x v="13"/>
    <x v="3"/>
    <s v="8.3"/>
    <s v="Poor"/>
  </r>
  <r>
    <n v="817"/>
    <n v="6619606"/>
    <x v="32"/>
    <x v="17"/>
    <s v="Works perfectly on my device, no complaints at all."/>
    <x v="21"/>
    <x v="36"/>
    <x v="816"/>
    <x v="0"/>
    <x v="3"/>
    <n v="589"/>
    <x v="21"/>
    <x v="2"/>
    <x v="4"/>
    <s v="v10.6.24"/>
    <s v="Poor"/>
  </r>
  <r>
    <n v="818"/>
    <n v="8921818"/>
    <x v="2"/>
    <x v="2"/>
    <s v="Excellent customer support and regular feature updates."/>
    <x v="22"/>
    <x v="16"/>
    <x v="817"/>
    <x v="1"/>
    <x v="2"/>
    <n v="271"/>
    <x v="13"/>
    <x v="3"/>
    <x v="0"/>
    <s v="10.3"/>
    <s v="Excellent"/>
  </r>
  <r>
    <n v="819"/>
    <n v="4393936"/>
    <x v="24"/>
    <x v="15"/>
    <s v="Hand paper audience. Pretty up story life police."/>
    <x v="22"/>
    <x v="25"/>
    <x v="818"/>
    <x v="0"/>
    <x v="0"/>
    <n v="295"/>
    <x v="36"/>
    <x v="7"/>
    <x v="1"/>
    <s v="2.9.0"/>
    <s v="Poor"/>
  </r>
  <r>
    <n v="820"/>
    <n v="7078536"/>
    <x v="22"/>
    <x v="17"/>
    <s v="Perfect for daily use, highly recommend to everyone."/>
    <x v="18"/>
    <x v="34"/>
    <x v="819"/>
    <x v="0"/>
    <x v="1"/>
    <n v="895"/>
    <x v="10"/>
    <x v="24"/>
    <x v="1"/>
    <s v="v14.2.26"/>
    <s v="Average"/>
  </r>
  <r>
    <n v="821"/>
    <n v="1078112"/>
    <x v="6"/>
    <x v="12"/>
    <s v="Crashes too often, needs improvement in stability."/>
    <x v="16"/>
    <x v="39"/>
    <x v="820"/>
    <x v="1"/>
    <x v="0"/>
    <n v="1084"/>
    <x v="39"/>
    <x v="4"/>
    <x v="2"/>
    <s v="4.6"/>
    <s v="Good"/>
  </r>
  <r>
    <n v="822"/>
    <n v="4559646"/>
    <x v="9"/>
    <x v="2"/>
    <s v="American audience fight war whether best rise."/>
    <x v="3"/>
    <x v="19"/>
    <x v="821"/>
    <x v="0"/>
    <x v="2"/>
    <n v="1129"/>
    <x v="8"/>
    <x v="6"/>
    <x v="0"/>
    <s v="5.2.61-beta"/>
    <s v="Poor"/>
  </r>
  <r>
    <n v="823"/>
    <n v="3278618"/>
    <x v="6"/>
    <x v="12"/>
    <s v="Minima dolorum numquam debitis quibusdam."/>
    <x v="19"/>
    <x v="35"/>
    <x v="822"/>
    <x v="1"/>
    <x v="2"/>
    <n v="1138"/>
    <x v="2"/>
    <x v="21"/>
    <x v="4"/>
    <s v="12.6.2.1032"/>
    <s v="Poor"/>
  </r>
  <r>
    <n v="824"/>
    <n v="1870234"/>
    <x v="36"/>
    <x v="6"/>
    <s v="Perfect for daily use, highly recommend to everyone."/>
    <x v="12"/>
    <x v="27"/>
    <x v="823"/>
    <x v="1"/>
    <x v="1"/>
    <n v="870"/>
    <x v="11"/>
    <x v="8"/>
    <x v="3"/>
    <s v="v6.8.53"/>
    <s v="Very Poor"/>
  </r>
  <r>
    <n v="825"/>
    <n v="9773133"/>
    <x v="16"/>
    <x v="0"/>
    <s v="Great app but too many ads, consider premium version."/>
    <x v="10"/>
    <x v="19"/>
    <x v="824"/>
    <x v="1"/>
    <x v="2"/>
    <n v="1090"/>
    <x v="26"/>
    <x v="17"/>
    <x v="0"/>
    <s v="7.7"/>
    <s v="Poor"/>
  </r>
  <r>
    <n v="826"/>
    <n v="7796054"/>
    <x v="30"/>
    <x v="16"/>
    <s v="The interface could be better but overall good experience."/>
    <x v="22"/>
    <x v="13"/>
    <x v="825"/>
    <x v="1"/>
    <x v="3"/>
    <n v="903"/>
    <x v="13"/>
    <x v="23"/>
    <x v="0"/>
    <s v="14.0.26-beta"/>
    <s v="Average"/>
  </r>
  <r>
    <n v="827"/>
    <n v="7265129"/>
    <x v="1"/>
    <x v="0"/>
    <s v="Perfect for daily use, highly recommend to everyone."/>
    <x v="5"/>
    <x v="29"/>
    <x v="826"/>
    <x v="0"/>
    <x v="1"/>
    <n v="1225"/>
    <x v="50"/>
    <x v="7"/>
    <x v="0"/>
    <s v="5.9.57"/>
    <s v="Very Poor"/>
  </r>
  <r>
    <n v="828"/>
    <n v="2898595"/>
    <x v="38"/>
    <x v="10"/>
    <s v="Excellent customer support and regular feature updates."/>
    <x v="7"/>
    <x v="12"/>
    <x v="827"/>
    <x v="0"/>
    <x v="1"/>
    <n v="0"/>
    <x v="4"/>
    <x v="8"/>
    <x v="3"/>
    <s v="14.3.52"/>
    <s v="Excellent"/>
  </r>
  <r>
    <n v="829"/>
    <n v="9326889"/>
    <x v="0"/>
    <x v="6"/>
    <s v="This app is amazing! Really love the new features."/>
    <x v="4"/>
    <x v="32"/>
    <x v="828"/>
    <x v="0"/>
    <x v="2"/>
    <n v="404"/>
    <x v="32"/>
    <x v="18"/>
    <x v="4"/>
    <s v="11.4"/>
    <s v="Very Poor"/>
  </r>
  <r>
    <n v="830"/>
    <n v="5762526"/>
    <x v="24"/>
    <x v="13"/>
    <s v="Crashes too often, needs improvement in stability."/>
    <x v="18"/>
    <x v="33"/>
    <x v="829"/>
    <x v="0"/>
    <x v="2"/>
    <n v="767"/>
    <x v="28"/>
    <x v="5"/>
    <x v="0"/>
    <s v="11.4"/>
    <s v="Poor"/>
  </r>
  <r>
    <n v="831"/>
    <n v="9057363"/>
    <x v="36"/>
    <x v="16"/>
    <s v="Inverno forte fabbrica volontà felice gesto rifiutare insistere. Papà nostro costruzione rimanere testa dirigere. Italiano greco qualunque vista organizzare mezzo voltare."/>
    <x v="15"/>
    <x v="18"/>
    <x v="830"/>
    <x v="0"/>
    <x v="3"/>
    <n v="1199"/>
    <x v="26"/>
    <x v="10"/>
    <x v="0"/>
    <s v="v2.6.29"/>
    <s v="Average"/>
  </r>
  <r>
    <n v="832"/>
    <n v="5138767"/>
    <x v="19"/>
    <x v="9"/>
    <s v="Dolor et quo velit reprehenderit."/>
    <x v="13"/>
    <x v="36"/>
    <x v="831"/>
    <x v="0"/>
    <x v="0"/>
    <n v="1096"/>
    <x v="46"/>
    <x v="0"/>
    <x v="4"/>
    <s v="5.5"/>
    <s v="Poor"/>
  </r>
  <r>
    <n v="833"/>
    <n v="8677712"/>
    <x v="2"/>
    <x v="8"/>
    <s v="Crashes too often, needs improvement in stability."/>
    <x v="0"/>
    <x v="14"/>
    <x v="832"/>
    <x v="0"/>
    <x v="2"/>
    <n v="492"/>
    <x v="30"/>
    <x v="3"/>
    <x v="4"/>
    <s v="8.6"/>
    <s v="Excellent"/>
  </r>
  <r>
    <n v="834"/>
    <n v="9690055"/>
    <x v="6"/>
    <x v="8"/>
    <s v="Crashes too often, needs improvement in stability."/>
    <x v="2"/>
    <x v="10"/>
    <x v="833"/>
    <x v="0"/>
    <x v="2"/>
    <n v="286"/>
    <x v="44"/>
    <x v="2"/>
    <x v="1"/>
    <s v="2.4.33.5441"/>
    <s v="Poor"/>
  </r>
  <r>
    <n v="835"/>
    <n v="733110"/>
    <x v="37"/>
    <x v="9"/>
    <s v="Explicabo consequuntur facilis neque doloremque repellat at."/>
    <x v="15"/>
    <x v="3"/>
    <x v="834"/>
    <x v="0"/>
    <x v="4"/>
    <n v="171"/>
    <x v="24"/>
    <x v="9"/>
    <x v="4"/>
    <s v="3.4.43"/>
    <s v="Average"/>
  </r>
  <r>
    <n v="836"/>
    <n v="3747992"/>
    <x v="10"/>
    <x v="13"/>
    <s v="The interface could be better but overall good experience."/>
    <x v="6"/>
    <x v="2"/>
    <x v="835"/>
    <x v="0"/>
    <x v="1"/>
    <n v="534"/>
    <x v="12"/>
    <x v="0"/>
    <x v="4"/>
    <s v="v1.9.3"/>
    <s v="Average"/>
  </r>
  <r>
    <n v="837"/>
    <n v="5547428"/>
    <x v="40"/>
    <x v="5"/>
    <s v="This app is amazing! Really love the new features."/>
    <x v="6"/>
    <x v="10"/>
    <x v="836"/>
    <x v="0"/>
    <x v="4"/>
    <n v="90"/>
    <x v="41"/>
    <x v="3"/>
    <x v="1"/>
    <s v="v3.4.64"/>
    <s v="Poor"/>
  </r>
  <r>
    <n v="838"/>
    <n v="3000822"/>
    <x v="6"/>
    <x v="15"/>
    <s v="Works perfectly on my device, no complaints at all."/>
    <x v="14"/>
    <x v="11"/>
    <x v="837"/>
    <x v="1"/>
    <x v="3"/>
    <n v="466"/>
    <x v="24"/>
    <x v="22"/>
    <x v="1"/>
    <s v="9.2.51.6189"/>
    <s v="Good"/>
  </r>
  <r>
    <n v="839"/>
    <n v="9767576"/>
    <x v="15"/>
    <x v="10"/>
    <s v="Excellent customer support and regular feature updates."/>
    <x v="0"/>
    <x v="24"/>
    <x v="838"/>
    <x v="0"/>
    <x v="1"/>
    <n v="34"/>
    <x v="40"/>
    <x v="21"/>
    <x v="4"/>
    <s v="1.6.26-beta"/>
    <s v="Poor"/>
  </r>
  <r>
    <n v="840"/>
    <n v="5139762"/>
    <x v="31"/>
    <x v="15"/>
    <s v="关系女人系统. 增加任何以后学习. 网上情况操作说明."/>
    <x v="4"/>
    <x v="35"/>
    <x v="839"/>
    <x v="1"/>
    <x v="2"/>
    <n v="1121"/>
    <x v="23"/>
    <x v="17"/>
    <x v="2"/>
    <s v="14.8.15.9107"/>
    <s v="Poor"/>
  </r>
  <r>
    <n v="841"/>
    <n v="6517066"/>
    <x v="40"/>
    <x v="2"/>
    <s v="Excellent customer support and regular feature updates."/>
    <x v="15"/>
    <x v="22"/>
    <x v="840"/>
    <x v="0"/>
    <x v="2"/>
    <n v="1068"/>
    <x v="37"/>
    <x v="6"/>
    <x v="3"/>
    <s v="5.3"/>
    <s v="Poor"/>
  </r>
  <r>
    <n v="842"/>
    <n v="8897692"/>
    <x v="39"/>
    <x v="14"/>
    <s v="This app is amazing! Really love the new features."/>
    <x v="20"/>
    <x v="22"/>
    <x v="841"/>
    <x v="0"/>
    <x v="0"/>
    <n v="320"/>
    <x v="34"/>
    <x v="22"/>
    <x v="3"/>
    <s v="v7.3.13"/>
    <s v="Poor"/>
  </r>
  <r>
    <n v="843"/>
    <n v="9158517"/>
    <x v="5"/>
    <x v="8"/>
    <s v="User-friendly design and smooth performance throughout."/>
    <x v="20"/>
    <x v="22"/>
    <x v="842"/>
    <x v="0"/>
    <x v="1"/>
    <n v="595"/>
    <x v="8"/>
    <x v="4"/>
    <x v="4"/>
    <s v="11.2.37"/>
    <s v="Poor"/>
  </r>
  <r>
    <n v="844"/>
    <n v="5583324"/>
    <x v="7"/>
    <x v="14"/>
    <s v="This app is amazing! Really love the new features."/>
    <x v="15"/>
    <x v="3"/>
    <x v="843"/>
    <x v="1"/>
    <x v="4"/>
    <n v="593"/>
    <x v="9"/>
    <x v="6"/>
    <x v="1"/>
    <s v="9.2"/>
    <s v="Average"/>
  </r>
  <r>
    <n v="845"/>
    <n v="3804361"/>
    <x v="16"/>
    <x v="17"/>
    <s v="Amet quasi hic ipsum. Nemo at inventore ratione corporis excepturi labore quia."/>
    <x v="4"/>
    <x v="20"/>
    <x v="844"/>
    <x v="0"/>
    <x v="2"/>
    <n v="209"/>
    <x v="1"/>
    <x v="12"/>
    <x v="4"/>
    <s v="v14.8.32"/>
    <s v="Very Poor"/>
  </r>
  <r>
    <n v="846"/>
    <n v="4504991"/>
    <x v="18"/>
    <x v="1"/>
    <s v="Works perfectly on my device, no complaints at all."/>
    <x v="3"/>
    <x v="28"/>
    <x v="845"/>
    <x v="0"/>
    <x v="2"/>
    <n v="80"/>
    <x v="42"/>
    <x v="15"/>
    <x v="1"/>
    <s v="10.1.80-beta"/>
    <s v="Poor"/>
  </r>
  <r>
    <n v="847"/>
    <n v="8519194"/>
    <x v="37"/>
    <x v="2"/>
    <s v="Сопровождаться кузнец вперед научить иной устройство."/>
    <x v="23"/>
    <x v="9"/>
    <x v="846"/>
    <x v="0"/>
    <x v="2"/>
    <n v="54"/>
    <x v="44"/>
    <x v="19"/>
    <x v="4"/>
    <s v="2.7.64.6672"/>
    <s v="Excellent"/>
  </r>
  <r>
    <n v="848"/>
    <n v="8895418"/>
    <x v="38"/>
    <x v="1"/>
    <s v="Latest update broke some features, please fix soon."/>
    <x v="5"/>
    <x v="29"/>
    <x v="847"/>
    <x v="0"/>
    <x v="0"/>
    <n v="6"/>
    <x v="42"/>
    <x v="21"/>
    <x v="0"/>
    <s v="12.6.42-beta"/>
    <s v="Very Poor"/>
  </r>
  <r>
    <n v="849"/>
    <n v="1301986"/>
    <x v="28"/>
    <x v="3"/>
    <s v="Latest update broke some features, please fix soon."/>
    <x v="7"/>
    <x v="20"/>
    <x v="848"/>
    <x v="1"/>
    <x v="3"/>
    <n v="977"/>
    <x v="26"/>
    <x v="19"/>
    <x v="4"/>
    <s v="v13.1.67"/>
    <s v="Very Poor"/>
  </r>
  <r>
    <n v="850"/>
    <n v="7315305"/>
    <x v="24"/>
    <x v="14"/>
    <s v="Works perfectly on my device, no complaints at all."/>
    <x v="9"/>
    <x v="27"/>
    <x v="849"/>
    <x v="1"/>
    <x v="4"/>
    <n v="602"/>
    <x v="32"/>
    <x v="13"/>
    <x v="4"/>
    <s v="v3.1.30"/>
    <s v="Very Poor"/>
  </r>
  <r>
    <n v="851"/>
    <n v="9763982"/>
    <x v="5"/>
    <x v="1"/>
    <s v="The interface could be better but overall good experience."/>
    <x v="22"/>
    <x v="6"/>
    <x v="850"/>
    <x v="0"/>
    <x v="0"/>
    <n v="36"/>
    <x v="23"/>
    <x v="3"/>
    <x v="0"/>
    <s v="8.6.54"/>
    <s v="Good"/>
  </r>
  <r>
    <n v="852"/>
    <n v="7038755"/>
    <x v="28"/>
    <x v="3"/>
    <s v="Perfect for daily use, highly recommend to everyone."/>
    <x v="22"/>
    <x v="21"/>
    <x v="851"/>
    <x v="0"/>
    <x v="2"/>
    <n v="520"/>
    <x v="29"/>
    <x v="11"/>
    <x v="3"/>
    <s v="14.0.49-beta"/>
    <s v="Excellent"/>
  </r>
  <r>
    <n v="853"/>
    <n v="5943636"/>
    <x v="0"/>
    <x v="10"/>
    <s v="No Review"/>
    <x v="1"/>
    <x v="22"/>
    <x v="852"/>
    <x v="0"/>
    <x v="4"/>
    <n v="237"/>
    <x v="18"/>
    <x v="18"/>
    <x v="4"/>
    <s v="7.8.82.2337"/>
    <s v="Poor"/>
  </r>
  <r>
    <n v="854"/>
    <n v="5880168"/>
    <x v="9"/>
    <x v="8"/>
    <s v="Great app but too many ads, consider premium version."/>
    <x v="5"/>
    <x v="37"/>
    <x v="853"/>
    <x v="1"/>
    <x v="4"/>
    <n v="209"/>
    <x v="7"/>
    <x v="22"/>
    <x v="2"/>
    <s v="12.8.17"/>
    <s v="Average"/>
  </r>
  <r>
    <n v="855"/>
    <n v="506123"/>
    <x v="8"/>
    <x v="3"/>
    <s v="Compagnia formare sembrare scherzare pazzo. Anzi segretario contro giallo riconoscere solito."/>
    <x v="1"/>
    <x v="30"/>
    <x v="854"/>
    <x v="1"/>
    <x v="2"/>
    <n v="825"/>
    <x v="62"/>
    <x v="21"/>
    <x v="4"/>
    <s v="13.4"/>
    <s v="Average"/>
  </r>
  <r>
    <n v="856"/>
    <n v="1014996"/>
    <x v="20"/>
    <x v="8"/>
    <s v="Some bugs need fixing but generally satisfied with it."/>
    <x v="19"/>
    <x v="1"/>
    <x v="855"/>
    <x v="1"/>
    <x v="1"/>
    <n v="1186"/>
    <x v="16"/>
    <x v="6"/>
    <x v="4"/>
    <s v="11.9.97-beta"/>
    <s v="Very Poor"/>
  </r>
  <r>
    <n v="857"/>
    <n v="2577610"/>
    <x v="25"/>
    <x v="17"/>
    <s v="Crashes too often, needs improvement in stability."/>
    <x v="16"/>
    <x v="36"/>
    <x v="856"/>
    <x v="0"/>
    <x v="3"/>
    <n v="112"/>
    <x v="60"/>
    <x v="21"/>
    <x v="1"/>
    <s v="3.3"/>
    <s v="Poor"/>
  </r>
  <r>
    <n v="858"/>
    <n v="330406"/>
    <x v="26"/>
    <x v="9"/>
    <s v="Perfect for daily use, highly recommend to everyone."/>
    <x v="17"/>
    <x v="13"/>
    <x v="857"/>
    <x v="1"/>
    <x v="3"/>
    <n v="740"/>
    <x v="15"/>
    <x v="2"/>
    <x v="4"/>
    <s v="3.3"/>
    <s v="Average"/>
  </r>
  <r>
    <n v="859"/>
    <n v="1966934"/>
    <x v="38"/>
    <x v="13"/>
    <s v="This app is amazing! Really love the new features."/>
    <x v="0"/>
    <x v="11"/>
    <x v="858"/>
    <x v="0"/>
    <x v="2"/>
    <n v="831"/>
    <x v="54"/>
    <x v="22"/>
    <x v="4"/>
    <s v="7.1.18.9278"/>
    <s v="Good"/>
  </r>
  <r>
    <n v="860"/>
    <n v="8005261"/>
    <x v="21"/>
    <x v="13"/>
    <s v="Works perfectly on my device, no complaints at all."/>
    <x v="22"/>
    <x v="13"/>
    <x v="859"/>
    <x v="0"/>
    <x v="2"/>
    <n v="389"/>
    <x v="44"/>
    <x v="13"/>
    <x v="3"/>
    <s v="7.1.27.245"/>
    <s v="Average"/>
  </r>
  <r>
    <n v="861"/>
    <n v="3606598"/>
    <x v="3"/>
    <x v="2"/>
    <s v="No Review"/>
    <x v="2"/>
    <x v="38"/>
    <x v="860"/>
    <x v="0"/>
    <x v="2"/>
    <n v="979"/>
    <x v="62"/>
    <x v="2"/>
    <x v="1"/>
    <s v="v9.2.30"/>
    <s v="Good"/>
  </r>
  <r>
    <n v="862"/>
    <n v="1217325"/>
    <x v="40"/>
    <x v="11"/>
    <s v="Perfect for daily use, highly recommend to everyone."/>
    <x v="5"/>
    <x v="28"/>
    <x v="861"/>
    <x v="1"/>
    <x v="4"/>
    <n v="98"/>
    <x v="23"/>
    <x v="0"/>
    <x v="2"/>
    <s v="2.6.64"/>
    <s v="Poor"/>
  </r>
  <r>
    <n v="863"/>
    <n v="4651832"/>
    <x v="37"/>
    <x v="11"/>
    <s v="Excellent customer support and regular feature updates."/>
    <x v="11"/>
    <x v="2"/>
    <x v="862"/>
    <x v="1"/>
    <x v="2"/>
    <n v="103"/>
    <x v="25"/>
    <x v="22"/>
    <x v="0"/>
    <s v="8.6.99.2904"/>
    <s v="Average"/>
  </r>
  <r>
    <n v="864"/>
    <n v="6143474"/>
    <x v="31"/>
    <x v="7"/>
    <s v="Excellent customer support and regular feature updates."/>
    <x v="14"/>
    <x v="25"/>
    <x v="863"/>
    <x v="0"/>
    <x v="3"/>
    <n v="188"/>
    <x v="38"/>
    <x v="17"/>
    <x v="2"/>
    <s v="1.7.17-beta"/>
    <s v="Poor"/>
  </r>
  <r>
    <n v="865"/>
    <n v="420081"/>
    <x v="40"/>
    <x v="15"/>
    <s v="Perfect for daily use, highly recommend to everyone."/>
    <x v="13"/>
    <x v="8"/>
    <x v="864"/>
    <x v="1"/>
    <x v="2"/>
    <n v="182"/>
    <x v="53"/>
    <x v="23"/>
    <x v="3"/>
    <s v="v1.6.67"/>
    <s v="Very Poor"/>
  </r>
  <r>
    <n v="866"/>
    <n v="6584783"/>
    <x v="13"/>
    <x v="8"/>
    <s v="Violent loi presque taire joue. Manquer consentir lèvre immobile tôt aider désespoir malheur. Juste quelqu'un agent politique examiner éloigner."/>
    <x v="22"/>
    <x v="0"/>
    <x v="865"/>
    <x v="0"/>
    <x v="2"/>
    <n v="0"/>
    <x v="16"/>
    <x v="12"/>
    <x v="0"/>
    <s v="15.1"/>
    <s v="Very Poor"/>
  </r>
  <r>
    <n v="867"/>
    <n v="1140350"/>
    <x v="11"/>
    <x v="8"/>
    <s v="The interface could be better but overall good experience."/>
    <x v="15"/>
    <x v="4"/>
    <x v="866"/>
    <x v="0"/>
    <x v="1"/>
    <n v="541"/>
    <x v="54"/>
    <x v="3"/>
    <x v="0"/>
    <s v="10.5"/>
    <s v="Average"/>
  </r>
  <r>
    <n v="868"/>
    <n v="6595644"/>
    <x v="27"/>
    <x v="16"/>
    <s v="Latest update broke some features, please fix soon."/>
    <x v="22"/>
    <x v="36"/>
    <x v="867"/>
    <x v="0"/>
    <x v="3"/>
    <n v="221"/>
    <x v="53"/>
    <x v="23"/>
    <x v="2"/>
    <s v="5.4.6-beta"/>
    <s v="Poor"/>
  </r>
  <r>
    <n v="869"/>
    <n v="9410337"/>
    <x v="34"/>
    <x v="3"/>
    <s v="Perfect for daily use, highly recommend to everyone."/>
    <x v="1"/>
    <x v="18"/>
    <x v="868"/>
    <x v="0"/>
    <x v="0"/>
    <n v="351"/>
    <x v="37"/>
    <x v="5"/>
    <x v="3"/>
    <s v="15.7"/>
    <s v="Average"/>
  </r>
  <r>
    <n v="870"/>
    <n v="2645240"/>
    <x v="32"/>
    <x v="1"/>
    <s v="Great app but too many ads, consider premium version."/>
    <x v="16"/>
    <x v="23"/>
    <x v="869"/>
    <x v="0"/>
    <x v="2"/>
    <n v="1172"/>
    <x v="62"/>
    <x v="10"/>
    <x v="1"/>
    <s v="14.8.31.1884"/>
    <s v="Very Poor"/>
  </r>
  <r>
    <n v="871"/>
    <n v="2402852"/>
    <x v="2"/>
    <x v="9"/>
    <s v="Передо интеллектуальный четыре способ."/>
    <x v="23"/>
    <x v="33"/>
    <x v="870"/>
    <x v="0"/>
    <x v="4"/>
    <n v="770"/>
    <x v="50"/>
    <x v="23"/>
    <x v="1"/>
    <s v="8.0"/>
    <s v="Poor"/>
  </r>
  <r>
    <n v="872"/>
    <n v="7101691"/>
    <x v="23"/>
    <x v="2"/>
    <s v="Nemo incidunt est non ipsum. Dignissimos consequuntur molestiae reiciendis. Est provident minima consequatur."/>
    <x v="1"/>
    <x v="36"/>
    <x v="871"/>
    <x v="1"/>
    <x v="2"/>
    <n v="149"/>
    <x v="27"/>
    <x v="6"/>
    <x v="0"/>
    <s v="11.5.1.5490"/>
    <s v="Poor"/>
  </r>
  <r>
    <n v="873"/>
    <n v="2535253"/>
    <x v="28"/>
    <x v="11"/>
    <s v="Excellent customer support and regular feature updates."/>
    <x v="0"/>
    <x v="22"/>
    <x v="872"/>
    <x v="0"/>
    <x v="3"/>
    <n v="33"/>
    <x v="23"/>
    <x v="9"/>
    <x v="4"/>
    <s v="9.9"/>
    <s v="Poor"/>
  </r>
  <r>
    <n v="874"/>
    <n v="2751604"/>
    <x v="30"/>
    <x v="8"/>
    <s v="Architecto minus quaerat delectus saepe corporis."/>
    <x v="19"/>
    <x v="14"/>
    <x v="873"/>
    <x v="1"/>
    <x v="1"/>
    <n v="1248"/>
    <x v="8"/>
    <x v="5"/>
    <x v="1"/>
    <s v="7.9.91.4109"/>
    <s v="Excellent"/>
  </r>
  <r>
    <n v="875"/>
    <n v="5446688"/>
    <x v="15"/>
    <x v="9"/>
    <s v="Works perfectly on my device, no complaints at all."/>
    <x v="18"/>
    <x v="8"/>
    <x v="874"/>
    <x v="0"/>
    <x v="2"/>
    <n v="53"/>
    <x v="53"/>
    <x v="21"/>
    <x v="2"/>
    <s v="2.5.22.3855"/>
    <s v="Very Poor"/>
  </r>
  <r>
    <n v="876"/>
    <n v="6999659"/>
    <x v="13"/>
    <x v="10"/>
    <s v="Excellent customer support and regular feature updates."/>
    <x v="21"/>
    <x v="12"/>
    <x v="875"/>
    <x v="0"/>
    <x v="3"/>
    <n v="1018"/>
    <x v="13"/>
    <x v="23"/>
    <x v="0"/>
    <s v="10.8.63.6300"/>
    <s v="Excellent"/>
  </r>
  <r>
    <n v="877"/>
    <n v="4693537"/>
    <x v="10"/>
    <x v="4"/>
    <s v="Perfect for daily use, highly recommend to everyone."/>
    <x v="10"/>
    <x v="7"/>
    <x v="876"/>
    <x v="1"/>
    <x v="1"/>
    <n v="61"/>
    <x v="7"/>
    <x v="22"/>
    <x v="2"/>
    <s v="11.8"/>
    <s v="Very Poor"/>
  </r>
  <r>
    <n v="878"/>
    <n v="3253002"/>
    <x v="2"/>
    <x v="7"/>
    <s v="Crashes too often, needs improvement in stability."/>
    <x v="6"/>
    <x v="36"/>
    <x v="877"/>
    <x v="0"/>
    <x v="3"/>
    <n v="807"/>
    <x v="57"/>
    <x v="23"/>
    <x v="3"/>
    <s v="v5.8.22"/>
    <s v="Poor"/>
  </r>
  <r>
    <n v="879"/>
    <n v="3199531"/>
    <x v="10"/>
    <x v="15"/>
    <s v="Quis nostrum eaque."/>
    <x v="17"/>
    <x v="36"/>
    <x v="878"/>
    <x v="1"/>
    <x v="1"/>
    <n v="163"/>
    <x v="9"/>
    <x v="16"/>
    <x v="3"/>
    <s v="13.6.28.3188"/>
    <s v="Poor"/>
  </r>
  <r>
    <n v="880"/>
    <n v="3974049"/>
    <x v="5"/>
    <x v="2"/>
    <s v="Perfect for daily use, highly recommend to everyone."/>
    <x v="17"/>
    <x v="18"/>
    <x v="879"/>
    <x v="0"/>
    <x v="1"/>
    <n v="209"/>
    <x v="35"/>
    <x v="13"/>
    <x v="1"/>
    <s v="3.9.21.6614"/>
    <s v="Average"/>
  </r>
  <r>
    <n v="881"/>
    <n v="3974066"/>
    <x v="17"/>
    <x v="2"/>
    <s v="User-friendly design and smooth performance throughout."/>
    <x v="15"/>
    <x v="15"/>
    <x v="880"/>
    <x v="0"/>
    <x v="1"/>
    <n v="459"/>
    <x v="33"/>
    <x v="20"/>
    <x v="3"/>
    <s v="14.8.41.257"/>
    <s v="Poor"/>
  </r>
  <r>
    <n v="882"/>
    <n v="6127405"/>
    <x v="2"/>
    <x v="10"/>
    <s v="Great app but too many ads, consider premium version."/>
    <x v="21"/>
    <x v="20"/>
    <x v="881"/>
    <x v="1"/>
    <x v="4"/>
    <n v="176"/>
    <x v="3"/>
    <x v="22"/>
    <x v="0"/>
    <s v="10.7"/>
    <s v="Very Poor"/>
  </r>
  <r>
    <n v="883"/>
    <n v="8096058"/>
    <x v="18"/>
    <x v="0"/>
    <s v="No Review"/>
    <x v="22"/>
    <x v="35"/>
    <x v="882"/>
    <x v="0"/>
    <x v="0"/>
    <n v="916"/>
    <x v="2"/>
    <x v="11"/>
    <x v="1"/>
    <s v="4.2.46-beta"/>
    <s v="Poor"/>
  </r>
  <r>
    <n v="884"/>
    <n v="7964546"/>
    <x v="27"/>
    <x v="12"/>
    <s v="Excellent customer support and regular feature updates."/>
    <x v="6"/>
    <x v="21"/>
    <x v="883"/>
    <x v="1"/>
    <x v="4"/>
    <n v="1211"/>
    <x v="27"/>
    <x v="17"/>
    <x v="4"/>
    <s v="13.1"/>
    <s v="Excellent"/>
  </r>
  <r>
    <n v="885"/>
    <n v="6373997"/>
    <x v="33"/>
    <x v="1"/>
    <s v="Crashes too often, needs improvement in stability."/>
    <x v="17"/>
    <x v="4"/>
    <x v="884"/>
    <x v="0"/>
    <x v="0"/>
    <n v="852"/>
    <x v="10"/>
    <x v="11"/>
    <x v="4"/>
    <s v="v14.8.67"/>
    <s v="Average"/>
  </r>
  <r>
    <n v="886"/>
    <n v="8345088"/>
    <x v="34"/>
    <x v="5"/>
    <s v="Great app but too many ads, consider premium version."/>
    <x v="4"/>
    <x v="17"/>
    <x v="885"/>
    <x v="0"/>
    <x v="1"/>
    <n v="649"/>
    <x v="59"/>
    <x v="8"/>
    <x v="4"/>
    <s v="v8.5.65"/>
    <s v="Average"/>
  </r>
  <r>
    <n v="887"/>
    <n v="2847879"/>
    <x v="23"/>
    <x v="16"/>
    <s v="Latest update broke some features, please fix soon."/>
    <x v="10"/>
    <x v="2"/>
    <x v="886"/>
    <x v="0"/>
    <x v="3"/>
    <n v="475"/>
    <x v="39"/>
    <x v="2"/>
    <x v="0"/>
    <s v="6.0.17"/>
    <s v="Average"/>
  </r>
  <r>
    <n v="888"/>
    <n v="640722"/>
    <x v="37"/>
    <x v="3"/>
    <s v="Perfect for daily use, highly recommend to everyone."/>
    <x v="3"/>
    <x v="26"/>
    <x v="887"/>
    <x v="1"/>
    <x v="3"/>
    <n v="373"/>
    <x v="9"/>
    <x v="12"/>
    <x v="3"/>
    <s v="4.0.41-beta"/>
    <s v="Average"/>
  </r>
  <r>
    <n v="889"/>
    <n v="351897"/>
    <x v="11"/>
    <x v="5"/>
    <s v="到了网站结果通过通过. 以下一定网上怎么. 很多过程回复一次为什其实."/>
    <x v="16"/>
    <x v="1"/>
    <x v="888"/>
    <x v="0"/>
    <x v="4"/>
    <n v="265"/>
    <x v="49"/>
    <x v="13"/>
    <x v="0"/>
    <s v="8.3.54-beta"/>
    <s v="Very Poor"/>
  </r>
  <r>
    <n v="890"/>
    <n v="6712751"/>
    <x v="19"/>
    <x v="8"/>
    <s v="Travailler mort mari passer préparer apparaître brusquement imaginer."/>
    <x v="5"/>
    <x v="34"/>
    <x v="889"/>
    <x v="0"/>
    <x v="4"/>
    <n v="624"/>
    <x v="48"/>
    <x v="0"/>
    <x v="1"/>
    <s v="13.1"/>
    <s v="Average"/>
  </r>
  <r>
    <n v="891"/>
    <n v="4222525"/>
    <x v="34"/>
    <x v="17"/>
    <s v="User-friendly design and smooth performance throughout."/>
    <x v="20"/>
    <x v="18"/>
    <x v="890"/>
    <x v="0"/>
    <x v="4"/>
    <n v="933"/>
    <x v="22"/>
    <x v="9"/>
    <x v="3"/>
    <s v="12.8.59"/>
    <s v="Average"/>
  </r>
  <r>
    <n v="892"/>
    <n v="6737254"/>
    <x v="9"/>
    <x v="5"/>
    <s v="The interface could be better but overall good experience."/>
    <x v="6"/>
    <x v="31"/>
    <x v="891"/>
    <x v="0"/>
    <x v="0"/>
    <n v="783"/>
    <x v="29"/>
    <x v="16"/>
    <x v="4"/>
    <s v="v7.2.73"/>
    <s v="Good"/>
  </r>
  <r>
    <n v="893"/>
    <n v="9456669"/>
    <x v="2"/>
    <x v="10"/>
    <s v="Perfect for daily use, highly recommend to everyone."/>
    <x v="21"/>
    <x v="2"/>
    <x v="892"/>
    <x v="0"/>
    <x v="2"/>
    <n v="59"/>
    <x v="24"/>
    <x v="9"/>
    <x v="0"/>
    <s v="3.1"/>
    <s v="Average"/>
  </r>
  <r>
    <n v="894"/>
    <n v="927040"/>
    <x v="34"/>
    <x v="0"/>
    <s v="Perfect for daily use, highly recommend to everyone."/>
    <x v="0"/>
    <x v="4"/>
    <x v="893"/>
    <x v="0"/>
    <x v="2"/>
    <n v="341"/>
    <x v="24"/>
    <x v="6"/>
    <x v="3"/>
    <s v="12.6.41"/>
    <s v="Average"/>
  </r>
  <r>
    <n v="895"/>
    <n v="7474490"/>
    <x v="7"/>
    <x v="12"/>
    <s v="大統領虐待参加する創傷コミュニケーションは。"/>
    <x v="12"/>
    <x v="11"/>
    <x v="894"/>
    <x v="0"/>
    <x v="1"/>
    <n v="506"/>
    <x v="23"/>
    <x v="19"/>
    <x v="4"/>
    <s v="5.6.15-beta"/>
    <s v="Good"/>
  </r>
  <r>
    <n v="896"/>
    <n v="2486384"/>
    <x v="2"/>
    <x v="7"/>
    <s v="Excellent customer support and regular feature updates."/>
    <x v="12"/>
    <x v="24"/>
    <x v="895"/>
    <x v="1"/>
    <x v="2"/>
    <n v="113"/>
    <x v="26"/>
    <x v="2"/>
    <x v="4"/>
    <s v="15.7.77-beta"/>
    <s v="Poor"/>
  </r>
  <r>
    <n v="897"/>
    <n v="7678236"/>
    <x v="37"/>
    <x v="5"/>
    <s v="The interface could be better but overall good experience."/>
    <x v="14"/>
    <x v="11"/>
    <x v="896"/>
    <x v="1"/>
    <x v="0"/>
    <n v="111"/>
    <x v="14"/>
    <x v="20"/>
    <x v="0"/>
    <s v="10.8"/>
    <s v="Good"/>
  </r>
  <r>
    <n v="898"/>
    <n v="8499643"/>
    <x v="13"/>
    <x v="14"/>
    <s v="Great app but too many ads, consider premium version."/>
    <x v="15"/>
    <x v="18"/>
    <x v="897"/>
    <x v="0"/>
    <x v="2"/>
    <n v="484"/>
    <x v="19"/>
    <x v="5"/>
    <x v="2"/>
    <s v="v9.8.72"/>
    <s v="Average"/>
  </r>
  <r>
    <n v="899"/>
    <n v="9922182"/>
    <x v="15"/>
    <x v="17"/>
    <s v="Excellent customer support and regular feature updates."/>
    <x v="21"/>
    <x v="28"/>
    <x v="898"/>
    <x v="1"/>
    <x v="0"/>
    <n v="136"/>
    <x v="34"/>
    <x v="9"/>
    <x v="0"/>
    <s v="1.4.38-beta"/>
    <s v="Poor"/>
  </r>
  <r>
    <n v="900"/>
    <n v="9267190"/>
    <x v="4"/>
    <x v="7"/>
    <s v="Perfect for daily use, highly recommend to everyone."/>
    <x v="18"/>
    <x v="15"/>
    <x v="899"/>
    <x v="0"/>
    <x v="3"/>
    <n v="394"/>
    <x v="10"/>
    <x v="21"/>
    <x v="0"/>
    <s v="13.9.95"/>
    <s v="Poor"/>
  </r>
  <r>
    <n v="901"/>
    <n v="7038373"/>
    <x v="11"/>
    <x v="3"/>
    <s v="Crashes too often, needs improvement in stability."/>
    <x v="22"/>
    <x v="8"/>
    <x v="900"/>
    <x v="0"/>
    <x v="4"/>
    <n v="942"/>
    <x v="60"/>
    <x v="10"/>
    <x v="0"/>
    <s v="10.1.18"/>
    <s v="Very Poor"/>
  </r>
  <r>
    <n v="902"/>
    <n v="517955"/>
    <x v="31"/>
    <x v="0"/>
    <s v="ピック残る残る大統領。"/>
    <x v="4"/>
    <x v="25"/>
    <x v="901"/>
    <x v="0"/>
    <x v="3"/>
    <n v="896"/>
    <x v="53"/>
    <x v="2"/>
    <x v="0"/>
    <s v="3.2.5.1982"/>
    <s v="Poor"/>
  </r>
  <r>
    <n v="903"/>
    <n v="5537072"/>
    <x v="21"/>
    <x v="4"/>
    <s v="No Review"/>
    <x v="6"/>
    <x v="27"/>
    <x v="902"/>
    <x v="1"/>
    <x v="1"/>
    <n v="360"/>
    <x v="45"/>
    <x v="0"/>
    <x v="3"/>
    <s v="4.8.1-beta"/>
    <s v="Very Poor"/>
  </r>
  <r>
    <n v="904"/>
    <n v="2851363"/>
    <x v="38"/>
    <x v="4"/>
    <s v="Excellent customer support and regular feature updates."/>
    <x v="13"/>
    <x v="3"/>
    <x v="903"/>
    <x v="1"/>
    <x v="1"/>
    <n v="716"/>
    <x v="25"/>
    <x v="14"/>
    <x v="1"/>
    <s v="3.2.76-beta"/>
    <s v="Average"/>
  </r>
  <r>
    <n v="905"/>
    <n v="2172728"/>
    <x v="4"/>
    <x v="13"/>
    <s v="User-friendly design and smooth performance throughout."/>
    <x v="22"/>
    <x v="1"/>
    <x v="904"/>
    <x v="0"/>
    <x v="2"/>
    <n v="868"/>
    <x v="53"/>
    <x v="22"/>
    <x v="4"/>
    <s v="3.9.63"/>
    <s v="Very Poor"/>
  </r>
  <r>
    <n v="906"/>
    <n v="7639654"/>
    <x v="26"/>
    <x v="15"/>
    <s v="Assumenda provident quas voluptate nostrum cum."/>
    <x v="10"/>
    <x v="26"/>
    <x v="905"/>
    <x v="0"/>
    <x v="0"/>
    <n v="472"/>
    <x v="14"/>
    <x v="17"/>
    <x v="3"/>
    <s v="2.2.3-beta"/>
    <s v="Average"/>
  </r>
  <r>
    <n v="907"/>
    <n v="836621"/>
    <x v="32"/>
    <x v="16"/>
    <s v="Latest update broke some features, please fix soon."/>
    <x v="6"/>
    <x v="2"/>
    <x v="906"/>
    <x v="0"/>
    <x v="4"/>
    <n v="701"/>
    <x v="24"/>
    <x v="24"/>
    <x v="0"/>
    <s v="14.9"/>
    <s v="Average"/>
  </r>
  <r>
    <n v="908"/>
    <n v="5723607"/>
    <x v="20"/>
    <x v="11"/>
    <s v="Works perfectly on my device, no complaints at all."/>
    <x v="18"/>
    <x v="30"/>
    <x v="907"/>
    <x v="1"/>
    <x v="0"/>
    <n v="754"/>
    <x v="4"/>
    <x v="18"/>
    <x v="4"/>
    <s v="4.0.15.277"/>
    <s v="Average"/>
  </r>
  <r>
    <n v="909"/>
    <n v="2618087"/>
    <x v="32"/>
    <x v="7"/>
    <s v="网上不能数据全国. 关系参加功能的人来源."/>
    <x v="16"/>
    <x v="40"/>
    <x v="908"/>
    <x v="0"/>
    <x v="4"/>
    <n v="1136"/>
    <x v="10"/>
    <x v="12"/>
    <x v="4"/>
    <s v="4.4"/>
    <s v="Very Poor"/>
  </r>
  <r>
    <n v="910"/>
    <n v="4346497"/>
    <x v="30"/>
    <x v="0"/>
    <s v="Some bugs need fixing but generally satisfied with it."/>
    <x v="2"/>
    <x v="4"/>
    <x v="909"/>
    <x v="0"/>
    <x v="3"/>
    <n v="199"/>
    <x v="44"/>
    <x v="7"/>
    <x v="3"/>
    <s v="8.6.35-beta"/>
    <s v="Average"/>
  </r>
  <r>
    <n v="911"/>
    <n v="8448805"/>
    <x v="14"/>
    <x v="9"/>
    <s v="Perfect for daily use, highly recommend to everyone."/>
    <x v="2"/>
    <x v="24"/>
    <x v="910"/>
    <x v="0"/>
    <x v="2"/>
    <n v="680"/>
    <x v="1"/>
    <x v="3"/>
    <x v="3"/>
    <s v="2.3.65-beta"/>
    <s v="Poor"/>
  </r>
  <r>
    <n v="912"/>
    <n v="9218436"/>
    <x v="19"/>
    <x v="0"/>
    <s v="Great app but too many ads, consider premium version."/>
    <x v="0"/>
    <x v="38"/>
    <x v="911"/>
    <x v="0"/>
    <x v="1"/>
    <n v="915"/>
    <x v="4"/>
    <x v="8"/>
    <x v="2"/>
    <s v="12.3.3.286"/>
    <s v="Good"/>
  </r>
  <r>
    <n v="913"/>
    <n v="8378999"/>
    <x v="18"/>
    <x v="2"/>
    <s v="No Review"/>
    <x v="9"/>
    <x v="25"/>
    <x v="912"/>
    <x v="0"/>
    <x v="4"/>
    <n v="1074"/>
    <x v="18"/>
    <x v="23"/>
    <x v="2"/>
    <s v="3.7.32-beta"/>
    <s v="Poor"/>
  </r>
  <r>
    <n v="914"/>
    <n v="9979470"/>
    <x v="5"/>
    <x v="6"/>
    <s v="User-friendly design and smooth performance throughout."/>
    <x v="22"/>
    <x v="12"/>
    <x v="913"/>
    <x v="0"/>
    <x v="4"/>
    <n v="40"/>
    <x v="38"/>
    <x v="6"/>
    <x v="3"/>
    <s v="13.1.14-beta"/>
    <s v="Excellent"/>
  </r>
  <r>
    <n v="915"/>
    <n v="7712468"/>
    <x v="0"/>
    <x v="15"/>
    <s v="Crashes too often, needs improvement in stability."/>
    <x v="2"/>
    <x v="35"/>
    <x v="914"/>
    <x v="0"/>
    <x v="3"/>
    <n v="1027"/>
    <x v="28"/>
    <x v="4"/>
    <x v="3"/>
    <s v="10.0.40"/>
    <s v="Poor"/>
  </r>
  <r>
    <n v="916"/>
    <n v="1432193"/>
    <x v="6"/>
    <x v="10"/>
    <s v="User-friendly design and smooth performance throughout."/>
    <x v="15"/>
    <x v="29"/>
    <x v="915"/>
    <x v="0"/>
    <x v="0"/>
    <n v="782"/>
    <x v="41"/>
    <x v="5"/>
    <x v="3"/>
    <s v="11.3"/>
    <s v="Very Poor"/>
  </r>
  <r>
    <n v="917"/>
    <n v="210277"/>
    <x v="14"/>
    <x v="10"/>
    <s v="Sunt eius occaecati reprehenderit dignissimos. Corporis officiis alias sequi."/>
    <x v="16"/>
    <x v="32"/>
    <x v="916"/>
    <x v="0"/>
    <x v="3"/>
    <n v="1210"/>
    <x v="41"/>
    <x v="18"/>
    <x v="4"/>
    <s v="8.9"/>
    <s v="Very Poor"/>
  </r>
  <r>
    <n v="918"/>
    <n v="5107018"/>
    <x v="17"/>
    <x v="7"/>
    <s v="This app is amazing! Really love the new features."/>
    <x v="6"/>
    <x v="24"/>
    <x v="917"/>
    <x v="0"/>
    <x v="3"/>
    <n v="351"/>
    <x v="45"/>
    <x v="0"/>
    <x v="4"/>
    <s v="15.6.84"/>
    <s v="Poor"/>
  </r>
  <r>
    <n v="919"/>
    <n v="922609"/>
    <x v="0"/>
    <x v="15"/>
    <s v="Excellent customer support and regular feature updates."/>
    <x v="21"/>
    <x v="18"/>
    <x v="918"/>
    <x v="0"/>
    <x v="3"/>
    <n v="1197"/>
    <x v="17"/>
    <x v="23"/>
    <x v="1"/>
    <s v="v2.8.10"/>
    <s v="Average"/>
  </r>
  <r>
    <n v="920"/>
    <n v="3090511"/>
    <x v="8"/>
    <x v="12"/>
    <s v="结果作品包括学校. 不能开发那个应用就是其他而且."/>
    <x v="0"/>
    <x v="1"/>
    <x v="919"/>
    <x v="0"/>
    <x v="4"/>
    <n v="924"/>
    <x v="23"/>
    <x v="22"/>
    <x v="4"/>
    <s v="15.8.3.1157"/>
    <s v="Very Poor"/>
  </r>
  <r>
    <n v="921"/>
    <n v="7269304"/>
    <x v="22"/>
    <x v="6"/>
    <s v="Works perfectly on my device, no complaints at all."/>
    <x v="18"/>
    <x v="28"/>
    <x v="920"/>
    <x v="0"/>
    <x v="4"/>
    <n v="368"/>
    <x v="3"/>
    <x v="20"/>
    <x v="2"/>
    <s v="v9.2.7"/>
    <s v="Poor"/>
  </r>
  <r>
    <n v="922"/>
    <n v="1189275"/>
    <x v="34"/>
    <x v="14"/>
    <s v="Iusto commodi similique eveniet impedit. Possimus nostrum autem quas occaecati. Laborum porro ut voluptates."/>
    <x v="16"/>
    <x v="4"/>
    <x v="921"/>
    <x v="0"/>
    <x v="3"/>
    <n v="308"/>
    <x v="46"/>
    <x v="7"/>
    <x v="2"/>
    <s v="v15.7.86"/>
    <s v="Average"/>
  </r>
  <r>
    <n v="923"/>
    <n v="5409796"/>
    <x v="3"/>
    <x v="11"/>
    <s v="Minima voluptatum explicabo consectetur natus. Quas libero repellat sunt doloremque enim deserunt. Ad numquam blanditiis sed."/>
    <x v="16"/>
    <x v="27"/>
    <x v="922"/>
    <x v="1"/>
    <x v="0"/>
    <n v="90"/>
    <x v="31"/>
    <x v="5"/>
    <x v="0"/>
    <s v="v10.5.29"/>
    <s v="Very Poor"/>
  </r>
  <r>
    <n v="924"/>
    <n v="7056372"/>
    <x v="5"/>
    <x v="2"/>
    <s v="Aliquid expedita rem distinctio odit porro. Ratione est magni eum ab. Exercitationem quam nulla adipisci cupiditate ex."/>
    <x v="15"/>
    <x v="2"/>
    <x v="923"/>
    <x v="1"/>
    <x v="2"/>
    <n v="599"/>
    <x v="19"/>
    <x v="3"/>
    <x v="4"/>
    <s v="6.1.99.7541"/>
    <s v="Average"/>
  </r>
  <r>
    <n v="925"/>
    <n v="8138102"/>
    <x v="12"/>
    <x v="15"/>
    <s v="Latest update broke some features, please fix soon."/>
    <x v="14"/>
    <x v="0"/>
    <x v="924"/>
    <x v="0"/>
    <x v="4"/>
    <n v="313"/>
    <x v="14"/>
    <x v="11"/>
    <x v="1"/>
    <s v="v15.9.54"/>
    <s v="Very Poor"/>
  </r>
  <r>
    <n v="926"/>
    <n v="696568"/>
    <x v="0"/>
    <x v="16"/>
    <s v="Excellent customer support and regular feature updates."/>
    <x v="7"/>
    <x v="15"/>
    <x v="925"/>
    <x v="0"/>
    <x v="0"/>
    <n v="1090"/>
    <x v="61"/>
    <x v="13"/>
    <x v="0"/>
    <s v="5.8.69"/>
    <s v="Poor"/>
  </r>
  <r>
    <n v="927"/>
    <n v="8178154"/>
    <x v="6"/>
    <x v="9"/>
    <s v="The interface could be better but overall good experience."/>
    <x v="9"/>
    <x v="22"/>
    <x v="926"/>
    <x v="1"/>
    <x v="2"/>
    <n v="231"/>
    <x v="54"/>
    <x v="7"/>
    <x v="0"/>
    <s v="10.9.8"/>
    <s v="Poor"/>
  </r>
  <r>
    <n v="928"/>
    <n v="7827886"/>
    <x v="24"/>
    <x v="16"/>
    <s v="Tempore iure repellendus unde animi maxime natus."/>
    <x v="7"/>
    <x v="7"/>
    <x v="927"/>
    <x v="0"/>
    <x v="1"/>
    <n v="657"/>
    <x v="14"/>
    <x v="13"/>
    <x v="1"/>
    <s v="2.3.27-beta"/>
    <s v="Very Poor"/>
  </r>
  <r>
    <n v="929"/>
    <n v="9414327"/>
    <x v="3"/>
    <x v="12"/>
    <s v="Great app but too many ads, consider premium version."/>
    <x v="3"/>
    <x v="23"/>
    <x v="928"/>
    <x v="0"/>
    <x v="2"/>
    <n v="592"/>
    <x v="21"/>
    <x v="19"/>
    <x v="4"/>
    <s v="8.2.33.2041"/>
    <s v="Very Poor"/>
  </r>
  <r>
    <n v="930"/>
    <n v="3594064"/>
    <x v="40"/>
    <x v="14"/>
    <s v="Placeat reiciendis suscipit explicabo voluptas eligendi adipisci."/>
    <x v="0"/>
    <x v="4"/>
    <x v="929"/>
    <x v="1"/>
    <x v="4"/>
    <n v="820"/>
    <x v="46"/>
    <x v="5"/>
    <x v="0"/>
    <s v="3.4.76.8819"/>
    <s v="Average"/>
  </r>
  <r>
    <n v="931"/>
    <n v="9063616"/>
    <x v="30"/>
    <x v="4"/>
    <s v="Excellent customer support and regular feature updates."/>
    <x v="15"/>
    <x v="4"/>
    <x v="930"/>
    <x v="0"/>
    <x v="2"/>
    <n v="1191"/>
    <x v="51"/>
    <x v="8"/>
    <x v="4"/>
    <s v="v10.2.50"/>
    <s v="Average"/>
  </r>
  <r>
    <n v="932"/>
    <n v="9679482"/>
    <x v="23"/>
    <x v="4"/>
    <s v="Excellent customer support and regular feature updates."/>
    <x v="14"/>
    <x v="37"/>
    <x v="931"/>
    <x v="0"/>
    <x v="2"/>
    <n v="119"/>
    <x v="2"/>
    <x v="16"/>
    <x v="2"/>
    <s v="6.9.33"/>
    <s v="Average"/>
  </r>
  <r>
    <n v="933"/>
    <n v="3243696"/>
    <x v="2"/>
    <x v="3"/>
    <s v="Совет ложиться возможно бровь запеть зачем голубчик заведение. Лапа снимать радость триста ответить инструкция. Нажать покидать заплакать выгнать очередной."/>
    <x v="20"/>
    <x v="8"/>
    <x v="932"/>
    <x v="0"/>
    <x v="1"/>
    <n v="509"/>
    <x v="60"/>
    <x v="8"/>
    <x v="0"/>
    <s v="8.1"/>
    <s v="Very Poor"/>
  </r>
  <r>
    <n v="934"/>
    <n v="8211313"/>
    <x v="38"/>
    <x v="11"/>
    <s v="来自一下日本网络标题记者特别. 大小还有数据位置我们. 表示学校现在."/>
    <x v="21"/>
    <x v="35"/>
    <x v="933"/>
    <x v="0"/>
    <x v="4"/>
    <n v="600"/>
    <x v="30"/>
    <x v="1"/>
    <x v="2"/>
    <s v="v1.9.83"/>
    <s v="Poor"/>
  </r>
  <r>
    <n v="935"/>
    <n v="1829778"/>
    <x v="32"/>
    <x v="10"/>
    <s v="Latest update broke some features, please fix soon."/>
    <x v="17"/>
    <x v="10"/>
    <x v="934"/>
    <x v="1"/>
    <x v="1"/>
    <n v="1003"/>
    <x v="62"/>
    <x v="10"/>
    <x v="3"/>
    <s v="v7.0.41"/>
    <s v="Poor"/>
  </r>
  <r>
    <n v="936"/>
    <n v="5342557"/>
    <x v="30"/>
    <x v="17"/>
    <s v="Great app but too many ads, consider premium version."/>
    <x v="1"/>
    <x v="11"/>
    <x v="935"/>
    <x v="0"/>
    <x v="0"/>
    <n v="267"/>
    <x v="2"/>
    <x v="6"/>
    <x v="0"/>
    <s v="13.8.77-beta"/>
    <s v="Good"/>
  </r>
  <r>
    <n v="937"/>
    <n v="5336888"/>
    <x v="28"/>
    <x v="13"/>
    <s v="Eum deserunt eius eum ipsam."/>
    <x v="14"/>
    <x v="22"/>
    <x v="936"/>
    <x v="0"/>
    <x v="0"/>
    <n v="876"/>
    <x v="43"/>
    <x v="17"/>
    <x v="2"/>
    <s v="4.0"/>
    <s v="Poor"/>
  </r>
  <r>
    <n v="938"/>
    <n v="2605186"/>
    <x v="23"/>
    <x v="7"/>
    <s v="评论公司方面电脑. 一般这里不过如此觉得. 手机市场或者资料不同有限广告."/>
    <x v="6"/>
    <x v="2"/>
    <x v="937"/>
    <x v="0"/>
    <x v="4"/>
    <n v="12"/>
    <x v="62"/>
    <x v="5"/>
    <x v="1"/>
    <s v="5.1.11.6104"/>
    <s v="Average"/>
  </r>
  <r>
    <n v="939"/>
    <n v="1877158"/>
    <x v="7"/>
    <x v="5"/>
    <s v="Amet incidunt debitis nisi nihil saepe. Nulla est repellendus quae perferendis modi voluptate."/>
    <x v="23"/>
    <x v="12"/>
    <x v="938"/>
    <x v="1"/>
    <x v="1"/>
    <n v="913"/>
    <x v="32"/>
    <x v="8"/>
    <x v="2"/>
    <s v="4.1.22.9468"/>
    <s v="Excellent"/>
  </r>
  <r>
    <n v="940"/>
    <n v="7913071"/>
    <x v="2"/>
    <x v="7"/>
    <s v="パン学生は建築感謝する保持する犯罪者。 建築今日織る残るプラスチック細かいフェミニスト。"/>
    <x v="7"/>
    <x v="10"/>
    <x v="939"/>
    <x v="1"/>
    <x v="3"/>
    <n v="790"/>
    <x v="6"/>
    <x v="5"/>
    <x v="1"/>
    <s v="1.3"/>
    <s v="Poor"/>
  </r>
  <r>
    <n v="941"/>
    <n v="5641983"/>
    <x v="35"/>
    <x v="7"/>
    <s v="Latest update broke some features, please fix soon."/>
    <x v="10"/>
    <x v="11"/>
    <x v="940"/>
    <x v="0"/>
    <x v="1"/>
    <n v="96"/>
    <x v="28"/>
    <x v="16"/>
    <x v="2"/>
    <s v="5.2"/>
    <s v="Good"/>
  </r>
  <r>
    <n v="942"/>
    <n v="7704827"/>
    <x v="18"/>
    <x v="3"/>
    <s v="Some bugs need fixing but generally satisfied with it."/>
    <x v="5"/>
    <x v="39"/>
    <x v="941"/>
    <x v="0"/>
    <x v="0"/>
    <n v="173"/>
    <x v="17"/>
    <x v="10"/>
    <x v="2"/>
    <s v="2.2.24-beta"/>
    <s v="Good"/>
  </r>
  <r>
    <n v="943"/>
    <n v="1196646"/>
    <x v="11"/>
    <x v="7"/>
    <s v="The interface could be better but overall good experience."/>
    <x v="18"/>
    <x v="25"/>
    <x v="942"/>
    <x v="0"/>
    <x v="4"/>
    <n v="1111"/>
    <x v="10"/>
    <x v="0"/>
    <x v="4"/>
    <s v="1.3.71-beta"/>
    <s v="Poor"/>
  </r>
  <r>
    <n v="944"/>
    <n v="5996198"/>
    <x v="18"/>
    <x v="11"/>
    <s v="No Review"/>
    <x v="1"/>
    <x v="26"/>
    <x v="943"/>
    <x v="0"/>
    <x v="2"/>
    <n v="677"/>
    <x v="2"/>
    <x v="2"/>
    <x v="3"/>
    <s v="7.9.29.5325"/>
    <s v="Average"/>
  </r>
  <r>
    <n v="945"/>
    <n v="2965574"/>
    <x v="35"/>
    <x v="3"/>
    <s v="The interface could be better but overall good experience."/>
    <x v="16"/>
    <x v="25"/>
    <x v="944"/>
    <x v="1"/>
    <x v="2"/>
    <n v="571"/>
    <x v="11"/>
    <x v="24"/>
    <x v="3"/>
    <s v="12.6.56.7769"/>
    <s v="Poor"/>
  </r>
  <r>
    <n v="946"/>
    <n v="5948796"/>
    <x v="39"/>
    <x v="3"/>
    <s v="Невозможно зарплата наступать выраженный более отражение решение триста."/>
    <x v="23"/>
    <x v="2"/>
    <x v="945"/>
    <x v="0"/>
    <x v="1"/>
    <n v="493"/>
    <x v="15"/>
    <x v="21"/>
    <x v="1"/>
    <s v="8.9.79-beta"/>
    <s v="Average"/>
  </r>
  <r>
    <n v="947"/>
    <n v="7036404"/>
    <x v="21"/>
    <x v="16"/>
    <s v="Great app but too many ads, consider premium version."/>
    <x v="18"/>
    <x v="30"/>
    <x v="946"/>
    <x v="1"/>
    <x v="2"/>
    <n v="981"/>
    <x v="45"/>
    <x v="24"/>
    <x v="2"/>
    <s v="10.8.65.2540"/>
    <s v="Average"/>
  </r>
  <r>
    <n v="948"/>
    <n v="4188457"/>
    <x v="28"/>
    <x v="8"/>
    <s v="Perfect for daily use, highly recommend to everyone."/>
    <x v="0"/>
    <x v="2"/>
    <x v="947"/>
    <x v="0"/>
    <x v="3"/>
    <n v="920"/>
    <x v="12"/>
    <x v="13"/>
    <x v="0"/>
    <s v="12.6"/>
    <s v="Average"/>
  </r>
  <r>
    <n v="949"/>
    <n v="8192903"/>
    <x v="7"/>
    <x v="10"/>
    <s v="Тута наслаждение за через один посидеть. Полоска коробка пламя возмутиться волк невозможно. Освободить миллиард неправда хотеть художественный возможно наступать."/>
    <x v="2"/>
    <x v="3"/>
    <x v="948"/>
    <x v="0"/>
    <x v="3"/>
    <n v="434"/>
    <x v="12"/>
    <x v="23"/>
    <x v="1"/>
    <s v="Unknown"/>
    <s v="Average"/>
  </r>
  <r>
    <n v="950"/>
    <n v="6457071"/>
    <x v="40"/>
    <x v="14"/>
    <s v="This app is amazing! Really love the new features."/>
    <x v="6"/>
    <x v="38"/>
    <x v="949"/>
    <x v="0"/>
    <x v="3"/>
    <n v="1143"/>
    <x v="30"/>
    <x v="16"/>
    <x v="2"/>
    <s v="7.7.55"/>
    <s v="Good"/>
  </r>
  <r>
    <n v="951"/>
    <n v="1131500"/>
    <x v="21"/>
    <x v="3"/>
    <s v="Great app but too many ads, consider premium version."/>
    <x v="3"/>
    <x v="35"/>
    <x v="950"/>
    <x v="0"/>
    <x v="4"/>
    <n v="1207"/>
    <x v="8"/>
    <x v="3"/>
    <x v="2"/>
    <s v="5.0.92.3855"/>
    <s v="Poor"/>
  </r>
  <r>
    <n v="952"/>
    <n v="2430636"/>
    <x v="37"/>
    <x v="12"/>
    <s v="This app is amazing! Really love the new features."/>
    <x v="11"/>
    <x v="31"/>
    <x v="951"/>
    <x v="0"/>
    <x v="0"/>
    <n v="373"/>
    <x v="33"/>
    <x v="22"/>
    <x v="3"/>
    <s v="7.9.40"/>
    <s v="Good"/>
  </r>
  <r>
    <n v="953"/>
    <n v="103092"/>
    <x v="26"/>
    <x v="11"/>
    <s v="The interface could be better but overall good experience."/>
    <x v="23"/>
    <x v="9"/>
    <x v="952"/>
    <x v="0"/>
    <x v="0"/>
    <n v="759"/>
    <x v="52"/>
    <x v="0"/>
    <x v="1"/>
    <s v="Unknown"/>
    <s v="Excellent"/>
  </r>
  <r>
    <n v="954"/>
    <n v="2603436"/>
    <x v="22"/>
    <x v="8"/>
    <s v="追放するブランチ埋め込むボトル目的供給中央。"/>
    <x v="6"/>
    <x v="26"/>
    <x v="953"/>
    <x v="1"/>
    <x v="1"/>
    <n v="1150"/>
    <x v="62"/>
    <x v="20"/>
    <x v="2"/>
    <s v="v6.1.51"/>
    <s v="Average"/>
  </r>
  <r>
    <n v="955"/>
    <n v="5209503"/>
    <x v="4"/>
    <x v="2"/>
    <s v="Some bugs need fixing but generally satisfied with it."/>
    <x v="16"/>
    <x v="4"/>
    <x v="954"/>
    <x v="0"/>
    <x v="3"/>
    <n v="1158"/>
    <x v="56"/>
    <x v="17"/>
    <x v="4"/>
    <s v="3.6.77"/>
    <s v="Average"/>
  </r>
  <r>
    <n v="956"/>
    <n v="5875801"/>
    <x v="39"/>
    <x v="16"/>
    <s v="Works perfectly on my device, no complaints at all."/>
    <x v="23"/>
    <x v="3"/>
    <x v="955"/>
    <x v="0"/>
    <x v="2"/>
    <n v="259"/>
    <x v="0"/>
    <x v="0"/>
    <x v="0"/>
    <s v="3.5.58.1271"/>
    <s v="Average"/>
  </r>
  <r>
    <n v="957"/>
    <n v="236218"/>
    <x v="6"/>
    <x v="8"/>
    <s v="Хозяйка наступать ярко поймать падать построить полевой четко."/>
    <x v="21"/>
    <x v="33"/>
    <x v="956"/>
    <x v="0"/>
    <x v="2"/>
    <n v="149"/>
    <x v="59"/>
    <x v="10"/>
    <x v="3"/>
    <s v="v14.2.48"/>
    <s v="Poor"/>
  </r>
  <r>
    <n v="958"/>
    <n v="1940432"/>
    <x v="23"/>
    <x v="5"/>
    <s v="Sint doloremque praesentium hic et. Illo ipsa distinctio cupiditate consequuntur nam. Saepe culpa voluptatum pariatur consequatur asperiores."/>
    <x v="15"/>
    <x v="11"/>
    <x v="957"/>
    <x v="0"/>
    <x v="3"/>
    <n v="296"/>
    <x v="21"/>
    <x v="0"/>
    <x v="4"/>
    <s v="8.4"/>
    <s v="Good"/>
  </r>
  <r>
    <n v="959"/>
    <n v="8265493"/>
    <x v="28"/>
    <x v="10"/>
    <s v="Latest update broke some features, please fix soon."/>
    <x v="4"/>
    <x v="37"/>
    <x v="958"/>
    <x v="0"/>
    <x v="1"/>
    <n v="270"/>
    <x v="45"/>
    <x v="5"/>
    <x v="3"/>
    <s v="6.8.75-beta"/>
    <s v="Average"/>
  </r>
  <r>
    <n v="960"/>
    <n v="2377939"/>
    <x v="35"/>
    <x v="5"/>
    <s v="This app is amazing! Really love the new features."/>
    <x v="8"/>
    <x v="30"/>
    <x v="959"/>
    <x v="0"/>
    <x v="4"/>
    <n v="129"/>
    <x v="19"/>
    <x v="1"/>
    <x v="0"/>
    <s v="v1.9.18"/>
    <s v="Average"/>
  </r>
  <r>
    <n v="961"/>
    <n v="7076896"/>
    <x v="24"/>
    <x v="5"/>
    <s v="Tempora possimus ut numquam iste incidunt reprehenderit. Explicabo delectus non neque sed dolores."/>
    <x v="4"/>
    <x v="14"/>
    <x v="960"/>
    <x v="0"/>
    <x v="1"/>
    <n v="10"/>
    <x v="10"/>
    <x v="0"/>
    <x v="2"/>
    <s v="5.7"/>
    <s v="Excellent"/>
  </r>
  <r>
    <n v="962"/>
    <n v="6992714"/>
    <x v="22"/>
    <x v="1"/>
    <s v="Порядок мучительно фонарик выгнать падать спешить уточнить. Мгновение назначить а а."/>
    <x v="23"/>
    <x v="19"/>
    <x v="961"/>
    <x v="0"/>
    <x v="4"/>
    <n v="719"/>
    <x v="23"/>
    <x v="5"/>
    <x v="1"/>
    <s v="2.2.53-beta"/>
    <s v="Poor"/>
  </r>
  <r>
    <n v="963"/>
    <n v="7900337"/>
    <x v="27"/>
    <x v="3"/>
    <s v="Besser warum blau Küche sie wollen besser. Straße genau bald Gott springen kurz Licht."/>
    <x v="2"/>
    <x v="31"/>
    <x v="962"/>
    <x v="0"/>
    <x v="2"/>
    <n v="408"/>
    <x v="28"/>
    <x v="3"/>
    <x v="4"/>
    <s v="6.2.54"/>
    <s v="Good"/>
  </r>
  <r>
    <n v="964"/>
    <n v="5661881"/>
    <x v="17"/>
    <x v="3"/>
    <s v="Fortuna vicino entro commissione probabilmente oro. Quanto nostro assicurare lo compagnia."/>
    <x v="7"/>
    <x v="11"/>
    <x v="963"/>
    <x v="1"/>
    <x v="2"/>
    <n v="1162"/>
    <x v="27"/>
    <x v="10"/>
    <x v="2"/>
    <s v="15.8.73.5117"/>
    <s v="Good"/>
  </r>
  <r>
    <n v="965"/>
    <n v="4994806"/>
    <x v="17"/>
    <x v="15"/>
    <s v="Изба умирать ярко возмутиться ложиться темнеть запретить необычный."/>
    <x v="18"/>
    <x v="8"/>
    <x v="964"/>
    <x v="0"/>
    <x v="1"/>
    <n v="1102"/>
    <x v="1"/>
    <x v="20"/>
    <x v="1"/>
    <s v="8.1.52.1444"/>
    <s v="Very Poor"/>
  </r>
  <r>
    <n v="966"/>
    <n v="1971488"/>
    <x v="31"/>
    <x v="1"/>
    <s v="Great app but too many ads, consider premium version."/>
    <x v="11"/>
    <x v="35"/>
    <x v="965"/>
    <x v="0"/>
    <x v="2"/>
    <n v="690"/>
    <x v="6"/>
    <x v="23"/>
    <x v="2"/>
    <s v="v11.2.8"/>
    <s v="Poor"/>
  </r>
  <r>
    <n v="967"/>
    <n v="2635634"/>
    <x v="32"/>
    <x v="9"/>
    <s v="Падать советовать ложиться коробка поздравлять смертельный мучительно. Покинуть парень житель слать. Свежий коробка падаль металл крыса правление."/>
    <x v="13"/>
    <x v="4"/>
    <x v="966"/>
    <x v="0"/>
    <x v="2"/>
    <n v="651"/>
    <x v="44"/>
    <x v="2"/>
    <x v="2"/>
    <s v="v4.9.70"/>
    <s v="Average"/>
  </r>
  <r>
    <n v="968"/>
    <n v="4535820"/>
    <x v="33"/>
    <x v="8"/>
    <s v="管理非常方法方法. 设计对于朋友目前无法学习功能. 这种成为无法孩子网络无法不会."/>
    <x v="2"/>
    <x v="36"/>
    <x v="967"/>
    <x v="0"/>
    <x v="0"/>
    <n v="687"/>
    <x v="34"/>
    <x v="0"/>
    <x v="3"/>
    <s v="Unknown"/>
    <s v="Poor"/>
  </r>
  <r>
    <n v="969"/>
    <n v="4673311"/>
    <x v="15"/>
    <x v="8"/>
    <s v="Latest update broke some features, please fix soon."/>
    <x v="4"/>
    <x v="23"/>
    <x v="968"/>
    <x v="0"/>
    <x v="3"/>
    <n v="208"/>
    <x v="42"/>
    <x v="2"/>
    <x v="1"/>
    <s v="15.5.98"/>
    <s v="Very Poor"/>
  </r>
  <r>
    <n v="970"/>
    <n v="4580989"/>
    <x v="28"/>
    <x v="6"/>
    <s v="Crashes too often, needs improvement in stability."/>
    <x v="12"/>
    <x v="26"/>
    <x v="969"/>
    <x v="0"/>
    <x v="0"/>
    <n v="759"/>
    <x v="30"/>
    <x v="2"/>
    <x v="3"/>
    <s v="3.5.37-beta"/>
    <s v="Average"/>
  </r>
  <r>
    <n v="971"/>
    <n v="4383960"/>
    <x v="38"/>
    <x v="3"/>
    <s v="Hic quo quibusdam quasi nihil deserunt excepturi porro. Et ab ab architecto."/>
    <x v="2"/>
    <x v="40"/>
    <x v="970"/>
    <x v="0"/>
    <x v="0"/>
    <n v="103"/>
    <x v="1"/>
    <x v="11"/>
    <x v="1"/>
    <s v="v11.2.23"/>
    <s v="Very Poor"/>
  </r>
  <r>
    <n v="972"/>
    <n v="8912472"/>
    <x v="8"/>
    <x v="15"/>
    <s v="User-friendly design and smooth performance throughout."/>
    <x v="22"/>
    <x v="39"/>
    <x v="971"/>
    <x v="1"/>
    <x v="2"/>
    <n v="264"/>
    <x v="46"/>
    <x v="21"/>
    <x v="4"/>
    <s v="8.9.43-beta"/>
    <s v="Good"/>
  </r>
  <r>
    <n v="973"/>
    <n v="7581668"/>
    <x v="30"/>
    <x v="3"/>
    <s v="Latest update broke some features, please fix soon."/>
    <x v="4"/>
    <x v="40"/>
    <x v="972"/>
    <x v="0"/>
    <x v="3"/>
    <n v="242"/>
    <x v="33"/>
    <x v="24"/>
    <x v="3"/>
    <s v="1.0.50.4717"/>
    <s v="Very Poor"/>
  </r>
  <r>
    <n v="974"/>
    <n v="4852935"/>
    <x v="20"/>
    <x v="3"/>
    <s v="Deserunt ad at vel omnis. Veniam odit provident blanditiis sequi. Fugiat quisquam officia rem."/>
    <x v="5"/>
    <x v="9"/>
    <x v="973"/>
    <x v="0"/>
    <x v="3"/>
    <n v="735"/>
    <x v="34"/>
    <x v="2"/>
    <x v="3"/>
    <s v="2.8"/>
    <s v="Excellent"/>
  </r>
  <r>
    <n v="975"/>
    <n v="3191420"/>
    <x v="1"/>
    <x v="10"/>
    <s v="Some bugs need fixing but generally satisfied with it."/>
    <x v="2"/>
    <x v="0"/>
    <x v="974"/>
    <x v="0"/>
    <x v="0"/>
    <n v="899"/>
    <x v="47"/>
    <x v="24"/>
    <x v="1"/>
    <s v="10.9.1-beta"/>
    <s v="Very Poor"/>
  </r>
  <r>
    <n v="976"/>
    <n v="7934214"/>
    <x v="33"/>
    <x v="17"/>
    <s v="Great app but too many ads, consider premium version."/>
    <x v="7"/>
    <x v="34"/>
    <x v="975"/>
    <x v="0"/>
    <x v="0"/>
    <n v="1005"/>
    <x v="46"/>
    <x v="1"/>
    <x v="0"/>
    <s v="v11.3.72"/>
    <s v="Average"/>
  </r>
  <r>
    <n v="977"/>
    <n v="7707523"/>
    <x v="11"/>
    <x v="17"/>
    <s v="The interface could be better but overall good experience."/>
    <x v="11"/>
    <x v="18"/>
    <x v="976"/>
    <x v="0"/>
    <x v="2"/>
    <n v="1192"/>
    <x v="10"/>
    <x v="6"/>
    <x v="0"/>
    <s v="7.5.32-beta"/>
    <s v="Average"/>
  </r>
  <r>
    <n v="978"/>
    <n v="7263592"/>
    <x v="5"/>
    <x v="0"/>
    <s v="Works perfectly on my device, no complaints at all."/>
    <x v="15"/>
    <x v="7"/>
    <x v="977"/>
    <x v="1"/>
    <x v="2"/>
    <n v="11"/>
    <x v="19"/>
    <x v="5"/>
    <x v="4"/>
    <s v="2.0.94.524"/>
    <s v="Very Poor"/>
  </r>
  <r>
    <n v="979"/>
    <n v="5525820"/>
    <x v="23"/>
    <x v="2"/>
    <s v="生活服务一次这种任何. 发现根据不能市场. 作品不能应该开始两个."/>
    <x v="17"/>
    <x v="21"/>
    <x v="978"/>
    <x v="1"/>
    <x v="0"/>
    <n v="684"/>
    <x v="62"/>
    <x v="4"/>
    <x v="4"/>
    <s v="7.7.28.2230"/>
    <s v="Excellent"/>
  </r>
  <r>
    <n v="980"/>
    <n v="1882574"/>
    <x v="34"/>
    <x v="16"/>
    <s v="Schwimmen Brot beißen möglich Flasche kaufen. Deshalb Papa wieder rufen freuen schon weil."/>
    <x v="15"/>
    <x v="11"/>
    <x v="979"/>
    <x v="0"/>
    <x v="2"/>
    <n v="17"/>
    <x v="42"/>
    <x v="8"/>
    <x v="0"/>
    <s v="5.2"/>
    <s v="Good"/>
  </r>
  <r>
    <n v="981"/>
    <n v="8746691"/>
    <x v="26"/>
    <x v="5"/>
    <s v="Lange Hunger sehr tief Beispiel Familie heute. Dann Mann zwei Glas gegen Ball über. Hat verlieren Glück unser."/>
    <x v="0"/>
    <x v="40"/>
    <x v="980"/>
    <x v="1"/>
    <x v="2"/>
    <n v="883"/>
    <x v="61"/>
    <x v="9"/>
    <x v="1"/>
    <s v="v1.7.14"/>
    <s v="Very Poor"/>
  </r>
  <r>
    <n v="982"/>
    <n v="4964699"/>
    <x v="6"/>
    <x v="0"/>
    <s v="Works perfectly on my device, no complaints at all."/>
    <x v="22"/>
    <x v="39"/>
    <x v="981"/>
    <x v="0"/>
    <x v="3"/>
    <n v="894"/>
    <x v="20"/>
    <x v="5"/>
    <x v="3"/>
    <s v="v9.9.62"/>
    <s v="Good"/>
  </r>
  <r>
    <n v="983"/>
    <n v="3063163"/>
    <x v="13"/>
    <x v="10"/>
    <s v="This app is amazing! Really love the new features."/>
    <x v="17"/>
    <x v="12"/>
    <x v="982"/>
    <x v="0"/>
    <x v="0"/>
    <n v="1095"/>
    <x v="62"/>
    <x v="8"/>
    <x v="4"/>
    <s v="3.1.48.9110"/>
    <s v="Excellent"/>
  </r>
  <r>
    <n v="984"/>
    <n v="6545196"/>
    <x v="8"/>
    <x v="10"/>
    <s v="其他朋友我的程序单位."/>
    <x v="15"/>
    <x v="27"/>
    <x v="983"/>
    <x v="1"/>
    <x v="3"/>
    <n v="282"/>
    <x v="12"/>
    <x v="7"/>
    <x v="2"/>
    <s v="v15.2.65"/>
    <s v="Very Poor"/>
  </r>
  <r>
    <n v="985"/>
    <n v="7448147"/>
    <x v="0"/>
    <x v="1"/>
    <s v="User-friendly design and smooth performance throughout."/>
    <x v="1"/>
    <x v="2"/>
    <x v="984"/>
    <x v="0"/>
    <x v="2"/>
    <n v="1074"/>
    <x v="38"/>
    <x v="12"/>
    <x v="1"/>
    <s v="3.2.7"/>
    <s v="Average"/>
  </r>
  <r>
    <n v="986"/>
    <n v="2447853"/>
    <x v="38"/>
    <x v="5"/>
    <s v="游戏系列学校. 朋友业务运行以上只要中文报告. 产品已经责任."/>
    <x v="8"/>
    <x v="1"/>
    <x v="985"/>
    <x v="0"/>
    <x v="2"/>
    <n v="267"/>
    <x v="13"/>
    <x v="10"/>
    <x v="2"/>
    <s v="12.0"/>
    <s v="Very Poor"/>
  </r>
  <r>
    <n v="987"/>
    <n v="2082850"/>
    <x v="18"/>
    <x v="11"/>
    <s v="This app is amazing! Really love the new features."/>
    <x v="16"/>
    <x v="35"/>
    <x v="986"/>
    <x v="1"/>
    <x v="2"/>
    <n v="5"/>
    <x v="9"/>
    <x v="3"/>
    <x v="3"/>
    <s v="15.2.64-beta"/>
    <s v="Poor"/>
  </r>
  <r>
    <n v="988"/>
    <n v="8876491"/>
    <x v="31"/>
    <x v="0"/>
    <s v="Crashes too often, needs improvement in stability."/>
    <x v="5"/>
    <x v="27"/>
    <x v="987"/>
    <x v="1"/>
    <x v="4"/>
    <n v="961"/>
    <x v="52"/>
    <x v="1"/>
    <x v="4"/>
    <s v="10.8.28"/>
    <s v="Very Poor"/>
  </r>
  <r>
    <n v="989"/>
    <n v="9102006"/>
    <x v="26"/>
    <x v="15"/>
    <s v="Crashes too often, needs improvement in stability."/>
    <x v="14"/>
    <x v="30"/>
    <x v="988"/>
    <x v="1"/>
    <x v="2"/>
    <n v="242"/>
    <x v="60"/>
    <x v="17"/>
    <x v="1"/>
    <s v="4.8.35.1096"/>
    <s v="Average"/>
  </r>
  <r>
    <n v="990"/>
    <n v="9819808"/>
    <x v="31"/>
    <x v="9"/>
    <s v="Unde alias consequuntur officiis iusto. Aliquid praesentium consectetur cupiditate amet esse recusandae itaque. Saepe aperiam repellendus beatae."/>
    <x v="6"/>
    <x v="11"/>
    <x v="989"/>
    <x v="1"/>
    <x v="1"/>
    <n v="740"/>
    <x v="10"/>
    <x v="18"/>
    <x v="4"/>
    <s v="13.0.49-beta"/>
    <s v="Good"/>
  </r>
  <r>
    <n v="991"/>
    <n v="3800592"/>
    <x v="32"/>
    <x v="2"/>
    <s v="Great app but too many ads, consider premium version."/>
    <x v="23"/>
    <x v="22"/>
    <x v="990"/>
    <x v="0"/>
    <x v="3"/>
    <n v="771"/>
    <x v="12"/>
    <x v="10"/>
    <x v="0"/>
    <s v="4.4"/>
    <s v="Poor"/>
  </r>
  <r>
    <n v="992"/>
    <n v="7250641"/>
    <x v="20"/>
    <x v="5"/>
    <s v="Конструкция а столетие неправда указанный невозможно. Карман полностью лететь мера. Степь палец передо девка."/>
    <x v="17"/>
    <x v="15"/>
    <x v="991"/>
    <x v="0"/>
    <x v="2"/>
    <n v="207"/>
    <x v="9"/>
    <x v="13"/>
    <x v="4"/>
    <s v="v5.3.52"/>
    <s v="Poor"/>
  </r>
  <r>
    <n v="993"/>
    <n v="9384641"/>
    <x v="29"/>
    <x v="0"/>
    <s v="Obecnie kolumna nasz pięć. Opowiadać odwaga a student mieć żołnierz wszystko koszula. Sześćdziesiąt zakończyć handlowy głód ogień."/>
    <x v="9"/>
    <x v="2"/>
    <x v="992"/>
    <x v="0"/>
    <x v="3"/>
    <n v="778"/>
    <x v="11"/>
    <x v="2"/>
    <x v="0"/>
    <s v="12.9"/>
    <s v="Average"/>
  </r>
  <r>
    <n v="994"/>
    <n v="8875941"/>
    <x v="20"/>
    <x v="9"/>
    <s v="Perfect for daily use, highly recommend to everyone."/>
    <x v="7"/>
    <x v="35"/>
    <x v="993"/>
    <x v="0"/>
    <x v="2"/>
    <n v="71"/>
    <x v="44"/>
    <x v="8"/>
    <x v="0"/>
    <s v="v3.5.85"/>
    <s v="Poor"/>
  </r>
  <r>
    <n v="995"/>
    <n v="4114011"/>
    <x v="26"/>
    <x v="13"/>
    <s v="Nostrum alias debitis libero. Occaecati quos expedita a. Deleniti voluptates voluptate nulla sint."/>
    <x v="1"/>
    <x v="34"/>
    <x v="994"/>
    <x v="0"/>
    <x v="0"/>
    <n v="822"/>
    <x v="54"/>
    <x v="8"/>
    <x v="3"/>
    <s v="12.4.47-beta"/>
    <s v="Average"/>
  </r>
  <r>
    <n v="996"/>
    <n v="3778843"/>
    <x v="12"/>
    <x v="16"/>
    <s v="Excellent customer support and regular feature updates."/>
    <x v="6"/>
    <x v="33"/>
    <x v="995"/>
    <x v="1"/>
    <x v="4"/>
    <n v="882"/>
    <x v="20"/>
    <x v="24"/>
    <x v="0"/>
    <s v="6.9.60-beta"/>
    <s v="Poor"/>
  </r>
  <r>
    <n v="997"/>
    <n v="3591484"/>
    <x v="4"/>
    <x v="4"/>
    <s v="Arriver cacher cher sembler temps. Composer plaisir apprendre pauvre droite habiter espèce."/>
    <x v="5"/>
    <x v="1"/>
    <x v="996"/>
    <x v="1"/>
    <x v="1"/>
    <n v="1179"/>
    <x v="16"/>
    <x v="1"/>
    <x v="3"/>
    <s v="15.9.39"/>
    <s v="Very Poor"/>
  </r>
  <r>
    <n v="998"/>
    <n v="7702555"/>
    <x v="3"/>
    <x v="5"/>
    <s v="Works perfectly on my device, no complaints at all."/>
    <x v="22"/>
    <x v="12"/>
    <x v="997"/>
    <x v="0"/>
    <x v="1"/>
    <n v="107"/>
    <x v="7"/>
    <x v="24"/>
    <x v="4"/>
    <s v="4.5.99"/>
    <s v="Excellent"/>
  </r>
  <r>
    <n v="999"/>
    <n v="980075"/>
    <x v="25"/>
    <x v="4"/>
    <s v="Perfect for daily use, highly recommend to everyone."/>
    <x v="15"/>
    <x v="39"/>
    <x v="998"/>
    <x v="0"/>
    <x v="2"/>
    <n v="213"/>
    <x v="43"/>
    <x v="16"/>
    <x v="1"/>
    <s v="15.4.27-beta"/>
    <s v="Good"/>
  </r>
  <r>
    <n v="1000"/>
    <n v="3050904"/>
    <x v="16"/>
    <x v="7"/>
    <s v="Some bugs need fixing but generally satisfied with it."/>
    <x v="1"/>
    <x v="28"/>
    <x v="999"/>
    <x v="0"/>
    <x v="2"/>
    <n v="742"/>
    <x v="58"/>
    <x v="16"/>
    <x v="3"/>
    <s v="3.1.10.6036"/>
    <s v="Poor"/>
  </r>
  <r>
    <n v="1001"/>
    <n v="8237979"/>
    <x v="3"/>
    <x v="10"/>
    <s v="Różny dać się 60 zakres wojsko brzeg oglądać. Francuski alfabet utwór męski dziki ich. Kilka pokryć grupa próbować pomoc."/>
    <x v="23"/>
    <x v="3"/>
    <x v="1000"/>
    <x v="0"/>
    <x v="0"/>
    <n v="699"/>
    <x v="42"/>
    <x v="7"/>
    <x v="0"/>
    <s v="1.1"/>
    <s v="Average"/>
  </r>
  <r>
    <n v="1002"/>
    <n v="3087363"/>
    <x v="37"/>
    <x v="16"/>
    <s v="This app is amazing! Really love the new features."/>
    <x v="3"/>
    <x v="31"/>
    <x v="1001"/>
    <x v="0"/>
    <x v="1"/>
    <n v="312"/>
    <x v="58"/>
    <x v="10"/>
    <x v="4"/>
    <s v="4.3.59"/>
    <s v="Good"/>
  </r>
  <r>
    <n v="1003"/>
    <n v="2388489"/>
    <x v="15"/>
    <x v="11"/>
    <s v="Crashes too often, needs improvement in stability."/>
    <x v="17"/>
    <x v="19"/>
    <x v="1002"/>
    <x v="1"/>
    <x v="2"/>
    <n v="245"/>
    <x v="4"/>
    <x v="19"/>
    <x v="4"/>
    <s v="1.2"/>
    <s v="Poor"/>
  </r>
  <r>
    <n v="1004"/>
    <n v="3357379"/>
    <x v="31"/>
    <x v="14"/>
    <s v="Perfect for daily use, highly recommend to everyone."/>
    <x v="20"/>
    <x v="26"/>
    <x v="1003"/>
    <x v="0"/>
    <x v="1"/>
    <n v="315"/>
    <x v="27"/>
    <x v="1"/>
    <x v="0"/>
    <s v="13.1.63"/>
    <s v="Average"/>
  </r>
  <r>
    <n v="1005"/>
    <n v="4624723"/>
    <x v="11"/>
    <x v="1"/>
    <s v="Perfect for daily use, highly recommend to everyone."/>
    <x v="7"/>
    <x v="1"/>
    <x v="1004"/>
    <x v="0"/>
    <x v="2"/>
    <n v="906"/>
    <x v="35"/>
    <x v="8"/>
    <x v="4"/>
    <s v="6.2.92.6120"/>
    <s v="Very Poor"/>
  </r>
  <r>
    <n v="1006"/>
    <n v="2234259"/>
    <x v="9"/>
    <x v="1"/>
    <s v="The interface could be better but overall good experience."/>
    <x v="6"/>
    <x v="25"/>
    <x v="1005"/>
    <x v="1"/>
    <x v="4"/>
    <n v="961"/>
    <x v="51"/>
    <x v="0"/>
    <x v="1"/>
    <s v="13.5"/>
    <s v="Poor"/>
  </r>
  <r>
    <n v="1007"/>
    <n v="9640629"/>
    <x v="2"/>
    <x v="14"/>
    <s v="User-friendly design and smooth performance throughout."/>
    <x v="22"/>
    <x v="1"/>
    <x v="1006"/>
    <x v="0"/>
    <x v="4"/>
    <n v="725"/>
    <x v="15"/>
    <x v="5"/>
    <x v="0"/>
    <s v="13.2.25"/>
    <s v="Very Poor"/>
  </r>
  <r>
    <n v="1008"/>
    <n v="2390115"/>
    <x v="11"/>
    <x v="16"/>
    <s v="Great app but too many ads, consider premium version."/>
    <x v="11"/>
    <x v="6"/>
    <x v="1007"/>
    <x v="0"/>
    <x v="2"/>
    <n v="297"/>
    <x v="20"/>
    <x v="20"/>
    <x v="4"/>
    <s v="15.4.68-beta"/>
    <s v="Good"/>
  </r>
  <r>
    <n v="1009"/>
    <n v="7793677"/>
    <x v="28"/>
    <x v="12"/>
    <s v="Crashes too often, needs improvement in stability."/>
    <x v="12"/>
    <x v="37"/>
    <x v="1008"/>
    <x v="0"/>
    <x v="1"/>
    <n v="829"/>
    <x v="10"/>
    <x v="1"/>
    <x v="0"/>
    <s v="5.2.44.9179"/>
    <s v="Average"/>
  </r>
  <r>
    <n v="1010"/>
    <n v="5864248"/>
    <x v="21"/>
    <x v="1"/>
    <s v="Latest update broke some features, please fix soon."/>
    <x v="20"/>
    <x v="13"/>
    <x v="1009"/>
    <x v="0"/>
    <x v="0"/>
    <n v="564"/>
    <x v="45"/>
    <x v="2"/>
    <x v="1"/>
    <s v="14.7.31"/>
    <s v="Average"/>
  </r>
  <r>
    <n v="1011"/>
    <n v="2730468"/>
    <x v="7"/>
    <x v="4"/>
    <s v="Tant naissance mettre décrire fumer magnifique six curieux. Seconde douter prouver qualité désert envie nation."/>
    <x v="15"/>
    <x v="7"/>
    <x v="1010"/>
    <x v="0"/>
    <x v="1"/>
    <n v="817"/>
    <x v="35"/>
    <x v="4"/>
    <x v="2"/>
    <s v="3.0"/>
    <s v="Very Poor"/>
  </r>
  <r>
    <n v="1012"/>
    <n v="2599296"/>
    <x v="39"/>
    <x v="4"/>
    <s v="Works perfectly on my device, no complaints at all."/>
    <x v="4"/>
    <x v="15"/>
    <x v="1011"/>
    <x v="0"/>
    <x v="4"/>
    <n v="1159"/>
    <x v="40"/>
    <x v="16"/>
    <x v="3"/>
    <s v="5.9.9"/>
    <s v="Poor"/>
  </r>
  <r>
    <n v="1013"/>
    <n v="185187"/>
    <x v="21"/>
    <x v="17"/>
    <s v="Crashes too often, needs improvement in stability."/>
    <x v="2"/>
    <x v="19"/>
    <x v="1012"/>
    <x v="0"/>
    <x v="4"/>
    <n v="280"/>
    <x v="0"/>
    <x v="14"/>
    <x v="0"/>
    <s v="10.5.57-beta"/>
    <s v="Poor"/>
  </r>
  <r>
    <n v="1014"/>
    <n v="772073"/>
    <x v="27"/>
    <x v="5"/>
    <s v="Quasi magnam incidunt hic repellat possimus atque."/>
    <x v="8"/>
    <x v="10"/>
    <x v="1013"/>
    <x v="0"/>
    <x v="3"/>
    <n v="826"/>
    <x v="46"/>
    <x v="5"/>
    <x v="4"/>
    <s v="12.1.19"/>
    <s v="Poor"/>
  </r>
  <r>
    <n v="1015"/>
    <n v="1494044"/>
    <x v="34"/>
    <x v="16"/>
    <s v="Rapide pourquoi frère d'abord existence dent y."/>
    <x v="11"/>
    <x v="2"/>
    <x v="1014"/>
    <x v="0"/>
    <x v="4"/>
    <n v="942"/>
    <x v="43"/>
    <x v="11"/>
    <x v="4"/>
    <s v="8.7.29.1310"/>
    <s v="Average"/>
  </r>
  <r>
    <n v="1016"/>
    <n v="5214309"/>
    <x v="0"/>
    <x v="17"/>
    <s v="The interface could be better but overall good experience."/>
    <x v="3"/>
    <x v="39"/>
    <x v="1015"/>
    <x v="1"/>
    <x v="1"/>
    <n v="632"/>
    <x v="57"/>
    <x v="19"/>
    <x v="4"/>
    <s v="11.9"/>
    <s v="Good"/>
  </r>
  <r>
    <n v="1017"/>
    <n v="7805487"/>
    <x v="15"/>
    <x v="7"/>
    <s v="No Review"/>
    <x v="1"/>
    <x v="5"/>
    <x v="1016"/>
    <x v="0"/>
    <x v="3"/>
    <n v="934"/>
    <x v="44"/>
    <x v="18"/>
    <x v="2"/>
    <s v="2.9.8"/>
    <s v="Excellent"/>
  </r>
  <r>
    <n v="1018"/>
    <n v="5075954"/>
    <x v="25"/>
    <x v="12"/>
    <s v="Excellent customer support and regular feature updates."/>
    <x v="11"/>
    <x v="12"/>
    <x v="1017"/>
    <x v="1"/>
    <x v="4"/>
    <n v="859"/>
    <x v="58"/>
    <x v="20"/>
    <x v="2"/>
    <s v="v9.6.63"/>
    <s v="Excellent"/>
  </r>
  <r>
    <n v="1019"/>
    <n v="4626314"/>
    <x v="26"/>
    <x v="16"/>
    <s v="Excellent customer support and regular feature updates."/>
    <x v="4"/>
    <x v="33"/>
    <x v="1018"/>
    <x v="1"/>
    <x v="1"/>
    <n v="1157"/>
    <x v="4"/>
    <x v="21"/>
    <x v="0"/>
    <s v="4.5.40-beta"/>
    <s v="Poor"/>
  </r>
  <r>
    <n v="1020"/>
    <n v="9200550"/>
    <x v="33"/>
    <x v="2"/>
    <s v="This app is amazing! Really love the new features."/>
    <x v="12"/>
    <x v="33"/>
    <x v="1019"/>
    <x v="0"/>
    <x v="4"/>
    <n v="330"/>
    <x v="27"/>
    <x v="9"/>
    <x v="2"/>
    <s v="v4.5.26"/>
    <s v="Poor"/>
  </r>
  <r>
    <n v="1021"/>
    <n v="1458267"/>
    <x v="29"/>
    <x v="12"/>
    <s v="Sunt quasi amet veniam perferendis suscipit beatae facilis. Aliquam facilis officia provident natus quo consequuntur ex."/>
    <x v="10"/>
    <x v="12"/>
    <x v="1020"/>
    <x v="0"/>
    <x v="0"/>
    <n v="890"/>
    <x v="18"/>
    <x v="18"/>
    <x v="3"/>
    <s v="15.8.79.9169"/>
    <s v="Excellent"/>
  </r>
  <r>
    <n v="1022"/>
    <n v="8127788"/>
    <x v="17"/>
    <x v="3"/>
    <s v="Excellent customer support and regular feature updates."/>
    <x v="21"/>
    <x v="35"/>
    <x v="1021"/>
    <x v="1"/>
    <x v="3"/>
    <n v="496"/>
    <x v="3"/>
    <x v="8"/>
    <x v="3"/>
    <s v="13.4.78-beta"/>
    <s v="Poor"/>
  </r>
  <r>
    <n v="1023"/>
    <n v="9832788"/>
    <x v="17"/>
    <x v="6"/>
    <s v="Great app but too many ads, consider premium version."/>
    <x v="6"/>
    <x v="10"/>
    <x v="1022"/>
    <x v="1"/>
    <x v="3"/>
    <n v="976"/>
    <x v="25"/>
    <x v="20"/>
    <x v="4"/>
    <s v="9.8"/>
    <s v="Poor"/>
  </r>
  <r>
    <n v="1024"/>
    <n v="3619758"/>
    <x v="3"/>
    <x v="0"/>
    <s v="This app is amazing! Really love the new features."/>
    <x v="8"/>
    <x v="32"/>
    <x v="1023"/>
    <x v="1"/>
    <x v="0"/>
    <n v="88"/>
    <x v="47"/>
    <x v="11"/>
    <x v="3"/>
    <s v="4.2.13.131"/>
    <s v="Very Poor"/>
  </r>
  <r>
    <n v="1025"/>
    <n v="3882209"/>
    <x v="39"/>
    <x v="4"/>
    <s v="This app is amazing! Really love the new features."/>
    <x v="19"/>
    <x v="15"/>
    <x v="1024"/>
    <x v="0"/>
    <x v="0"/>
    <n v="623"/>
    <x v="16"/>
    <x v="0"/>
    <x v="4"/>
    <s v="8.9.16"/>
    <s v="Poor"/>
  </r>
  <r>
    <n v="1026"/>
    <n v="4585520"/>
    <x v="16"/>
    <x v="0"/>
    <s v="Wrażenie myśl rzecz długość wrzesień wrogi stopień. Małpa twardy powstać gniew ukraiński skłonność kostka."/>
    <x v="6"/>
    <x v="3"/>
    <x v="1025"/>
    <x v="0"/>
    <x v="0"/>
    <n v="389"/>
    <x v="26"/>
    <x v="4"/>
    <x v="3"/>
    <s v="v3.1.26"/>
    <s v="Average"/>
  </r>
  <r>
    <n v="1027"/>
    <n v="3260048"/>
    <x v="23"/>
    <x v="17"/>
    <s v="Latest update broke some features, please fix soon."/>
    <x v="8"/>
    <x v="28"/>
    <x v="1026"/>
    <x v="0"/>
    <x v="0"/>
    <n v="453"/>
    <x v="1"/>
    <x v="0"/>
    <x v="0"/>
    <s v="2.4.90.5907"/>
    <s v="Poor"/>
  </r>
  <r>
    <n v="1028"/>
    <n v="1564797"/>
    <x v="18"/>
    <x v="16"/>
    <s v="Latest update broke some features, please fix soon."/>
    <x v="12"/>
    <x v="15"/>
    <x v="1027"/>
    <x v="0"/>
    <x v="2"/>
    <n v="220"/>
    <x v="0"/>
    <x v="18"/>
    <x v="0"/>
    <s v="3.2"/>
    <s v="Poor"/>
  </r>
  <r>
    <n v="1029"/>
    <n v="3099964"/>
    <x v="31"/>
    <x v="8"/>
    <s v="Valeur avant colère cabinet chemin. Sonner madame pareil éclater. Tout inutile geste quant à aider contenir aile."/>
    <x v="1"/>
    <x v="33"/>
    <x v="1028"/>
    <x v="0"/>
    <x v="3"/>
    <n v="102"/>
    <x v="36"/>
    <x v="6"/>
    <x v="1"/>
    <s v="v14.0.4"/>
    <s v="Poor"/>
  </r>
  <r>
    <n v="1030"/>
    <n v="8817785"/>
    <x v="18"/>
    <x v="11"/>
    <s v="Great app but too many ads, consider premium version."/>
    <x v="2"/>
    <x v="32"/>
    <x v="1029"/>
    <x v="0"/>
    <x v="3"/>
    <n v="1248"/>
    <x v="23"/>
    <x v="24"/>
    <x v="2"/>
    <s v="5.3"/>
    <s v="Very Poor"/>
  </r>
  <r>
    <n v="1031"/>
    <n v="7007041"/>
    <x v="34"/>
    <x v="17"/>
    <s v="Garden position for order recent success knowledge fight."/>
    <x v="23"/>
    <x v="29"/>
    <x v="1030"/>
    <x v="0"/>
    <x v="0"/>
    <n v="1174"/>
    <x v="45"/>
    <x v="20"/>
    <x v="0"/>
    <s v="4.2.66.2512"/>
    <s v="Very Poor"/>
  </r>
  <r>
    <n v="1032"/>
    <n v="2981270"/>
    <x v="40"/>
    <x v="0"/>
    <s v="Works perfectly on my device, no complaints at all."/>
    <x v="14"/>
    <x v="39"/>
    <x v="1031"/>
    <x v="0"/>
    <x v="3"/>
    <n v="1249"/>
    <x v="34"/>
    <x v="11"/>
    <x v="0"/>
    <s v="11.6.58"/>
    <s v="Good"/>
  </r>
  <r>
    <n v="1033"/>
    <n v="3904769"/>
    <x v="19"/>
    <x v="1"/>
    <s v="This app is amazing! Really love the new features."/>
    <x v="13"/>
    <x v="15"/>
    <x v="1032"/>
    <x v="0"/>
    <x v="2"/>
    <n v="95"/>
    <x v="32"/>
    <x v="5"/>
    <x v="3"/>
    <s v="12.9.71-beta"/>
    <s v="Poor"/>
  </r>
  <r>
    <n v="1034"/>
    <n v="4934292"/>
    <x v="26"/>
    <x v="3"/>
    <s v="Great app but too many ads, consider premium version."/>
    <x v="2"/>
    <x v="24"/>
    <x v="1033"/>
    <x v="0"/>
    <x v="0"/>
    <n v="530"/>
    <x v="7"/>
    <x v="5"/>
    <x v="2"/>
    <s v="v8.2.20"/>
    <s v="Poor"/>
  </r>
  <r>
    <n v="1035"/>
    <n v="2588704"/>
    <x v="11"/>
    <x v="4"/>
    <s v="Eligendi vero nulla cum modi delectus."/>
    <x v="1"/>
    <x v="7"/>
    <x v="1034"/>
    <x v="1"/>
    <x v="1"/>
    <n v="1109"/>
    <x v="35"/>
    <x v="5"/>
    <x v="2"/>
    <s v="14.4.52.1735"/>
    <s v="Very Poor"/>
  </r>
  <r>
    <n v="1036"/>
    <n v="2675047"/>
    <x v="40"/>
    <x v="7"/>
    <s v="Dolores aliquam et consectetur. Fuga dignissimos provident pariatur voluptatem."/>
    <x v="20"/>
    <x v="6"/>
    <x v="1035"/>
    <x v="0"/>
    <x v="1"/>
    <n v="521"/>
    <x v="30"/>
    <x v="13"/>
    <x v="0"/>
    <s v="3.5.76.658"/>
    <s v="Good"/>
  </r>
  <r>
    <n v="1037"/>
    <n v="7623391"/>
    <x v="40"/>
    <x v="7"/>
    <s v="User-friendly design and smooth performance throughout."/>
    <x v="6"/>
    <x v="7"/>
    <x v="1036"/>
    <x v="0"/>
    <x v="1"/>
    <n v="1132"/>
    <x v="60"/>
    <x v="7"/>
    <x v="4"/>
    <s v="2.2.10"/>
    <s v="Very Poor"/>
  </r>
  <r>
    <n v="1038"/>
    <n v="9053043"/>
    <x v="11"/>
    <x v="12"/>
    <s v="The interface could be better but overall good experience."/>
    <x v="21"/>
    <x v="16"/>
    <x v="1037"/>
    <x v="0"/>
    <x v="3"/>
    <n v="515"/>
    <x v="61"/>
    <x v="22"/>
    <x v="0"/>
    <s v="12.0.80.3696"/>
    <s v="Excellent"/>
  </r>
  <r>
    <n v="1039"/>
    <n v="518175"/>
    <x v="19"/>
    <x v="5"/>
    <s v="User-friendly design and smooth performance throughout."/>
    <x v="12"/>
    <x v="32"/>
    <x v="1038"/>
    <x v="0"/>
    <x v="1"/>
    <n v="592"/>
    <x v="36"/>
    <x v="23"/>
    <x v="1"/>
    <s v="15.7"/>
    <s v="Very Poor"/>
  </r>
  <r>
    <n v="1040"/>
    <n v="2539136"/>
    <x v="21"/>
    <x v="17"/>
    <s v="Wichtig Ding zeigen Mensch letzte Polizei Garten. Zeigen so zwischen rund Stunde."/>
    <x v="19"/>
    <x v="22"/>
    <x v="1039"/>
    <x v="0"/>
    <x v="4"/>
    <n v="624"/>
    <x v="8"/>
    <x v="13"/>
    <x v="2"/>
    <s v="15.3.94.25"/>
    <s v="Poor"/>
  </r>
  <r>
    <n v="1041"/>
    <n v="5782181"/>
    <x v="34"/>
    <x v="6"/>
    <s v="The interface could be better but overall good experience."/>
    <x v="5"/>
    <x v="39"/>
    <x v="1040"/>
    <x v="0"/>
    <x v="1"/>
    <n v="388"/>
    <x v="59"/>
    <x v="16"/>
    <x v="2"/>
    <s v="14.5.78.6186"/>
    <s v="Good"/>
  </r>
  <r>
    <n v="1042"/>
    <n v="8135971"/>
    <x v="24"/>
    <x v="7"/>
    <s v="Crashes too often, needs improvement in stability."/>
    <x v="11"/>
    <x v="12"/>
    <x v="1041"/>
    <x v="0"/>
    <x v="0"/>
    <n v="653"/>
    <x v="59"/>
    <x v="14"/>
    <x v="0"/>
    <s v="15.9.94-beta"/>
    <s v="Excellent"/>
  </r>
  <r>
    <n v="1043"/>
    <n v="2439134"/>
    <x v="10"/>
    <x v="3"/>
    <s v="Crashes too often, needs improvement in stability."/>
    <x v="14"/>
    <x v="17"/>
    <x v="1042"/>
    <x v="0"/>
    <x v="4"/>
    <n v="146"/>
    <x v="24"/>
    <x v="15"/>
    <x v="0"/>
    <s v="v3.9.17"/>
    <s v="Average"/>
  </r>
  <r>
    <n v="1044"/>
    <n v="2060855"/>
    <x v="30"/>
    <x v="16"/>
    <s v="Excellent customer support and regular feature updates."/>
    <x v="4"/>
    <x v="22"/>
    <x v="1043"/>
    <x v="0"/>
    <x v="2"/>
    <n v="87"/>
    <x v="4"/>
    <x v="1"/>
    <x v="1"/>
    <s v="4.7.85-beta"/>
    <s v="Poor"/>
  </r>
  <r>
    <n v="1045"/>
    <n v="6838231"/>
    <x v="27"/>
    <x v="17"/>
    <s v="Excellent customer support and regular feature updates."/>
    <x v="0"/>
    <x v="38"/>
    <x v="1044"/>
    <x v="0"/>
    <x v="2"/>
    <n v="321"/>
    <x v="39"/>
    <x v="6"/>
    <x v="1"/>
    <s v="4.1.28"/>
    <s v="Good"/>
  </r>
  <r>
    <n v="1046"/>
    <n v="7582180"/>
    <x v="20"/>
    <x v="14"/>
    <s v="Works perfectly on my device, no complaints at all."/>
    <x v="0"/>
    <x v="10"/>
    <x v="1045"/>
    <x v="0"/>
    <x v="0"/>
    <n v="822"/>
    <x v="52"/>
    <x v="19"/>
    <x v="1"/>
    <s v="11.1.91.6103"/>
    <s v="Poor"/>
  </r>
  <r>
    <n v="1047"/>
    <n v="5575520"/>
    <x v="25"/>
    <x v="12"/>
    <s v="Oh corps mal renverser. Côte bande serrer plusieurs valeur. Fonder justice obtenir longtemps aspect place former."/>
    <x v="6"/>
    <x v="12"/>
    <x v="1046"/>
    <x v="0"/>
    <x v="0"/>
    <n v="905"/>
    <x v="19"/>
    <x v="13"/>
    <x v="2"/>
    <s v="13.2.86"/>
    <s v="Excellent"/>
  </r>
  <r>
    <n v="1048"/>
    <n v="6301361"/>
    <x v="31"/>
    <x v="12"/>
    <s v="Crashes too often, needs improvement in stability."/>
    <x v="13"/>
    <x v="22"/>
    <x v="1047"/>
    <x v="0"/>
    <x v="2"/>
    <n v="228"/>
    <x v="48"/>
    <x v="23"/>
    <x v="4"/>
    <s v="14.6.95"/>
    <s v="Poor"/>
  </r>
  <r>
    <n v="1049"/>
    <n v="304527"/>
    <x v="15"/>
    <x v="12"/>
    <s v="Exercitationem est ipsum natus dolor. Qui impedit ipsam cum quas tempore."/>
    <x v="4"/>
    <x v="19"/>
    <x v="1048"/>
    <x v="0"/>
    <x v="3"/>
    <n v="1163"/>
    <x v="40"/>
    <x v="8"/>
    <x v="1"/>
    <s v="3.9"/>
    <s v="Poor"/>
  </r>
  <r>
    <n v="1050"/>
    <n v="2441557"/>
    <x v="29"/>
    <x v="15"/>
    <s v="The interface could be better but overall good experience."/>
    <x v="4"/>
    <x v="4"/>
    <x v="1049"/>
    <x v="0"/>
    <x v="4"/>
    <n v="449"/>
    <x v="42"/>
    <x v="15"/>
    <x v="2"/>
    <s v="10.8.12.2636"/>
    <s v="Average"/>
  </r>
  <r>
    <n v="1051"/>
    <n v="1544148"/>
    <x v="16"/>
    <x v="17"/>
    <s v="Perfect for daily use, highly recommend to everyone."/>
    <x v="22"/>
    <x v="40"/>
    <x v="1050"/>
    <x v="0"/>
    <x v="4"/>
    <n v="668"/>
    <x v="44"/>
    <x v="9"/>
    <x v="3"/>
    <s v="12.2"/>
    <s v="Very Poor"/>
  </r>
  <r>
    <n v="1052"/>
    <n v="5187374"/>
    <x v="7"/>
    <x v="7"/>
    <s v="Write moment friend value opportunity heart according."/>
    <x v="11"/>
    <x v="36"/>
    <x v="1051"/>
    <x v="0"/>
    <x v="0"/>
    <n v="335"/>
    <x v="58"/>
    <x v="10"/>
    <x v="2"/>
    <s v="15.6.78.2801"/>
    <s v="Poor"/>
  </r>
  <r>
    <n v="1053"/>
    <n v="7054391"/>
    <x v="35"/>
    <x v="2"/>
    <s v="Nam quae quidem consequatur. Rerum enim laudantium reprehenderit. Rerum esse nam iure ad."/>
    <x v="17"/>
    <x v="26"/>
    <x v="1052"/>
    <x v="0"/>
    <x v="3"/>
    <n v="824"/>
    <x v="22"/>
    <x v="1"/>
    <x v="2"/>
    <s v="Unknown"/>
    <s v="Average"/>
  </r>
  <r>
    <n v="1054"/>
    <n v="4506989"/>
    <x v="40"/>
    <x v="17"/>
    <s v="Vague science interroger perdre suivant."/>
    <x v="15"/>
    <x v="4"/>
    <x v="1053"/>
    <x v="0"/>
    <x v="3"/>
    <n v="458"/>
    <x v="34"/>
    <x v="9"/>
    <x v="2"/>
    <s v="3.8"/>
    <s v="Average"/>
  </r>
  <r>
    <n v="1055"/>
    <n v="8352486"/>
    <x v="26"/>
    <x v="2"/>
    <s v="Works perfectly on my device, no complaints at all."/>
    <x v="3"/>
    <x v="37"/>
    <x v="1054"/>
    <x v="1"/>
    <x v="3"/>
    <n v="342"/>
    <x v="33"/>
    <x v="6"/>
    <x v="4"/>
    <s v="15.7.63"/>
    <s v="Average"/>
  </r>
  <r>
    <n v="1056"/>
    <n v="4206228"/>
    <x v="33"/>
    <x v="9"/>
    <s v="Campo dovere volto."/>
    <x v="10"/>
    <x v="16"/>
    <x v="1055"/>
    <x v="0"/>
    <x v="0"/>
    <n v="1186"/>
    <x v="2"/>
    <x v="5"/>
    <x v="0"/>
    <s v="10.7.52-beta"/>
    <s v="Excellent"/>
  </r>
  <r>
    <n v="1057"/>
    <n v="6169317"/>
    <x v="36"/>
    <x v="2"/>
    <s v="Crashes too often, needs improvement in stability."/>
    <x v="5"/>
    <x v="14"/>
    <x v="1056"/>
    <x v="0"/>
    <x v="3"/>
    <n v="192"/>
    <x v="32"/>
    <x v="11"/>
    <x v="2"/>
    <s v="7.5.89.6542"/>
    <s v="Excellent"/>
  </r>
  <r>
    <n v="1058"/>
    <n v="9588767"/>
    <x v="37"/>
    <x v="1"/>
    <s v="Specie pensiero luce privato campo mese. Affrontare distinguere ogni chiesa lei principio fratello."/>
    <x v="14"/>
    <x v="30"/>
    <x v="1057"/>
    <x v="0"/>
    <x v="3"/>
    <n v="46"/>
    <x v="17"/>
    <x v="24"/>
    <x v="2"/>
    <s v="10.4.85"/>
    <s v="Average"/>
  </r>
  <r>
    <n v="1059"/>
    <n v="6159317"/>
    <x v="22"/>
    <x v="2"/>
    <s v="厳しい午前移動教会サンプル主人。 風景フェミニストストレージ軸緩む。"/>
    <x v="15"/>
    <x v="13"/>
    <x v="1058"/>
    <x v="0"/>
    <x v="1"/>
    <n v="1145"/>
    <x v="34"/>
    <x v="16"/>
    <x v="4"/>
    <s v="8.0.71.64"/>
    <s v="Average"/>
  </r>
  <r>
    <n v="1060"/>
    <n v="5151155"/>
    <x v="28"/>
    <x v="14"/>
    <s v="User-friendly design and smooth performance throughout."/>
    <x v="6"/>
    <x v="21"/>
    <x v="1059"/>
    <x v="1"/>
    <x v="1"/>
    <n v="422"/>
    <x v="51"/>
    <x v="7"/>
    <x v="4"/>
    <s v="14.4.14-beta"/>
    <s v="Excellent"/>
  </r>
  <r>
    <n v="1061"/>
    <n v="6182121"/>
    <x v="26"/>
    <x v="15"/>
    <s v="Some bugs need fixing but generally satisfied with it."/>
    <x v="20"/>
    <x v="14"/>
    <x v="1060"/>
    <x v="0"/>
    <x v="1"/>
    <n v="350"/>
    <x v="56"/>
    <x v="3"/>
    <x v="0"/>
    <s v="5.5"/>
    <s v="Excellent"/>
  </r>
  <r>
    <n v="1062"/>
    <n v="9831567"/>
    <x v="14"/>
    <x v="6"/>
    <s v="Reprehenderit accusamus maxime fuga laborum excepturi. Aut culpa dolore deleniti. Nostrum rerum minima minus mollitia quidem beatae."/>
    <x v="22"/>
    <x v="39"/>
    <x v="1061"/>
    <x v="0"/>
    <x v="4"/>
    <n v="1139"/>
    <x v="42"/>
    <x v="5"/>
    <x v="4"/>
    <s v="14.8.22.4433"/>
    <s v="Good"/>
  </r>
  <r>
    <n v="1063"/>
    <n v="2055647"/>
    <x v="10"/>
    <x v="8"/>
    <s v="Terreno luogo estremo fuggire."/>
    <x v="0"/>
    <x v="25"/>
    <x v="1062"/>
    <x v="0"/>
    <x v="2"/>
    <n v="29"/>
    <x v="36"/>
    <x v="10"/>
    <x v="3"/>
    <s v="v4.9.76"/>
    <s v="Poor"/>
  </r>
  <r>
    <n v="1064"/>
    <n v="8876515"/>
    <x v="31"/>
    <x v="0"/>
    <s v="Cupiditate esse quia blanditiis consectetur possimus. Esse distinctio voluptatem incidunt quis."/>
    <x v="19"/>
    <x v="27"/>
    <x v="1063"/>
    <x v="0"/>
    <x v="1"/>
    <n v="1157"/>
    <x v="57"/>
    <x v="10"/>
    <x v="4"/>
    <s v="10.9.45"/>
    <s v="Very Poor"/>
  </r>
  <r>
    <n v="1065"/>
    <n v="415519"/>
    <x v="9"/>
    <x v="6"/>
    <s v="This app is amazing! Really love the new features."/>
    <x v="23"/>
    <x v="29"/>
    <x v="1064"/>
    <x v="0"/>
    <x v="2"/>
    <n v="875"/>
    <x v="49"/>
    <x v="8"/>
    <x v="1"/>
    <s v="11.1"/>
    <s v="Very Poor"/>
  </r>
  <r>
    <n v="1066"/>
    <n v="7335132"/>
    <x v="28"/>
    <x v="11"/>
    <s v="Works perfectly on my device, no complaints at all."/>
    <x v="10"/>
    <x v="32"/>
    <x v="1065"/>
    <x v="0"/>
    <x v="4"/>
    <n v="773"/>
    <x v="36"/>
    <x v="23"/>
    <x v="1"/>
    <s v="7.7.35-beta"/>
    <s v="Very Poor"/>
  </r>
  <r>
    <n v="1067"/>
    <n v="1908875"/>
    <x v="32"/>
    <x v="7"/>
    <s v="Perfect for daily use, highly recommend to everyone."/>
    <x v="3"/>
    <x v="2"/>
    <x v="1066"/>
    <x v="1"/>
    <x v="1"/>
    <n v="900"/>
    <x v="59"/>
    <x v="19"/>
    <x v="3"/>
    <s v="3.2.15"/>
    <s v="Average"/>
  </r>
  <r>
    <n v="1068"/>
    <n v="8714751"/>
    <x v="37"/>
    <x v="13"/>
    <s v="Perfect for daily use, highly recommend to everyone."/>
    <x v="0"/>
    <x v="20"/>
    <x v="1067"/>
    <x v="0"/>
    <x v="4"/>
    <n v="1001"/>
    <x v="3"/>
    <x v="0"/>
    <x v="0"/>
    <s v="v10.3.76"/>
    <s v="Very Poor"/>
  </r>
  <r>
    <n v="1069"/>
    <n v="7969895"/>
    <x v="28"/>
    <x v="11"/>
    <s v="Czynnik przy wybitny po."/>
    <x v="8"/>
    <x v="39"/>
    <x v="1068"/>
    <x v="0"/>
    <x v="2"/>
    <n v="293"/>
    <x v="19"/>
    <x v="10"/>
    <x v="2"/>
    <s v="1.3"/>
    <s v="Good"/>
  </r>
  <r>
    <n v="1070"/>
    <n v="3546060"/>
    <x v="16"/>
    <x v="8"/>
    <s v="Latest update broke some features, please fix soon."/>
    <x v="12"/>
    <x v="13"/>
    <x v="1069"/>
    <x v="0"/>
    <x v="1"/>
    <n v="286"/>
    <x v="13"/>
    <x v="11"/>
    <x v="1"/>
    <s v="6.5"/>
    <s v="Average"/>
  </r>
  <r>
    <n v="1071"/>
    <n v="3200124"/>
    <x v="40"/>
    <x v="11"/>
    <s v="The interface could be better but overall good experience."/>
    <x v="1"/>
    <x v="24"/>
    <x v="1070"/>
    <x v="0"/>
    <x v="1"/>
    <n v="551"/>
    <x v="47"/>
    <x v="2"/>
    <x v="3"/>
    <s v="v6.0.67"/>
    <s v="Poor"/>
  </r>
  <r>
    <n v="1072"/>
    <n v="590886"/>
    <x v="20"/>
    <x v="0"/>
    <s v="Excellent customer support and regular feature updates."/>
    <x v="11"/>
    <x v="8"/>
    <x v="1071"/>
    <x v="0"/>
    <x v="1"/>
    <n v="1235"/>
    <x v="20"/>
    <x v="3"/>
    <x v="3"/>
    <s v="14.7.15.5840"/>
    <s v="Very Poor"/>
  </r>
  <r>
    <n v="1073"/>
    <n v="4753591"/>
    <x v="1"/>
    <x v="3"/>
    <s v="Художественный что очередной передо кожа очутиться ленинград выразить. Спичка выраженный полностью. Беспомощный чем дорогой ленинград."/>
    <x v="12"/>
    <x v="10"/>
    <x v="1072"/>
    <x v="0"/>
    <x v="4"/>
    <n v="1050"/>
    <x v="47"/>
    <x v="13"/>
    <x v="4"/>
    <s v="14.1"/>
    <s v="Poor"/>
  </r>
  <r>
    <n v="1074"/>
    <n v="8064404"/>
    <x v="10"/>
    <x v="10"/>
    <s v="The interface could be better but overall good experience."/>
    <x v="17"/>
    <x v="32"/>
    <x v="1073"/>
    <x v="1"/>
    <x v="0"/>
    <n v="626"/>
    <x v="60"/>
    <x v="11"/>
    <x v="0"/>
    <s v="4.0.36-beta"/>
    <s v="Very Poor"/>
  </r>
  <r>
    <n v="1075"/>
    <n v="9988165"/>
    <x v="27"/>
    <x v="14"/>
    <s v="Latest update broke some features, please fix soon."/>
    <x v="20"/>
    <x v="34"/>
    <x v="1074"/>
    <x v="0"/>
    <x v="0"/>
    <n v="906"/>
    <x v="38"/>
    <x v="1"/>
    <x v="0"/>
    <s v="10.1.45-beta"/>
    <s v="Average"/>
  </r>
  <r>
    <n v="1076"/>
    <n v="1900606"/>
    <x v="31"/>
    <x v="5"/>
    <s v="Works perfectly on my device, no complaints at all."/>
    <x v="1"/>
    <x v="16"/>
    <x v="1075"/>
    <x v="0"/>
    <x v="1"/>
    <n v="107"/>
    <x v="48"/>
    <x v="4"/>
    <x v="4"/>
    <s v="10.9.73-beta"/>
    <s v="Excellent"/>
  </r>
  <r>
    <n v="1077"/>
    <n v="6468883"/>
    <x v="5"/>
    <x v="10"/>
    <s v="Distinctio dolorem beatae voluptates commodi beatae. Libero facere enim quam. Eveniet blanditiis eligendi nobis."/>
    <x v="17"/>
    <x v="32"/>
    <x v="1076"/>
    <x v="1"/>
    <x v="4"/>
    <n v="1106"/>
    <x v="41"/>
    <x v="15"/>
    <x v="4"/>
    <s v="4.9"/>
    <s v="Very Poor"/>
  </r>
  <r>
    <n v="1078"/>
    <n v="7548343"/>
    <x v="35"/>
    <x v="14"/>
    <s v="Crashes too often, needs improvement in stability."/>
    <x v="0"/>
    <x v="9"/>
    <x v="1077"/>
    <x v="0"/>
    <x v="1"/>
    <n v="1004"/>
    <x v="26"/>
    <x v="6"/>
    <x v="4"/>
    <s v="5.9.96.7501"/>
    <s v="Excellent"/>
  </r>
  <r>
    <n v="1079"/>
    <n v="6933061"/>
    <x v="14"/>
    <x v="7"/>
    <s v="Voluptates incidunt sequi tempora rem. Debitis voluptatum laudantium autem ipsa omnis. Blanditiis hic possimus voluptate."/>
    <x v="15"/>
    <x v="38"/>
    <x v="1078"/>
    <x v="0"/>
    <x v="4"/>
    <n v="281"/>
    <x v="52"/>
    <x v="13"/>
    <x v="4"/>
    <s v="3.1.56-beta"/>
    <s v="Good"/>
  </r>
  <r>
    <n v="1080"/>
    <n v="1185660"/>
    <x v="5"/>
    <x v="14"/>
    <s v="Ziehen gleich nein zwei daran und. Fußball Schwester Name früh steigen Platz holen."/>
    <x v="18"/>
    <x v="6"/>
    <x v="1079"/>
    <x v="1"/>
    <x v="2"/>
    <n v="1071"/>
    <x v="51"/>
    <x v="13"/>
    <x v="1"/>
    <s v="v5.4.42"/>
    <s v="Good"/>
  </r>
  <r>
    <n v="1081"/>
    <n v="6885437"/>
    <x v="32"/>
    <x v="8"/>
    <s v="転倒パーセント感謝する同行省略マリン今。 スキーム差別するテント。 彼チーズ目的。"/>
    <x v="9"/>
    <x v="15"/>
    <x v="1080"/>
    <x v="0"/>
    <x v="1"/>
    <n v="1180"/>
    <x v="33"/>
    <x v="19"/>
    <x v="4"/>
    <s v="2.1.73.4027"/>
    <s v="Poor"/>
  </r>
  <r>
    <n v="1082"/>
    <n v="1716210"/>
    <x v="27"/>
    <x v="9"/>
    <s v="Works perfectly on my device, no complaints at all."/>
    <x v="16"/>
    <x v="30"/>
    <x v="1081"/>
    <x v="0"/>
    <x v="2"/>
    <n v="765"/>
    <x v="1"/>
    <x v="6"/>
    <x v="3"/>
    <s v="v8.9.6"/>
    <s v="Average"/>
  </r>
  <r>
    <n v="1083"/>
    <n v="8823295"/>
    <x v="38"/>
    <x v="4"/>
    <s v="Recusandae dicta optio laudantium ea exercitationem similique."/>
    <x v="21"/>
    <x v="35"/>
    <x v="1082"/>
    <x v="0"/>
    <x v="3"/>
    <n v="163"/>
    <x v="33"/>
    <x v="2"/>
    <x v="4"/>
    <s v="4.2.86"/>
    <s v="Poor"/>
  </r>
  <r>
    <n v="1084"/>
    <n v="630135"/>
    <x v="16"/>
    <x v="0"/>
    <s v="Great app but too many ads, consider premium version."/>
    <x v="0"/>
    <x v="11"/>
    <x v="1083"/>
    <x v="0"/>
    <x v="3"/>
    <n v="251"/>
    <x v="28"/>
    <x v="18"/>
    <x v="3"/>
    <s v="4.6.5"/>
    <s v="Good"/>
  </r>
  <r>
    <n v="1085"/>
    <n v="6536241"/>
    <x v="5"/>
    <x v="14"/>
    <s v="Et fugiat itaque adipisci nam similique esse."/>
    <x v="8"/>
    <x v="25"/>
    <x v="1084"/>
    <x v="0"/>
    <x v="3"/>
    <n v="821"/>
    <x v="37"/>
    <x v="2"/>
    <x v="4"/>
    <s v="8.3"/>
    <s v="Poor"/>
  </r>
  <r>
    <n v="1086"/>
    <n v="8345659"/>
    <x v="37"/>
    <x v="16"/>
    <s v="The interface could be better but overall good experience."/>
    <x v="3"/>
    <x v="28"/>
    <x v="1085"/>
    <x v="0"/>
    <x v="0"/>
    <n v="769"/>
    <x v="18"/>
    <x v="4"/>
    <x v="2"/>
    <s v="2.5.81-beta"/>
    <s v="Poor"/>
  </r>
  <r>
    <n v="1087"/>
    <n v="5342203"/>
    <x v="12"/>
    <x v="2"/>
    <s v="省略ささやき部隊クロス保持する中央。 電話教授極端な衝突コーナートーン部隊。"/>
    <x v="12"/>
    <x v="24"/>
    <x v="1086"/>
    <x v="0"/>
    <x v="2"/>
    <n v="1115"/>
    <x v="41"/>
    <x v="15"/>
    <x v="2"/>
    <s v="11.9.5.2196"/>
    <s v="Poor"/>
  </r>
  <r>
    <n v="1088"/>
    <n v="5476808"/>
    <x v="17"/>
    <x v="15"/>
    <s v="User-friendly design and smooth performance throughout."/>
    <x v="17"/>
    <x v="26"/>
    <x v="1087"/>
    <x v="0"/>
    <x v="2"/>
    <n v="685"/>
    <x v="50"/>
    <x v="6"/>
    <x v="3"/>
    <s v="2.6.9"/>
    <s v="Average"/>
  </r>
  <r>
    <n v="1089"/>
    <n v="856962"/>
    <x v="7"/>
    <x v="8"/>
    <s v="User-friendly design and smooth performance throughout."/>
    <x v="16"/>
    <x v="8"/>
    <x v="1088"/>
    <x v="0"/>
    <x v="2"/>
    <n v="1042"/>
    <x v="6"/>
    <x v="12"/>
    <x v="3"/>
    <s v="1.2.62"/>
    <s v="Very Poor"/>
  </r>
  <r>
    <n v="1090"/>
    <n v="5953181"/>
    <x v="8"/>
    <x v="4"/>
    <s v="This app is amazing! Really love the new features."/>
    <x v="16"/>
    <x v="34"/>
    <x v="1089"/>
    <x v="1"/>
    <x v="1"/>
    <n v="1242"/>
    <x v="19"/>
    <x v="8"/>
    <x v="1"/>
    <s v="13.3.2-beta"/>
    <s v="Average"/>
  </r>
  <r>
    <n v="1091"/>
    <n v="9897340"/>
    <x v="35"/>
    <x v="9"/>
    <s v="Sonne oder Herr. Gott halten Haare rot Finger Polizei."/>
    <x v="0"/>
    <x v="6"/>
    <x v="1090"/>
    <x v="0"/>
    <x v="0"/>
    <n v="278"/>
    <x v="2"/>
    <x v="17"/>
    <x v="1"/>
    <s v="13.4.40"/>
    <s v="Good"/>
  </r>
  <r>
    <n v="1092"/>
    <n v="1198911"/>
    <x v="7"/>
    <x v="0"/>
    <s v="Beatae cumque modi alias omnis."/>
    <x v="13"/>
    <x v="22"/>
    <x v="1091"/>
    <x v="0"/>
    <x v="2"/>
    <n v="1209"/>
    <x v="8"/>
    <x v="13"/>
    <x v="1"/>
    <s v="v13.1.96"/>
    <s v="Poor"/>
  </r>
  <r>
    <n v="1093"/>
    <n v="8736236"/>
    <x v="35"/>
    <x v="1"/>
    <s v="評議会デッドコーナー自体トーンブランチ。"/>
    <x v="1"/>
    <x v="27"/>
    <x v="1092"/>
    <x v="0"/>
    <x v="4"/>
    <n v="1239"/>
    <x v="33"/>
    <x v="21"/>
    <x v="1"/>
    <s v="v12.3.27"/>
    <s v="Very Poor"/>
  </r>
  <r>
    <n v="1094"/>
    <n v="8293298"/>
    <x v="26"/>
    <x v="7"/>
    <s v="Crashes too often, needs improvement in stability."/>
    <x v="2"/>
    <x v="12"/>
    <x v="1093"/>
    <x v="1"/>
    <x v="4"/>
    <n v="348"/>
    <x v="6"/>
    <x v="2"/>
    <x v="1"/>
    <s v="Unknown"/>
    <s v="Excellent"/>
  </r>
  <r>
    <n v="1095"/>
    <n v="3554568"/>
    <x v="3"/>
    <x v="3"/>
    <s v="今天中文登录联系其他当前."/>
    <x v="21"/>
    <x v="20"/>
    <x v="1094"/>
    <x v="0"/>
    <x v="1"/>
    <n v="760"/>
    <x v="40"/>
    <x v="2"/>
    <x v="4"/>
    <s v="1.0.90.8106"/>
    <s v="Very Poor"/>
  </r>
  <r>
    <n v="1096"/>
    <n v="1363679"/>
    <x v="0"/>
    <x v="5"/>
    <s v="Some bugs need fixing but generally satisfied with it."/>
    <x v="18"/>
    <x v="1"/>
    <x v="1095"/>
    <x v="0"/>
    <x v="0"/>
    <n v="523"/>
    <x v="6"/>
    <x v="4"/>
    <x v="2"/>
    <s v="3.4.69"/>
    <s v="Very Poor"/>
  </r>
  <r>
    <n v="1097"/>
    <n v="3691668"/>
    <x v="36"/>
    <x v="7"/>
    <s v="The interface could be better but overall good experience."/>
    <x v="0"/>
    <x v="31"/>
    <x v="1096"/>
    <x v="0"/>
    <x v="4"/>
    <n v="72"/>
    <x v="57"/>
    <x v="18"/>
    <x v="2"/>
    <s v="5.0"/>
    <s v="Good"/>
  </r>
  <r>
    <n v="1098"/>
    <n v="897443"/>
    <x v="10"/>
    <x v="2"/>
    <s v="Great app but too many ads, consider premium version."/>
    <x v="7"/>
    <x v="36"/>
    <x v="1097"/>
    <x v="0"/>
    <x v="0"/>
    <n v="277"/>
    <x v="39"/>
    <x v="4"/>
    <x v="4"/>
    <s v="8.2.7"/>
    <s v="Poor"/>
  </r>
  <r>
    <n v="1099"/>
    <n v="6844899"/>
    <x v="28"/>
    <x v="4"/>
    <s v="Excellent customer support and regular feature updates."/>
    <x v="23"/>
    <x v="23"/>
    <x v="1098"/>
    <x v="0"/>
    <x v="0"/>
    <n v="442"/>
    <x v="48"/>
    <x v="10"/>
    <x v="1"/>
    <s v="1.0"/>
    <s v="Very Poor"/>
  </r>
  <r>
    <n v="1100"/>
    <n v="1642796"/>
    <x v="24"/>
    <x v="8"/>
    <s v="The interface could be better but overall good experience."/>
    <x v="3"/>
    <x v="36"/>
    <x v="1099"/>
    <x v="0"/>
    <x v="2"/>
    <n v="380"/>
    <x v="56"/>
    <x v="19"/>
    <x v="3"/>
    <s v="14.6.72.676"/>
    <s v="Poor"/>
  </r>
  <r>
    <n v="1101"/>
    <n v="1689366"/>
    <x v="11"/>
    <x v="0"/>
    <s v="ダッシュテントリハビリ見出しリフトトレーナークール憲法。 ジャーナルカレッジ狐状況催眠術。"/>
    <x v="19"/>
    <x v="35"/>
    <x v="1100"/>
    <x v="1"/>
    <x v="4"/>
    <n v="296"/>
    <x v="58"/>
    <x v="2"/>
    <x v="3"/>
    <s v="10.2.70-beta"/>
    <s v="Poor"/>
  </r>
  <r>
    <n v="1102"/>
    <n v="9286574"/>
    <x v="31"/>
    <x v="6"/>
    <s v="The interface could be better but overall good experience."/>
    <x v="14"/>
    <x v="21"/>
    <x v="1101"/>
    <x v="0"/>
    <x v="4"/>
    <n v="1194"/>
    <x v="21"/>
    <x v="18"/>
    <x v="2"/>
    <s v="3.5.23.3518"/>
    <s v="Excellent"/>
  </r>
  <r>
    <n v="1103"/>
    <n v="8760803"/>
    <x v="19"/>
    <x v="16"/>
    <s v="埋め込むバス私倫理。 評議会サンプル連続バケツ舗装あった職人。"/>
    <x v="9"/>
    <x v="2"/>
    <x v="1102"/>
    <x v="0"/>
    <x v="3"/>
    <n v="614"/>
    <x v="25"/>
    <x v="5"/>
    <x v="1"/>
    <s v="11.5"/>
    <s v="Average"/>
  </r>
  <r>
    <n v="1104"/>
    <n v="3466315"/>
    <x v="8"/>
    <x v="8"/>
    <s v="Excellent customer support and regular feature updates."/>
    <x v="15"/>
    <x v="27"/>
    <x v="1103"/>
    <x v="0"/>
    <x v="3"/>
    <n v="1190"/>
    <x v="53"/>
    <x v="0"/>
    <x v="0"/>
    <s v="6.1"/>
    <s v="Very Poor"/>
  </r>
  <r>
    <n v="1105"/>
    <n v="2578727"/>
    <x v="28"/>
    <x v="8"/>
    <s v="Some bugs need fixing but generally satisfied with it."/>
    <x v="15"/>
    <x v="10"/>
    <x v="1104"/>
    <x v="0"/>
    <x v="2"/>
    <n v="949"/>
    <x v="16"/>
    <x v="3"/>
    <x v="4"/>
    <s v="15.6.32.7848"/>
    <s v="Poor"/>
  </r>
  <r>
    <n v="1106"/>
    <n v="5137789"/>
    <x v="22"/>
    <x v="8"/>
    <s v="Excellent customer support and regular feature updates."/>
    <x v="21"/>
    <x v="29"/>
    <x v="1105"/>
    <x v="0"/>
    <x v="0"/>
    <n v="615"/>
    <x v="28"/>
    <x v="3"/>
    <x v="2"/>
    <s v="2.9.14"/>
    <s v="Very Poor"/>
  </r>
  <r>
    <n v="1107"/>
    <n v="6983025"/>
    <x v="18"/>
    <x v="2"/>
    <s v="Latest update broke some features, please fix soon."/>
    <x v="6"/>
    <x v="10"/>
    <x v="1106"/>
    <x v="0"/>
    <x v="0"/>
    <n v="80"/>
    <x v="8"/>
    <x v="9"/>
    <x v="1"/>
    <s v="10.2"/>
    <s v="Poor"/>
  </r>
  <r>
    <n v="1108"/>
    <n v="3515137"/>
    <x v="38"/>
    <x v="7"/>
    <s v="Eaque enim cum porro doloremque dolores. Deleniti doloribus repudiandae iure."/>
    <x v="23"/>
    <x v="14"/>
    <x v="1107"/>
    <x v="0"/>
    <x v="2"/>
    <n v="4"/>
    <x v="10"/>
    <x v="19"/>
    <x v="1"/>
    <s v="2.2"/>
    <s v="Excellent"/>
  </r>
  <r>
    <n v="1109"/>
    <n v="7180306"/>
    <x v="13"/>
    <x v="1"/>
    <s v="No Review"/>
    <x v="21"/>
    <x v="5"/>
    <x v="1108"/>
    <x v="0"/>
    <x v="4"/>
    <n v="516"/>
    <x v="56"/>
    <x v="1"/>
    <x v="1"/>
    <s v="10.1.78"/>
    <s v="Excellent"/>
  </r>
  <r>
    <n v="1110"/>
    <n v="3488838"/>
    <x v="0"/>
    <x v="5"/>
    <s v="Donna alzare sacrificio dubbio. Comunicazione sole vario magari aiutare sorgere avvicinare. Errore assoluto università studio possibilità stato greco signorina."/>
    <x v="15"/>
    <x v="34"/>
    <x v="1109"/>
    <x v="0"/>
    <x v="3"/>
    <n v="941"/>
    <x v="38"/>
    <x v="8"/>
    <x v="4"/>
    <s v="14.3"/>
    <s v="Average"/>
  </r>
  <r>
    <n v="1111"/>
    <n v="4060113"/>
    <x v="23"/>
    <x v="8"/>
    <s v="This app is amazing! Really love the new features."/>
    <x v="5"/>
    <x v="31"/>
    <x v="1110"/>
    <x v="0"/>
    <x v="3"/>
    <n v="1054"/>
    <x v="21"/>
    <x v="16"/>
    <x v="0"/>
    <s v="7.7"/>
    <s v="Good"/>
  </r>
  <r>
    <n v="1112"/>
    <n v="8492777"/>
    <x v="23"/>
    <x v="0"/>
    <s v="Great app but too many ads, consider premium version."/>
    <x v="8"/>
    <x v="35"/>
    <x v="1111"/>
    <x v="0"/>
    <x v="3"/>
    <n v="289"/>
    <x v="62"/>
    <x v="4"/>
    <x v="3"/>
    <s v="9.1.40.1515"/>
    <s v="Poor"/>
  </r>
  <r>
    <n v="1113"/>
    <n v="8856994"/>
    <x v="40"/>
    <x v="13"/>
    <s v="This app is amazing! Really love the new features."/>
    <x v="11"/>
    <x v="28"/>
    <x v="1112"/>
    <x v="0"/>
    <x v="3"/>
    <n v="1243"/>
    <x v="41"/>
    <x v="24"/>
    <x v="3"/>
    <s v="v4.5.97"/>
    <s v="Poor"/>
  </r>
  <r>
    <n v="1114"/>
    <n v="8912402"/>
    <x v="14"/>
    <x v="0"/>
    <s v="Mare bambina osservare rispondere europeo. Raggiungere scopo recare trascinare crisi bravo costruzione dormire. Dirigere opinione mamma giardino ufficio facile."/>
    <x v="9"/>
    <x v="3"/>
    <x v="1113"/>
    <x v="0"/>
    <x v="2"/>
    <n v="282"/>
    <x v="15"/>
    <x v="2"/>
    <x v="4"/>
    <s v="1.8.17"/>
    <s v="Average"/>
  </r>
  <r>
    <n v="1115"/>
    <n v="4233011"/>
    <x v="31"/>
    <x v="5"/>
    <s v="Great app but too many ads, consider premium version."/>
    <x v="14"/>
    <x v="19"/>
    <x v="1114"/>
    <x v="0"/>
    <x v="1"/>
    <n v="394"/>
    <x v="60"/>
    <x v="18"/>
    <x v="4"/>
    <s v="1.8.44"/>
    <s v="Poor"/>
  </r>
  <r>
    <n v="1116"/>
    <n v="6190096"/>
    <x v="34"/>
    <x v="0"/>
    <s v="The interface could be better but overall good experience."/>
    <x v="15"/>
    <x v="10"/>
    <x v="1115"/>
    <x v="1"/>
    <x v="4"/>
    <n v="361"/>
    <x v="59"/>
    <x v="6"/>
    <x v="3"/>
    <s v="v13.8.17"/>
    <s v="Poor"/>
  </r>
  <r>
    <n v="1117"/>
    <n v="6269641"/>
    <x v="15"/>
    <x v="11"/>
    <s v="Works perfectly on my device, no complaints at all."/>
    <x v="23"/>
    <x v="7"/>
    <x v="1116"/>
    <x v="0"/>
    <x v="2"/>
    <n v="1150"/>
    <x v="18"/>
    <x v="13"/>
    <x v="0"/>
    <s v="8.9.22"/>
    <s v="Very Poor"/>
  </r>
  <r>
    <n v="1118"/>
    <n v="453566"/>
    <x v="33"/>
    <x v="16"/>
    <s v="Latest update broke some features, please fix soon."/>
    <x v="0"/>
    <x v="37"/>
    <x v="1117"/>
    <x v="0"/>
    <x v="4"/>
    <n v="1019"/>
    <x v="38"/>
    <x v="15"/>
    <x v="2"/>
    <s v="2.5.11"/>
    <s v="Average"/>
  </r>
  <r>
    <n v="1119"/>
    <n v="684005"/>
    <x v="17"/>
    <x v="12"/>
    <s v="Porro ratione dolores."/>
    <x v="3"/>
    <x v="22"/>
    <x v="1118"/>
    <x v="0"/>
    <x v="4"/>
    <n v="219"/>
    <x v="48"/>
    <x v="0"/>
    <x v="3"/>
    <s v="7.0"/>
    <s v="Poor"/>
  </r>
  <r>
    <n v="1120"/>
    <n v="5288664"/>
    <x v="25"/>
    <x v="10"/>
    <s v="Works perfectly on my device, no complaints at all."/>
    <x v="9"/>
    <x v="34"/>
    <x v="1119"/>
    <x v="1"/>
    <x v="0"/>
    <n v="1095"/>
    <x v="12"/>
    <x v="9"/>
    <x v="3"/>
    <s v="v14.2.33"/>
    <s v="Average"/>
  </r>
  <r>
    <n v="1121"/>
    <n v="6187698"/>
    <x v="31"/>
    <x v="9"/>
    <s v="Morire destro inverno accogliere. Tipo tedesco esercito trasformare richiedere errore."/>
    <x v="14"/>
    <x v="38"/>
    <x v="1120"/>
    <x v="0"/>
    <x v="1"/>
    <n v="156"/>
    <x v="43"/>
    <x v="21"/>
    <x v="2"/>
    <s v="1.8.50-beta"/>
    <s v="Good"/>
  </r>
  <r>
    <n v="1122"/>
    <n v="7462611"/>
    <x v="29"/>
    <x v="12"/>
    <s v="Perfect for daily use, highly recommend to everyone."/>
    <x v="10"/>
    <x v="23"/>
    <x v="1121"/>
    <x v="0"/>
    <x v="0"/>
    <n v="222"/>
    <x v="44"/>
    <x v="13"/>
    <x v="3"/>
    <s v="8.7.10.2616"/>
    <s v="Very Poor"/>
  </r>
  <r>
    <n v="1123"/>
    <n v="6916395"/>
    <x v="3"/>
    <x v="17"/>
    <s v="The interface could be better but overall good experience."/>
    <x v="14"/>
    <x v="0"/>
    <x v="1122"/>
    <x v="0"/>
    <x v="0"/>
    <n v="517"/>
    <x v="41"/>
    <x v="7"/>
    <x v="4"/>
    <s v="5.0.39-beta"/>
    <s v="Very Poor"/>
  </r>
  <r>
    <n v="1124"/>
    <n v="4697569"/>
    <x v="3"/>
    <x v="12"/>
    <s v="Excellent customer support and regular feature updates."/>
    <x v="18"/>
    <x v="34"/>
    <x v="1123"/>
    <x v="0"/>
    <x v="3"/>
    <n v="1127"/>
    <x v="1"/>
    <x v="13"/>
    <x v="0"/>
    <s v="11.1.98"/>
    <s v="Average"/>
  </r>
  <r>
    <n v="1125"/>
    <n v="8349220"/>
    <x v="8"/>
    <x v="12"/>
    <s v="Excellent customer support and regular feature updates."/>
    <x v="16"/>
    <x v="18"/>
    <x v="1124"/>
    <x v="1"/>
    <x v="0"/>
    <n v="829"/>
    <x v="11"/>
    <x v="19"/>
    <x v="3"/>
    <s v="9.8.22.1062"/>
    <s v="Average"/>
  </r>
  <r>
    <n v="1126"/>
    <n v="7028341"/>
    <x v="39"/>
    <x v="12"/>
    <s v="Quaerat soluta reprehenderit repudiandae praesentium magni. In quas molestias eveniet possimus quis. Occaecati ratione consequatur id."/>
    <x v="20"/>
    <x v="7"/>
    <x v="1125"/>
    <x v="0"/>
    <x v="3"/>
    <n v="1081"/>
    <x v="4"/>
    <x v="19"/>
    <x v="0"/>
    <s v="4.4"/>
    <s v="Very Poor"/>
  </r>
  <r>
    <n v="1127"/>
    <n v="5363378"/>
    <x v="14"/>
    <x v="17"/>
    <s v="Some bugs need fixing but generally satisfied with it."/>
    <x v="21"/>
    <x v="26"/>
    <x v="1126"/>
    <x v="0"/>
    <x v="4"/>
    <n v="164"/>
    <x v="1"/>
    <x v="24"/>
    <x v="1"/>
    <s v="3.0.89"/>
    <s v="Average"/>
  </r>
  <r>
    <n v="1128"/>
    <n v="1959388"/>
    <x v="27"/>
    <x v="10"/>
    <s v="The interface could be better but overall good experience."/>
    <x v="3"/>
    <x v="6"/>
    <x v="1127"/>
    <x v="0"/>
    <x v="2"/>
    <n v="726"/>
    <x v="9"/>
    <x v="8"/>
    <x v="4"/>
    <s v="12.1.75.7646"/>
    <s v="Good"/>
  </r>
  <r>
    <n v="1129"/>
    <n v="8763182"/>
    <x v="20"/>
    <x v="9"/>
    <s v="The interface could be better but overall good experience."/>
    <x v="13"/>
    <x v="21"/>
    <x v="1128"/>
    <x v="1"/>
    <x v="1"/>
    <n v="457"/>
    <x v="26"/>
    <x v="13"/>
    <x v="0"/>
    <s v="14.8.42"/>
    <s v="Excellent"/>
  </r>
  <r>
    <n v="1130"/>
    <n v="2282597"/>
    <x v="22"/>
    <x v="14"/>
    <s v="This app is amazing! Really love the new features."/>
    <x v="8"/>
    <x v="20"/>
    <x v="1129"/>
    <x v="0"/>
    <x v="4"/>
    <n v="850"/>
    <x v="45"/>
    <x v="15"/>
    <x v="1"/>
    <s v="12.0.60-beta"/>
    <s v="Very Poor"/>
  </r>
  <r>
    <n v="1131"/>
    <n v="6983963"/>
    <x v="33"/>
    <x v="17"/>
    <s v="User-friendly design and smooth performance throughout."/>
    <x v="22"/>
    <x v="18"/>
    <x v="1130"/>
    <x v="0"/>
    <x v="0"/>
    <n v="693"/>
    <x v="3"/>
    <x v="2"/>
    <x v="1"/>
    <s v="Unknown"/>
    <s v="Average"/>
  </r>
  <r>
    <n v="1132"/>
    <n v="7674743"/>
    <x v="20"/>
    <x v="8"/>
    <s v="Способ неожиданно неудобно налево сравнение ягода инфекция."/>
    <x v="23"/>
    <x v="32"/>
    <x v="1131"/>
    <x v="0"/>
    <x v="1"/>
    <n v="600"/>
    <x v="57"/>
    <x v="23"/>
    <x v="0"/>
    <s v="1.8.46-beta"/>
    <s v="Very Poor"/>
  </r>
  <r>
    <n v="1133"/>
    <n v="6701736"/>
    <x v="15"/>
    <x v="2"/>
    <s v="User-friendly design and smooth performance throughout."/>
    <x v="23"/>
    <x v="36"/>
    <x v="1132"/>
    <x v="0"/>
    <x v="0"/>
    <n v="730"/>
    <x v="39"/>
    <x v="15"/>
    <x v="4"/>
    <s v="10.6.70-beta"/>
    <s v="Poor"/>
  </r>
  <r>
    <n v="1134"/>
    <n v="9669565"/>
    <x v="36"/>
    <x v="3"/>
    <s v="Związany związać kula porządek firma."/>
    <x v="20"/>
    <x v="0"/>
    <x v="1133"/>
    <x v="0"/>
    <x v="0"/>
    <n v="19"/>
    <x v="20"/>
    <x v="20"/>
    <x v="3"/>
    <s v="6.0.94-beta"/>
    <s v="Very Poor"/>
  </r>
  <r>
    <n v="1135"/>
    <n v="3426354"/>
    <x v="34"/>
    <x v="12"/>
    <s v="No Review"/>
    <x v="21"/>
    <x v="29"/>
    <x v="1134"/>
    <x v="1"/>
    <x v="3"/>
    <n v="599"/>
    <x v="8"/>
    <x v="0"/>
    <x v="0"/>
    <s v="14.3.89.1844"/>
    <s v="Very Poor"/>
  </r>
  <r>
    <n v="1136"/>
    <n v="2931255"/>
    <x v="40"/>
    <x v="6"/>
    <s v="The interface could be better but overall good experience."/>
    <x v="20"/>
    <x v="19"/>
    <x v="1135"/>
    <x v="0"/>
    <x v="1"/>
    <n v="1126"/>
    <x v="16"/>
    <x v="8"/>
    <x v="3"/>
    <s v="6.3.5"/>
    <s v="Poor"/>
  </r>
  <r>
    <n v="1137"/>
    <n v="7295804"/>
    <x v="5"/>
    <x v="1"/>
    <s v="The interface could be better but overall good experience."/>
    <x v="1"/>
    <x v="9"/>
    <x v="1136"/>
    <x v="0"/>
    <x v="0"/>
    <n v="531"/>
    <x v="40"/>
    <x v="23"/>
    <x v="2"/>
    <s v="5.8.11"/>
    <s v="Excellent"/>
  </r>
  <r>
    <n v="1138"/>
    <n v="2604019"/>
    <x v="9"/>
    <x v="1"/>
    <s v="The interface could be better but overall good experience."/>
    <x v="11"/>
    <x v="9"/>
    <x v="1137"/>
    <x v="0"/>
    <x v="1"/>
    <n v="201"/>
    <x v="32"/>
    <x v="2"/>
    <x v="4"/>
    <s v="9.5"/>
    <s v="Excellent"/>
  </r>
  <r>
    <n v="1139"/>
    <n v="2954188"/>
    <x v="21"/>
    <x v="11"/>
    <s v="Bring responsibility itself turn law purpose budget."/>
    <x v="19"/>
    <x v="39"/>
    <x v="1138"/>
    <x v="0"/>
    <x v="0"/>
    <n v="757"/>
    <x v="40"/>
    <x v="24"/>
    <x v="2"/>
    <s v="13.9"/>
    <s v="Good"/>
  </r>
  <r>
    <n v="1140"/>
    <n v="3296800"/>
    <x v="13"/>
    <x v="17"/>
    <s v="Latest update broke some features, please fix soon."/>
    <x v="3"/>
    <x v="19"/>
    <x v="1139"/>
    <x v="0"/>
    <x v="2"/>
    <n v="985"/>
    <x v="7"/>
    <x v="7"/>
    <x v="1"/>
    <s v="v1.8.59"/>
    <s v="Poor"/>
  </r>
  <r>
    <n v="1141"/>
    <n v="4931200"/>
    <x v="19"/>
    <x v="9"/>
    <s v="Fugit inventore dignissimos dolor reprehenderit quas deleniti."/>
    <x v="20"/>
    <x v="7"/>
    <x v="1140"/>
    <x v="0"/>
    <x v="3"/>
    <n v="353"/>
    <x v="26"/>
    <x v="24"/>
    <x v="2"/>
    <s v="v5.1.38"/>
    <s v="Very Poor"/>
  </r>
  <r>
    <n v="1142"/>
    <n v="2548514"/>
    <x v="25"/>
    <x v="11"/>
    <s v="Works perfectly on my device, no complaints at all."/>
    <x v="15"/>
    <x v="8"/>
    <x v="1141"/>
    <x v="0"/>
    <x v="0"/>
    <n v="138"/>
    <x v="6"/>
    <x v="8"/>
    <x v="0"/>
    <s v="8.6"/>
    <s v="Very Poor"/>
  </r>
  <r>
    <n v="1143"/>
    <n v="4492266"/>
    <x v="33"/>
    <x v="13"/>
    <s v="Pisarz budowla gazeta skutek należy. Ogół cmentarz oczekiwać."/>
    <x v="5"/>
    <x v="7"/>
    <x v="1142"/>
    <x v="1"/>
    <x v="4"/>
    <n v="539"/>
    <x v="27"/>
    <x v="13"/>
    <x v="2"/>
    <s v="10.2.27-beta"/>
    <s v="Very Poor"/>
  </r>
  <r>
    <n v="1144"/>
    <n v="3660421"/>
    <x v="12"/>
    <x v="15"/>
    <s v="犯罪者花嫁日曜日ストレージ極端な合計。"/>
    <x v="21"/>
    <x v="10"/>
    <x v="1143"/>
    <x v="0"/>
    <x v="4"/>
    <n v="670"/>
    <x v="41"/>
    <x v="10"/>
    <x v="2"/>
    <s v="1.5.3.8599"/>
    <s v="Poor"/>
  </r>
  <r>
    <n v="1145"/>
    <n v="6044195"/>
    <x v="1"/>
    <x v="9"/>
    <s v="Great app but too many ads, consider premium version."/>
    <x v="10"/>
    <x v="35"/>
    <x v="1144"/>
    <x v="1"/>
    <x v="0"/>
    <n v="157"/>
    <x v="54"/>
    <x v="8"/>
    <x v="1"/>
    <s v="1.7.64-beta"/>
    <s v="Poor"/>
  </r>
  <r>
    <n v="1146"/>
    <n v="863562"/>
    <x v="31"/>
    <x v="5"/>
    <s v="Crashes too often, needs improvement in stability."/>
    <x v="18"/>
    <x v="27"/>
    <x v="1145"/>
    <x v="0"/>
    <x v="4"/>
    <n v="951"/>
    <x v="3"/>
    <x v="22"/>
    <x v="2"/>
    <s v="8.3"/>
    <s v="Very Poor"/>
  </r>
  <r>
    <n v="1147"/>
    <n v="8564810"/>
    <x v="20"/>
    <x v="7"/>
    <s v="Some bugs need fixing but generally satisfied with it."/>
    <x v="20"/>
    <x v="30"/>
    <x v="1146"/>
    <x v="0"/>
    <x v="2"/>
    <n v="66"/>
    <x v="49"/>
    <x v="14"/>
    <x v="1"/>
    <s v="v10.8.47"/>
    <s v="Average"/>
  </r>
  <r>
    <n v="1148"/>
    <n v="5175231"/>
    <x v="19"/>
    <x v="6"/>
    <s v="Provide car throughout American conference college."/>
    <x v="1"/>
    <x v="32"/>
    <x v="1147"/>
    <x v="0"/>
    <x v="0"/>
    <n v="550"/>
    <x v="31"/>
    <x v="0"/>
    <x v="1"/>
    <s v="15.2.95.6771"/>
    <s v="Very Poor"/>
  </r>
  <r>
    <n v="1149"/>
    <n v="7953160"/>
    <x v="26"/>
    <x v="17"/>
    <s v="Bed report item employee. Analysis campaign the strong security unit."/>
    <x v="15"/>
    <x v="40"/>
    <x v="1148"/>
    <x v="0"/>
    <x v="4"/>
    <n v="596"/>
    <x v="54"/>
    <x v="20"/>
    <x v="0"/>
    <s v="13.1.51-beta"/>
    <s v="Very Poor"/>
  </r>
  <r>
    <n v="1150"/>
    <n v="4525123"/>
    <x v="30"/>
    <x v="0"/>
    <s v="Est tempora et voluptatum quis corrupti sequi."/>
    <x v="0"/>
    <x v="40"/>
    <x v="1149"/>
    <x v="1"/>
    <x v="2"/>
    <n v="1152"/>
    <x v="28"/>
    <x v="7"/>
    <x v="2"/>
    <s v="v14.7.20"/>
    <s v="Very Poor"/>
  </r>
  <r>
    <n v="1151"/>
    <n v="7481800"/>
    <x v="29"/>
    <x v="8"/>
    <s v="Einigen Ball ein."/>
    <x v="11"/>
    <x v="3"/>
    <x v="1150"/>
    <x v="0"/>
    <x v="0"/>
    <n v="369"/>
    <x v="50"/>
    <x v="0"/>
    <x v="0"/>
    <s v="6.1"/>
    <s v="Average"/>
  </r>
  <r>
    <n v="1152"/>
    <n v="2843996"/>
    <x v="4"/>
    <x v="16"/>
    <s v="Great app but too many ads, consider premium version."/>
    <x v="12"/>
    <x v="24"/>
    <x v="1151"/>
    <x v="0"/>
    <x v="2"/>
    <n v="1132"/>
    <x v="15"/>
    <x v="18"/>
    <x v="3"/>
    <s v="1.2.55-beta"/>
    <s v="Poor"/>
  </r>
  <r>
    <n v="1153"/>
    <n v="7422078"/>
    <x v="26"/>
    <x v="9"/>
    <s v="This app is amazing! Really love the new features."/>
    <x v="16"/>
    <x v="34"/>
    <x v="1152"/>
    <x v="0"/>
    <x v="1"/>
    <n v="845"/>
    <x v="2"/>
    <x v="19"/>
    <x v="0"/>
    <s v="12.0.64-beta"/>
    <s v="Average"/>
  </r>
  <r>
    <n v="1154"/>
    <n v="784371"/>
    <x v="34"/>
    <x v="11"/>
    <s v="出现部门也是应该谢谢很多."/>
    <x v="5"/>
    <x v="23"/>
    <x v="1153"/>
    <x v="0"/>
    <x v="1"/>
    <n v="1110"/>
    <x v="37"/>
    <x v="3"/>
    <x v="4"/>
    <s v="v3.2.98"/>
    <s v="Very Poor"/>
  </r>
  <r>
    <n v="1155"/>
    <n v="1669976"/>
    <x v="38"/>
    <x v="7"/>
    <s v="Sit debitis cumque magni earum. Distinctio voluptatum a quisquam debitis ullam doloribus libero."/>
    <x v="10"/>
    <x v="38"/>
    <x v="1154"/>
    <x v="0"/>
    <x v="4"/>
    <n v="232"/>
    <x v="48"/>
    <x v="7"/>
    <x v="0"/>
    <s v="4.5"/>
    <s v="Good"/>
  </r>
  <r>
    <n v="1156"/>
    <n v="535572"/>
    <x v="31"/>
    <x v="14"/>
    <s v="Perfect for daily use, highly recommend to everyone."/>
    <x v="13"/>
    <x v="34"/>
    <x v="1155"/>
    <x v="1"/>
    <x v="1"/>
    <n v="504"/>
    <x v="51"/>
    <x v="9"/>
    <x v="4"/>
    <s v="14.8"/>
    <s v="Average"/>
  </r>
  <r>
    <n v="1157"/>
    <n v="2146668"/>
    <x v="10"/>
    <x v="1"/>
    <s v="Excellent customer support and regular feature updates."/>
    <x v="2"/>
    <x v="24"/>
    <x v="1156"/>
    <x v="0"/>
    <x v="1"/>
    <n v="1225"/>
    <x v="51"/>
    <x v="11"/>
    <x v="4"/>
    <s v="2.2.34"/>
    <s v="Poor"/>
  </r>
  <r>
    <n v="1158"/>
    <n v="1879557"/>
    <x v="31"/>
    <x v="17"/>
    <s v="Crashes too often, needs improvement in stability."/>
    <x v="9"/>
    <x v="9"/>
    <x v="1157"/>
    <x v="0"/>
    <x v="0"/>
    <n v="373"/>
    <x v="41"/>
    <x v="24"/>
    <x v="1"/>
    <s v="2.7.58.5063"/>
    <s v="Excellent"/>
  </r>
  <r>
    <n v="1159"/>
    <n v="2679924"/>
    <x v="33"/>
    <x v="7"/>
    <s v="Perfect for daily use, highly recommend to everyone."/>
    <x v="4"/>
    <x v="36"/>
    <x v="1158"/>
    <x v="0"/>
    <x v="0"/>
    <n v="561"/>
    <x v="47"/>
    <x v="11"/>
    <x v="0"/>
    <s v="7.7.9"/>
    <s v="Poor"/>
  </r>
  <r>
    <n v="1160"/>
    <n v="7821431"/>
    <x v="36"/>
    <x v="6"/>
    <s v="Klasse wohnen nein aber zeigen reiten Woche."/>
    <x v="23"/>
    <x v="30"/>
    <x v="1159"/>
    <x v="1"/>
    <x v="2"/>
    <n v="1091"/>
    <x v="29"/>
    <x v="24"/>
    <x v="3"/>
    <s v="15.9.54-beta"/>
    <s v="Average"/>
  </r>
  <r>
    <n v="1161"/>
    <n v="9648894"/>
    <x v="30"/>
    <x v="4"/>
    <s v="Crashes too often, needs improvement in stability."/>
    <x v="22"/>
    <x v="30"/>
    <x v="1160"/>
    <x v="0"/>
    <x v="4"/>
    <n v="613"/>
    <x v="18"/>
    <x v="16"/>
    <x v="1"/>
    <s v="v6.0.40"/>
    <s v="Average"/>
  </r>
  <r>
    <n v="1162"/>
    <n v="916752"/>
    <x v="13"/>
    <x v="5"/>
    <s v="Perfect for daily use, highly recommend to everyone."/>
    <x v="8"/>
    <x v="31"/>
    <x v="1161"/>
    <x v="1"/>
    <x v="1"/>
    <n v="1105"/>
    <x v="59"/>
    <x v="14"/>
    <x v="4"/>
    <s v="6.4.16"/>
    <s v="Good"/>
  </r>
  <r>
    <n v="1163"/>
    <n v="4847180"/>
    <x v="15"/>
    <x v="16"/>
    <s v="Reiciendis quia molestias nobis at ducimus."/>
    <x v="21"/>
    <x v="17"/>
    <x v="1162"/>
    <x v="1"/>
    <x v="3"/>
    <n v="880"/>
    <x v="34"/>
    <x v="12"/>
    <x v="3"/>
    <s v="8.6"/>
    <s v="Average"/>
  </r>
  <r>
    <n v="1164"/>
    <n v="6792721"/>
    <x v="20"/>
    <x v="16"/>
    <s v="Accusantium dignissimos harum illo. Blanditiis laudantium inventore rem. Temporibus nobis facere atque facilis."/>
    <x v="6"/>
    <x v="18"/>
    <x v="1163"/>
    <x v="0"/>
    <x v="3"/>
    <n v="351"/>
    <x v="5"/>
    <x v="11"/>
    <x v="2"/>
    <s v="5.0.66.5465"/>
    <s v="Average"/>
  </r>
  <r>
    <n v="1165"/>
    <n v="7573283"/>
    <x v="3"/>
    <x v="2"/>
    <s v="Perfect for daily use, highly recommend to everyone."/>
    <x v="3"/>
    <x v="14"/>
    <x v="1164"/>
    <x v="0"/>
    <x v="1"/>
    <n v="164"/>
    <x v="59"/>
    <x v="4"/>
    <x v="2"/>
    <s v="8.2"/>
    <s v="Excellent"/>
  </r>
  <r>
    <n v="1166"/>
    <n v="8093331"/>
    <x v="10"/>
    <x v="7"/>
    <s v="Works perfectly on my device, no complaints at all."/>
    <x v="13"/>
    <x v="17"/>
    <x v="1165"/>
    <x v="0"/>
    <x v="1"/>
    <n v="369"/>
    <x v="15"/>
    <x v="19"/>
    <x v="1"/>
    <s v="6.6.21-beta"/>
    <s v="Average"/>
  </r>
  <r>
    <n v="1167"/>
    <n v="7197946"/>
    <x v="4"/>
    <x v="7"/>
    <s v="User-friendly design and smooth performance throughout."/>
    <x v="2"/>
    <x v="29"/>
    <x v="1166"/>
    <x v="1"/>
    <x v="0"/>
    <n v="0"/>
    <x v="11"/>
    <x v="11"/>
    <x v="1"/>
    <s v="10.0.1-beta"/>
    <s v="Very Poor"/>
  </r>
  <r>
    <n v="1168"/>
    <n v="7188983"/>
    <x v="15"/>
    <x v="6"/>
    <s v="Nostrum ipsa incidunt aliquam exercitationem iure. Officia quae ut minima officia. Enim ipsa tenetur labore."/>
    <x v="7"/>
    <x v="35"/>
    <x v="1167"/>
    <x v="0"/>
    <x v="2"/>
    <n v="1103"/>
    <x v="48"/>
    <x v="9"/>
    <x v="0"/>
    <s v="12.3.78"/>
    <s v="Poor"/>
  </r>
  <r>
    <n v="1169"/>
    <n v="5140020"/>
    <x v="38"/>
    <x v="11"/>
    <s v="This app is amazing! Really love the new features."/>
    <x v="17"/>
    <x v="36"/>
    <x v="1168"/>
    <x v="0"/>
    <x v="0"/>
    <n v="227"/>
    <x v="53"/>
    <x v="16"/>
    <x v="2"/>
    <s v="7.0.67-beta"/>
    <s v="Poor"/>
  </r>
  <r>
    <n v="1170"/>
    <n v="8876028"/>
    <x v="24"/>
    <x v="14"/>
    <s v="User-friendly design and smooth performance throughout."/>
    <x v="12"/>
    <x v="8"/>
    <x v="1169"/>
    <x v="0"/>
    <x v="0"/>
    <n v="184"/>
    <x v="17"/>
    <x v="15"/>
    <x v="0"/>
    <s v="12.5.1.242"/>
    <s v="Very Poor"/>
  </r>
  <r>
    <n v="1171"/>
    <n v="9638446"/>
    <x v="1"/>
    <x v="0"/>
    <s v="这里帮助电脑."/>
    <x v="13"/>
    <x v="37"/>
    <x v="1170"/>
    <x v="0"/>
    <x v="0"/>
    <n v="714"/>
    <x v="21"/>
    <x v="18"/>
    <x v="1"/>
    <s v="1.9.33"/>
    <s v="Average"/>
  </r>
  <r>
    <n v="1172"/>
    <n v="7029315"/>
    <x v="6"/>
    <x v="13"/>
    <s v="Kopf sechs Tier halbe. Bild lernen dabei rot eigentlich ein hinein bin."/>
    <x v="5"/>
    <x v="22"/>
    <x v="1171"/>
    <x v="1"/>
    <x v="3"/>
    <n v="92"/>
    <x v="58"/>
    <x v="24"/>
    <x v="2"/>
    <s v="8.6.96-beta"/>
    <s v="Poor"/>
  </r>
  <r>
    <n v="1173"/>
    <n v="5093696"/>
    <x v="26"/>
    <x v="3"/>
    <s v="Crashes too often, needs improvement in stability."/>
    <x v="2"/>
    <x v="14"/>
    <x v="1172"/>
    <x v="0"/>
    <x v="1"/>
    <n v="1147"/>
    <x v="35"/>
    <x v="10"/>
    <x v="3"/>
    <s v="14.7"/>
    <s v="Excellent"/>
  </r>
  <r>
    <n v="1174"/>
    <n v="7733602"/>
    <x v="32"/>
    <x v="4"/>
    <s v="Excellent customer support and regular feature updates."/>
    <x v="23"/>
    <x v="32"/>
    <x v="1173"/>
    <x v="1"/>
    <x v="1"/>
    <n v="1097"/>
    <x v="49"/>
    <x v="7"/>
    <x v="0"/>
    <s v="13.3.64.6369"/>
    <s v="Very Poor"/>
  </r>
  <r>
    <n v="1175"/>
    <n v="7648873"/>
    <x v="13"/>
    <x v="7"/>
    <s v="This app is amazing! Really love the new features."/>
    <x v="5"/>
    <x v="25"/>
    <x v="1174"/>
    <x v="0"/>
    <x v="3"/>
    <n v="690"/>
    <x v="19"/>
    <x v="11"/>
    <x v="2"/>
    <s v="4.8.55"/>
    <s v="Poor"/>
  </r>
  <r>
    <n v="1176"/>
    <n v="5826640"/>
    <x v="8"/>
    <x v="6"/>
    <s v="Latest update broke some features, please fix soon."/>
    <x v="15"/>
    <x v="10"/>
    <x v="1175"/>
    <x v="0"/>
    <x v="1"/>
    <n v="1000"/>
    <x v="2"/>
    <x v="6"/>
    <x v="2"/>
    <s v="14.0.74-beta"/>
    <s v="Poor"/>
  </r>
  <r>
    <n v="1177"/>
    <n v="3641139"/>
    <x v="3"/>
    <x v="17"/>
    <s v="User-friendly design and smooth performance throughout."/>
    <x v="3"/>
    <x v="16"/>
    <x v="1176"/>
    <x v="0"/>
    <x v="1"/>
    <n v="851"/>
    <x v="11"/>
    <x v="15"/>
    <x v="2"/>
    <s v="8.0.50"/>
    <s v="Excellent"/>
  </r>
  <r>
    <n v="1178"/>
    <n v="4450628"/>
    <x v="40"/>
    <x v="13"/>
    <s v="Some bugs need fixing but generally satisfied with it."/>
    <x v="4"/>
    <x v="17"/>
    <x v="1177"/>
    <x v="1"/>
    <x v="4"/>
    <n v="122"/>
    <x v="36"/>
    <x v="10"/>
    <x v="4"/>
    <s v="11.4.88.1428"/>
    <s v="Average"/>
  </r>
  <r>
    <n v="1179"/>
    <n v="1883932"/>
    <x v="5"/>
    <x v="11"/>
    <s v="Perfect for daily use, highly recommend to everyone."/>
    <x v="10"/>
    <x v="36"/>
    <x v="1178"/>
    <x v="0"/>
    <x v="0"/>
    <n v="68"/>
    <x v="26"/>
    <x v="3"/>
    <x v="0"/>
    <s v="12.7.83-beta"/>
    <s v="Poor"/>
  </r>
  <r>
    <n v="1180"/>
    <n v="400567"/>
    <x v="26"/>
    <x v="2"/>
    <s v="コピー葉クール。 中世敵君はブラケット省略血まみれの彼女。 中世私部隊サワー野球索引。"/>
    <x v="22"/>
    <x v="4"/>
    <x v="1179"/>
    <x v="0"/>
    <x v="2"/>
    <n v="374"/>
    <x v="38"/>
    <x v="9"/>
    <x v="2"/>
    <s v="8.7.85"/>
    <s v="Average"/>
  </r>
  <r>
    <n v="1181"/>
    <n v="366510"/>
    <x v="29"/>
    <x v="6"/>
    <s v="Perfect for daily use, highly recommend to everyone."/>
    <x v="6"/>
    <x v="6"/>
    <x v="1180"/>
    <x v="0"/>
    <x v="3"/>
    <n v="95"/>
    <x v="16"/>
    <x v="17"/>
    <x v="0"/>
    <s v="13.8.57.8325"/>
    <s v="Good"/>
  </r>
  <r>
    <n v="1182"/>
    <n v="549886"/>
    <x v="29"/>
    <x v="14"/>
    <s v="Laboriosam corporis doloribus sapiente similique. Deleniti error iure labore accusantium cumque corrupti."/>
    <x v="23"/>
    <x v="38"/>
    <x v="1181"/>
    <x v="0"/>
    <x v="1"/>
    <n v="1169"/>
    <x v="32"/>
    <x v="23"/>
    <x v="1"/>
    <s v="v13.7.51"/>
    <s v="Good"/>
  </r>
  <r>
    <n v="1183"/>
    <n v="8237735"/>
    <x v="40"/>
    <x v="8"/>
    <s v="Perfect for daily use, highly recommend to everyone."/>
    <x v="12"/>
    <x v="38"/>
    <x v="1182"/>
    <x v="0"/>
    <x v="4"/>
    <n v="823"/>
    <x v="62"/>
    <x v="9"/>
    <x v="4"/>
    <s v="14.6.87"/>
    <s v="Good"/>
  </r>
  <r>
    <n v="1184"/>
    <n v="7641631"/>
    <x v="8"/>
    <x v="7"/>
    <s v="Depuis écraser satisfaire fois espèce bord sept guère. Sérieux quand nouveau mien échapper journée."/>
    <x v="22"/>
    <x v="4"/>
    <x v="1183"/>
    <x v="0"/>
    <x v="0"/>
    <n v="661"/>
    <x v="43"/>
    <x v="20"/>
    <x v="4"/>
    <s v="13.8.78.1313"/>
    <s v="Average"/>
  </r>
  <r>
    <n v="1185"/>
    <n v="8285628"/>
    <x v="25"/>
    <x v="15"/>
    <s v="Excellent customer support and regular feature updates."/>
    <x v="0"/>
    <x v="13"/>
    <x v="1184"/>
    <x v="1"/>
    <x v="2"/>
    <n v="178"/>
    <x v="9"/>
    <x v="2"/>
    <x v="4"/>
    <s v="3.6"/>
    <s v="Average"/>
  </r>
  <r>
    <n v="1186"/>
    <n v="1118455"/>
    <x v="4"/>
    <x v="16"/>
    <s v="Great app but too many ads, consider premium version."/>
    <x v="0"/>
    <x v="24"/>
    <x v="1185"/>
    <x v="0"/>
    <x v="4"/>
    <n v="753"/>
    <x v="11"/>
    <x v="21"/>
    <x v="4"/>
    <s v="8.0"/>
    <s v="Poor"/>
  </r>
  <r>
    <n v="1187"/>
    <n v="7180061"/>
    <x v="3"/>
    <x v="1"/>
    <s v="Some bugs need fixing but generally satisfied with it."/>
    <x v="22"/>
    <x v="10"/>
    <x v="1186"/>
    <x v="0"/>
    <x v="3"/>
    <n v="11"/>
    <x v="16"/>
    <x v="6"/>
    <x v="2"/>
    <s v="13.0.89"/>
    <s v="Poor"/>
  </r>
  <r>
    <n v="1188"/>
    <n v="9382090"/>
    <x v="6"/>
    <x v="11"/>
    <s v="Eaque officia suscipit blanditiis."/>
    <x v="3"/>
    <x v="34"/>
    <x v="1187"/>
    <x v="1"/>
    <x v="1"/>
    <n v="3"/>
    <x v="57"/>
    <x v="10"/>
    <x v="1"/>
    <s v="2.6.83.4139"/>
    <s v="Average"/>
  </r>
  <r>
    <n v="1189"/>
    <n v="5917736"/>
    <x v="15"/>
    <x v="9"/>
    <s v="This app is amazing! Really love the new features."/>
    <x v="6"/>
    <x v="2"/>
    <x v="1188"/>
    <x v="1"/>
    <x v="4"/>
    <n v="930"/>
    <x v="12"/>
    <x v="1"/>
    <x v="0"/>
    <s v="15.0.26.510"/>
    <s v="Average"/>
  </r>
  <r>
    <n v="1190"/>
    <n v="7418725"/>
    <x v="20"/>
    <x v="12"/>
    <s v="Some bugs need fixing but generally satisfied with it."/>
    <x v="6"/>
    <x v="2"/>
    <x v="1189"/>
    <x v="0"/>
    <x v="1"/>
    <n v="1157"/>
    <x v="22"/>
    <x v="6"/>
    <x v="4"/>
    <s v="14.8.41"/>
    <s v="Average"/>
  </r>
  <r>
    <n v="1191"/>
    <n v="4932019"/>
    <x v="2"/>
    <x v="2"/>
    <s v="This app is amazing! Really love the new features."/>
    <x v="0"/>
    <x v="23"/>
    <x v="1190"/>
    <x v="0"/>
    <x v="2"/>
    <n v="34"/>
    <x v="18"/>
    <x v="21"/>
    <x v="1"/>
    <s v="14.1.21-beta"/>
    <s v="Very Poor"/>
  </r>
  <r>
    <n v="1192"/>
    <n v="7972548"/>
    <x v="17"/>
    <x v="15"/>
    <s v="Crashes too often, needs improvement in stability."/>
    <x v="3"/>
    <x v="35"/>
    <x v="1191"/>
    <x v="0"/>
    <x v="3"/>
    <n v="992"/>
    <x v="29"/>
    <x v="19"/>
    <x v="1"/>
    <s v="5.3.41-beta"/>
    <s v="Poor"/>
  </r>
  <r>
    <n v="1193"/>
    <n v="3994044"/>
    <x v="25"/>
    <x v="7"/>
    <s v="The interface could be better but overall good experience."/>
    <x v="14"/>
    <x v="21"/>
    <x v="1192"/>
    <x v="0"/>
    <x v="0"/>
    <n v="745"/>
    <x v="18"/>
    <x v="19"/>
    <x v="0"/>
    <s v="11.5.27.6682"/>
    <s v="Excellent"/>
  </r>
  <r>
    <n v="1194"/>
    <n v="9959277"/>
    <x v="14"/>
    <x v="1"/>
    <s v="Latest update broke some features, please fix soon."/>
    <x v="7"/>
    <x v="33"/>
    <x v="1193"/>
    <x v="1"/>
    <x v="2"/>
    <n v="631"/>
    <x v="28"/>
    <x v="22"/>
    <x v="3"/>
    <s v="10.6.83"/>
    <s v="Poor"/>
  </r>
  <r>
    <n v="1195"/>
    <n v="5790043"/>
    <x v="22"/>
    <x v="13"/>
    <s v="Półwysep koza cierpieć przyjechać sos odpowiadać możliwy lotnisko. Środa krzesło ziemski postawić głównie płaszcz. Krótki historia waluta nauka wygląd wspomnienie trzydzieści."/>
    <x v="1"/>
    <x v="38"/>
    <x v="1194"/>
    <x v="0"/>
    <x v="3"/>
    <n v="1119"/>
    <x v="36"/>
    <x v="12"/>
    <x v="3"/>
    <s v="13.4"/>
    <s v="Good"/>
  </r>
  <r>
    <n v="1196"/>
    <n v="889356"/>
    <x v="31"/>
    <x v="16"/>
    <s v="Works perfectly on my device, no complaints at all."/>
    <x v="11"/>
    <x v="17"/>
    <x v="1195"/>
    <x v="0"/>
    <x v="3"/>
    <n v="1083"/>
    <x v="60"/>
    <x v="18"/>
    <x v="4"/>
    <s v="3.3.16-beta"/>
    <s v="Average"/>
  </r>
  <r>
    <n v="1197"/>
    <n v="4475632"/>
    <x v="19"/>
    <x v="5"/>
    <s v="Crashes too often, needs improvement in stability."/>
    <x v="12"/>
    <x v="21"/>
    <x v="1196"/>
    <x v="1"/>
    <x v="3"/>
    <n v="263"/>
    <x v="33"/>
    <x v="1"/>
    <x v="2"/>
    <s v="12.0.32.3048"/>
    <s v="Excellent"/>
  </r>
  <r>
    <n v="1198"/>
    <n v="2760958"/>
    <x v="18"/>
    <x v="13"/>
    <s v="Excellent customer support and regular feature updates."/>
    <x v="4"/>
    <x v="4"/>
    <x v="1197"/>
    <x v="0"/>
    <x v="2"/>
    <n v="656"/>
    <x v="62"/>
    <x v="5"/>
    <x v="2"/>
    <s v="7.9"/>
    <s v="Average"/>
  </r>
  <r>
    <n v="1199"/>
    <n v="636367"/>
    <x v="19"/>
    <x v="13"/>
    <s v="Some bugs need fixing but generally satisfied with it."/>
    <x v="12"/>
    <x v="7"/>
    <x v="1198"/>
    <x v="0"/>
    <x v="1"/>
    <n v="1245"/>
    <x v="58"/>
    <x v="2"/>
    <x v="1"/>
    <s v="15.6.1"/>
    <s v="Very Poor"/>
  </r>
  <r>
    <n v="1200"/>
    <n v="5766248"/>
    <x v="36"/>
    <x v="5"/>
    <s v="This app is amazing! Really love the new features."/>
    <x v="3"/>
    <x v="16"/>
    <x v="1199"/>
    <x v="0"/>
    <x v="0"/>
    <n v="816"/>
    <x v="36"/>
    <x v="21"/>
    <x v="1"/>
    <s v="7.0.3"/>
    <s v="Excellent"/>
  </r>
  <r>
    <n v="1201"/>
    <n v="3903231"/>
    <x v="20"/>
    <x v="3"/>
    <s v="Excellent customer support and regular feature updates."/>
    <x v="18"/>
    <x v="28"/>
    <x v="1200"/>
    <x v="0"/>
    <x v="3"/>
    <n v="962"/>
    <x v="32"/>
    <x v="3"/>
    <x v="4"/>
    <s v="4.4"/>
    <s v="Poor"/>
  </r>
  <r>
    <n v="1202"/>
    <n v="3859700"/>
    <x v="33"/>
    <x v="12"/>
    <s v="Perfect for daily use, highly recommend to everyone."/>
    <x v="17"/>
    <x v="31"/>
    <x v="1201"/>
    <x v="0"/>
    <x v="4"/>
    <n v="1167"/>
    <x v="53"/>
    <x v="17"/>
    <x v="2"/>
    <s v="15.0.42"/>
    <s v="Good"/>
  </r>
  <r>
    <n v="1203"/>
    <n v="5809692"/>
    <x v="29"/>
    <x v="2"/>
    <s v="Great app but too many ads, consider premium version."/>
    <x v="20"/>
    <x v="18"/>
    <x v="1202"/>
    <x v="0"/>
    <x v="4"/>
    <n v="174"/>
    <x v="47"/>
    <x v="16"/>
    <x v="3"/>
    <s v="3.9.99"/>
    <s v="Average"/>
  </r>
  <r>
    <n v="1204"/>
    <n v="883099"/>
    <x v="6"/>
    <x v="16"/>
    <s v="Environment character real middle prove relationship unit. Sometimes while sense window sit participant."/>
    <x v="7"/>
    <x v="11"/>
    <x v="1203"/>
    <x v="0"/>
    <x v="1"/>
    <n v="1005"/>
    <x v="11"/>
    <x v="12"/>
    <x v="0"/>
    <s v="v10.5.61"/>
    <s v="Good"/>
  </r>
  <r>
    <n v="1205"/>
    <n v="9536728"/>
    <x v="31"/>
    <x v="0"/>
    <s v="Crashes too often, needs improvement in stability."/>
    <x v="9"/>
    <x v="34"/>
    <x v="1204"/>
    <x v="0"/>
    <x v="1"/>
    <n v="127"/>
    <x v="35"/>
    <x v="15"/>
    <x v="1"/>
    <s v="1.0.63-beta"/>
    <s v="Average"/>
  </r>
  <r>
    <n v="1206"/>
    <n v="1868504"/>
    <x v="29"/>
    <x v="3"/>
    <s v="This app is amazing! Really love the new features."/>
    <x v="13"/>
    <x v="22"/>
    <x v="1205"/>
    <x v="1"/>
    <x v="2"/>
    <n v="601"/>
    <x v="2"/>
    <x v="18"/>
    <x v="3"/>
    <s v="10.3"/>
    <s v="Poor"/>
  </r>
  <r>
    <n v="1207"/>
    <n v="2080707"/>
    <x v="26"/>
    <x v="9"/>
    <s v="The interface could be better but overall good experience."/>
    <x v="23"/>
    <x v="3"/>
    <x v="1206"/>
    <x v="0"/>
    <x v="0"/>
    <n v="846"/>
    <x v="24"/>
    <x v="0"/>
    <x v="4"/>
    <s v="12.8"/>
    <s v="Average"/>
  </r>
  <r>
    <n v="1208"/>
    <n v="6167286"/>
    <x v="16"/>
    <x v="3"/>
    <s v="The interface could be better but overall good experience."/>
    <x v="1"/>
    <x v="25"/>
    <x v="1207"/>
    <x v="1"/>
    <x v="2"/>
    <n v="523"/>
    <x v="28"/>
    <x v="14"/>
    <x v="1"/>
    <s v="8.3.84.2728"/>
    <s v="Poor"/>
  </r>
  <r>
    <n v="1209"/>
    <n v="5001010"/>
    <x v="27"/>
    <x v="4"/>
    <s v="Great app but too many ads, consider premium version."/>
    <x v="7"/>
    <x v="34"/>
    <x v="1208"/>
    <x v="0"/>
    <x v="4"/>
    <n v="815"/>
    <x v="10"/>
    <x v="6"/>
    <x v="2"/>
    <s v="15.7.33.4445"/>
    <s v="Average"/>
  </r>
  <r>
    <n v="1210"/>
    <n v="8587536"/>
    <x v="38"/>
    <x v="12"/>
    <s v="No Review"/>
    <x v="5"/>
    <x v="12"/>
    <x v="1209"/>
    <x v="1"/>
    <x v="3"/>
    <n v="306"/>
    <x v="22"/>
    <x v="0"/>
    <x v="4"/>
    <s v="v6.4.15"/>
    <s v="Excellent"/>
  </r>
  <r>
    <n v="1211"/>
    <n v="210521"/>
    <x v="15"/>
    <x v="1"/>
    <s v="Latest update broke some features, please fix soon."/>
    <x v="3"/>
    <x v="16"/>
    <x v="1210"/>
    <x v="0"/>
    <x v="4"/>
    <n v="910"/>
    <x v="50"/>
    <x v="5"/>
    <x v="1"/>
    <s v="9.5.69-beta"/>
    <s v="Excellent"/>
  </r>
  <r>
    <n v="1212"/>
    <n v="5826400"/>
    <x v="21"/>
    <x v="12"/>
    <s v="Medio avvocato gettare ricerca fronte."/>
    <x v="17"/>
    <x v="37"/>
    <x v="1211"/>
    <x v="0"/>
    <x v="2"/>
    <n v="409"/>
    <x v="10"/>
    <x v="20"/>
    <x v="4"/>
    <s v="12.6"/>
    <s v="Average"/>
  </r>
  <r>
    <n v="1213"/>
    <n v="2643614"/>
    <x v="14"/>
    <x v="16"/>
    <s v="This app is amazing! Really love the new features."/>
    <x v="5"/>
    <x v="32"/>
    <x v="1212"/>
    <x v="1"/>
    <x v="4"/>
    <n v="1227"/>
    <x v="61"/>
    <x v="21"/>
    <x v="1"/>
    <s v="8.0.64.9915"/>
    <s v="Very Poor"/>
  </r>
  <r>
    <n v="1214"/>
    <n v="8986057"/>
    <x v="30"/>
    <x v="3"/>
    <s v="The interface could be better but overall good experience."/>
    <x v="17"/>
    <x v="18"/>
    <x v="1213"/>
    <x v="0"/>
    <x v="3"/>
    <n v="693"/>
    <x v="14"/>
    <x v="3"/>
    <x v="3"/>
    <s v="2.3.87-beta"/>
    <s v="Average"/>
  </r>
  <r>
    <n v="1215"/>
    <n v="2415160"/>
    <x v="31"/>
    <x v="11"/>
    <s v="Perfect for daily use, highly recommend to everyone."/>
    <x v="5"/>
    <x v="9"/>
    <x v="1214"/>
    <x v="0"/>
    <x v="4"/>
    <n v="974"/>
    <x v="47"/>
    <x v="24"/>
    <x v="3"/>
    <s v="5.7"/>
    <s v="Excellent"/>
  </r>
  <r>
    <n v="1216"/>
    <n v="7035859"/>
    <x v="10"/>
    <x v="5"/>
    <s v="The interface could be better but overall good experience."/>
    <x v="5"/>
    <x v="30"/>
    <x v="1215"/>
    <x v="0"/>
    <x v="2"/>
    <n v="1180"/>
    <x v="21"/>
    <x v="15"/>
    <x v="2"/>
    <s v="15.3.10"/>
    <s v="Average"/>
  </r>
  <r>
    <n v="1217"/>
    <n v="7796599"/>
    <x v="4"/>
    <x v="2"/>
    <s v="Works perfectly on my device, no complaints at all."/>
    <x v="9"/>
    <x v="6"/>
    <x v="1216"/>
    <x v="0"/>
    <x v="1"/>
    <n v="33"/>
    <x v="32"/>
    <x v="14"/>
    <x v="2"/>
    <s v="15.0.46"/>
    <s v="Good"/>
  </r>
  <r>
    <n v="1218"/>
    <n v="6169566"/>
    <x v="14"/>
    <x v="4"/>
    <s v="Perfect for daily use, highly recommend to everyone."/>
    <x v="16"/>
    <x v="31"/>
    <x v="1217"/>
    <x v="0"/>
    <x v="1"/>
    <n v="90"/>
    <x v="32"/>
    <x v="7"/>
    <x v="4"/>
    <s v="Unknown"/>
    <s v="Good"/>
  </r>
  <r>
    <n v="1219"/>
    <n v="2542499"/>
    <x v="10"/>
    <x v="0"/>
    <s v="No Review"/>
    <x v="2"/>
    <x v="11"/>
    <x v="1218"/>
    <x v="0"/>
    <x v="2"/>
    <n v="59"/>
    <x v="36"/>
    <x v="22"/>
    <x v="0"/>
    <s v="1.3.75.718"/>
    <s v="Good"/>
  </r>
  <r>
    <n v="1220"/>
    <n v="8779670"/>
    <x v="39"/>
    <x v="9"/>
    <s v="Crashes too often, needs improvement in stability."/>
    <x v="20"/>
    <x v="7"/>
    <x v="1219"/>
    <x v="0"/>
    <x v="3"/>
    <n v="1092"/>
    <x v="4"/>
    <x v="3"/>
    <x v="0"/>
    <s v="12.9.46"/>
    <s v="Very Poor"/>
  </r>
  <r>
    <n v="1221"/>
    <n v="5775793"/>
    <x v="37"/>
    <x v="15"/>
    <s v="Latest update broke some features, please fix soon."/>
    <x v="4"/>
    <x v="4"/>
    <x v="1220"/>
    <x v="0"/>
    <x v="3"/>
    <n v="576"/>
    <x v="61"/>
    <x v="18"/>
    <x v="3"/>
    <s v="13.4"/>
    <s v="Average"/>
  </r>
  <r>
    <n v="1222"/>
    <n v="2856910"/>
    <x v="7"/>
    <x v="2"/>
    <s v="Ptak w czasie okrągły Słońce dokładny iść. Doprowadzić ośrodek okropny praktyka płynąć rachunek żelazo zawodowy."/>
    <x v="17"/>
    <x v="36"/>
    <x v="1221"/>
    <x v="1"/>
    <x v="0"/>
    <n v="321"/>
    <x v="6"/>
    <x v="9"/>
    <x v="4"/>
    <s v="v6.5.67"/>
    <s v="Poor"/>
  </r>
  <r>
    <n v="1223"/>
    <n v="5362932"/>
    <x v="1"/>
    <x v="2"/>
    <s v="时间美国由于增加处理以及. 过程简介喜欢项目都是. 一次以后发展投资朋友商品."/>
    <x v="16"/>
    <x v="23"/>
    <x v="1222"/>
    <x v="0"/>
    <x v="4"/>
    <n v="606"/>
    <x v="17"/>
    <x v="6"/>
    <x v="0"/>
    <s v="1.3.52-beta"/>
    <s v="Very Poor"/>
  </r>
  <r>
    <n v="1224"/>
    <n v="8832032"/>
    <x v="40"/>
    <x v="13"/>
    <s v="Eligendi at mollitia maxime quidem cum adipisci."/>
    <x v="9"/>
    <x v="24"/>
    <x v="1223"/>
    <x v="0"/>
    <x v="4"/>
    <n v="866"/>
    <x v="31"/>
    <x v="12"/>
    <x v="3"/>
    <s v="v9.5.3"/>
    <s v="Poor"/>
  </r>
  <r>
    <n v="1225"/>
    <n v="4440101"/>
    <x v="17"/>
    <x v="12"/>
    <s v="Excellent customer support and regular feature updates."/>
    <x v="1"/>
    <x v="7"/>
    <x v="1224"/>
    <x v="1"/>
    <x v="0"/>
    <n v="541"/>
    <x v="25"/>
    <x v="7"/>
    <x v="3"/>
    <s v="v2.3.31"/>
    <s v="Very Poor"/>
  </r>
  <r>
    <n v="1226"/>
    <n v="5199302"/>
    <x v="8"/>
    <x v="11"/>
    <s v="Хозяйка эпоха забирать угроза анализ ученый. Бетонный исполнять висеть. Палка каюта а роса носок прежний дрогнуть."/>
    <x v="21"/>
    <x v="18"/>
    <x v="1225"/>
    <x v="1"/>
    <x v="0"/>
    <n v="615"/>
    <x v="2"/>
    <x v="8"/>
    <x v="2"/>
    <s v="6.7.15"/>
    <s v="Average"/>
  </r>
  <r>
    <n v="1227"/>
    <n v="9047098"/>
    <x v="37"/>
    <x v="10"/>
    <s v="Doloremque error pariatur repellendus nemo consequuntur fugiat qui. Eveniet neque reprehenderit facere. Corporis incidunt illum at."/>
    <x v="11"/>
    <x v="7"/>
    <x v="1226"/>
    <x v="0"/>
    <x v="2"/>
    <n v="497"/>
    <x v="38"/>
    <x v="8"/>
    <x v="2"/>
    <s v="5.8.58.6488"/>
    <s v="Very Poor"/>
  </r>
  <r>
    <n v="1228"/>
    <n v="8090200"/>
    <x v="27"/>
    <x v="7"/>
    <s v="Perfect for daily use, highly recommend to everyone."/>
    <x v="13"/>
    <x v="38"/>
    <x v="1227"/>
    <x v="0"/>
    <x v="2"/>
    <n v="1236"/>
    <x v="61"/>
    <x v="17"/>
    <x v="0"/>
    <s v="3.0.77-beta"/>
    <s v="Good"/>
  </r>
  <r>
    <n v="1229"/>
    <n v="1409842"/>
    <x v="15"/>
    <x v="7"/>
    <s v="Wtorek obiad r. płacić dziób sędzia. Graniczyć klient minuskuła Egipt możliwy serce."/>
    <x v="11"/>
    <x v="33"/>
    <x v="1228"/>
    <x v="0"/>
    <x v="3"/>
    <n v="382"/>
    <x v="11"/>
    <x v="9"/>
    <x v="2"/>
    <s v="14.8"/>
    <s v="Poor"/>
  </r>
  <r>
    <n v="1230"/>
    <n v="8232997"/>
    <x v="5"/>
    <x v="5"/>
    <s v="Latest update broke some features, please fix soon."/>
    <x v="8"/>
    <x v="5"/>
    <x v="1229"/>
    <x v="0"/>
    <x v="4"/>
    <n v="866"/>
    <x v="48"/>
    <x v="20"/>
    <x v="0"/>
    <s v="1.2.30"/>
    <s v="Excellent"/>
  </r>
  <r>
    <n v="1231"/>
    <n v="2270723"/>
    <x v="11"/>
    <x v="3"/>
    <s v="User-friendly design and smooth performance throughout."/>
    <x v="17"/>
    <x v="31"/>
    <x v="1230"/>
    <x v="0"/>
    <x v="4"/>
    <n v="672"/>
    <x v="3"/>
    <x v="24"/>
    <x v="3"/>
    <s v="10.9.67.2447"/>
    <s v="Good"/>
  </r>
  <r>
    <n v="1232"/>
    <n v="8977514"/>
    <x v="28"/>
    <x v="3"/>
    <s v="Works perfectly on my device, no complaints at all."/>
    <x v="19"/>
    <x v="16"/>
    <x v="1231"/>
    <x v="1"/>
    <x v="2"/>
    <n v="316"/>
    <x v="22"/>
    <x v="15"/>
    <x v="0"/>
    <s v="4.8.28"/>
    <s v="Excellent"/>
  </r>
  <r>
    <n v="1233"/>
    <n v="3667549"/>
    <x v="1"/>
    <x v="14"/>
    <s v="List second want hard weight own impact. Hard face mission brother."/>
    <x v="23"/>
    <x v="8"/>
    <x v="1232"/>
    <x v="0"/>
    <x v="1"/>
    <n v="107"/>
    <x v="18"/>
    <x v="1"/>
    <x v="1"/>
    <s v="v12.0.50"/>
    <s v="Very Poor"/>
  </r>
  <r>
    <n v="1234"/>
    <n v="5187859"/>
    <x v="20"/>
    <x v="3"/>
    <s v="Jour respect chanter nombre armée. Spectacle cuisine route juger causer."/>
    <x v="1"/>
    <x v="23"/>
    <x v="1233"/>
    <x v="0"/>
    <x v="0"/>
    <n v="969"/>
    <x v="59"/>
    <x v="22"/>
    <x v="4"/>
    <s v="Unknown"/>
    <s v="Very Poor"/>
  </r>
  <r>
    <n v="1235"/>
    <n v="849647"/>
    <x v="32"/>
    <x v="7"/>
    <s v="Laboriosam est iste excepturi fugiat rerum. Consequatur consequuntur odio quis pariatur corrupti quas at."/>
    <x v="3"/>
    <x v="38"/>
    <x v="1234"/>
    <x v="1"/>
    <x v="0"/>
    <n v="537"/>
    <x v="23"/>
    <x v="15"/>
    <x v="1"/>
    <s v="1.0"/>
    <s v="Good"/>
  </r>
  <r>
    <n v="1236"/>
    <n v="6972422"/>
    <x v="27"/>
    <x v="14"/>
    <s v="Stół rodzic płaski poduszka kolacja powszechny. Poeta obrona siódmy środa. Port światło wnętrze – skład."/>
    <x v="8"/>
    <x v="15"/>
    <x v="1235"/>
    <x v="1"/>
    <x v="3"/>
    <n v="158"/>
    <x v="11"/>
    <x v="21"/>
    <x v="4"/>
    <s v="15.3.75-beta"/>
    <s v="Poor"/>
  </r>
  <r>
    <n v="1237"/>
    <n v="987084"/>
    <x v="20"/>
    <x v="17"/>
    <s v="Crashes too often, needs improvement in stability."/>
    <x v="4"/>
    <x v="20"/>
    <x v="1236"/>
    <x v="0"/>
    <x v="3"/>
    <n v="526"/>
    <x v="29"/>
    <x v="1"/>
    <x v="1"/>
    <s v="v3.6.99"/>
    <s v="Very Poor"/>
  </r>
  <r>
    <n v="1238"/>
    <n v="3277535"/>
    <x v="40"/>
    <x v="0"/>
    <s v="This app is amazing! Really love the new features."/>
    <x v="23"/>
    <x v="3"/>
    <x v="1237"/>
    <x v="0"/>
    <x v="2"/>
    <n v="922"/>
    <x v="4"/>
    <x v="7"/>
    <x v="0"/>
    <s v="v6.9.36"/>
    <s v="Average"/>
  </r>
  <r>
    <n v="1239"/>
    <n v="8532879"/>
    <x v="11"/>
    <x v="12"/>
    <s v="Cane trascinare concetto. Dormire correre serio."/>
    <x v="9"/>
    <x v="38"/>
    <x v="1238"/>
    <x v="0"/>
    <x v="3"/>
    <n v="1077"/>
    <x v="36"/>
    <x v="23"/>
    <x v="0"/>
    <s v="3.2.43-beta"/>
    <s v="Good"/>
  </r>
  <r>
    <n v="1240"/>
    <n v="7552933"/>
    <x v="20"/>
    <x v="3"/>
    <s v="Tante nie Hund Auge. Glück eigentlich andere. Gern fragen dafür Brief drehen denn Frage."/>
    <x v="4"/>
    <x v="35"/>
    <x v="1239"/>
    <x v="0"/>
    <x v="1"/>
    <n v="820"/>
    <x v="52"/>
    <x v="10"/>
    <x v="4"/>
    <s v="7.8.6"/>
    <s v="Poor"/>
  </r>
  <r>
    <n v="1241"/>
    <n v="5247152"/>
    <x v="37"/>
    <x v="14"/>
    <s v="Perspiciatis animi vero delectus quae error."/>
    <x v="15"/>
    <x v="4"/>
    <x v="1240"/>
    <x v="0"/>
    <x v="4"/>
    <n v="910"/>
    <x v="36"/>
    <x v="20"/>
    <x v="2"/>
    <s v="7.7.79.4413"/>
    <s v="Average"/>
  </r>
  <r>
    <n v="1242"/>
    <n v="2490091"/>
    <x v="23"/>
    <x v="2"/>
    <s v="Great app but too many ads, consider premium version."/>
    <x v="4"/>
    <x v="24"/>
    <x v="1241"/>
    <x v="0"/>
    <x v="3"/>
    <n v="832"/>
    <x v="23"/>
    <x v="24"/>
    <x v="3"/>
    <s v="7.2.0-beta"/>
    <s v="Poor"/>
  </r>
  <r>
    <n v="1243"/>
    <n v="4427419"/>
    <x v="16"/>
    <x v="10"/>
    <s v="This app is amazing! Really love the new features."/>
    <x v="23"/>
    <x v="7"/>
    <x v="1242"/>
    <x v="0"/>
    <x v="3"/>
    <n v="914"/>
    <x v="26"/>
    <x v="13"/>
    <x v="2"/>
    <s v="6.1.22-beta"/>
    <s v="Very Poor"/>
  </r>
  <r>
    <n v="1244"/>
    <n v="970370"/>
    <x v="21"/>
    <x v="13"/>
    <s v="No Review"/>
    <x v="1"/>
    <x v="0"/>
    <x v="1243"/>
    <x v="0"/>
    <x v="3"/>
    <n v="1205"/>
    <x v="48"/>
    <x v="17"/>
    <x v="3"/>
    <s v="5.5"/>
    <s v="Very Poor"/>
  </r>
  <r>
    <n v="1245"/>
    <n v="4021514"/>
    <x v="10"/>
    <x v="16"/>
    <s v="Komputer wzgórze dziwny."/>
    <x v="4"/>
    <x v="0"/>
    <x v="1244"/>
    <x v="1"/>
    <x v="4"/>
    <n v="502"/>
    <x v="60"/>
    <x v="20"/>
    <x v="1"/>
    <s v="v1.8.99"/>
    <s v="Very Poor"/>
  </r>
  <r>
    <n v="1246"/>
    <n v="9406446"/>
    <x v="1"/>
    <x v="11"/>
    <s v="Some bugs need fixing but generally satisfied with it."/>
    <x v="7"/>
    <x v="23"/>
    <x v="1245"/>
    <x v="0"/>
    <x v="3"/>
    <n v="569"/>
    <x v="38"/>
    <x v="0"/>
    <x v="0"/>
    <s v="3.0.88"/>
    <s v="Very Poor"/>
  </r>
  <r>
    <n v="1247"/>
    <n v="5210555"/>
    <x v="28"/>
    <x v="10"/>
    <s v="Illum assumenda odio dignissimos voluptas fuga voluptates."/>
    <x v="0"/>
    <x v="15"/>
    <x v="1246"/>
    <x v="0"/>
    <x v="2"/>
    <n v="742"/>
    <x v="16"/>
    <x v="21"/>
    <x v="3"/>
    <s v="10.7"/>
    <s v="Poor"/>
  </r>
  <r>
    <n v="1248"/>
    <n v="9118351"/>
    <x v="21"/>
    <x v="10"/>
    <s v="Perfect for daily use, highly recommend to everyone."/>
    <x v="21"/>
    <x v="35"/>
    <x v="1247"/>
    <x v="0"/>
    <x v="4"/>
    <n v="689"/>
    <x v="54"/>
    <x v="6"/>
    <x v="4"/>
    <s v="v5.8.1"/>
    <s v="Poor"/>
  </r>
  <r>
    <n v="1249"/>
    <n v="7678973"/>
    <x v="3"/>
    <x v="5"/>
    <s v="A iure repudiandae."/>
    <x v="17"/>
    <x v="18"/>
    <x v="1248"/>
    <x v="1"/>
    <x v="3"/>
    <n v="35"/>
    <x v="46"/>
    <x v="20"/>
    <x v="3"/>
    <s v="v11.0.29"/>
    <s v="Average"/>
  </r>
  <r>
    <n v="1250"/>
    <n v="2908198"/>
    <x v="20"/>
    <x v="8"/>
    <s v="Animi ullam earum. Saepe fugit expedita odio nesciunt. Eligendi cum modi architecto at praesentium rerum."/>
    <x v="19"/>
    <x v="0"/>
    <x v="1249"/>
    <x v="0"/>
    <x v="0"/>
    <n v="547"/>
    <x v="30"/>
    <x v="16"/>
    <x v="4"/>
    <s v="v7.7.46"/>
    <s v="Very Poor"/>
  </r>
  <r>
    <n v="1251"/>
    <n v="4788532"/>
    <x v="28"/>
    <x v="4"/>
    <s v="Works perfectly on my device, no complaints at all."/>
    <x v="12"/>
    <x v="35"/>
    <x v="1250"/>
    <x v="0"/>
    <x v="2"/>
    <n v="344"/>
    <x v="5"/>
    <x v="15"/>
    <x v="1"/>
    <s v="v13.8.50"/>
    <s v="Poor"/>
  </r>
  <r>
    <n v="1252"/>
    <n v="3637478"/>
    <x v="34"/>
    <x v="9"/>
    <s v="User-friendly design and smooth performance throughout."/>
    <x v="13"/>
    <x v="3"/>
    <x v="1251"/>
    <x v="0"/>
    <x v="0"/>
    <n v="825"/>
    <x v="22"/>
    <x v="4"/>
    <x v="0"/>
    <s v="7.7"/>
    <s v="Average"/>
  </r>
  <r>
    <n v="1253"/>
    <n v="5440253"/>
    <x v="6"/>
    <x v="3"/>
    <s v="Odio voluptatem provident earum optio eum. Itaque nobis accusamus porro officia."/>
    <x v="17"/>
    <x v="30"/>
    <x v="1252"/>
    <x v="0"/>
    <x v="0"/>
    <n v="1123"/>
    <x v="54"/>
    <x v="19"/>
    <x v="2"/>
    <s v="v8.8.64"/>
    <s v="Average"/>
  </r>
  <r>
    <n v="1254"/>
    <n v="8094829"/>
    <x v="2"/>
    <x v="9"/>
    <s v="Weihnachten schaffen ihn. Sommer Maus stehen Rad besser antworten Tür."/>
    <x v="15"/>
    <x v="31"/>
    <x v="1253"/>
    <x v="0"/>
    <x v="4"/>
    <n v="73"/>
    <x v="13"/>
    <x v="15"/>
    <x v="3"/>
    <s v="10.8"/>
    <s v="Good"/>
  </r>
  <r>
    <n v="1255"/>
    <n v="2170570"/>
    <x v="7"/>
    <x v="15"/>
    <s v="Voluptas fugiat nobis harum saepe repellat. Commodi fuga deserunt. Dolore accusantium eligendi."/>
    <x v="11"/>
    <x v="10"/>
    <x v="1254"/>
    <x v="1"/>
    <x v="1"/>
    <n v="642"/>
    <x v="57"/>
    <x v="4"/>
    <x v="4"/>
    <s v="v13.7.57"/>
    <s v="Poor"/>
  </r>
  <r>
    <n v="1256"/>
    <n v="6103240"/>
    <x v="22"/>
    <x v="17"/>
    <s v="User-friendly design and smooth performance throughout."/>
    <x v="5"/>
    <x v="7"/>
    <x v="1255"/>
    <x v="0"/>
    <x v="3"/>
    <n v="619"/>
    <x v="49"/>
    <x v="13"/>
    <x v="4"/>
    <s v="8.8.8.5780"/>
    <s v="Very Poor"/>
  </r>
  <r>
    <n v="1257"/>
    <n v="5186491"/>
    <x v="17"/>
    <x v="8"/>
    <s v="Crashes too often, needs improvement in stability."/>
    <x v="23"/>
    <x v="13"/>
    <x v="1256"/>
    <x v="1"/>
    <x v="0"/>
    <n v="162"/>
    <x v="36"/>
    <x v="2"/>
    <x v="4"/>
    <s v="9.7.52.3365"/>
    <s v="Average"/>
  </r>
  <r>
    <n v="1258"/>
    <n v="3810242"/>
    <x v="26"/>
    <x v="4"/>
    <s v="Excellent customer support and regular feature updates."/>
    <x v="3"/>
    <x v="11"/>
    <x v="1257"/>
    <x v="0"/>
    <x v="3"/>
    <n v="792"/>
    <x v="2"/>
    <x v="6"/>
    <x v="1"/>
    <s v="12.1.70"/>
    <s v="Good"/>
  </r>
  <r>
    <n v="1259"/>
    <n v="6190115"/>
    <x v="31"/>
    <x v="2"/>
    <s v="Crashes too often, needs improvement in stability."/>
    <x v="7"/>
    <x v="19"/>
    <x v="1258"/>
    <x v="0"/>
    <x v="2"/>
    <n v="1207"/>
    <x v="14"/>
    <x v="23"/>
    <x v="2"/>
    <s v="12.9.4"/>
    <s v="Poor"/>
  </r>
  <r>
    <n v="1260"/>
    <n v="8368447"/>
    <x v="32"/>
    <x v="12"/>
    <s v="User-friendly design and smooth performance throughout."/>
    <x v="17"/>
    <x v="24"/>
    <x v="1259"/>
    <x v="1"/>
    <x v="3"/>
    <n v="847"/>
    <x v="6"/>
    <x v="13"/>
    <x v="0"/>
    <s v="v10.7.5"/>
    <s v="Poor"/>
  </r>
  <r>
    <n v="1261"/>
    <n v="3607886"/>
    <x v="22"/>
    <x v="1"/>
    <s v="Great app but too many ads, consider premium version."/>
    <x v="17"/>
    <x v="26"/>
    <x v="1260"/>
    <x v="0"/>
    <x v="1"/>
    <n v="901"/>
    <x v="9"/>
    <x v="3"/>
    <x v="3"/>
    <s v="12.1"/>
    <s v="Average"/>
  </r>
  <r>
    <n v="1262"/>
    <n v="6745223"/>
    <x v="30"/>
    <x v="14"/>
    <s v="Some bugs need fixing but generally satisfied with it."/>
    <x v="0"/>
    <x v="8"/>
    <x v="1261"/>
    <x v="0"/>
    <x v="4"/>
    <n v="637"/>
    <x v="39"/>
    <x v="18"/>
    <x v="2"/>
    <s v="v5.4.33"/>
    <s v="Very Poor"/>
  </r>
  <r>
    <n v="1263"/>
    <n v="9647951"/>
    <x v="37"/>
    <x v="11"/>
    <s v="Works perfectly on my device, no complaints at all."/>
    <x v="0"/>
    <x v="17"/>
    <x v="1262"/>
    <x v="0"/>
    <x v="4"/>
    <n v="1193"/>
    <x v="19"/>
    <x v="10"/>
    <x v="2"/>
    <s v="4.6.68"/>
    <s v="Average"/>
  </r>
  <r>
    <n v="1264"/>
    <n v="2960131"/>
    <x v="25"/>
    <x v="15"/>
    <s v="User-friendly design and smooth performance throughout."/>
    <x v="21"/>
    <x v="11"/>
    <x v="1263"/>
    <x v="0"/>
    <x v="4"/>
    <n v="474"/>
    <x v="58"/>
    <x v="15"/>
    <x v="2"/>
    <s v="v6.6.65"/>
    <s v="Good"/>
  </r>
  <r>
    <n v="1265"/>
    <n v="9590989"/>
    <x v="37"/>
    <x v="10"/>
    <s v="User-friendly design and smooth performance throughout."/>
    <x v="10"/>
    <x v="24"/>
    <x v="1264"/>
    <x v="1"/>
    <x v="2"/>
    <n v="1231"/>
    <x v="30"/>
    <x v="8"/>
    <x v="0"/>
    <s v="4.7.64"/>
    <s v="Poor"/>
  </r>
  <r>
    <n v="1266"/>
    <n v="9581479"/>
    <x v="24"/>
    <x v="11"/>
    <s v="Latest update broke some features, please fix soon."/>
    <x v="3"/>
    <x v="32"/>
    <x v="1265"/>
    <x v="0"/>
    <x v="2"/>
    <n v="464"/>
    <x v="22"/>
    <x v="18"/>
    <x v="1"/>
    <s v="3.9.11.5431"/>
    <s v="Very Poor"/>
  </r>
  <r>
    <n v="1267"/>
    <n v="9967764"/>
    <x v="17"/>
    <x v="8"/>
    <s v="Sieht darin Wiese verstecken. Sein früher Vater an zeigen scheinen nur."/>
    <x v="19"/>
    <x v="11"/>
    <x v="1266"/>
    <x v="0"/>
    <x v="0"/>
    <n v="521"/>
    <x v="16"/>
    <x v="9"/>
    <x v="1"/>
    <s v="4.9.55"/>
    <s v="Good"/>
  </r>
  <r>
    <n v="1268"/>
    <n v="7715616"/>
    <x v="0"/>
    <x v="10"/>
    <s v="Great app but too many ads, consider premium version."/>
    <x v="23"/>
    <x v="21"/>
    <x v="1267"/>
    <x v="0"/>
    <x v="2"/>
    <n v="157"/>
    <x v="8"/>
    <x v="16"/>
    <x v="1"/>
    <s v="5.9.14"/>
    <s v="Excellent"/>
  </r>
  <r>
    <n v="1269"/>
    <n v="970113"/>
    <x v="27"/>
    <x v="1"/>
    <s v="This app is amazing! Really love the new features."/>
    <x v="8"/>
    <x v="17"/>
    <x v="1268"/>
    <x v="0"/>
    <x v="3"/>
    <n v="416"/>
    <x v="61"/>
    <x v="17"/>
    <x v="2"/>
    <s v="13.4.35-beta"/>
    <s v="Average"/>
  </r>
  <r>
    <n v="1270"/>
    <n v="7356954"/>
    <x v="10"/>
    <x v="2"/>
    <s v="Great app but too many ads, consider premium version."/>
    <x v="4"/>
    <x v="23"/>
    <x v="1269"/>
    <x v="0"/>
    <x v="3"/>
    <n v="787"/>
    <x v="13"/>
    <x v="9"/>
    <x v="1"/>
    <s v="5.3"/>
    <s v="Very Poor"/>
  </r>
  <r>
    <n v="1271"/>
    <n v="4697554"/>
    <x v="21"/>
    <x v="16"/>
    <s v="Prendere libertà frutto ricordo. Appartenere temere montagna faccia governo."/>
    <x v="7"/>
    <x v="15"/>
    <x v="1270"/>
    <x v="0"/>
    <x v="4"/>
    <n v="275"/>
    <x v="59"/>
    <x v="23"/>
    <x v="0"/>
    <s v="7.6"/>
    <s v="Poor"/>
  </r>
  <r>
    <n v="1272"/>
    <n v="9693541"/>
    <x v="24"/>
    <x v="9"/>
    <s v="This app is amazing! Really love the new features."/>
    <x v="22"/>
    <x v="19"/>
    <x v="1271"/>
    <x v="0"/>
    <x v="0"/>
    <n v="147"/>
    <x v="24"/>
    <x v="23"/>
    <x v="4"/>
    <s v="7.8.28-beta"/>
    <s v="Poor"/>
  </r>
  <r>
    <n v="1273"/>
    <n v="3885409"/>
    <x v="12"/>
    <x v="13"/>
    <s v="Latest update broke some features, please fix soon."/>
    <x v="14"/>
    <x v="14"/>
    <x v="1272"/>
    <x v="0"/>
    <x v="0"/>
    <n v="107"/>
    <x v="56"/>
    <x v="5"/>
    <x v="2"/>
    <s v="v2.7.38"/>
    <s v="Excellent"/>
  </r>
  <r>
    <n v="1274"/>
    <n v="1348902"/>
    <x v="16"/>
    <x v="2"/>
    <s v="Crashes too often, needs improvement in stability."/>
    <x v="3"/>
    <x v="32"/>
    <x v="1273"/>
    <x v="0"/>
    <x v="0"/>
    <n v="769"/>
    <x v="2"/>
    <x v="24"/>
    <x v="1"/>
    <s v="v15.9.81"/>
    <s v="Very Poor"/>
  </r>
  <r>
    <n v="1275"/>
    <n v="3403044"/>
    <x v="7"/>
    <x v="4"/>
    <s v="Perfect for daily use, highly recommend to everyone."/>
    <x v="1"/>
    <x v="39"/>
    <x v="1274"/>
    <x v="0"/>
    <x v="1"/>
    <n v="1125"/>
    <x v="51"/>
    <x v="17"/>
    <x v="4"/>
    <s v="v1.2.95"/>
    <s v="Good"/>
  </r>
  <r>
    <n v="1276"/>
    <n v="5314457"/>
    <x v="12"/>
    <x v="1"/>
    <s v="Pena bello luogo scorrere."/>
    <x v="10"/>
    <x v="13"/>
    <x v="1275"/>
    <x v="1"/>
    <x v="1"/>
    <n v="1188"/>
    <x v="3"/>
    <x v="20"/>
    <x v="0"/>
    <s v="2.4.46-beta"/>
    <s v="Average"/>
  </r>
  <r>
    <n v="1277"/>
    <n v="5708665"/>
    <x v="13"/>
    <x v="4"/>
    <s v="Great app but too many ads, consider premium version."/>
    <x v="19"/>
    <x v="35"/>
    <x v="1276"/>
    <x v="0"/>
    <x v="0"/>
    <n v="891"/>
    <x v="4"/>
    <x v="12"/>
    <x v="4"/>
    <s v="v4.1.17"/>
    <s v="Poor"/>
  </r>
  <r>
    <n v="1278"/>
    <n v="4246548"/>
    <x v="10"/>
    <x v="10"/>
    <s v="The interface could be better but overall good experience."/>
    <x v="9"/>
    <x v="35"/>
    <x v="1277"/>
    <x v="0"/>
    <x v="0"/>
    <n v="985"/>
    <x v="50"/>
    <x v="14"/>
    <x v="0"/>
    <s v="4.1.39.3378"/>
    <s v="Poor"/>
  </r>
  <r>
    <n v="1279"/>
    <n v="4099003"/>
    <x v="13"/>
    <x v="0"/>
    <s v="Latest update broke some features, please fix soon."/>
    <x v="14"/>
    <x v="34"/>
    <x v="1278"/>
    <x v="0"/>
    <x v="0"/>
    <n v="108"/>
    <x v="60"/>
    <x v="6"/>
    <x v="4"/>
    <s v="1.9.85.6642"/>
    <s v="Average"/>
  </r>
  <r>
    <n v="1280"/>
    <n v="5696685"/>
    <x v="12"/>
    <x v="3"/>
    <s v="This app is amazing! Really love the new features."/>
    <x v="12"/>
    <x v="8"/>
    <x v="1279"/>
    <x v="0"/>
    <x v="2"/>
    <n v="1028"/>
    <x v="4"/>
    <x v="11"/>
    <x v="3"/>
    <s v="6.4.22"/>
    <s v="Very Poor"/>
  </r>
  <r>
    <n v="1281"/>
    <n v="1323240"/>
    <x v="27"/>
    <x v="0"/>
    <s v="The interface could be better but overall good experience."/>
    <x v="17"/>
    <x v="0"/>
    <x v="1280"/>
    <x v="0"/>
    <x v="1"/>
    <n v="1205"/>
    <x v="37"/>
    <x v="23"/>
    <x v="1"/>
    <s v="5.2.3-beta"/>
    <s v="Very Poor"/>
  </r>
  <r>
    <n v="1282"/>
    <n v="7457303"/>
    <x v="6"/>
    <x v="5"/>
    <s v="Great app but too many ads, consider premium version."/>
    <x v="7"/>
    <x v="14"/>
    <x v="1281"/>
    <x v="0"/>
    <x v="3"/>
    <n v="267"/>
    <x v="22"/>
    <x v="16"/>
    <x v="0"/>
    <s v="3.2.17"/>
    <s v="Excellent"/>
  </r>
  <r>
    <n v="1283"/>
    <n v="7590291"/>
    <x v="29"/>
    <x v="11"/>
    <s v="Perfect for daily use, highly recommend to everyone."/>
    <x v="7"/>
    <x v="30"/>
    <x v="1282"/>
    <x v="0"/>
    <x v="2"/>
    <n v="466"/>
    <x v="15"/>
    <x v="9"/>
    <x v="3"/>
    <s v="v14.1.14"/>
    <s v="Average"/>
  </r>
  <r>
    <n v="1284"/>
    <n v="1535034"/>
    <x v="28"/>
    <x v="15"/>
    <s v="Latest update broke some features, please fix soon."/>
    <x v="12"/>
    <x v="34"/>
    <x v="1283"/>
    <x v="0"/>
    <x v="1"/>
    <n v="610"/>
    <x v="48"/>
    <x v="10"/>
    <x v="2"/>
    <s v="v6.6.86"/>
    <s v="Average"/>
  </r>
  <r>
    <n v="1285"/>
    <n v="6431639"/>
    <x v="19"/>
    <x v="11"/>
    <s v="Suscipit possimus quos aperiam rem amet. Numquam aperiam perspiciatis nam eos fugit atque quibusdam. Sint ratione numquam iste iure."/>
    <x v="18"/>
    <x v="26"/>
    <x v="1284"/>
    <x v="1"/>
    <x v="2"/>
    <n v="566"/>
    <x v="7"/>
    <x v="4"/>
    <x v="4"/>
    <s v="12.9.45-beta"/>
    <s v="Average"/>
  </r>
  <r>
    <n v="1286"/>
    <n v="1799161"/>
    <x v="23"/>
    <x v="4"/>
    <s v="Officiis perferendis ad maxime nesciunt autem."/>
    <x v="1"/>
    <x v="34"/>
    <x v="1285"/>
    <x v="0"/>
    <x v="0"/>
    <n v="322"/>
    <x v="49"/>
    <x v="2"/>
    <x v="4"/>
    <s v="v12.2.49"/>
    <s v="Average"/>
  </r>
  <r>
    <n v="1287"/>
    <n v="1233208"/>
    <x v="39"/>
    <x v="1"/>
    <s v="User-friendly design and smooth performance throughout."/>
    <x v="1"/>
    <x v="12"/>
    <x v="1286"/>
    <x v="0"/>
    <x v="0"/>
    <n v="889"/>
    <x v="25"/>
    <x v="11"/>
    <x v="0"/>
    <s v="4.6"/>
    <s v="Excellent"/>
  </r>
  <r>
    <n v="1288"/>
    <n v="9716903"/>
    <x v="0"/>
    <x v="8"/>
    <s v="Works perfectly on my device, no complaints at all."/>
    <x v="18"/>
    <x v="12"/>
    <x v="1287"/>
    <x v="1"/>
    <x v="2"/>
    <n v="609"/>
    <x v="45"/>
    <x v="11"/>
    <x v="2"/>
    <s v="15.5"/>
    <s v="Excellent"/>
  </r>
  <r>
    <n v="1289"/>
    <n v="8637891"/>
    <x v="18"/>
    <x v="8"/>
    <s v="不会地方东西中心什么. 问题来自学习."/>
    <x v="0"/>
    <x v="28"/>
    <x v="1288"/>
    <x v="1"/>
    <x v="0"/>
    <n v="504"/>
    <x v="7"/>
    <x v="4"/>
    <x v="1"/>
    <s v="15.3"/>
    <s v="Poor"/>
  </r>
  <r>
    <n v="1290"/>
    <n v="6101942"/>
    <x v="8"/>
    <x v="1"/>
    <s v="Great app but too many ads, consider premium version."/>
    <x v="7"/>
    <x v="13"/>
    <x v="1289"/>
    <x v="0"/>
    <x v="3"/>
    <n v="170"/>
    <x v="45"/>
    <x v="1"/>
    <x v="4"/>
    <s v="10.9.96"/>
    <s v="Average"/>
  </r>
  <r>
    <n v="1291"/>
    <n v="9178884"/>
    <x v="24"/>
    <x v="10"/>
    <s v="Corporis est exercitationem fuga."/>
    <x v="22"/>
    <x v="15"/>
    <x v="1290"/>
    <x v="0"/>
    <x v="3"/>
    <n v="867"/>
    <x v="58"/>
    <x v="17"/>
    <x v="4"/>
    <s v="3.6"/>
    <s v="Poor"/>
  </r>
  <r>
    <n v="1292"/>
    <n v="9938829"/>
    <x v="24"/>
    <x v="0"/>
    <s v="Latest update broke some features, please fix soon."/>
    <x v="11"/>
    <x v="36"/>
    <x v="1291"/>
    <x v="1"/>
    <x v="1"/>
    <n v="569"/>
    <x v="3"/>
    <x v="23"/>
    <x v="4"/>
    <s v="3.1"/>
    <s v="Poor"/>
  </r>
  <r>
    <n v="1293"/>
    <n v="2525991"/>
    <x v="31"/>
    <x v="17"/>
    <s v="Excellent customer support and regular feature updates."/>
    <x v="21"/>
    <x v="26"/>
    <x v="1292"/>
    <x v="0"/>
    <x v="1"/>
    <n v="23"/>
    <x v="20"/>
    <x v="1"/>
    <x v="4"/>
    <s v="15.3.76-beta"/>
    <s v="Average"/>
  </r>
  <r>
    <n v="1294"/>
    <n v="8607858"/>
    <x v="1"/>
    <x v="2"/>
    <s v="User-friendly design and smooth performance throughout."/>
    <x v="15"/>
    <x v="23"/>
    <x v="1293"/>
    <x v="0"/>
    <x v="3"/>
    <n v="459"/>
    <x v="20"/>
    <x v="11"/>
    <x v="0"/>
    <s v="12.4.72"/>
    <s v="Very Poor"/>
  </r>
  <r>
    <n v="1295"/>
    <n v="1016158"/>
    <x v="4"/>
    <x v="6"/>
    <s v="Excellent customer support and regular feature updates."/>
    <x v="2"/>
    <x v="6"/>
    <x v="1294"/>
    <x v="0"/>
    <x v="4"/>
    <n v="398"/>
    <x v="35"/>
    <x v="2"/>
    <x v="3"/>
    <s v="2.6.99.4046"/>
    <s v="Good"/>
  </r>
  <r>
    <n v="1296"/>
    <n v="3378387"/>
    <x v="24"/>
    <x v="15"/>
    <s v="Latest update broke some features, please fix soon."/>
    <x v="9"/>
    <x v="37"/>
    <x v="1295"/>
    <x v="1"/>
    <x v="4"/>
    <n v="889"/>
    <x v="31"/>
    <x v="21"/>
    <x v="0"/>
    <s v="9.1.36.747"/>
    <s v="Average"/>
  </r>
  <r>
    <n v="1297"/>
    <n v="3476603"/>
    <x v="20"/>
    <x v="3"/>
    <s v="Game property reason word."/>
    <x v="6"/>
    <x v="4"/>
    <x v="1296"/>
    <x v="1"/>
    <x v="0"/>
    <n v="854"/>
    <x v="53"/>
    <x v="12"/>
    <x v="2"/>
    <s v="13.0"/>
    <s v="Average"/>
  </r>
  <r>
    <n v="1298"/>
    <n v="5655698"/>
    <x v="15"/>
    <x v="1"/>
    <s v="Great app but too many ads, consider premium version."/>
    <x v="19"/>
    <x v="4"/>
    <x v="1297"/>
    <x v="0"/>
    <x v="2"/>
    <n v="122"/>
    <x v="20"/>
    <x v="11"/>
    <x v="0"/>
    <s v="v5.2.15"/>
    <s v="Average"/>
  </r>
  <r>
    <n v="1299"/>
    <n v="9597530"/>
    <x v="8"/>
    <x v="0"/>
    <s v="User-friendly design and smooth performance throughout."/>
    <x v="22"/>
    <x v="38"/>
    <x v="1298"/>
    <x v="1"/>
    <x v="4"/>
    <n v="1014"/>
    <x v="56"/>
    <x v="20"/>
    <x v="0"/>
    <s v="4.8.48"/>
    <s v="Good"/>
  </r>
  <r>
    <n v="1300"/>
    <n v="5126983"/>
    <x v="33"/>
    <x v="12"/>
    <s v="Грудь близко заведение термин поставить набор. Протягивать пропасть лететь мрачно встать. Демократия растеряться освобождение материя желание экзамен."/>
    <x v="3"/>
    <x v="27"/>
    <x v="1299"/>
    <x v="0"/>
    <x v="4"/>
    <n v="244"/>
    <x v="32"/>
    <x v="5"/>
    <x v="2"/>
    <s v="15.7"/>
    <s v="Very Poor"/>
  </r>
  <r>
    <n v="1301"/>
    <n v="9406180"/>
    <x v="28"/>
    <x v="17"/>
    <s v="Works perfectly on my device, no complaints at all."/>
    <x v="13"/>
    <x v="17"/>
    <x v="1300"/>
    <x v="0"/>
    <x v="2"/>
    <n v="1134"/>
    <x v="59"/>
    <x v="0"/>
    <x v="1"/>
    <s v="7.7.65-beta"/>
    <s v="Average"/>
  </r>
  <r>
    <n v="1302"/>
    <n v="4975059"/>
    <x v="2"/>
    <x v="12"/>
    <s v="This app is amazing! Really love the new features."/>
    <x v="9"/>
    <x v="3"/>
    <x v="1301"/>
    <x v="0"/>
    <x v="4"/>
    <n v="687"/>
    <x v="20"/>
    <x v="11"/>
    <x v="1"/>
    <s v="3.3.82"/>
    <s v="Average"/>
  </r>
  <r>
    <n v="1303"/>
    <n v="9926187"/>
    <x v="7"/>
    <x v="15"/>
    <s v="User-friendly design and smooth performance throughout."/>
    <x v="4"/>
    <x v="22"/>
    <x v="1302"/>
    <x v="1"/>
    <x v="4"/>
    <n v="4"/>
    <x v="32"/>
    <x v="6"/>
    <x v="3"/>
    <s v="v14.5.43"/>
    <s v="Poor"/>
  </r>
  <r>
    <n v="1304"/>
    <n v="6138275"/>
    <x v="28"/>
    <x v="15"/>
    <s v="Some bugs need fixing but generally satisfied with it."/>
    <x v="21"/>
    <x v="16"/>
    <x v="1303"/>
    <x v="0"/>
    <x v="3"/>
    <n v="452"/>
    <x v="5"/>
    <x v="3"/>
    <x v="1"/>
    <s v="9.8.45-beta"/>
    <s v="Excellent"/>
  </r>
  <r>
    <n v="1305"/>
    <n v="3440727"/>
    <x v="16"/>
    <x v="2"/>
    <s v="Wpływ ile para wyraz Litwa."/>
    <x v="11"/>
    <x v="2"/>
    <x v="1304"/>
    <x v="0"/>
    <x v="4"/>
    <n v="933"/>
    <x v="36"/>
    <x v="1"/>
    <x v="4"/>
    <s v="v4.5.46"/>
    <s v="Average"/>
  </r>
  <r>
    <n v="1306"/>
    <n v="3388125"/>
    <x v="38"/>
    <x v="10"/>
    <s v="Perfect for daily use, highly recommend to everyone."/>
    <x v="23"/>
    <x v="16"/>
    <x v="1305"/>
    <x v="0"/>
    <x v="0"/>
    <n v="1042"/>
    <x v="15"/>
    <x v="15"/>
    <x v="0"/>
    <s v="v1.0.10"/>
    <s v="Excellent"/>
  </r>
  <r>
    <n v="1307"/>
    <n v="4492083"/>
    <x v="38"/>
    <x v="6"/>
    <s v="Latest update broke some features, please fix soon."/>
    <x v="22"/>
    <x v="19"/>
    <x v="1306"/>
    <x v="0"/>
    <x v="3"/>
    <n v="288"/>
    <x v="33"/>
    <x v="17"/>
    <x v="2"/>
    <s v="11.6.52.8872"/>
    <s v="Poor"/>
  </r>
  <r>
    <n v="1308"/>
    <n v="452216"/>
    <x v="34"/>
    <x v="5"/>
    <s v="Crashes too often, needs improvement in stability."/>
    <x v="19"/>
    <x v="23"/>
    <x v="1307"/>
    <x v="1"/>
    <x v="1"/>
    <n v="964"/>
    <x v="24"/>
    <x v="23"/>
    <x v="4"/>
    <s v="Unknown"/>
    <s v="Very Poor"/>
  </r>
  <r>
    <n v="1309"/>
    <n v="2402564"/>
    <x v="23"/>
    <x v="11"/>
    <s v="Reiten war gleich erzählen klein heiß. Rot wird Zimmer über Wald Wagen."/>
    <x v="22"/>
    <x v="3"/>
    <x v="1308"/>
    <x v="0"/>
    <x v="2"/>
    <n v="710"/>
    <x v="7"/>
    <x v="19"/>
    <x v="3"/>
    <s v="12.8.34.7412"/>
    <s v="Average"/>
  </r>
  <r>
    <n v="1310"/>
    <n v="2523170"/>
    <x v="6"/>
    <x v="5"/>
    <s v="Great app but too many ads, consider premium version."/>
    <x v="18"/>
    <x v="4"/>
    <x v="1309"/>
    <x v="0"/>
    <x v="4"/>
    <n v="1226"/>
    <x v="62"/>
    <x v="10"/>
    <x v="4"/>
    <s v="15.0.55"/>
    <s v="Average"/>
  </r>
  <r>
    <n v="1311"/>
    <n v="3281650"/>
    <x v="25"/>
    <x v="0"/>
    <s v="Excellent customer support and regular feature updates."/>
    <x v="17"/>
    <x v="14"/>
    <x v="1310"/>
    <x v="0"/>
    <x v="2"/>
    <n v="1045"/>
    <x v="62"/>
    <x v="12"/>
    <x v="3"/>
    <s v="10.4"/>
    <s v="Excellent"/>
  </r>
  <r>
    <n v="1312"/>
    <n v="6445068"/>
    <x v="33"/>
    <x v="8"/>
    <s v="Geschenk Jahr Opa wer Sommer nass."/>
    <x v="20"/>
    <x v="20"/>
    <x v="1311"/>
    <x v="0"/>
    <x v="1"/>
    <n v="1019"/>
    <x v="5"/>
    <x v="5"/>
    <x v="1"/>
    <s v="1.2.10.8355"/>
    <s v="Very Poor"/>
  </r>
  <r>
    <n v="1313"/>
    <n v="5035567"/>
    <x v="27"/>
    <x v="1"/>
    <s v="Gewinnen Ball stellen von. Zehn warm erzählen Bild können rufen beide. Hilfe Wald singen helfen Loch dürfen Schwester."/>
    <x v="20"/>
    <x v="17"/>
    <x v="1312"/>
    <x v="1"/>
    <x v="4"/>
    <n v="653"/>
    <x v="58"/>
    <x v="11"/>
    <x v="4"/>
    <s v="v14.9.92"/>
    <s v="Average"/>
  </r>
  <r>
    <n v="1314"/>
    <n v="8208379"/>
    <x v="26"/>
    <x v="8"/>
    <s v="Labore neque odit ratione officiis dignissimos tempora. Sint id esse suscipit necessitatibus vel fugiat."/>
    <x v="21"/>
    <x v="2"/>
    <x v="1313"/>
    <x v="0"/>
    <x v="1"/>
    <n v="735"/>
    <x v="29"/>
    <x v="14"/>
    <x v="4"/>
    <s v="13.4.23"/>
    <s v="Average"/>
  </r>
  <r>
    <n v="1315"/>
    <n v="2353688"/>
    <x v="5"/>
    <x v="16"/>
    <s v="This app is amazing! Really love the new features."/>
    <x v="9"/>
    <x v="36"/>
    <x v="1314"/>
    <x v="0"/>
    <x v="2"/>
    <n v="909"/>
    <x v="60"/>
    <x v="0"/>
    <x v="0"/>
    <s v="v8.3.29"/>
    <s v="Poor"/>
  </r>
  <r>
    <n v="1316"/>
    <n v="5050084"/>
    <x v="16"/>
    <x v="1"/>
    <s v="Works perfectly on my device, no complaints at all."/>
    <x v="5"/>
    <x v="26"/>
    <x v="1315"/>
    <x v="0"/>
    <x v="3"/>
    <n v="814"/>
    <x v="55"/>
    <x v="24"/>
    <x v="3"/>
    <s v="11.0"/>
    <s v="Average"/>
  </r>
  <r>
    <n v="1317"/>
    <n v="5998448"/>
    <x v="38"/>
    <x v="8"/>
    <s v="Latest update broke some features, please fix soon."/>
    <x v="6"/>
    <x v="40"/>
    <x v="1316"/>
    <x v="0"/>
    <x v="4"/>
    <n v="560"/>
    <x v="1"/>
    <x v="10"/>
    <x v="0"/>
    <s v="v5.2.30"/>
    <s v="Very Poor"/>
  </r>
  <r>
    <n v="1318"/>
    <n v="790263"/>
    <x v="27"/>
    <x v="4"/>
    <s v="Maiores excepturi iste inventore facilis libero earum."/>
    <x v="20"/>
    <x v="32"/>
    <x v="1317"/>
    <x v="0"/>
    <x v="0"/>
    <n v="1153"/>
    <x v="44"/>
    <x v="1"/>
    <x v="1"/>
    <s v="v9.5.40"/>
    <s v="Very Poor"/>
  </r>
  <r>
    <n v="1319"/>
    <n v="7510303"/>
    <x v="30"/>
    <x v="5"/>
    <s v="Perfect for daily use, highly recommend to everyone."/>
    <x v="9"/>
    <x v="28"/>
    <x v="1318"/>
    <x v="0"/>
    <x v="3"/>
    <n v="285"/>
    <x v="27"/>
    <x v="1"/>
    <x v="0"/>
    <s v="v10.5.86"/>
    <s v="Poor"/>
  </r>
  <r>
    <n v="1320"/>
    <n v="1373196"/>
    <x v="29"/>
    <x v="3"/>
    <s v="Temporibus eos magnam molestias aspernatur eius."/>
    <x v="14"/>
    <x v="23"/>
    <x v="1319"/>
    <x v="0"/>
    <x v="4"/>
    <n v="834"/>
    <x v="46"/>
    <x v="5"/>
    <x v="0"/>
    <s v="v8.2.12"/>
    <s v="Very Poor"/>
  </r>
  <r>
    <n v="1321"/>
    <n v="2089574"/>
    <x v="28"/>
    <x v="17"/>
    <s v="Facere molestias ex perferendis."/>
    <x v="13"/>
    <x v="29"/>
    <x v="1320"/>
    <x v="0"/>
    <x v="2"/>
    <n v="1200"/>
    <x v="12"/>
    <x v="13"/>
    <x v="4"/>
    <s v="8.0"/>
    <s v="Very Poor"/>
  </r>
  <r>
    <n v="1322"/>
    <n v="4704751"/>
    <x v="1"/>
    <x v="0"/>
    <s v="Perfect for daily use, highly recommend to everyone."/>
    <x v="13"/>
    <x v="34"/>
    <x v="1321"/>
    <x v="1"/>
    <x v="2"/>
    <n v="1002"/>
    <x v="41"/>
    <x v="17"/>
    <x v="1"/>
    <s v="11.9.6.1741"/>
    <s v="Average"/>
  </r>
  <r>
    <n v="1323"/>
    <n v="2412992"/>
    <x v="5"/>
    <x v="16"/>
    <s v="No Review"/>
    <x v="8"/>
    <x v="34"/>
    <x v="1322"/>
    <x v="1"/>
    <x v="3"/>
    <n v="754"/>
    <x v="34"/>
    <x v="21"/>
    <x v="3"/>
    <s v="v2.6.18"/>
    <s v="Average"/>
  </r>
  <r>
    <n v="1324"/>
    <n v="9212136"/>
    <x v="38"/>
    <x v="12"/>
    <s v="Ab error reprehenderit quos illo. Reprehenderit quidem accusamus omnis voluptatibus veritatis."/>
    <x v="3"/>
    <x v="26"/>
    <x v="1323"/>
    <x v="0"/>
    <x v="0"/>
    <n v="1094"/>
    <x v="40"/>
    <x v="0"/>
    <x v="3"/>
    <s v="13.5"/>
    <s v="Average"/>
  </r>
  <r>
    <n v="1325"/>
    <n v="3918133"/>
    <x v="2"/>
    <x v="12"/>
    <s v="User-friendly design and smooth performance throughout."/>
    <x v="16"/>
    <x v="16"/>
    <x v="1324"/>
    <x v="1"/>
    <x v="0"/>
    <n v="696"/>
    <x v="10"/>
    <x v="22"/>
    <x v="0"/>
    <s v="13.5.25"/>
    <s v="Excellent"/>
  </r>
  <r>
    <n v="1326"/>
    <n v="3621118"/>
    <x v="4"/>
    <x v="7"/>
    <s v="Works perfectly on my device, no complaints at all."/>
    <x v="15"/>
    <x v="0"/>
    <x v="1325"/>
    <x v="0"/>
    <x v="3"/>
    <n v="122"/>
    <x v="36"/>
    <x v="23"/>
    <x v="0"/>
    <s v="9.1.89-beta"/>
    <s v="Very Poor"/>
  </r>
  <r>
    <n v="1327"/>
    <n v="8754113"/>
    <x v="26"/>
    <x v="2"/>
    <s v="Crashes too often, needs improvement in stability."/>
    <x v="14"/>
    <x v="8"/>
    <x v="1326"/>
    <x v="0"/>
    <x v="0"/>
    <n v="252"/>
    <x v="50"/>
    <x v="22"/>
    <x v="4"/>
    <s v="11.7"/>
    <s v="Very Poor"/>
  </r>
  <r>
    <n v="1328"/>
    <n v="7964124"/>
    <x v="35"/>
    <x v="13"/>
    <s v="Crashes too often, needs improvement in stability."/>
    <x v="5"/>
    <x v="22"/>
    <x v="1327"/>
    <x v="0"/>
    <x v="4"/>
    <n v="82"/>
    <x v="0"/>
    <x v="7"/>
    <x v="0"/>
    <s v="7.3.63"/>
    <s v="Poor"/>
  </r>
  <r>
    <n v="1329"/>
    <n v="5815319"/>
    <x v="36"/>
    <x v="1"/>
    <s v="Excellent customer support and regular feature updates."/>
    <x v="15"/>
    <x v="26"/>
    <x v="1328"/>
    <x v="0"/>
    <x v="0"/>
    <n v="778"/>
    <x v="48"/>
    <x v="20"/>
    <x v="0"/>
    <s v="v12.1.26"/>
    <s v="Average"/>
  </r>
  <r>
    <n v="1330"/>
    <n v="5352524"/>
    <x v="7"/>
    <x v="17"/>
    <s v="Great app but too many ads, consider premium version."/>
    <x v="13"/>
    <x v="12"/>
    <x v="1329"/>
    <x v="0"/>
    <x v="2"/>
    <n v="84"/>
    <x v="45"/>
    <x v="12"/>
    <x v="3"/>
    <s v="13.7.52.5612"/>
    <s v="Excellent"/>
  </r>
  <r>
    <n v="1331"/>
    <n v="7293952"/>
    <x v="31"/>
    <x v="12"/>
    <s v="Crashes too often, needs improvement in stability."/>
    <x v="18"/>
    <x v="32"/>
    <x v="1330"/>
    <x v="1"/>
    <x v="1"/>
    <n v="647"/>
    <x v="23"/>
    <x v="22"/>
    <x v="0"/>
    <s v="v3.6.56"/>
    <s v="Very Poor"/>
  </r>
  <r>
    <n v="1332"/>
    <n v="7107639"/>
    <x v="37"/>
    <x v="2"/>
    <s v="Latest update broke some features, please fix soon."/>
    <x v="21"/>
    <x v="10"/>
    <x v="1331"/>
    <x v="0"/>
    <x v="2"/>
    <n v="570"/>
    <x v="58"/>
    <x v="4"/>
    <x v="3"/>
    <s v="10.7.52.4263"/>
    <s v="Poor"/>
  </r>
  <r>
    <n v="1333"/>
    <n v="7649276"/>
    <x v="38"/>
    <x v="16"/>
    <s v="Great app but too many ads, consider premium version."/>
    <x v="22"/>
    <x v="1"/>
    <x v="1332"/>
    <x v="0"/>
    <x v="4"/>
    <n v="863"/>
    <x v="40"/>
    <x v="23"/>
    <x v="2"/>
    <s v="v10.2.72"/>
    <s v="Very Poor"/>
  </r>
  <r>
    <n v="1334"/>
    <n v="605062"/>
    <x v="26"/>
    <x v="9"/>
    <s v="Excellent customer support and regular feature updates."/>
    <x v="22"/>
    <x v="22"/>
    <x v="1333"/>
    <x v="0"/>
    <x v="1"/>
    <n v="8"/>
    <x v="22"/>
    <x v="23"/>
    <x v="0"/>
    <s v="10.3"/>
    <s v="Poor"/>
  </r>
  <r>
    <n v="1335"/>
    <n v="9788983"/>
    <x v="38"/>
    <x v="12"/>
    <s v="Empêcher quant à lever peser. Établir genre pont français rencontrer marier."/>
    <x v="22"/>
    <x v="14"/>
    <x v="1334"/>
    <x v="0"/>
    <x v="1"/>
    <n v="106"/>
    <x v="46"/>
    <x v="19"/>
    <x v="0"/>
    <s v="15.5.63-beta"/>
    <s v="Excellent"/>
  </r>
  <r>
    <n v="1336"/>
    <n v="489899"/>
    <x v="36"/>
    <x v="1"/>
    <s v="No Review"/>
    <x v="1"/>
    <x v="28"/>
    <x v="1335"/>
    <x v="0"/>
    <x v="0"/>
    <n v="999"/>
    <x v="51"/>
    <x v="7"/>
    <x v="2"/>
    <s v="4.7.82"/>
    <s v="Poor"/>
  </r>
  <r>
    <n v="1337"/>
    <n v="3438644"/>
    <x v="6"/>
    <x v="16"/>
    <s v="Ciemność głęboki stosować ciasto."/>
    <x v="23"/>
    <x v="31"/>
    <x v="1336"/>
    <x v="0"/>
    <x v="4"/>
    <n v="1060"/>
    <x v="55"/>
    <x v="13"/>
    <x v="3"/>
    <s v="4.0"/>
    <s v="Good"/>
  </r>
  <r>
    <n v="1338"/>
    <n v="7727990"/>
    <x v="24"/>
    <x v="16"/>
    <s v="Some bugs need fixing but generally satisfied with it."/>
    <x v="12"/>
    <x v="21"/>
    <x v="1337"/>
    <x v="0"/>
    <x v="3"/>
    <n v="1239"/>
    <x v="51"/>
    <x v="17"/>
    <x v="1"/>
    <s v="14.7.86-beta"/>
    <s v="Excellent"/>
  </r>
  <r>
    <n v="1339"/>
    <n v="8799518"/>
    <x v="20"/>
    <x v="16"/>
    <s v="Cupiditate similique illum. Voluptatibus consectetur in quia."/>
    <x v="21"/>
    <x v="37"/>
    <x v="1338"/>
    <x v="0"/>
    <x v="4"/>
    <n v="232"/>
    <x v="6"/>
    <x v="20"/>
    <x v="0"/>
    <s v="15.9.17.394"/>
    <s v="Average"/>
  </r>
  <r>
    <n v="1340"/>
    <n v="2279901"/>
    <x v="39"/>
    <x v="11"/>
    <s v="The interface could be better but overall good experience."/>
    <x v="18"/>
    <x v="25"/>
    <x v="1339"/>
    <x v="0"/>
    <x v="3"/>
    <n v="122"/>
    <x v="50"/>
    <x v="3"/>
    <x v="0"/>
    <s v="v14.0.9"/>
    <s v="Poor"/>
  </r>
  <r>
    <n v="1341"/>
    <n v="5296863"/>
    <x v="20"/>
    <x v="15"/>
    <s v="The interface could be better but overall good experience."/>
    <x v="10"/>
    <x v="36"/>
    <x v="1340"/>
    <x v="1"/>
    <x v="3"/>
    <n v="696"/>
    <x v="39"/>
    <x v="16"/>
    <x v="0"/>
    <s v="11.1.7"/>
    <s v="Poor"/>
  </r>
  <r>
    <n v="1342"/>
    <n v="8065487"/>
    <x v="24"/>
    <x v="10"/>
    <s v="This app is amazing! Really love the new features."/>
    <x v="5"/>
    <x v="2"/>
    <x v="1341"/>
    <x v="0"/>
    <x v="4"/>
    <n v="825"/>
    <x v="27"/>
    <x v="11"/>
    <x v="2"/>
    <s v="5.7.40.5772"/>
    <s v="Average"/>
  </r>
  <r>
    <n v="1343"/>
    <n v="9748432"/>
    <x v="23"/>
    <x v="11"/>
    <s v="Угроза медицина нож необычный желание. Художественный неправда пасть тюрьма. Термин пропадать зима порядок палка естественный."/>
    <x v="0"/>
    <x v="2"/>
    <x v="1342"/>
    <x v="0"/>
    <x v="2"/>
    <n v="990"/>
    <x v="61"/>
    <x v="12"/>
    <x v="2"/>
    <s v="3.7.84-beta"/>
    <s v="Average"/>
  </r>
  <r>
    <n v="1344"/>
    <n v="5918033"/>
    <x v="32"/>
    <x v="0"/>
    <s v="Excellent customer support and regular feature updates."/>
    <x v="4"/>
    <x v="37"/>
    <x v="1343"/>
    <x v="1"/>
    <x v="2"/>
    <n v="407"/>
    <x v="12"/>
    <x v="15"/>
    <x v="4"/>
    <s v="2.9.73-beta"/>
    <s v="Average"/>
  </r>
  <r>
    <n v="1345"/>
    <n v="5090361"/>
    <x v="10"/>
    <x v="17"/>
    <s v="Great app but too many ads, consider premium version."/>
    <x v="16"/>
    <x v="28"/>
    <x v="1344"/>
    <x v="1"/>
    <x v="2"/>
    <n v="1117"/>
    <x v="49"/>
    <x v="2"/>
    <x v="3"/>
    <s v="6.3.32.5842"/>
    <s v="Poor"/>
  </r>
  <r>
    <n v="1346"/>
    <n v="3038131"/>
    <x v="34"/>
    <x v="12"/>
    <s v="User-friendly design and smooth performance throughout."/>
    <x v="17"/>
    <x v="4"/>
    <x v="1345"/>
    <x v="0"/>
    <x v="4"/>
    <n v="676"/>
    <x v="50"/>
    <x v="24"/>
    <x v="4"/>
    <s v="3.6.51"/>
    <s v="Average"/>
  </r>
  <r>
    <n v="1347"/>
    <n v="3112820"/>
    <x v="18"/>
    <x v="6"/>
    <s v="シュガー感謝するインチフェミニスト狭いブランチ今日普通の。"/>
    <x v="18"/>
    <x v="6"/>
    <x v="1346"/>
    <x v="0"/>
    <x v="0"/>
    <n v="1213"/>
    <x v="14"/>
    <x v="6"/>
    <x v="0"/>
    <s v="3.8"/>
    <s v="Good"/>
  </r>
  <r>
    <n v="1348"/>
    <n v="4693203"/>
    <x v="37"/>
    <x v="5"/>
    <s v="Perfect for daily use, highly recommend to everyone."/>
    <x v="23"/>
    <x v="11"/>
    <x v="1347"/>
    <x v="1"/>
    <x v="0"/>
    <n v="390"/>
    <x v="23"/>
    <x v="19"/>
    <x v="4"/>
    <s v="Unknown"/>
    <s v="Good"/>
  </r>
  <r>
    <n v="1349"/>
    <n v="9121738"/>
    <x v="13"/>
    <x v="1"/>
    <s v="The interface could be better but overall good experience."/>
    <x v="22"/>
    <x v="14"/>
    <x v="1348"/>
    <x v="1"/>
    <x v="3"/>
    <n v="599"/>
    <x v="32"/>
    <x v="11"/>
    <x v="0"/>
    <s v="Unknown"/>
    <s v="Excellent"/>
  </r>
  <r>
    <n v="1350"/>
    <n v="1219776"/>
    <x v="28"/>
    <x v="11"/>
    <s v="Crashes too often, needs improvement in stability."/>
    <x v="8"/>
    <x v="38"/>
    <x v="1349"/>
    <x v="1"/>
    <x v="2"/>
    <n v="396"/>
    <x v="55"/>
    <x v="16"/>
    <x v="3"/>
    <s v="1.7.10"/>
    <s v="Good"/>
  </r>
  <r>
    <n v="1351"/>
    <n v="3744931"/>
    <x v="22"/>
    <x v="10"/>
    <s v="Excellent customer support and regular feature updates."/>
    <x v="3"/>
    <x v="19"/>
    <x v="1350"/>
    <x v="0"/>
    <x v="0"/>
    <n v="747"/>
    <x v="13"/>
    <x v="21"/>
    <x v="2"/>
    <s v="2.9.91"/>
    <s v="Poor"/>
  </r>
  <r>
    <n v="1352"/>
    <n v="7000102"/>
    <x v="29"/>
    <x v="2"/>
    <s v="Excellent customer support and regular feature updates."/>
    <x v="8"/>
    <x v="33"/>
    <x v="1351"/>
    <x v="0"/>
    <x v="2"/>
    <n v="576"/>
    <x v="23"/>
    <x v="23"/>
    <x v="2"/>
    <s v="v9.3.24"/>
    <s v="Poor"/>
  </r>
  <r>
    <n v="1353"/>
    <n v="2133912"/>
    <x v="19"/>
    <x v="5"/>
    <s v="Excellent customer support and regular feature updates."/>
    <x v="8"/>
    <x v="23"/>
    <x v="1352"/>
    <x v="0"/>
    <x v="4"/>
    <n v="741"/>
    <x v="61"/>
    <x v="18"/>
    <x v="2"/>
    <s v="v14.1.74"/>
    <s v="Very Poor"/>
  </r>
  <r>
    <n v="1354"/>
    <n v="1865375"/>
    <x v="8"/>
    <x v="0"/>
    <s v="Crashes too often, needs improvement in stability."/>
    <x v="16"/>
    <x v="40"/>
    <x v="1353"/>
    <x v="1"/>
    <x v="3"/>
    <n v="66"/>
    <x v="32"/>
    <x v="1"/>
    <x v="3"/>
    <s v="2.5.4"/>
    <s v="Very Poor"/>
  </r>
  <r>
    <n v="1355"/>
    <n v="5569592"/>
    <x v="28"/>
    <x v="9"/>
    <s v="Some bugs need fixing but generally satisfied with it."/>
    <x v="8"/>
    <x v="8"/>
    <x v="1354"/>
    <x v="0"/>
    <x v="0"/>
    <n v="182"/>
    <x v="41"/>
    <x v="9"/>
    <x v="1"/>
    <s v="v14.8.26"/>
    <s v="Very Poor"/>
  </r>
  <r>
    <n v="1356"/>
    <n v="2865541"/>
    <x v="35"/>
    <x v="16"/>
    <s v="Perfect for daily use, highly recommend to everyone."/>
    <x v="9"/>
    <x v="21"/>
    <x v="1355"/>
    <x v="0"/>
    <x v="0"/>
    <n v="284"/>
    <x v="58"/>
    <x v="16"/>
    <x v="2"/>
    <s v="11.6"/>
    <s v="Excellent"/>
  </r>
  <r>
    <n v="1357"/>
    <n v="8590354"/>
    <x v="17"/>
    <x v="7"/>
    <s v="This app is amazing! Really love the new features."/>
    <x v="8"/>
    <x v="14"/>
    <x v="1356"/>
    <x v="0"/>
    <x v="2"/>
    <n v="42"/>
    <x v="50"/>
    <x v="1"/>
    <x v="4"/>
    <s v="v12.7.85"/>
    <s v="Excellent"/>
  </r>
  <r>
    <n v="1358"/>
    <n v="548251"/>
    <x v="26"/>
    <x v="8"/>
    <s v="The interface could be better but overall good experience."/>
    <x v="20"/>
    <x v="21"/>
    <x v="1357"/>
    <x v="1"/>
    <x v="2"/>
    <n v="116"/>
    <x v="42"/>
    <x v="6"/>
    <x v="0"/>
    <s v="13.5"/>
    <s v="Excellent"/>
  </r>
  <r>
    <n v="1359"/>
    <n v="7849462"/>
    <x v="28"/>
    <x v="17"/>
    <s v="Exercitationem id deserunt alias dolorum quae."/>
    <x v="6"/>
    <x v="31"/>
    <x v="1358"/>
    <x v="0"/>
    <x v="3"/>
    <n v="480"/>
    <x v="39"/>
    <x v="5"/>
    <x v="2"/>
    <s v="13.0.11"/>
    <s v="Good"/>
  </r>
  <r>
    <n v="1360"/>
    <n v="7888747"/>
    <x v="15"/>
    <x v="7"/>
    <s v="Excellent customer support and regular feature updates."/>
    <x v="12"/>
    <x v="26"/>
    <x v="1359"/>
    <x v="0"/>
    <x v="4"/>
    <n v="471"/>
    <x v="10"/>
    <x v="24"/>
    <x v="0"/>
    <s v="9.3.42"/>
    <s v="Average"/>
  </r>
  <r>
    <n v="1361"/>
    <n v="1244829"/>
    <x v="10"/>
    <x v="6"/>
    <s v="Great app but too many ads, consider premium version."/>
    <x v="21"/>
    <x v="22"/>
    <x v="1360"/>
    <x v="0"/>
    <x v="0"/>
    <n v="525"/>
    <x v="40"/>
    <x v="10"/>
    <x v="1"/>
    <s v="9.1.17-beta"/>
    <s v="Poor"/>
  </r>
  <r>
    <n v="1362"/>
    <n v="4165012"/>
    <x v="23"/>
    <x v="11"/>
    <s v="Consequuntur reprehenderit sapiente cupiditate accusantium aut. Commodi qui cumque perferendis accusamus."/>
    <x v="13"/>
    <x v="17"/>
    <x v="1361"/>
    <x v="0"/>
    <x v="3"/>
    <n v="1031"/>
    <x v="55"/>
    <x v="23"/>
    <x v="1"/>
    <s v="6.8.27"/>
    <s v="Average"/>
  </r>
  <r>
    <n v="1363"/>
    <n v="7493014"/>
    <x v="30"/>
    <x v="10"/>
    <s v="User-friendly design and smooth performance throughout."/>
    <x v="16"/>
    <x v="19"/>
    <x v="1362"/>
    <x v="0"/>
    <x v="4"/>
    <n v="1042"/>
    <x v="31"/>
    <x v="17"/>
    <x v="2"/>
    <s v="7.5.82"/>
    <s v="Poor"/>
  </r>
  <r>
    <n v="1364"/>
    <n v="3735160"/>
    <x v="12"/>
    <x v="16"/>
    <s v="Works perfectly on my device, no complaints at all."/>
    <x v="3"/>
    <x v="1"/>
    <x v="1363"/>
    <x v="0"/>
    <x v="0"/>
    <n v="352"/>
    <x v="54"/>
    <x v="9"/>
    <x v="0"/>
    <s v="9.8.85"/>
    <s v="Very Poor"/>
  </r>
  <r>
    <n v="1365"/>
    <n v="9030492"/>
    <x v="18"/>
    <x v="9"/>
    <s v="Some bugs need fixing but generally satisfied with it."/>
    <x v="3"/>
    <x v="17"/>
    <x v="1364"/>
    <x v="0"/>
    <x v="3"/>
    <n v="1247"/>
    <x v="33"/>
    <x v="10"/>
    <x v="3"/>
    <s v="v11.6.10"/>
    <s v="Average"/>
  </r>
  <r>
    <n v="1366"/>
    <n v="901213"/>
    <x v="5"/>
    <x v="10"/>
    <s v="Kosztować grób ciągnąć odpowiadać wy każdy to. Kolejowy rzadki warunek ubranie szkoła instrument."/>
    <x v="20"/>
    <x v="22"/>
    <x v="1365"/>
    <x v="0"/>
    <x v="3"/>
    <n v="384"/>
    <x v="30"/>
    <x v="5"/>
    <x v="3"/>
    <s v="v8.7.19"/>
    <s v="Poor"/>
  </r>
  <r>
    <n v="1367"/>
    <n v="3323772"/>
    <x v="20"/>
    <x v="0"/>
    <s v="Excellent customer support and regular feature updates."/>
    <x v="13"/>
    <x v="30"/>
    <x v="1366"/>
    <x v="1"/>
    <x v="2"/>
    <n v="1208"/>
    <x v="43"/>
    <x v="22"/>
    <x v="2"/>
    <s v="v13.7.13"/>
    <s v="Average"/>
  </r>
  <r>
    <n v="1368"/>
    <n v="1159841"/>
    <x v="25"/>
    <x v="14"/>
    <s v="Excellent customer support and regular feature updates."/>
    <x v="12"/>
    <x v="35"/>
    <x v="1367"/>
    <x v="0"/>
    <x v="3"/>
    <n v="370"/>
    <x v="27"/>
    <x v="10"/>
    <x v="4"/>
    <s v="7.0.7"/>
    <s v="Poor"/>
  </r>
  <r>
    <n v="1369"/>
    <n v="2916607"/>
    <x v="26"/>
    <x v="5"/>
    <s v="Approcher lorsque rose entourer. Content coûter me travail casser croiser exemple compagnie."/>
    <x v="3"/>
    <x v="23"/>
    <x v="1368"/>
    <x v="1"/>
    <x v="3"/>
    <n v="801"/>
    <x v="3"/>
    <x v="6"/>
    <x v="4"/>
    <s v="10.3.2"/>
    <s v="Very Poor"/>
  </r>
  <r>
    <n v="1370"/>
    <n v="5405630"/>
    <x v="28"/>
    <x v="13"/>
    <s v="Perfect for daily use, highly recommend to everyone."/>
    <x v="22"/>
    <x v="26"/>
    <x v="1369"/>
    <x v="0"/>
    <x v="4"/>
    <n v="787"/>
    <x v="12"/>
    <x v="3"/>
    <x v="1"/>
    <s v="3.2"/>
    <s v="Average"/>
  </r>
  <r>
    <n v="1371"/>
    <n v="3669653"/>
    <x v="19"/>
    <x v="2"/>
    <s v="Perfect for daily use, highly recommend to everyone."/>
    <x v="18"/>
    <x v="21"/>
    <x v="1370"/>
    <x v="0"/>
    <x v="1"/>
    <n v="50"/>
    <x v="61"/>
    <x v="11"/>
    <x v="2"/>
    <s v="11.6.17.4253"/>
    <s v="Excellent"/>
  </r>
  <r>
    <n v="1372"/>
    <n v="1207569"/>
    <x v="28"/>
    <x v="13"/>
    <s v="Works perfectly on my device, no complaints at all."/>
    <x v="0"/>
    <x v="9"/>
    <x v="1371"/>
    <x v="0"/>
    <x v="2"/>
    <n v="741"/>
    <x v="15"/>
    <x v="18"/>
    <x v="3"/>
    <s v="v15.6.86"/>
    <s v="Excellent"/>
  </r>
  <r>
    <n v="1373"/>
    <n v="6290456"/>
    <x v="32"/>
    <x v="8"/>
    <s v="Latest update broke some features, please fix soon."/>
    <x v="6"/>
    <x v="8"/>
    <x v="1372"/>
    <x v="0"/>
    <x v="1"/>
    <n v="1150"/>
    <x v="38"/>
    <x v="2"/>
    <x v="3"/>
    <s v="9.6"/>
    <s v="Very Poor"/>
  </r>
  <r>
    <n v="1374"/>
    <n v="3766842"/>
    <x v="24"/>
    <x v="16"/>
    <s v="User-friendly design and smooth performance throughout."/>
    <x v="18"/>
    <x v="33"/>
    <x v="1373"/>
    <x v="0"/>
    <x v="0"/>
    <n v="9"/>
    <x v="53"/>
    <x v="13"/>
    <x v="4"/>
    <s v="7.4"/>
    <s v="Poor"/>
  </r>
  <r>
    <n v="1375"/>
    <n v="8481494"/>
    <x v="7"/>
    <x v="17"/>
    <s v="Provocare sacro tentare nulla. Uso osservare visita problema preciso."/>
    <x v="0"/>
    <x v="23"/>
    <x v="1374"/>
    <x v="1"/>
    <x v="4"/>
    <n v="625"/>
    <x v="24"/>
    <x v="3"/>
    <x v="3"/>
    <s v="11.4.38-beta"/>
    <s v="Very Poor"/>
  </r>
  <r>
    <n v="1376"/>
    <n v="2330219"/>
    <x v="38"/>
    <x v="11"/>
    <s v="Cupiditate quis porro voluptate pariatur architecto."/>
    <x v="8"/>
    <x v="19"/>
    <x v="1375"/>
    <x v="0"/>
    <x v="2"/>
    <n v="1003"/>
    <x v="30"/>
    <x v="23"/>
    <x v="4"/>
    <s v="8.3.35.2822"/>
    <s v="Poor"/>
  </r>
  <r>
    <n v="1377"/>
    <n v="9915290"/>
    <x v="38"/>
    <x v="1"/>
    <s v="Great app but too many ads, consider premium version."/>
    <x v="22"/>
    <x v="25"/>
    <x v="1376"/>
    <x v="0"/>
    <x v="2"/>
    <n v="9"/>
    <x v="52"/>
    <x v="11"/>
    <x v="1"/>
    <s v="9.0"/>
    <s v="Poor"/>
  </r>
  <r>
    <n v="1378"/>
    <n v="8673595"/>
    <x v="40"/>
    <x v="5"/>
    <s v="Magnam provident accusamus accusantium quis. Est qui quidem nulla."/>
    <x v="5"/>
    <x v="38"/>
    <x v="1377"/>
    <x v="0"/>
    <x v="1"/>
    <n v="385"/>
    <x v="1"/>
    <x v="7"/>
    <x v="4"/>
    <s v="15.7"/>
    <s v="Good"/>
  </r>
  <r>
    <n v="1379"/>
    <n v="6383463"/>
    <x v="34"/>
    <x v="2"/>
    <s v="Works perfectly on my device, no complaints at all."/>
    <x v="12"/>
    <x v="11"/>
    <x v="1378"/>
    <x v="0"/>
    <x v="1"/>
    <n v="227"/>
    <x v="61"/>
    <x v="3"/>
    <x v="4"/>
    <s v="6.2"/>
    <s v="Good"/>
  </r>
  <r>
    <n v="1380"/>
    <n v="3489195"/>
    <x v="20"/>
    <x v="4"/>
    <s v="Rosyjski podział pierwiastek szkoda. Obóz naród ogród hotel lis dół. Prędkość napój mały pacjent barwa rosnąć."/>
    <x v="9"/>
    <x v="30"/>
    <x v="1379"/>
    <x v="0"/>
    <x v="1"/>
    <n v="192"/>
    <x v="1"/>
    <x v="17"/>
    <x v="3"/>
    <s v="2.4.80"/>
    <s v="Average"/>
  </r>
  <r>
    <n v="1381"/>
    <n v="4266421"/>
    <x v="15"/>
    <x v="16"/>
    <s v="Perfect for daily use, highly recommend to everyone."/>
    <x v="7"/>
    <x v="24"/>
    <x v="1380"/>
    <x v="1"/>
    <x v="0"/>
    <n v="195"/>
    <x v="3"/>
    <x v="23"/>
    <x v="1"/>
    <s v="3.7.23"/>
    <s v="Poor"/>
  </r>
  <r>
    <n v="1382"/>
    <n v="3831991"/>
    <x v="34"/>
    <x v="16"/>
    <s v="Some bugs need fixing but generally satisfied with it."/>
    <x v="22"/>
    <x v="34"/>
    <x v="1381"/>
    <x v="0"/>
    <x v="0"/>
    <n v="803"/>
    <x v="12"/>
    <x v="19"/>
    <x v="4"/>
    <s v="5.1.22"/>
    <s v="Average"/>
  </r>
  <r>
    <n v="1383"/>
    <n v="8848847"/>
    <x v="12"/>
    <x v="6"/>
    <s v="Delectus occaecati aperiam laudantium veritatis amet. Vel commodi cupiditate molestias. Dolores aspernatur quam est quam."/>
    <x v="18"/>
    <x v="21"/>
    <x v="1382"/>
    <x v="0"/>
    <x v="1"/>
    <n v="687"/>
    <x v="28"/>
    <x v="8"/>
    <x v="3"/>
    <s v="v13.3.79"/>
    <s v="Excellent"/>
  </r>
  <r>
    <n v="1384"/>
    <n v="3060096"/>
    <x v="1"/>
    <x v="9"/>
    <s v="Program morski zgoda mózg aż treść itp. praktyka. Religijny surowy rynek model telefon jeśli. Mój wobec staw stado częściowo policjant posiadać."/>
    <x v="0"/>
    <x v="18"/>
    <x v="1383"/>
    <x v="0"/>
    <x v="4"/>
    <n v="631"/>
    <x v="8"/>
    <x v="22"/>
    <x v="1"/>
    <s v="v4.1.22"/>
    <s v="Average"/>
  </r>
  <r>
    <n v="1385"/>
    <n v="4416638"/>
    <x v="31"/>
    <x v="12"/>
    <s v="Perfect for daily use, highly recommend to everyone."/>
    <x v="22"/>
    <x v="35"/>
    <x v="1384"/>
    <x v="0"/>
    <x v="2"/>
    <n v="965"/>
    <x v="49"/>
    <x v="22"/>
    <x v="2"/>
    <s v="6.0.86.2372"/>
    <s v="Poor"/>
  </r>
  <r>
    <n v="1386"/>
    <n v="5231265"/>
    <x v="8"/>
    <x v="6"/>
    <s v="Около аллея мрачно возникновение выраженный танцевать валюта. Вытаскивать очередной банк. Наступать девка премьера витрина ныне ломать хозяйка."/>
    <x v="13"/>
    <x v="2"/>
    <x v="1385"/>
    <x v="0"/>
    <x v="2"/>
    <n v="892"/>
    <x v="42"/>
    <x v="21"/>
    <x v="3"/>
    <s v="12.4"/>
    <s v="Average"/>
  </r>
  <r>
    <n v="1387"/>
    <n v="751407"/>
    <x v="8"/>
    <x v="10"/>
    <s v="Crashes too often, needs improvement in stability."/>
    <x v="15"/>
    <x v="30"/>
    <x v="1386"/>
    <x v="0"/>
    <x v="0"/>
    <n v="1238"/>
    <x v="32"/>
    <x v="1"/>
    <x v="3"/>
    <s v="v8.1.86"/>
    <s v="Average"/>
  </r>
  <r>
    <n v="1388"/>
    <n v="6556309"/>
    <x v="32"/>
    <x v="5"/>
    <s v="Excellent customer support and regular feature updates."/>
    <x v="14"/>
    <x v="1"/>
    <x v="1387"/>
    <x v="0"/>
    <x v="3"/>
    <n v="1126"/>
    <x v="18"/>
    <x v="1"/>
    <x v="4"/>
    <s v="11.9.10.878"/>
    <s v="Very Poor"/>
  </r>
  <r>
    <n v="1389"/>
    <n v="2823988"/>
    <x v="9"/>
    <x v="0"/>
    <s v="User-friendly design and smooth performance throughout."/>
    <x v="18"/>
    <x v="40"/>
    <x v="1388"/>
    <x v="1"/>
    <x v="1"/>
    <n v="709"/>
    <x v="2"/>
    <x v="21"/>
    <x v="4"/>
    <s v="13.0.45.2244"/>
    <s v="Very Poor"/>
  </r>
  <r>
    <n v="1390"/>
    <n v="7419864"/>
    <x v="14"/>
    <x v="6"/>
    <s v="Свежий дыхание поколение запеть академик."/>
    <x v="0"/>
    <x v="34"/>
    <x v="1389"/>
    <x v="1"/>
    <x v="3"/>
    <n v="70"/>
    <x v="42"/>
    <x v="20"/>
    <x v="3"/>
    <s v="13.2.0-beta"/>
    <s v="Average"/>
  </r>
  <r>
    <n v="1391"/>
    <n v="1068122"/>
    <x v="31"/>
    <x v="11"/>
    <s v="Unde quasi doloribus alias repellat occaecati."/>
    <x v="1"/>
    <x v="36"/>
    <x v="1390"/>
    <x v="0"/>
    <x v="0"/>
    <n v="712"/>
    <x v="52"/>
    <x v="6"/>
    <x v="1"/>
    <s v="4.0.34.140"/>
    <s v="Poor"/>
  </r>
  <r>
    <n v="1392"/>
    <n v="2581086"/>
    <x v="15"/>
    <x v="3"/>
    <s v="This app is amazing! Really love the new features."/>
    <x v="17"/>
    <x v="27"/>
    <x v="1391"/>
    <x v="0"/>
    <x v="2"/>
    <n v="575"/>
    <x v="16"/>
    <x v="14"/>
    <x v="1"/>
    <s v="15.3.70-beta"/>
    <s v="Very Poor"/>
  </r>
  <r>
    <n v="1393"/>
    <n v="7741531"/>
    <x v="34"/>
    <x v="13"/>
    <s v="Ducimus nobis veritatis sapiente. Blanditiis at quae. Id nesciunt tempore maxime deleniti in."/>
    <x v="9"/>
    <x v="14"/>
    <x v="1392"/>
    <x v="0"/>
    <x v="0"/>
    <n v="1071"/>
    <x v="56"/>
    <x v="7"/>
    <x v="2"/>
    <s v="13.3.22.517"/>
    <s v="Excellent"/>
  </r>
  <r>
    <n v="1394"/>
    <n v="4342475"/>
    <x v="23"/>
    <x v="10"/>
    <s v="No Review"/>
    <x v="19"/>
    <x v="2"/>
    <x v="1393"/>
    <x v="0"/>
    <x v="0"/>
    <n v="987"/>
    <x v="22"/>
    <x v="3"/>
    <x v="1"/>
    <s v="4.6.76-beta"/>
    <s v="Average"/>
  </r>
  <r>
    <n v="1395"/>
    <n v="126484"/>
    <x v="9"/>
    <x v="6"/>
    <s v="This app is amazing! Really love the new features."/>
    <x v="3"/>
    <x v="13"/>
    <x v="1394"/>
    <x v="0"/>
    <x v="3"/>
    <n v="656"/>
    <x v="45"/>
    <x v="9"/>
    <x v="0"/>
    <s v="v8.1.55"/>
    <s v="Average"/>
  </r>
  <r>
    <n v="1396"/>
    <n v="7110185"/>
    <x v="23"/>
    <x v="15"/>
    <s v="User-friendly design and smooth performance throughout."/>
    <x v="14"/>
    <x v="26"/>
    <x v="1395"/>
    <x v="0"/>
    <x v="1"/>
    <n v="693"/>
    <x v="16"/>
    <x v="12"/>
    <x v="4"/>
    <s v="v13.4.46"/>
    <s v="Average"/>
  </r>
  <r>
    <n v="1397"/>
    <n v="4937546"/>
    <x v="2"/>
    <x v="14"/>
    <s v="Great app but too many ads, consider premium version."/>
    <x v="20"/>
    <x v="27"/>
    <x v="1396"/>
    <x v="0"/>
    <x v="0"/>
    <n v="781"/>
    <x v="53"/>
    <x v="10"/>
    <x v="4"/>
    <s v="9.6.96-beta"/>
    <s v="Very Poor"/>
  </r>
  <r>
    <n v="1398"/>
    <n v="2962767"/>
    <x v="10"/>
    <x v="14"/>
    <s v="Latest update broke some features, please fix soon."/>
    <x v="15"/>
    <x v="33"/>
    <x v="1397"/>
    <x v="0"/>
    <x v="4"/>
    <n v="618"/>
    <x v="52"/>
    <x v="1"/>
    <x v="4"/>
    <s v="8.4"/>
    <s v="Poor"/>
  </r>
  <r>
    <n v="1399"/>
    <n v="3227273"/>
    <x v="2"/>
    <x v="3"/>
    <s v="The interface could be better but overall good experience."/>
    <x v="10"/>
    <x v="32"/>
    <x v="1398"/>
    <x v="0"/>
    <x v="3"/>
    <n v="464"/>
    <x v="56"/>
    <x v="21"/>
    <x v="2"/>
    <s v="v13.7.53"/>
    <s v="Very Poor"/>
  </r>
  <r>
    <n v="1400"/>
    <n v="3422233"/>
    <x v="26"/>
    <x v="15"/>
    <s v="No Review"/>
    <x v="18"/>
    <x v="12"/>
    <x v="1399"/>
    <x v="0"/>
    <x v="2"/>
    <n v="772"/>
    <x v="14"/>
    <x v="5"/>
    <x v="0"/>
    <s v="7.5.48.8826"/>
    <s v="Excellent"/>
  </r>
  <r>
    <n v="1401"/>
    <n v="8532459"/>
    <x v="30"/>
    <x v="2"/>
    <s v="Crashes too often, needs improvement in stability."/>
    <x v="4"/>
    <x v="21"/>
    <x v="1400"/>
    <x v="0"/>
    <x v="3"/>
    <n v="232"/>
    <x v="7"/>
    <x v="6"/>
    <x v="0"/>
    <s v="v12.3.88"/>
    <s v="Excellent"/>
  </r>
  <r>
    <n v="1402"/>
    <n v="9614227"/>
    <x v="17"/>
    <x v="11"/>
    <s v="No Review"/>
    <x v="14"/>
    <x v="18"/>
    <x v="1401"/>
    <x v="0"/>
    <x v="1"/>
    <n v="982"/>
    <x v="56"/>
    <x v="13"/>
    <x v="0"/>
    <s v="7.2.74"/>
    <s v="Average"/>
  </r>
  <r>
    <n v="1403"/>
    <n v="3214489"/>
    <x v="31"/>
    <x v="11"/>
    <s v="Some bugs need fixing but generally satisfied with it."/>
    <x v="3"/>
    <x v="35"/>
    <x v="1402"/>
    <x v="0"/>
    <x v="3"/>
    <n v="977"/>
    <x v="29"/>
    <x v="18"/>
    <x v="4"/>
    <s v="14.7.42.7344"/>
    <s v="Poor"/>
  </r>
  <r>
    <n v="1404"/>
    <n v="3165690"/>
    <x v="27"/>
    <x v="10"/>
    <s v="Ea temporibus illum occaecati numquam. Aspernatur assumenda commodi aperiam."/>
    <x v="6"/>
    <x v="6"/>
    <x v="1403"/>
    <x v="0"/>
    <x v="3"/>
    <n v="1094"/>
    <x v="7"/>
    <x v="12"/>
    <x v="1"/>
    <s v="2.1.35-beta"/>
    <s v="Good"/>
  </r>
  <r>
    <n v="1405"/>
    <n v="4038956"/>
    <x v="37"/>
    <x v="16"/>
    <s v="Jouer recherche accrocher disparaître user pierre résistance. Blanc main accomplir. Machine venir discuter jour rare occuper essayer point."/>
    <x v="11"/>
    <x v="16"/>
    <x v="1404"/>
    <x v="0"/>
    <x v="1"/>
    <n v="721"/>
    <x v="17"/>
    <x v="9"/>
    <x v="2"/>
    <s v="14.3"/>
    <s v="Excellent"/>
  </r>
  <r>
    <n v="1406"/>
    <n v="4119771"/>
    <x v="35"/>
    <x v="3"/>
    <s v="Excellent customer support and regular feature updates."/>
    <x v="2"/>
    <x v="36"/>
    <x v="1405"/>
    <x v="1"/>
    <x v="2"/>
    <n v="96"/>
    <x v="56"/>
    <x v="20"/>
    <x v="1"/>
    <s v="2.9.27.8611"/>
    <s v="Poor"/>
  </r>
  <r>
    <n v="1407"/>
    <n v="6785239"/>
    <x v="34"/>
    <x v="0"/>
    <s v="Nostrum voluptate sit rem a sit."/>
    <x v="9"/>
    <x v="19"/>
    <x v="1406"/>
    <x v="1"/>
    <x v="3"/>
    <n v="674"/>
    <x v="21"/>
    <x v="4"/>
    <x v="1"/>
    <s v="7.3.88-beta"/>
    <s v="Poor"/>
  </r>
  <r>
    <n v="1408"/>
    <n v="2429735"/>
    <x v="34"/>
    <x v="13"/>
    <s v="Great app but too many ads, consider premium version."/>
    <x v="8"/>
    <x v="10"/>
    <x v="1407"/>
    <x v="0"/>
    <x v="2"/>
    <n v="1224"/>
    <x v="30"/>
    <x v="4"/>
    <x v="4"/>
    <s v="v12.4.47"/>
    <s v="Poor"/>
  </r>
  <r>
    <n v="1409"/>
    <n v="2161828"/>
    <x v="28"/>
    <x v="5"/>
    <s v="Latest update broke some features, please fix soon."/>
    <x v="9"/>
    <x v="31"/>
    <x v="1408"/>
    <x v="0"/>
    <x v="2"/>
    <n v="660"/>
    <x v="14"/>
    <x v="0"/>
    <x v="3"/>
    <s v="3.5.99"/>
    <s v="Good"/>
  </r>
  <r>
    <n v="1410"/>
    <n v="4788687"/>
    <x v="19"/>
    <x v="17"/>
    <s v="Excellent customer support and regular feature updates."/>
    <x v="1"/>
    <x v="25"/>
    <x v="1409"/>
    <x v="1"/>
    <x v="4"/>
    <n v="425"/>
    <x v="25"/>
    <x v="5"/>
    <x v="3"/>
    <s v="7.0.15-beta"/>
    <s v="Poor"/>
  </r>
  <r>
    <n v="1411"/>
    <n v="4269769"/>
    <x v="38"/>
    <x v="10"/>
    <s v="Excellent customer support and regular feature updates."/>
    <x v="16"/>
    <x v="3"/>
    <x v="1410"/>
    <x v="0"/>
    <x v="1"/>
    <n v="742"/>
    <x v="42"/>
    <x v="4"/>
    <x v="4"/>
    <s v="10.6.66.5533"/>
    <s v="Average"/>
  </r>
  <r>
    <n v="1412"/>
    <n v="8072523"/>
    <x v="29"/>
    <x v="7"/>
    <s v="The interface could be better but overall good experience."/>
    <x v="16"/>
    <x v="36"/>
    <x v="1411"/>
    <x v="0"/>
    <x v="4"/>
    <n v="136"/>
    <x v="42"/>
    <x v="20"/>
    <x v="0"/>
    <s v="12.1"/>
    <s v="Poor"/>
  </r>
  <r>
    <n v="1413"/>
    <n v="3253025"/>
    <x v="33"/>
    <x v="0"/>
    <s v="Voie vaincre rôle. Parti son vêtir."/>
    <x v="14"/>
    <x v="2"/>
    <x v="1412"/>
    <x v="0"/>
    <x v="2"/>
    <n v="553"/>
    <x v="45"/>
    <x v="8"/>
    <x v="4"/>
    <s v="8.3.90"/>
    <s v="Average"/>
  </r>
  <r>
    <n v="1414"/>
    <n v="7554220"/>
    <x v="12"/>
    <x v="7"/>
    <s v="Non id nostrum aspernatur incidunt. Voluptates sequi temporibus quasi eos deserunt corporis. Soluta quos quaerat adipisci libero assumenda rerum."/>
    <x v="22"/>
    <x v="2"/>
    <x v="1413"/>
    <x v="0"/>
    <x v="1"/>
    <n v="594"/>
    <x v="21"/>
    <x v="9"/>
    <x v="3"/>
    <s v="v12.3.55"/>
    <s v="Average"/>
  </r>
  <r>
    <n v="1415"/>
    <n v="2919458"/>
    <x v="26"/>
    <x v="7"/>
    <s v="Latest update broke some features, please fix soon."/>
    <x v="11"/>
    <x v="36"/>
    <x v="1414"/>
    <x v="0"/>
    <x v="4"/>
    <n v="241"/>
    <x v="7"/>
    <x v="7"/>
    <x v="4"/>
    <s v="Unknown"/>
    <s v="Poor"/>
  </r>
  <r>
    <n v="1416"/>
    <n v="2040765"/>
    <x v="4"/>
    <x v="12"/>
    <s v="Excellent customer support and regular feature updates."/>
    <x v="8"/>
    <x v="0"/>
    <x v="1415"/>
    <x v="1"/>
    <x v="2"/>
    <n v="957"/>
    <x v="28"/>
    <x v="11"/>
    <x v="3"/>
    <s v="2.4"/>
    <s v="Very Poor"/>
  </r>
  <r>
    <n v="1417"/>
    <n v="9170902"/>
    <x v="29"/>
    <x v="11"/>
    <s v="Perfect for daily use, highly recommend to everyone."/>
    <x v="17"/>
    <x v="33"/>
    <x v="1416"/>
    <x v="0"/>
    <x v="3"/>
    <n v="547"/>
    <x v="22"/>
    <x v="7"/>
    <x v="4"/>
    <s v="9.2.49"/>
    <s v="Poor"/>
  </r>
  <r>
    <n v="1418"/>
    <n v="3650743"/>
    <x v="21"/>
    <x v="16"/>
    <s v="Perfect for daily use, highly recommend to everyone."/>
    <x v="7"/>
    <x v="18"/>
    <x v="1417"/>
    <x v="1"/>
    <x v="4"/>
    <n v="1164"/>
    <x v="11"/>
    <x v="0"/>
    <x v="1"/>
    <s v="10.6"/>
    <s v="Average"/>
  </r>
  <r>
    <n v="1419"/>
    <n v="1600416"/>
    <x v="29"/>
    <x v="1"/>
    <s v="Works perfectly on my device, no complaints at all."/>
    <x v="16"/>
    <x v="13"/>
    <x v="1418"/>
    <x v="0"/>
    <x v="3"/>
    <n v="384"/>
    <x v="21"/>
    <x v="15"/>
    <x v="0"/>
    <s v="13.4"/>
    <s v="Average"/>
  </r>
  <r>
    <n v="1420"/>
    <n v="590260"/>
    <x v="17"/>
    <x v="17"/>
    <s v="Excellent customer support and regular feature updates."/>
    <x v="1"/>
    <x v="37"/>
    <x v="1419"/>
    <x v="0"/>
    <x v="3"/>
    <n v="890"/>
    <x v="40"/>
    <x v="22"/>
    <x v="3"/>
    <s v="8.5.13-beta"/>
    <s v="Average"/>
  </r>
  <r>
    <n v="1421"/>
    <n v="6533891"/>
    <x v="33"/>
    <x v="8"/>
    <s v="This app is amazing! Really love the new features."/>
    <x v="21"/>
    <x v="38"/>
    <x v="1420"/>
    <x v="0"/>
    <x v="2"/>
    <n v="1145"/>
    <x v="19"/>
    <x v="13"/>
    <x v="4"/>
    <s v="v6.5.2"/>
    <s v="Good"/>
  </r>
  <r>
    <n v="1422"/>
    <n v="3797296"/>
    <x v="38"/>
    <x v="1"/>
    <s v="Great app but too many ads, consider premium version."/>
    <x v="5"/>
    <x v="27"/>
    <x v="1421"/>
    <x v="0"/>
    <x v="0"/>
    <n v="829"/>
    <x v="26"/>
    <x v="3"/>
    <x v="4"/>
    <s v="v10.6.77"/>
    <s v="Very Poor"/>
  </r>
  <r>
    <n v="1423"/>
    <n v="8091026"/>
    <x v="8"/>
    <x v="4"/>
    <s v="Latest update broke some features, please fix soon."/>
    <x v="19"/>
    <x v="6"/>
    <x v="1422"/>
    <x v="1"/>
    <x v="3"/>
    <n v="823"/>
    <x v="7"/>
    <x v="1"/>
    <x v="4"/>
    <s v="5.2.70-beta"/>
    <s v="Good"/>
  </r>
  <r>
    <n v="1424"/>
    <n v="2165243"/>
    <x v="26"/>
    <x v="16"/>
    <s v="The interface could be better but overall good experience."/>
    <x v="1"/>
    <x v="26"/>
    <x v="1423"/>
    <x v="0"/>
    <x v="4"/>
    <n v="165"/>
    <x v="0"/>
    <x v="20"/>
    <x v="4"/>
    <s v="12.1.58-beta"/>
    <s v="Average"/>
  </r>
  <r>
    <n v="1425"/>
    <n v="9068148"/>
    <x v="31"/>
    <x v="10"/>
    <s v="Great app but too many ads, consider premium version."/>
    <x v="9"/>
    <x v="4"/>
    <x v="1424"/>
    <x v="1"/>
    <x v="3"/>
    <n v="865"/>
    <x v="23"/>
    <x v="19"/>
    <x v="1"/>
    <s v="v14.5.53"/>
    <s v="Average"/>
  </r>
  <r>
    <n v="1426"/>
    <n v="8353698"/>
    <x v="24"/>
    <x v="12"/>
    <s v="This app is amazing! Really love the new features."/>
    <x v="1"/>
    <x v="28"/>
    <x v="1425"/>
    <x v="1"/>
    <x v="4"/>
    <n v="686"/>
    <x v="59"/>
    <x v="15"/>
    <x v="2"/>
    <s v="12.3.47.7127"/>
    <s v="Poor"/>
  </r>
  <r>
    <n v="1427"/>
    <n v="5683476"/>
    <x v="33"/>
    <x v="15"/>
    <s v="Some bugs need fixing but generally satisfied with it."/>
    <x v="21"/>
    <x v="32"/>
    <x v="1426"/>
    <x v="0"/>
    <x v="1"/>
    <n v="912"/>
    <x v="56"/>
    <x v="18"/>
    <x v="1"/>
    <s v="15.2.71"/>
    <s v="Very Poor"/>
  </r>
  <r>
    <n v="1428"/>
    <n v="9763208"/>
    <x v="37"/>
    <x v="10"/>
    <s v="The interface could be better but overall good experience."/>
    <x v="3"/>
    <x v="36"/>
    <x v="1427"/>
    <x v="0"/>
    <x v="2"/>
    <n v="1059"/>
    <x v="15"/>
    <x v="18"/>
    <x v="4"/>
    <s v="v7.2.96"/>
    <s v="Poor"/>
  </r>
  <r>
    <n v="1429"/>
    <n v="1184932"/>
    <x v="18"/>
    <x v="4"/>
    <s v="The interface could be better but overall good experience."/>
    <x v="14"/>
    <x v="24"/>
    <x v="1428"/>
    <x v="0"/>
    <x v="3"/>
    <n v="772"/>
    <x v="41"/>
    <x v="11"/>
    <x v="1"/>
    <s v="9.5.28"/>
    <s v="Poor"/>
  </r>
  <r>
    <n v="1430"/>
    <n v="6425183"/>
    <x v="35"/>
    <x v="13"/>
    <s v="User-friendly design and smooth performance throughout."/>
    <x v="2"/>
    <x v="9"/>
    <x v="1429"/>
    <x v="1"/>
    <x v="0"/>
    <n v="670"/>
    <x v="60"/>
    <x v="23"/>
    <x v="1"/>
    <s v="3.7.58.5739"/>
    <s v="Excellent"/>
  </r>
  <r>
    <n v="1431"/>
    <n v="6503032"/>
    <x v="0"/>
    <x v="15"/>
    <s v="Vedere interesse descrivere distanza elevare buttare finestra."/>
    <x v="7"/>
    <x v="27"/>
    <x v="1430"/>
    <x v="0"/>
    <x v="4"/>
    <n v="308"/>
    <x v="57"/>
    <x v="2"/>
    <x v="3"/>
    <s v="7.8.99-beta"/>
    <s v="Very Poor"/>
  </r>
  <r>
    <n v="1432"/>
    <n v="2047939"/>
    <x v="22"/>
    <x v="1"/>
    <s v="ニュースカラム持ってる埋め込むコミュニティ数字月。 それ供給細かい目的トレーナー障害。"/>
    <x v="16"/>
    <x v="32"/>
    <x v="1431"/>
    <x v="0"/>
    <x v="0"/>
    <n v="278"/>
    <x v="16"/>
    <x v="2"/>
    <x v="2"/>
    <s v="v14.1.57"/>
    <s v="Very Poor"/>
  </r>
  <r>
    <n v="1433"/>
    <n v="3826916"/>
    <x v="28"/>
    <x v="10"/>
    <s v="Latest update broke some features, please fix soon."/>
    <x v="3"/>
    <x v="35"/>
    <x v="1432"/>
    <x v="0"/>
    <x v="1"/>
    <n v="1028"/>
    <x v="13"/>
    <x v="11"/>
    <x v="0"/>
    <s v="v14.7.33"/>
    <s v="Poor"/>
  </r>
  <r>
    <n v="1434"/>
    <n v="254157"/>
    <x v="26"/>
    <x v="1"/>
    <s v="This app is amazing! Really love the new features."/>
    <x v="1"/>
    <x v="14"/>
    <x v="1433"/>
    <x v="0"/>
    <x v="4"/>
    <n v="983"/>
    <x v="60"/>
    <x v="10"/>
    <x v="3"/>
    <s v="8.6.59.6880"/>
    <s v="Excellent"/>
  </r>
  <r>
    <n v="1435"/>
    <n v="5400362"/>
    <x v="9"/>
    <x v="17"/>
    <s v="Repellendus error dolor perspiciatis. Nobis corporis pariatur reiciendis. Nisi est voluptatibus."/>
    <x v="2"/>
    <x v="30"/>
    <x v="1434"/>
    <x v="0"/>
    <x v="1"/>
    <n v="68"/>
    <x v="59"/>
    <x v="15"/>
    <x v="3"/>
    <s v="11.3.7"/>
    <s v="Average"/>
  </r>
  <r>
    <n v="1436"/>
    <n v="9729651"/>
    <x v="5"/>
    <x v="1"/>
    <s v="Crashes too often, needs improvement in stability."/>
    <x v="13"/>
    <x v="14"/>
    <x v="1435"/>
    <x v="1"/>
    <x v="2"/>
    <n v="842"/>
    <x v="4"/>
    <x v="3"/>
    <x v="1"/>
    <s v="v9.5.83"/>
    <s v="Excellent"/>
  </r>
  <r>
    <n v="1437"/>
    <n v="3718930"/>
    <x v="23"/>
    <x v="3"/>
    <s v="Eos vitae animi repellat corrupti quaerat sed."/>
    <x v="5"/>
    <x v="3"/>
    <x v="1436"/>
    <x v="0"/>
    <x v="3"/>
    <n v="1027"/>
    <x v="37"/>
    <x v="4"/>
    <x v="2"/>
    <s v="v1.3.39"/>
    <s v="Average"/>
  </r>
  <r>
    <n v="1438"/>
    <n v="981916"/>
    <x v="35"/>
    <x v="17"/>
    <s v="Latest update broke some features, please fix soon."/>
    <x v="18"/>
    <x v="24"/>
    <x v="1437"/>
    <x v="1"/>
    <x v="4"/>
    <n v="1045"/>
    <x v="15"/>
    <x v="6"/>
    <x v="2"/>
    <s v="12.7.35-beta"/>
    <s v="Poor"/>
  </r>
  <r>
    <n v="1439"/>
    <n v="3103461"/>
    <x v="31"/>
    <x v="2"/>
    <s v="Quas error repellendus totam culpa accusantium hic. Perspiciatis voluptatibus quidem hic minus eligendi."/>
    <x v="17"/>
    <x v="16"/>
    <x v="1438"/>
    <x v="0"/>
    <x v="3"/>
    <n v="767"/>
    <x v="0"/>
    <x v="13"/>
    <x v="4"/>
    <s v="Unknown"/>
    <s v="Excellent"/>
  </r>
  <r>
    <n v="1440"/>
    <n v="9294082"/>
    <x v="19"/>
    <x v="7"/>
    <s v="User-friendly design and smooth performance throughout."/>
    <x v="15"/>
    <x v="35"/>
    <x v="1439"/>
    <x v="0"/>
    <x v="3"/>
    <n v="864"/>
    <x v="22"/>
    <x v="23"/>
    <x v="1"/>
    <s v="v8.6.36"/>
    <s v="Poor"/>
  </r>
  <r>
    <n v="1441"/>
    <n v="2296149"/>
    <x v="15"/>
    <x v="12"/>
    <s v="The interface could be better but overall good experience."/>
    <x v="1"/>
    <x v="24"/>
    <x v="1440"/>
    <x v="1"/>
    <x v="3"/>
    <n v="695"/>
    <x v="12"/>
    <x v="24"/>
    <x v="2"/>
    <s v="8.4"/>
    <s v="Poor"/>
  </r>
  <r>
    <n v="1442"/>
    <n v="9837222"/>
    <x v="20"/>
    <x v="0"/>
    <s v="Perfect for daily use, highly recommend to everyone."/>
    <x v="10"/>
    <x v="5"/>
    <x v="1441"/>
    <x v="0"/>
    <x v="3"/>
    <n v="832"/>
    <x v="60"/>
    <x v="18"/>
    <x v="2"/>
    <s v="1.2.92.3702"/>
    <s v="Excellent"/>
  </r>
  <r>
    <n v="1443"/>
    <n v="5201515"/>
    <x v="35"/>
    <x v="17"/>
    <s v="Works perfectly on my device, no complaints at all."/>
    <x v="17"/>
    <x v="18"/>
    <x v="1442"/>
    <x v="1"/>
    <x v="4"/>
    <n v="715"/>
    <x v="20"/>
    <x v="21"/>
    <x v="4"/>
    <s v="v1.2.45"/>
    <s v="Average"/>
  </r>
  <r>
    <n v="1444"/>
    <n v="2846337"/>
    <x v="37"/>
    <x v="4"/>
    <s v="The interface could be better but overall good experience."/>
    <x v="12"/>
    <x v="16"/>
    <x v="1443"/>
    <x v="0"/>
    <x v="3"/>
    <n v="768"/>
    <x v="26"/>
    <x v="22"/>
    <x v="4"/>
    <s v="15.9.79.949"/>
    <s v="Excellent"/>
  </r>
  <r>
    <n v="1445"/>
    <n v="7513578"/>
    <x v="19"/>
    <x v="17"/>
    <s v="Excellent customer support and regular feature updates."/>
    <x v="9"/>
    <x v="4"/>
    <x v="1444"/>
    <x v="0"/>
    <x v="4"/>
    <n v="113"/>
    <x v="57"/>
    <x v="5"/>
    <x v="1"/>
    <s v="9.3"/>
    <s v="Average"/>
  </r>
  <r>
    <n v="1446"/>
    <n v="4983538"/>
    <x v="19"/>
    <x v="12"/>
    <s v="Perfect for daily use, highly recommend to everyone."/>
    <x v="2"/>
    <x v="38"/>
    <x v="1445"/>
    <x v="0"/>
    <x v="4"/>
    <n v="355"/>
    <x v="39"/>
    <x v="13"/>
    <x v="3"/>
    <s v="v15.2.13"/>
    <s v="Good"/>
  </r>
  <r>
    <n v="1447"/>
    <n v="3619295"/>
    <x v="31"/>
    <x v="3"/>
    <s v="No Review"/>
    <x v="9"/>
    <x v="28"/>
    <x v="1446"/>
    <x v="1"/>
    <x v="4"/>
    <n v="388"/>
    <x v="10"/>
    <x v="18"/>
    <x v="3"/>
    <s v="v4.3.10"/>
    <s v="Poor"/>
  </r>
  <r>
    <n v="1448"/>
    <n v="3382547"/>
    <x v="29"/>
    <x v="16"/>
    <s v="Works perfectly on my device, no complaints at all."/>
    <x v="4"/>
    <x v="38"/>
    <x v="1447"/>
    <x v="1"/>
    <x v="0"/>
    <n v="486"/>
    <x v="38"/>
    <x v="18"/>
    <x v="3"/>
    <s v="v6.9.70"/>
    <s v="Good"/>
  </r>
  <r>
    <n v="1449"/>
    <n v="253218"/>
    <x v="8"/>
    <x v="0"/>
    <s v="This app is amazing! Really love the new features."/>
    <x v="16"/>
    <x v="22"/>
    <x v="1448"/>
    <x v="1"/>
    <x v="4"/>
    <n v="210"/>
    <x v="0"/>
    <x v="15"/>
    <x v="1"/>
    <s v="v3.6.78"/>
    <s v="Poor"/>
  </r>
  <r>
    <n v="1450"/>
    <n v="9758342"/>
    <x v="26"/>
    <x v="11"/>
    <s v="Crashes too often, needs improvement in stability."/>
    <x v="4"/>
    <x v="29"/>
    <x v="1449"/>
    <x v="1"/>
    <x v="3"/>
    <n v="289"/>
    <x v="60"/>
    <x v="13"/>
    <x v="0"/>
    <s v="15.8"/>
    <s v="Very Poor"/>
  </r>
  <r>
    <n v="1451"/>
    <n v="2576408"/>
    <x v="34"/>
    <x v="2"/>
    <s v="Perfect for daily use, highly recommend to everyone."/>
    <x v="3"/>
    <x v="15"/>
    <x v="1450"/>
    <x v="0"/>
    <x v="3"/>
    <n v="176"/>
    <x v="38"/>
    <x v="19"/>
    <x v="1"/>
    <s v="14.9"/>
    <s v="Poor"/>
  </r>
  <r>
    <n v="1452"/>
    <n v="2922312"/>
    <x v="0"/>
    <x v="13"/>
    <s v="This app is amazing! Really love the new features."/>
    <x v="8"/>
    <x v="8"/>
    <x v="1451"/>
    <x v="0"/>
    <x v="2"/>
    <n v="62"/>
    <x v="28"/>
    <x v="6"/>
    <x v="2"/>
    <s v="8.2.97.2174"/>
    <s v="Very Poor"/>
  </r>
  <r>
    <n v="1453"/>
    <n v="1711413"/>
    <x v="18"/>
    <x v="8"/>
    <s v="Great app but too many ads, consider premium version."/>
    <x v="12"/>
    <x v="9"/>
    <x v="1452"/>
    <x v="0"/>
    <x v="4"/>
    <n v="678"/>
    <x v="9"/>
    <x v="13"/>
    <x v="1"/>
    <s v="v8.1.18"/>
    <s v="Excellent"/>
  </r>
  <r>
    <n v="1454"/>
    <n v="3113739"/>
    <x v="21"/>
    <x v="11"/>
    <s v="Works perfectly on my device, no complaints at all."/>
    <x v="10"/>
    <x v="38"/>
    <x v="1453"/>
    <x v="0"/>
    <x v="0"/>
    <n v="539"/>
    <x v="17"/>
    <x v="1"/>
    <x v="4"/>
    <s v="5.8"/>
    <s v="Good"/>
  </r>
  <r>
    <n v="1455"/>
    <n v="8747567"/>
    <x v="35"/>
    <x v="14"/>
    <s v="Works perfectly on my device, no complaints at all."/>
    <x v="17"/>
    <x v="26"/>
    <x v="1454"/>
    <x v="0"/>
    <x v="1"/>
    <n v="883"/>
    <x v="44"/>
    <x v="23"/>
    <x v="0"/>
    <s v="6.6"/>
    <s v="Average"/>
  </r>
  <r>
    <n v="1456"/>
    <n v="7378315"/>
    <x v="21"/>
    <x v="13"/>
    <s v="This app is amazing! Really love the new features."/>
    <x v="16"/>
    <x v="2"/>
    <x v="1455"/>
    <x v="1"/>
    <x v="2"/>
    <n v="1211"/>
    <x v="0"/>
    <x v="0"/>
    <x v="4"/>
    <s v="7.9.79"/>
    <s v="Average"/>
  </r>
  <r>
    <n v="1457"/>
    <n v="6877894"/>
    <x v="8"/>
    <x v="15"/>
    <s v="Some bugs need fixing but generally satisfied with it."/>
    <x v="23"/>
    <x v="8"/>
    <x v="1456"/>
    <x v="0"/>
    <x v="4"/>
    <n v="525"/>
    <x v="2"/>
    <x v="13"/>
    <x v="4"/>
    <s v="11.7.10.9461"/>
    <s v="Very Poor"/>
  </r>
  <r>
    <n v="1458"/>
    <n v="2093175"/>
    <x v="4"/>
    <x v="12"/>
    <s v="Excellent customer support and regular feature updates."/>
    <x v="4"/>
    <x v="7"/>
    <x v="1457"/>
    <x v="0"/>
    <x v="1"/>
    <n v="477"/>
    <x v="52"/>
    <x v="10"/>
    <x v="0"/>
    <s v="v5.1.75"/>
    <s v="Very Poor"/>
  </r>
  <r>
    <n v="1459"/>
    <n v="8297782"/>
    <x v="24"/>
    <x v="11"/>
    <s v="Works perfectly on my device, no complaints at all."/>
    <x v="18"/>
    <x v="40"/>
    <x v="1458"/>
    <x v="1"/>
    <x v="3"/>
    <n v="523"/>
    <x v="6"/>
    <x v="13"/>
    <x v="4"/>
    <s v="14.9"/>
    <s v="Very Poor"/>
  </r>
  <r>
    <n v="1460"/>
    <n v="2993851"/>
    <x v="21"/>
    <x v="5"/>
    <s v="Remonter vol plan beau indiquer rouler. Dos penser fait cas baisser jusque. De ni voile jeu pourquoi bien nord."/>
    <x v="12"/>
    <x v="37"/>
    <x v="1459"/>
    <x v="0"/>
    <x v="4"/>
    <n v="226"/>
    <x v="27"/>
    <x v="20"/>
    <x v="0"/>
    <s v="10.2"/>
    <s v="Average"/>
  </r>
  <r>
    <n v="1461"/>
    <n v="7375548"/>
    <x v="10"/>
    <x v="12"/>
    <s v="Excellent customer support and regular feature updates."/>
    <x v="20"/>
    <x v="15"/>
    <x v="1460"/>
    <x v="0"/>
    <x v="3"/>
    <n v="448"/>
    <x v="47"/>
    <x v="24"/>
    <x v="3"/>
    <s v="11.6.62-beta"/>
    <s v="Poor"/>
  </r>
  <r>
    <n v="1462"/>
    <n v="2201118"/>
    <x v="0"/>
    <x v="17"/>
    <s v="Crashes too often, needs improvement in stability."/>
    <x v="6"/>
    <x v="3"/>
    <x v="1461"/>
    <x v="0"/>
    <x v="0"/>
    <n v="562"/>
    <x v="50"/>
    <x v="8"/>
    <x v="2"/>
    <s v="v2.7.41"/>
    <s v="Average"/>
  </r>
  <r>
    <n v="1463"/>
    <n v="1165324"/>
    <x v="6"/>
    <x v="2"/>
    <s v="Charakter błoto mój ciągle przyszłość chrześcijaństwo piasek. Biuro obecny oddech koszula Australia zbiór królestwo. Też lipiec siostra przeciw."/>
    <x v="3"/>
    <x v="29"/>
    <x v="1462"/>
    <x v="0"/>
    <x v="3"/>
    <n v="1009"/>
    <x v="4"/>
    <x v="24"/>
    <x v="3"/>
    <s v="v11.2.54"/>
    <s v="Very Poor"/>
  </r>
  <r>
    <n v="1464"/>
    <n v="2164357"/>
    <x v="32"/>
    <x v="12"/>
    <s v="Works perfectly on my device, no complaints at all."/>
    <x v="7"/>
    <x v="12"/>
    <x v="1463"/>
    <x v="0"/>
    <x v="4"/>
    <n v="102"/>
    <x v="37"/>
    <x v="20"/>
    <x v="3"/>
    <s v="15.1.78-beta"/>
    <s v="Excellent"/>
  </r>
  <r>
    <n v="1465"/>
    <n v="9748258"/>
    <x v="15"/>
    <x v="3"/>
    <s v="Latest update broke some features, please fix soon."/>
    <x v="14"/>
    <x v="29"/>
    <x v="1464"/>
    <x v="1"/>
    <x v="1"/>
    <n v="1108"/>
    <x v="59"/>
    <x v="7"/>
    <x v="0"/>
    <s v="13.5"/>
    <s v="Very Poor"/>
  </r>
  <r>
    <n v="1466"/>
    <n v="2804659"/>
    <x v="4"/>
    <x v="14"/>
    <s v="No Review"/>
    <x v="2"/>
    <x v="15"/>
    <x v="1465"/>
    <x v="0"/>
    <x v="2"/>
    <n v="402"/>
    <x v="30"/>
    <x v="18"/>
    <x v="4"/>
    <s v="13.4.55"/>
    <s v="Poor"/>
  </r>
  <r>
    <n v="1467"/>
    <n v="9129656"/>
    <x v="39"/>
    <x v="14"/>
    <s v="Distinctio aut reprehenderit dolores deleniti error rerum. Nobis dolor facere consectetur."/>
    <x v="1"/>
    <x v="10"/>
    <x v="1466"/>
    <x v="0"/>
    <x v="4"/>
    <n v="706"/>
    <x v="18"/>
    <x v="4"/>
    <x v="0"/>
    <s v="7.6.95"/>
    <s v="Poor"/>
  </r>
  <r>
    <n v="1468"/>
    <n v="1347548"/>
    <x v="31"/>
    <x v="5"/>
    <s v="Latest update broke some features, please fix soon."/>
    <x v="5"/>
    <x v="30"/>
    <x v="1467"/>
    <x v="0"/>
    <x v="4"/>
    <n v="1227"/>
    <x v="61"/>
    <x v="23"/>
    <x v="4"/>
    <s v="8.2"/>
    <s v="Average"/>
  </r>
  <r>
    <n v="1469"/>
    <n v="4473391"/>
    <x v="35"/>
    <x v="13"/>
    <s v="Piccolo colpire lavoro tuttavia pranzo triste. Morte attimo qui vostro. Pubblicare nostro pianura merito colpo."/>
    <x v="15"/>
    <x v="20"/>
    <x v="1468"/>
    <x v="0"/>
    <x v="2"/>
    <n v="40"/>
    <x v="9"/>
    <x v="17"/>
    <x v="2"/>
    <s v="v12.0.21"/>
    <s v="Very Poor"/>
  </r>
  <r>
    <n v="1470"/>
    <n v="5407645"/>
    <x v="1"/>
    <x v="15"/>
    <s v="Latest update broke some features, please fix soon."/>
    <x v="19"/>
    <x v="6"/>
    <x v="1469"/>
    <x v="0"/>
    <x v="4"/>
    <n v="913"/>
    <x v="14"/>
    <x v="21"/>
    <x v="1"/>
    <s v="4.9.47-beta"/>
    <s v="Good"/>
  </r>
  <r>
    <n v="1471"/>
    <n v="6457590"/>
    <x v="4"/>
    <x v="0"/>
    <s v="The interface could be better but overall good experience."/>
    <x v="14"/>
    <x v="30"/>
    <x v="1470"/>
    <x v="0"/>
    <x v="1"/>
    <n v="612"/>
    <x v="45"/>
    <x v="18"/>
    <x v="4"/>
    <s v="10.8.8-beta"/>
    <s v="Average"/>
  </r>
  <r>
    <n v="1472"/>
    <n v="4252322"/>
    <x v="10"/>
    <x v="7"/>
    <s v="No Review"/>
    <x v="11"/>
    <x v="10"/>
    <x v="1471"/>
    <x v="0"/>
    <x v="0"/>
    <n v="653"/>
    <x v="54"/>
    <x v="3"/>
    <x v="2"/>
    <s v="9.3.66.5511"/>
    <s v="Poor"/>
  </r>
  <r>
    <n v="1473"/>
    <n v="2190797"/>
    <x v="24"/>
    <x v="12"/>
    <s v="Works perfectly on my device, no complaints at all."/>
    <x v="21"/>
    <x v="32"/>
    <x v="1472"/>
    <x v="0"/>
    <x v="2"/>
    <n v="5"/>
    <x v="3"/>
    <x v="4"/>
    <x v="3"/>
    <s v="4.6.68-beta"/>
    <s v="Very Poor"/>
  </r>
  <r>
    <n v="1474"/>
    <n v="9300101"/>
    <x v="12"/>
    <x v="12"/>
    <s v="User-friendly design and smooth performance throughout."/>
    <x v="22"/>
    <x v="5"/>
    <x v="1473"/>
    <x v="0"/>
    <x v="4"/>
    <n v="224"/>
    <x v="56"/>
    <x v="11"/>
    <x v="3"/>
    <s v="v14.1.44"/>
    <s v="Excellent"/>
  </r>
  <r>
    <n v="1475"/>
    <n v="5625702"/>
    <x v="40"/>
    <x v="15"/>
    <s v="Great app but too many ads, consider premium version."/>
    <x v="11"/>
    <x v="21"/>
    <x v="1474"/>
    <x v="0"/>
    <x v="1"/>
    <n v="821"/>
    <x v="11"/>
    <x v="12"/>
    <x v="0"/>
    <s v="12.8"/>
    <s v="Excellent"/>
  </r>
  <r>
    <n v="1476"/>
    <n v="6187100"/>
    <x v="10"/>
    <x v="4"/>
    <s v="Crashes too often, needs improvement in stability."/>
    <x v="7"/>
    <x v="38"/>
    <x v="1475"/>
    <x v="0"/>
    <x v="3"/>
    <n v="751"/>
    <x v="43"/>
    <x v="22"/>
    <x v="3"/>
    <s v="15.5.59.3507"/>
    <s v="Good"/>
  </r>
  <r>
    <n v="1477"/>
    <n v="4684424"/>
    <x v="16"/>
    <x v="10"/>
    <s v="Sit dolorem ab fugiat. Fugiat autem unde cupiditate quas. Nihil rem atque expedita nemo."/>
    <x v="16"/>
    <x v="36"/>
    <x v="1476"/>
    <x v="0"/>
    <x v="2"/>
    <n v="1087"/>
    <x v="40"/>
    <x v="24"/>
    <x v="1"/>
    <s v="v12.9.38"/>
    <s v="Poor"/>
  </r>
  <r>
    <n v="1478"/>
    <n v="4647530"/>
    <x v="0"/>
    <x v="12"/>
    <s v="Works perfectly on my device, no complaints at all."/>
    <x v="21"/>
    <x v="5"/>
    <x v="1477"/>
    <x v="0"/>
    <x v="0"/>
    <n v="196"/>
    <x v="11"/>
    <x v="7"/>
    <x v="2"/>
    <s v="8.0.38-beta"/>
    <s v="Excellent"/>
  </r>
  <r>
    <n v="1479"/>
    <n v="904690"/>
    <x v="20"/>
    <x v="0"/>
    <s v="This app is amazing! Really love the new features."/>
    <x v="6"/>
    <x v="37"/>
    <x v="1478"/>
    <x v="0"/>
    <x v="0"/>
    <n v="580"/>
    <x v="49"/>
    <x v="8"/>
    <x v="2"/>
    <s v="9.5.91.5233"/>
    <s v="Average"/>
  </r>
  <r>
    <n v="1480"/>
    <n v="6635788"/>
    <x v="40"/>
    <x v="9"/>
    <s v="知覚倫理彼追放する。 大統領状況溝プラスチック保持するキャビンクロス織る。 花嫁差別する職人彼女犯罪者ヘア戦略的。"/>
    <x v="2"/>
    <x v="21"/>
    <x v="1479"/>
    <x v="0"/>
    <x v="0"/>
    <n v="1173"/>
    <x v="59"/>
    <x v="6"/>
    <x v="3"/>
    <s v="6.9.86"/>
    <s v="Excellent"/>
  </r>
  <r>
    <n v="1481"/>
    <n v="3171984"/>
    <x v="37"/>
    <x v="4"/>
    <s v="Voluptates reiciendis magnam eius incidunt velit. Esse similique veniam illo est. Odio asperiores dolores atque."/>
    <x v="7"/>
    <x v="13"/>
    <x v="1480"/>
    <x v="0"/>
    <x v="3"/>
    <n v="868"/>
    <x v="17"/>
    <x v="1"/>
    <x v="0"/>
    <s v="11.1.50"/>
    <s v="Average"/>
  </r>
  <r>
    <n v="1482"/>
    <n v="1519102"/>
    <x v="16"/>
    <x v="14"/>
    <s v="Crashes too often, needs improvement in stability."/>
    <x v="0"/>
    <x v="4"/>
    <x v="1481"/>
    <x v="0"/>
    <x v="1"/>
    <n v="174"/>
    <x v="43"/>
    <x v="20"/>
    <x v="0"/>
    <s v="10.6.5"/>
    <s v="Average"/>
  </r>
  <r>
    <n v="1483"/>
    <n v="9397258"/>
    <x v="18"/>
    <x v="11"/>
    <s v="Excellent customer support and regular feature updates."/>
    <x v="7"/>
    <x v="10"/>
    <x v="1482"/>
    <x v="0"/>
    <x v="2"/>
    <n v="642"/>
    <x v="47"/>
    <x v="8"/>
    <x v="4"/>
    <s v="10.7.39-beta"/>
    <s v="Poor"/>
  </r>
  <r>
    <n v="1484"/>
    <n v="279426"/>
    <x v="26"/>
    <x v="17"/>
    <s v="Perfect for daily use, highly recommend to everyone."/>
    <x v="10"/>
    <x v="39"/>
    <x v="1483"/>
    <x v="1"/>
    <x v="0"/>
    <n v="747"/>
    <x v="14"/>
    <x v="23"/>
    <x v="2"/>
    <s v="12.0.85-beta"/>
    <s v="Good"/>
  </r>
  <r>
    <n v="1485"/>
    <n v="8634273"/>
    <x v="1"/>
    <x v="1"/>
    <s v="Some bugs need fixing but generally satisfied with it."/>
    <x v="6"/>
    <x v="36"/>
    <x v="1484"/>
    <x v="1"/>
    <x v="3"/>
    <n v="212"/>
    <x v="1"/>
    <x v="23"/>
    <x v="0"/>
    <s v="15.7.75"/>
    <s v="Poor"/>
  </r>
  <r>
    <n v="1486"/>
    <n v="2388888"/>
    <x v="37"/>
    <x v="7"/>
    <s v="Some bugs need fixing but generally satisfied with it."/>
    <x v="21"/>
    <x v="11"/>
    <x v="1485"/>
    <x v="0"/>
    <x v="2"/>
    <n v="682"/>
    <x v="44"/>
    <x v="21"/>
    <x v="3"/>
    <s v="13.6.10.1773"/>
    <s v="Good"/>
  </r>
  <r>
    <n v="1487"/>
    <n v="8740458"/>
    <x v="3"/>
    <x v="2"/>
    <s v="Great app but too many ads, consider premium version."/>
    <x v="1"/>
    <x v="15"/>
    <x v="1486"/>
    <x v="1"/>
    <x v="4"/>
    <n v="224"/>
    <x v="27"/>
    <x v="12"/>
    <x v="4"/>
    <s v="15.5"/>
    <s v="Poor"/>
  </r>
  <r>
    <n v="1488"/>
    <n v="9032346"/>
    <x v="22"/>
    <x v="17"/>
    <s v="Some bugs need fixing but generally satisfied with it."/>
    <x v="3"/>
    <x v="2"/>
    <x v="1487"/>
    <x v="0"/>
    <x v="4"/>
    <n v="1214"/>
    <x v="20"/>
    <x v="10"/>
    <x v="2"/>
    <s v="9.0"/>
    <s v="Average"/>
  </r>
  <r>
    <n v="1489"/>
    <n v="6902682"/>
    <x v="23"/>
    <x v="15"/>
    <s v="Some bugs need fixing but generally satisfied with it."/>
    <x v="7"/>
    <x v="8"/>
    <x v="1488"/>
    <x v="1"/>
    <x v="1"/>
    <n v="546"/>
    <x v="5"/>
    <x v="3"/>
    <x v="1"/>
    <s v="7.2.21"/>
    <s v="Very Poor"/>
  </r>
  <r>
    <n v="1490"/>
    <n v="3290758"/>
    <x v="38"/>
    <x v="14"/>
    <s v="Excellent customer support and regular feature updates."/>
    <x v="23"/>
    <x v="5"/>
    <x v="1489"/>
    <x v="1"/>
    <x v="0"/>
    <n v="891"/>
    <x v="45"/>
    <x v="5"/>
    <x v="0"/>
    <s v="8.6.37-beta"/>
    <s v="Excellent"/>
  </r>
  <r>
    <n v="1491"/>
    <n v="222310"/>
    <x v="9"/>
    <x v="3"/>
    <s v="Latest update broke some features, please fix soon."/>
    <x v="0"/>
    <x v="18"/>
    <x v="1490"/>
    <x v="0"/>
    <x v="3"/>
    <n v="808"/>
    <x v="14"/>
    <x v="3"/>
    <x v="3"/>
    <s v="11.6.23-beta"/>
    <s v="Average"/>
  </r>
  <r>
    <n v="1492"/>
    <n v="9064482"/>
    <x v="34"/>
    <x v="2"/>
    <s v="Works perfectly on my device, no complaints at all."/>
    <x v="11"/>
    <x v="22"/>
    <x v="1491"/>
    <x v="0"/>
    <x v="3"/>
    <n v="170"/>
    <x v="51"/>
    <x v="3"/>
    <x v="3"/>
    <s v="14.4.83-beta"/>
    <s v="Poor"/>
  </r>
  <r>
    <n v="1493"/>
    <n v="4197436"/>
    <x v="17"/>
    <x v="11"/>
    <s v="Great app but too many ads, consider premium version."/>
    <x v="15"/>
    <x v="5"/>
    <x v="1492"/>
    <x v="1"/>
    <x v="3"/>
    <n v="922"/>
    <x v="9"/>
    <x v="3"/>
    <x v="1"/>
    <s v="10.7"/>
    <s v="Excellent"/>
  </r>
  <r>
    <n v="1494"/>
    <n v="8960239"/>
    <x v="10"/>
    <x v="5"/>
    <s v="The interface could be better but overall good experience."/>
    <x v="17"/>
    <x v="12"/>
    <x v="1493"/>
    <x v="0"/>
    <x v="4"/>
    <n v="1225"/>
    <x v="18"/>
    <x v="6"/>
    <x v="2"/>
    <s v="10.6.59-beta"/>
    <s v="Excellent"/>
  </r>
  <r>
    <n v="1495"/>
    <n v="810615"/>
    <x v="33"/>
    <x v="7"/>
    <s v="ハードウェア創傷持っていました品質舗装明らかにするニュース索引。 持ってる文言トーン癌器官特徴。"/>
    <x v="1"/>
    <x v="18"/>
    <x v="1494"/>
    <x v="0"/>
    <x v="2"/>
    <n v="1235"/>
    <x v="35"/>
    <x v="20"/>
    <x v="3"/>
    <s v="2.6.73.411"/>
    <s v="Average"/>
  </r>
  <r>
    <n v="1496"/>
    <n v="2077453"/>
    <x v="0"/>
    <x v="3"/>
    <s v="Error eos distinctio qui necessitatibus."/>
    <x v="18"/>
    <x v="22"/>
    <x v="1495"/>
    <x v="0"/>
    <x v="1"/>
    <n v="772"/>
    <x v="37"/>
    <x v="20"/>
    <x v="3"/>
    <s v="1.6"/>
    <s v="Poor"/>
  </r>
  <r>
    <n v="1497"/>
    <n v="8749141"/>
    <x v="23"/>
    <x v="5"/>
    <s v="Great app but too many ads, consider premium version."/>
    <x v="6"/>
    <x v="21"/>
    <x v="1496"/>
    <x v="0"/>
    <x v="3"/>
    <n v="987"/>
    <x v="37"/>
    <x v="4"/>
    <x v="1"/>
    <s v="15.8.31"/>
    <s v="Excellent"/>
  </r>
  <r>
    <n v="1498"/>
    <n v="7868806"/>
    <x v="11"/>
    <x v="3"/>
    <s v="Works perfectly on my device, no complaints at all."/>
    <x v="6"/>
    <x v="24"/>
    <x v="1497"/>
    <x v="1"/>
    <x v="4"/>
    <n v="1173"/>
    <x v="52"/>
    <x v="0"/>
    <x v="0"/>
    <s v="14.7"/>
    <s v="Poor"/>
  </r>
  <r>
    <n v="1499"/>
    <n v="8291751"/>
    <x v="17"/>
    <x v="8"/>
    <s v="Perfect for daily use, highly recommend to everyone."/>
    <x v="11"/>
    <x v="33"/>
    <x v="1498"/>
    <x v="0"/>
    <x v="1"/>
    <n v="236"/>
    <x v="62"/>
    <x v="5"/>
    <x v="2"/>
    <s v="13.3.97.9098"/>
    <s v="Poor"/>
  </r>
  <r>
    <n v="1500"/>
    <n v="198836"/>
    <x v="38"/>
    <x v="2"/>
    <s v="楽しんで憲法ささやきシェービング改善状況隠す編組。 ソース運拡張同行省略。 風景ヘア建築癌。"/>
    <x v="3"/>
    <x v="13"/>
    <x v="1499"/>
    <x v="0"/>
    <x v="2"/>
    <n v="163"/>
    <x v="19"/>
    <x v="17"/>
    <x v="0"/>
    <s v="5.3.39.5319"/>
    <s v="Average"/>
  </r>
  <r>
    <n v="1501"/>
    <n v="3156507"/>
    <x v="22"/>
    <x v="4"/>
    <s v="中文文章关于语言国家不会学习. 制作部门方式经济公司全国. 质量国家价格希望登录文件."/>
    <x v="1"/>
    <x v="9"/>
    <x v="1500"/>
    <x v="0"/>
    <x v="4"/>
    <n v="1201"/>
    <x v="52"/>
    <x v="8"/>
    <x v="2"/>
    <s v="15.7.33"/>
    <s v="Excellent"/>
  </r>
  <r>
    <n v="1502"/>
    <n v="9329543"/>
    <x v="26"/>
    <x v="4"/>
    <s v="Excellent customer support and regular feature updates."/>
    <x v="10"/>
    <x v="31"/>
    <x v="1501"/>
    <x v="1"/>
    <x v="1"/>
    <n v="977"/>
    <x v="60"/>
    <x v="12"/>
    <x v="1"/>
    <s v="14.4.20"/>
    <s v="Good"/>
  </r>
  <r>
    <n v="1503"/>
    <n v="2237987"/>
    <x v="22"/>
    <x v="13"/>
    <s v="Excellent customer support and regular feature updates."/>
    <x v="11"/>
    <x v="1"/>
    <x v="1502"/>
    <x v="1"/>
    <x v="0"/>
    <n v="1180"/>
    <x v="20"/>
    <x v="18"/>
    <x v="4"/>
    <s v="5.5.53-beta"/>
    <s v="Very Poor"/>
  </r>
  <r>
    <n v="1504"/>
    <n v="6808806"/>
    <x v="28"/>
    <x v="14"/>
    <s v="Works perfectly on my device, no complaints at all."/>
    <x v="20"/>
    <x v="37"/>
    <x v="1503"/>
    <x v="1"/>
    <x v="3"/>
    <n v="372"/>
    <x v="53"/>
    <x v="6"/>
    <x v="2"/>
    <s v="5.6.67-beta"/>
    <s v="Average"/>
  </r>
  <r>
    <n v="1505"/>
    <n v="6623795"/>
    <x v="29"/>
    <x v="9"/>
    <s v="This app is amazing! Really love the new features."/>
    <x v="3"/>
    <x v="8"/>
    <x v="1504"/>
    <x v="0"/>
    <x v="3"/>
    <n v="832"/>
    <x v="36"/>
    <x v="1"/>
    <x v="0"/>
    <s v="15.7.58.7194"/>
    <s v="Very Poor"/>
  </r>
  <r>
    <n v="1506"/>
    <n v="1909919"/>
    <x v="40"/>
    <x v="3"/>
    <s v="Some bugs need fixing but generally satisfied with it."/>
    <x v="5"/>
    <x v="10"/>
    <x v="1505"/>
    <x v="0"/>
    <x v="2"/>
    <n v="66"/>
    <x v="60"/>
    <x v="5"/>
    <x v="0"/>
    <s v="v1.7.97"/>
    <s v="Poor"/>
  </r>
  <r>
    <n v="1507"/>
    <n v="2216002"/>
    <x v="36"/>
    <x v="17"/>
    <s v="Works perfectly on my device, no complaints at all."/>
    <x v="8"/>
    <x v="34"/>
    <x v="1506"/>
    <x v="0"/>
    <x v="0"/>
    <n v="1159"/>
    <x v="5"/>
    <x v="24"/>
    <x v="0"/>
    <s v="v10.9.29"/>
    <s v="Average"/>
  </r>
  <r>
    <n v="1508"/>
    <n v="8488623"/>
    <x v="22"/>
    <x v="8"/>
    <s v="Crashes too often, needs improvement in stability."/>
    <x v="6"/>
    <x v="25"/>
    <x v="1507"/>
    <x v="1"/>
    <x v="0"/>
    <n v="99"/>
    <x v="28"/>
    <x v="1"/>
    <x v="3"/>
    <s v="15.6.41.2304"/>
    <s v="Poor"/>
  </r>
  <r>
    <n v="1509"/>
    <n v="4067894"/>
    <x v="5"/>
    <x v="1"/>
    <s v="Great app but too many ads, consider premium version."/>
    <x v="10"/>
    <x v="16"/>
    <x v="1508"/>
    <x v="1"/>
    <x v="2"/>
    <n v="1084"/>
    <x v="44"/>
    <x v="19"/>
    <x v="3"/>
    <s v="2.1.74"/>
    <s v="Excellent"/>
  </r>
  <r>
    <n v="1510"/>
    <n v="5840173"/>
    <x v="5"/>
    <x v="6"/>
    <s v="User-friendly design and smooth performance throughout."/>
    <x v="0"/>
    <x v="36"/>
    <x v="1509"/>
    <x v="0"/>
    <x v="2"/>
    <n v="86"/>
    <x v="35"/>
    <x v="7"/>
    <x v="4"/>
    <s v="8.8.54.9022"/>
    <s v="Poor"/>
  </r>
  <r>
    <n v="1511"/>
    <n v="234702"/>
    <x v="23"/>
    <x v="4"/>
    <s v="Laboriosam eligendi assumenda inventore nulla quas."/>
    <x v="0"/>
    <x v="11"/>
    <x v="1510"/>
    <x v="0"/>
    <x v="3"/>
    <n v="1074"/>
    <x v="40"/>
    <x v="17"/>
    <x v="0"/>
    <s v="9.6.53.3422"/>
    <s v="Good"/>
  </r>
  <r>
    <n v="1512"/>
    <n v="4816726"/>
    <x v="34"/>
    <x v="12"/>
    <s v="ヒットじぶんの意図高い。 見出しベルベット暖かいシュガー尿。 じぶんのコーナー厳しいマリンパン。"/>
    <x v="21"/>
    <x v="36"/>
    <x v="1511"/>
    <x v="0"/>
    <x v="1"/>
    <n v="235"/>
    <x v="4"/>
    <x v="19"/>
    <x v="4"/>
    <s v="Unknown"/>
    <s v="Poor"/>
  </r>
  <r>
    <n v="1513"/>
    <n v="3324201"/>
    <x v="37"/>
    <x v="3"/>
    <s v="The interface could be better but overall good experience."/>
    <x v="14"/>
    <x v="21"/>
    <x v="1512"/>
    <x v="0"/>
    <x v="2"/>
    <n v="326"/>
    <x v="25"/>
    <x v="8"/>
    <x v="1"/>
    <s v="12.0.22-beta"/>
    <s v="Excellent"/>
  </r>
  <r>
    <n v="1514"/>
    <n v="7252177"/>
    <x v="31"/>
    <x v="15"/>
    <s v="Latest update broke some features, please fix soon."/>
    <x v="20"/>
    <x v="10"/>
    <x v="1513"/>
    <x v="1"/>
    <x v="0"/>
    <n v="654"/>
    <x v="15"/>
    <x v="7"/>
    <x v="1"/>
    <s v="9.7.79"/>
    <s v="Poor"/>
  </r>
  <r>
    <n v="1515"/>
    <n v="3449462"/>
    <x v="3"/>
    <x v="7"/>
    <s v="Great app but too many ads, consider premium version."/>
    <x v="19"/>
    <x v="37"/>
    <x v="1514"/>
    <x v="0"/>
    <x v="2"/>
    <n v="413"/>
    <x v="33"/>
    <x v="4"/>
    <x v="3"/>
    <s v="14.0.29"/>
    <s v="Average"/>
  </r>
  <r>
    <n v="1516"/>
    <n v="6481258"/>
    <x v="10"/>
    <x v="6"/>
    <s v="Excellent customer support and regular feature updates."/>
    <x v="14"/>
    <x v="20"/>
    <x v="1515"/>
    <x v="0"/>
    <x v="0"/>
    <n v="994"/>
    <x v="39"/>
    <x v="24"/>
    <x v="4"/>
    <s v="v7.0.11"/>
    <s v="Very Poor"/>
  </r>
  <r>
    <n v="1517"/>
    <n v="5241309"/>
    <x v="15"/>
    <x v="0"/>
    <s v="This app is amazing! Really love the new features."/>
    <x v="5"/>
    <x v="29"/>
    <x v="1516"/>
    <x v="1"/>
    <x v="4"/>
    <n v="1170"/>
    <x v="32"/>
    <x v="3"/>
    <x v="1"/>
    <s v="10.6.63-beta"/>
    <s v="Very Poor"/>
  </r>
  <r>
    <n v="1518"/>
    <n v="3982711"/>
    <x v="36"/>
    <x v="9"/>
    <s v="Excepturi laboriosam magni officia esse. Facilis velit quae doloribus tempora."/>
    <x v="6"/>
    <x v="1"/>
    <x v="1517"/>
    <x v="0"/>
    <x v="4"/>
    <n v="703"/>
    <x v="50"/>
    <x v="6"/>
    <x v="3"/>
    <s v="14.0"/>
    <s v="Very Poor"/>
  </r>
  <r>
    <n v="1519"/>
    <n v="108991"/>
    <x v="22"/>
    <x v="3"/>
    <s v="User-friendly design and smooth performance throughout."/>
    <x v="19"/>
    <x v="3"/>
    <x v="1518"/>
    <x v="1"/>
    <x v="4"/>
    <n v="634"/>
    <x v="30"/>
    <x v="9"/>
    <x v="3"/>
    <s v="5.9.21-beta"/>
    <s v="Average"/>
  </r>
  <r>
    <n v="1520"/>
    <n v="5496217"/>
    <x v="16"/>
    <x v="3"/>
    <s v="Excellent customer support and regular feature updates."/>
    <x v="18"/>
    <x v="37"/>
    <x v="1519"/>
    <x v="0"/>
    <x v="2"/>
    <n v="889"/>
    <x v="13"/>
    <x v="10"/>
    <x v="2"/>
    <s v="9.8"/>
    <s v="Average"/>
  </r>
  <r>
    <n v="1521"/>
    <n v="8019821"/>
    <x v="5"/>
    <x v="12"/>
    <s v="Works perfectly on my device, no complaints at all."/>
    <x v="10"/>
    <x v="19"/>
    <x v="1520"/>
    <x v="0"/>
    <x v="1"/>
    <n v="831"/>
    <x v="62"/>
    <x v="8"/>
    <x v="3"/>
    <s v="10.7"/>
    <s v="Poor"/>
  </r>
  <r>
    <n v="1522"/>
    <n v="1790500"/>
    <x v="4"/>
    <x v="11"/>
    <s v="Crashes too often, needs improvement in stability."/>
    <x v="19"/>
    <x v="34"/>
    <x v="1521"/>
    <x v="0"/>
    <x v="0"/>
    <n v="103"/>
    <x v="19"/>
    <x v="19"/>
    <x v="1"/>
    <s v="13.3.34"/>
    <s v="Average"/>
  </r>
  <r>
    <n v="1523"/>
    <n v="4332271"/>
    <x v="9"/>
    <x v="16"/>
    <s v="Crashes too often, needs improvement in stability."/>
    <x v="14"/>
    <x v="33"/>
    <x v="1522"/>
    <x v="0"/>
    <x v="3"/>
    <n v="314"/>
    <x v="53"/>
    <x v="3"/>
    <x v="0"/>
    <s v="3.4.21-beta"/>
    <s v="Poor"/>
  </r>
  <r>
    <n v="1524"/>
    <n v="5708323"/>
    <x v="3"/>
    <x v="11"/>
    <s v="The interface could be better but overall good experience."/>
    <x v="8"/>
    <x v="29"/>
    <x v="1523"/>
    <x v="0"/>
    <x v="0"/>
    <n v="377"/>
    <x v="58"/>
    <x v="9"/>
    <x v="2"/>
    <s v="15.1"/>
    <s v="Very Poor"/>
  </r>
  <r>
    <n v="1525"/>
    <n v="1725497"/>
    <x v="38"/>
    <x v="6"/>
    <s v="Placeat quo consectetur."/>
    <x v="13"/>
    <x v="16"/>
    <x v="1524"/>
    <x v="1"/>
    <x v="3"/>
    <n v="1080"/>
    <x v="38"/>
    <x v="24"/>
    <x v="2"/>
    <s v="11.1"/>
    <s v="Excellent"/>
  </r>
  <r>
    <n v="1526"/>
    <n v="6163033"/>
    <x v="37"/>
    <x v="16"/>
    <s v="Minus fuga officiis distinctio fugit suscipit consectetur quia. Aliquam voluptas sunt repellendus."/>
    <x v="7"/>
    <x v="14"/>
    <x v="1525"/>
    <x v="1"/>
    <x v="4"/>
    <n v="345"/>
    <x v="12"/>
    <x v="15"/>
    <x v="0"/>
    <s v="11.6.88-beta"/>
    <s v="Excellent"/>
  </r>
  <r>
    <n v="1527"/>
    <n v="7578776"/>
    <x v="18"/>
    <x v="5"/>
    <s v="Asperiores molestias exercitationem quas."/>
    <x v="16"/>
    <x v="22"/>
    <x v="1526"/>
    <x v="0"/>
    <x v="0"/>
    <n v="832"/>
    <x v="39"/>
    <x v="6"/>
    <x v="3"/>
    <s v="10.9.2"/>
    <s v="Poor"/>
  </r>
  <r>
    <n v="1528"/>
    <n v="9051610"/>
    <x v="37"/>
    <x v="15"/>
    <s v="The interface could be better but overall good experience."/>
    <x v="20"/>
    <x v="26"/>
    <x v="1527"/>
    <x v="0"/>
    <x v="3"/>
    <n v="294"/>
    <x v="25"/>
    <x v="8"/>
    <x v="1"/>
    <s v="11.0"/>
    <s v="Average"/>
  </r>
  <r>
    <n v="1529"/>
    <n v="835028"/>
    <x v="30"/>
    <x v="17"/>
    <s v="Latest update broke some features, please fix soon."/>
    <x v="17"/>
    <x v="38"/>
    <x v="1528"/>
    <x v="0"/>
    <x v="3"/>
    <n v="375"/>
    <x v="59"/>
    <x v="8"/>
    <x v="3"/>
    <s v="5.3.87-beta"/>
    <s v="Good"/>
  </r>
  <r>
    <n v="1530"/>
    <n v="7116442"/>
    <x v="35"/>
    <x v="0"/>
    <s v="Great app but too many ads, consider premium version."/>
    <x v="7"/>
    <x v="26"/>
    <x v="1529"/>
    <x v="1"/>
    <x v="2"/>
    <n v="103"/>
    <x v="22"/>
    <x v="2"/>
    <x v="2"/>
    <s v="15.3.31-beta"/>
    <s v="Average"/>
  </r>
  <r>
    <n v="1531"/>
    <n v="4336674"/>
    <x v="26"/>
    <x v="8"/>
    <s v="Perfect for daily use, highly recommend to everyone."/>
    <x v="10"/>
    <x v="7"/>
    <x v="1530"/>
    <x v="1"/>
    <x v="4"/>
    <n v="818"/>
    <x v="10"/>
    <x v="23"/>
    <x v="0"/>
    <s v="6.3"/>
    <s v="Very Poor"/>
  </r>
  <r>
    <n v="1532"/>
    <n v="9501046"/>
    <x v="16"/>
    <x v="4"/>
    <s v="This app is amazing! Really love the new features."/>
    <x v="1"/>
    <x v="1"/>
    <x v="1531"/>
    <x v="0"/>
    <x v="1"/>
    <n v="698"/>
    <x v="51"/>
    <x v="18"/>
    <x v="1"/>
    <s v="v9.7.6"/>
    <s v="Very Poor"/>
  </r>
  <r>
    <n v="1533"/>
    <n v="7624283"/>
    <x v="37"/>
    <x v="1"/>
    <s v="Perfect for daily use, highly recommend to everyone."/>
    <x v="4"/>
    <x v="16"/>
    <x v="1532"/>
    <x v="1"/>
    <x v="1"/>
    <n v="43"/>
    <x v="34"/>
    <x v="8"/>
    <x v="0"/>
    <s v="9.0.62"/>
    <s v="Excellent"/>
  </r>
  <r>
    <n v="1534"/>
    <n v="2070130"/>
    <x v="29"/>
    <x v="10"/>
    <s v="The interface could be better but overall good experience."/>
    <x v="20"/>
    <x v="10"/>
    <x v="1533"/>
    <x v="0"/>
    <x v="2"/>
    <n v="355"/>
    <x v="43"/>
    <x v="14"/>
    <x v="0"/>
    <s v="v2.5.88"/>
    <s v="Poor"/>
  </r>
  <r>
    <n v="1535"/>
    <n v="1235960"/>
    <x v="1"/>
    <x v="5"/>
    <s v="Indicare tono medico albergo osservare procedere caro. Uno assai verso."/>
    <x v="7"/>
    <x v="28"/>
    <x v="1534"/>
    <x v="1"/>
    <x v="4"/>
    <n v="1"/>
    <x v="46"/>
    <x v="15"/>
    <x v="1"/>
    <s v="v14.1.85"/>
    <s v="Poor"/>
  </r>
  <r>
    <n v="1536"/>
    <n v="6768839"/>
    <x v="35"/>
    <x v="13"/>
    <s v="对于事情客户联系您的这种继续."/>
    <x v="15"/>
    <x v="20"/>
    <x v="1535"/>
    <x v="0"/>
    <x v="0"/>
    <n v="49"/>
    <x v="30"/>
    <x v="13"/>
    <x v="1"/>
    <s v="11.6.76-beta"/>
    <s v="Very Poor"/>
  </r>
  <r>
    <n v="1537"/>
    <n v="4654916"/>
    <x v="1"/>
    <x v="0"/>
    <s v="Some bugs need fixing but generally satisfied with it."/>
    <x v="6"/>
    <x v="34"/>
    <x v="1536"/>
    <x v="0"/>
    <x v="4"/>
    <n v="1101"/>
    <x v="41"/>
    <x v="20"/>
    <x v="1"/>
    <s v="14.0.93.3548"/>
    <s v="Average"/>
  </r>
  <r>
    <n v="1538"/>
    <n v="160407"/>
    <x v="7"/>
    <x v="14"/>
    <s v="Nemo nihil ab ut. Iste provident minima esse dolore provident mollitia. Dolore modi eos odit."/>
    <x v="15"/>
    <x v="25"/>
    <x v="1537"/>
    <x v="0"/>
    <x v="0"/>
    <n v="1220"/>
    <x v="28"/>
    <x v="22"/>
    <x v="1"/>
    <s v="2.6.65.7752"/>
    <s v="Poor"/>
  </r>
  <r>
    <n v="1539"/>
    <n v="2330889"/>
    <x v="34"/>
    <x v="2"/>
    <s v="Crashes too often, needs improvement in stability."/>
    <x v="8"/>
    <x v="34"/>
    <x v="1538"/>
    <x v="0"/>
    <x v="4"/>
    <n v="1134"/>
    <x v="56"/>
    <x v="16"/>
    <x v="3"/>
    <s v="8.2.67"/>
    <s v="Average"/>
  </r>
  <r>
    <n v="1540"/>
    <n v="4277662"/>
    <x v="13"/>
    <x v="14"/>
    <s v="Modi a expedita non fuga. Veniam sunt eaque consequatur."/>
    <x v="6"/>
    <x v="6"/>
    <x v="1539"/>
    <x v="1"/>
    <x v="3"/>
    <n v="1166"/>
    <x v="49"/>
    <x v="12"/>
    <x v="3"/>
    <s v="4.0.68"/>
    <s v="Good"/>
  </r>
  <r>
    <n v="1541"/>
    <n v="5047522"/>
    <x v="17"/>
    <x v="2"/>
    <s v="Some bugs need fixing but generally satisfied with it."/>
    <x v="4"/>
    <x v="10"/>
    <x v="1540"/>
    <x v="0"/>
    <x v="1"/>
    <n v="140"/>
    <x v="6"/>
    <x v="5"/>
    <x v="3"/>
    <s v="8.4.72-beta"/>
    <s v="Poor"/>
  </r>
  <r>
    <n v="1542"/>
    <n v="274620"/>
    <x v="16"/>
    <x v="13"/>
    <s v="Dolor vitae debitis voluptas modi voluptatem. Autem quia fugit officiis sit odio mollitia repellendus. Eveniet dignissimos occaecati similique hic."/>
    <x v="2"/>
    <x v="12"/>
    <x v="1541"/>
    <x v="0"/>
    <x v="0"/>
    <n v="429"/>
    <x v="54"/>
    <x v="23"/>
    <x v="1"/>
    <s v="14.6"/>
    <s v="Excellent"/>
  </r>
  <r>
    <n v="1543"/>
    <n v="7379693"/>
    <x v="24"/>
    <x v="1"/>
    <s v="Chance look many least spring computer. Make role positive again clear concern hour. Could century interview lawyer population I right case."/>
    <x v="13"/>
    <x v="27"/>
    <x v="1542"/>
    <x v="0"/>
    <x v="0"/>
    <n v="1141"/>
    <x v="47"/>
    <x v="12"/>
    <x v="4"/>
    <s v="13.7.90-beta"/>
    <s v="Very Poor"/>
  </r>
  <r>
    <n v="1544"/>
    <n v="1773190"/>
    <x v="36"/>
    <x v="6"/>
    <s v="Great app but too many ads, consider premium version."/>
    <x v="19"/>
    <x v="28"/>
    <x v="1543"/>
    <x v="0"/>
    <x v="4"/>
    <n v="118"/>
    <x v="26"/>
    <x v="18"/>
    <x v="4"/>
    <s v="14.1.18"/>
    <s v="Poor"/>
  </r>
  <r>
    <n v="1545"/>
    <n v="447555"/>
    <x v="7"/>
    <x v="17"/>
    <s v="User-friendly design and smooth performance throughout."/>
    <x v="14"/>
    <x v="22"/>
    <x v="1544"/>
    <x v="0"/>
    <x v="4"/>
    <n v="802"/>
    <x v="20"/>
    <x v="19"/>
    <x v="0"/>
    <s v="10.7"/>
    <s v="Poor"/>
  </r>
  <r>
    <n v="1546"/>
    <n v="833836"/>
    <x v="26"/>
    <x v="6"/>
    <s v="Latest update broke some features, please fix soon."/>
    <x v="5"/>
    <x v="12"/>
    <x v="1545"/>
    <x v="0"/>
    <x v="4"/>
    <n v="1007"/>
    <x v="61"/>
    <x v="8"/>
    <x v="3"/>
    <s v="v10.1.37"/>
    <s v="Excellent"/>
  </r>
  <r>
    <n v="1547"/>
    <n v="1502500"/>
    <x v="3"/>
    <x v="16"/>
    <s v="Perfect for daily use, highly recommend to everyone."/>
    <x v="10"/>
    <x v="27"/>
    <x v="1546"/>
    <x v="0"/>
    <x v="3"/>
    <n v="773"/>
    <x v="12"/>
    <x v="23"/>
    <x v="3"/>
    <s v="13.6.19.8389"/>
    <s v="Very Poor"/>
  </r>
  <r>
    <n v="1548"/>
    <n v="326440"/>
    <x v="12"/>
    <x v="11"/>
    <s v="User-friendly design and smooth performance throughout."/>
    <x v="11"/>
    <x v="38"/>
    <x v="1547"/>
    <x v="0"/>
    <x v="4"/>
    <n v="377"/>
    <x v="49"/>
    <x v="0"/>
    <x v="3"/>
    <s v="v3.3.36"/>
    <s v="Good"/>
  </r>
  <r>
    <n v="1549"/>
    <n v="1884071"/>
    <x v="0"/>
    <x v="7"/>
    <s v="Works perfectly on my device, no complaints at all."/>
    <x v="2"/>
    <x v="3"/>
    <x v="1548"/>
    <x v="1"/>
    <x v="4"/>
    <n v="368"/>
    <x v="20"/>
    <x v="4"/>
    <x v="0"/>
    <s v="13.8.1"/>
    <s v="Average"/>
  </r>
  <r>
    <n v="1550"/>
    <n v="5777240"/>
    <x v="8"/>
    <x v="8"/>
    <s v="No Review"/>
    <x v="5"/>
    <x v="28"/>
    <x v="1549"/>
    <x v="1"/>
    <x v="3"/>
    <n v="577"/>
    <x v="52"/>
    <x v="18"/>
    <x v="0"/>
    <s v="v7.3.53"/>
    <s v="Poor"/>
  </r>
  <r>
    <n v="1551"/>
    <n v="1525479"/>
    <x v="10"/>
    <x v="8"/>
    <s v="Dem sollen was Tisch gehören. Die bauen schlimm oft daran trinken Brot."/>
    <x v="9"/>
    <x v="22"/>
    <x v="1550"/>
    <x v="0"/>
    <x v="4"/>
    <n v="463"/>
    <x v="23"/>
    <x v="0"/>
    <x v="1"/>
    <s v="14.6"/>
    <s v="Poor"/>
  </r>
  <r>
    <n v="1552"/>
    <n v="8682257"/>
    <x v="2"/>
    <x v="15"/>
    <s v="Works perfectly on my device, no complaints at all."/>
    <x v="9"/>
    <x v="23"/>
    <x v="1551"/>
    <x v="0"/>
    <x v="0"/>
    <n v="189"/>
    <x v="6"/>
    <x v="13"/>
    <x v="4"/>
    <s v="13.1.77.4073"/>
    <s v="Very Poor"/>
  </r>
  <r>
    <n v="1553"/>
    <n v="2479596"/>
    <x v="33"/>
    <x v="4"/>
    <s v="Tanto alcuno innamorare. Fortuna effetto tentare presente."/>
    <x v="16"/>
    <x v="4"/>
    <x v="1552"/>
    <x v="1"/>
    <x v="2"/>
    <n v="592"/>
    <x v="39"/>
    <x v="3"/>
    <x v="0"/>
    <s v="14.6"/>
    <s v="Average"/>
  </r>
  <r>
    <n v="1554"/>
    <n v="1985904"/>
    <x v="7"/>
    <x v="0"/>
    <s v="The interface could be better but overall good experience."/>
    <x v="11"/>
    <x v="14"/>
    <x v="1553"/>
    <x v="0"/>
    <x v="4"/>
    <n v="634"/>
    <x v="52"/>
    <x v="10"/>
    <x v="1"/>
    <s v="5.0"/>
    <s v="Excellent"/>
  </r>
  <r>
    <n v="1555"/>
    <n v="1947769"/>
    <x v="21"/>
    <x v="9"/>
    <s v="The interface could be better but overall good experience."/>
    <x v="23"/>
    <x v="8"/>
    <x v="1554"/>
    <x v="0"/>
    <x v="1"/>
    <n v="724"/>
    <x v="62"/>
    <x v="1"/>
    <x v="3"/>
    <s v="2.4.84-beta"/>
    <s v="Very Poor"/>
  </r>
  <r>
    <n v="1556"/>
    <n v="4828058"/>
    <x v="9"/>
    <x v="15"/>
    <s v="User-friendly design and smooth performance throughout."/>
    <x v="1"/>
    <x v="35"/>
    <x v="1555"/>
    <x v="0"/>
    <x v="3"/>
    <n v="1075"/>
    <x v="17"/>
    <x v="19"/>
    <x v="4"/>
    <s v="13.0.58"/>
    <s v="Poor"/>
  </r>
  <r>
    <n v="1557"/>
    <n v="5698972"/>
    <x v="29"/>
    <x v="12"/>
    <s v="Works perfectly on my device, no complaints at all."/>
    <x v="23"/>
    <x v="20"/>
    <x v="1556"/>
    <x v="0"/>
    <x v="0"/>
    <n v="923"/>
    <x v="34"/>
    <x v="2"/>
    <x v="1"/>
    <s v="v2.2.80"/>
    <s v="Very Poor"/>
  </r>
  <r>
    <n v="1558"/>
    <n v="1522780"/>
    <x v="23"/>
    <x v="11"/>
    <s v="Latest update broke some features, please fix soon."/>
    <x v="16"/>
    <x v="39"/>
    <x v="1557"/>
    <x v="0"/>
    <x v="2"/>
    <n v="659"/>
    <x v="35"/>
    <x v="1"/>
    <x v="1"/>
    <s v="2.0.68-beta"/>
    <s v="Good"/>
  </r>
  <r>
    <n v="1559"/>
    <n v="2635087"/>
    <x v="31"/>
    <x v="9"/>
    <s v="Inventore ex delectus incidunt. Numquam enim soluta earum libero."/>
    <x v="6"/>
    <x v="35"/>
    <x v="1558"/>
    <x v="0"/>
    <x v="4"/>
    <n v="957"/>
    <x v="33"/>
    <x v="6"/>
    <x v="0"/>
    <s v="10.4.71.6203"/>
    <s v="Poor"/>
  </r>
  <r>
    <n v="1560"/>
    <n v="1381267"/>
    <x v="13"/>
    <x v="6"/>
    <s v="Great app but too many ads, consider premium version."/>
    <x v="21"/>
    <x v="9"/>
    <x v="1559"/>
    <x v="0"/>
    <x v="3"/>
    <n v="404"/>
    <x v="44"/>
    <x v="20"/>
    <x v="1"/>
    <s v="13.1"/>
    <s v="Excellent"/>
  </r>
  <r>
    <n v="1561"/>
    <n v="2593814"/>
    <x v="32"/>
    <x v="11"/>
    <s v="他的虽然系列她的. 根据电话回复因此本站最新北京."/>
    <x v="19"/>
    <x v="0"/>
    <x v="1560"/>
    <x v="0"/>
    <x v="1"/>
    <n v="684"/>
    <x v="2"/>
    <x v="4"/>
    <x v="2"/>
    <s v="1.4"/>
    <s v="Very Poor"/>
  </r>
  <r>
    <n v="1562"/>
    <n v="6015793"/>
    <x v="4"/>
    <x v="16"/>
    <s v="The interface could be better but overall good experience."/>
    <x v="18"/>
    <x v="34"/>
    <x v="1561"/>
    <x v="0"/>
    <x v="4"/>
    <n v="432"/>
    <x v="25"/>
    <x v="2"/>
    <x v="3"/>
    <s v="12.5"/>
    <s v="Average"/>
  </r>
  <r>
    <n v="1563"/>
    <n v="7210722"/>
    <x v="8"/>
    <x v="7"/>
    <s v="Principio importare saltare figlio scendere piuttosto dimenticare. Neanche movimento mangiare mostrare dedicare avvertire. Moderno ritenere scusare croce baciare frutto."/>
    <x v="18"/>
    <x v="2"/>
    <x v="1562"/>
    <x v="0"/>
    <x v="0"/>
    <n v="482"/>
    <x v="45"/>
    <x v="10"/>
    <x v="0"/>
    <s v="7.6.44-beta"/>
    <s v="Average"/>
  </r>
  <r>
    <n v="1564"/>
    <n v="6180036"/>
    <x v="35"/>
    <x v="10"/>
    <s v="Labore consequatur beatae tenetur facere sed quod. Eos corporis sequi voluptas."/>
    <x v="15"/>
    <x v="35"/>
    <x v="1563"/>
    <x v="0"/>
    <x v="3"/>
    <n v="314"/>
    <x v="6"/>
    <x v="17"/>
    <x v="2"/>
    <s v="v12.2.25"/>
    <s v="Poor"/>
  </r>
  <r>
    <n v="1565"/>
    <n v="4168431"/>
    <x v="12"/>
    <x v="15"/>
    <s v="This app is amazing! Really love the new features."/>
    <x v="16"/>
    <x v="40"/>
    <x v="1564"/>
    <x v="0"/>
    <x v="1"/>
    <n v="1145"/>
    <x v="15"/>
    <x v="12"/>
    <x v="2"/>
    <s v="10.3.15.7891"/>
    <s v="Very Poor"/>
  </r>
  <r>
    <n v="1566"/>
    <n v="1037270"/>
    <x v="2"/>
    <x v="2"/>
    <s v="Perfect for daily use, highly recommend to everyone."/>
    <x v="10"/>
    <x v="6"/>
    <x v="1565"/>
    <x v="0"/>
    <x v="0"/>
    <n v="619"/>
    <x v="51"/>
    <x v="14"/>
    <x v="4"/>
    <s v="3.5.3.6443"/>
    <s v="Good"/>
  </r>
  <r>
    <n v="1567"/>
    <n v="2066890"/>
    <x v="0"/>
    <x v="4"/>
    <s v="等级软件只要介绍. 直接服务实现事情. 本站还是手机."/>
    <x v="14"/>
    <x v="19"/>
    <x v="1566"/>
    <x v="0"/>
    <x v="4"/>
    <n v="1107"/>
    <x v="51"/>
    <x v="1"/>
    <x v="4"/>
    <s v="6.7.0.3782"/>
    <s v="Poor"/>
  </r>
  <r>
    <n v="1568"/>
    <n v="7087624"/>
    <x v="5"/>
    <x v="6"/>
    <s v="The interface could be better but overall good experience."/>
    <x v="22"/>
    <x v="13"/>
    <x v="1567"/>
    <x v="1"/>
    <x v="4"/>
    <n v="170"/>
    <x v="58"/>
    <x v="11"/>
    <x v="2"/>
    <s v="10.2.49"/>
    <s v="Average"/>
  </r>
  <r>
    <n v="1569"/>
    <n v="3160575"/>
    <x v="17"/>
    <x v="14"/>
    <s v="Some bugs need fixing but generally satisfied with it."/>
    <x v="6"/>
    <x v="1"/>
    <x v="1568"/>
    <x v="1"/>
    <x v="2"/>
    <n v="1087"/>
    <x v="2"/>
    <x v="18"/>
    <x v="2"/>
    <s v="2.2.11"/>
    <s v="Very Poor"/>
  </r>
  <r>
    <n v="1570"/>
    <n v="2450695"/>
    <x v="7"/>
    <x v="2"/>
    <s v="Latest update broke some features, please fix soon."/>
    <x v="6"/>
    <x v="29"/>
    <x v="1569"/>
    <x v="0"/>
    <x v="0"/>
    <n v="501"/>
    <x v="19"/>
    <x v="15"/>
    <x v="3"/>
    <s v="8.2.25"/>
    <s v="Very Poor"/>
  </r>
  <r>
    <n v="1571"/>
    <n v="5124905"/>
    <x v="6"/>
    <x v="8"/>
    <s v="Обида возбуждение ботинок за естественный рассуждение слишком. Пасть неудобно что. Заложить столетие костер сохранять командующий набор."/>
    <x v="20"/>
    <x v="31"/>
    <x v="1570"/>
    <x v="0"/>
    <x v="4"/>
    <n v="984"/>
    <x v="16"/>
    <x v="0"/>
    <x v="0"/>
    <s v="3.2"/>
    <s v="Good"/>
  </r>
  <r>
    <n v="1572"/>
    <n v="3913710"/>
    <x v="32"/>
    <x v="1"/>
    <s v="Works perfectly on my device, no complaints at all."/>
    <x v="11"/>
    <x v="10"/>
    <x v="1571"/>
    <x v="0"/>
    <x v="4"/>
    <n v="499"/>
    <x v="36"/>
    <x v="2"/>
    <x v="4"/>
    <s v="7.8.24.5192"/>
    <s v="Poor"/>
  </r>
  <r>
    <n v="1573"/>
    <n v="4660510"/>
    <x v="33"/>
    <x v="8"/>
    <s v="Excellent customer support and regular feature updates."/>
    <x v="7"/>
    <x v="24"/>
    <x v="1572"/>
    <x v="0"/>
    <x v="1"/>
    <n v="1239"/>
    <x v="2"/>
    <x v="21"/>
    <x v="4"/>
    <s v="3.6"/>
    <s v="Poor"/>
  </r>
  <r>
    <n v="1574"/>
    <n v="6434410"/>
    <x v="1"/>
    <x v="15"/>
    <s v="Sie Hund bauen hin. Nichts besser Schluss lange rechnen hängen Herr. Suchen plötzlich Eltern."/>
    <x v="3"/>
    <x v="10"/>
    <x v="1573"/>
    <x v="0"/>
    <x v="3"/>
    <n v="890"/>
    <x v="8"/>
    <x v="12"/>
    <x v="1"/>
    <s v="v5.4.87"/>
    <s v="Poor"/>
  </r>
  <r>
    <n v="1575"/>
    <n v="1405411"/>
    <x v="28"/>
    <x v="14"/>
    <s v="Great app but too many ads, consider premium version."/>
    <x v="17"/>
    <x v="3"/>
    <x v="1574"/>
    <x v="0"/>
    <x v="3"/>
    <n v="114"/>
    <x v="40"/>
    <x v="6"/>
    <x v="2"/>
    <s v="1.5.71-beta"/>
    <s v="Average"/>
  </r>
  <r>
    <n v="1576"/>
    <n v="5728280"/>
    <x v="34"/>
    <x v="13"/>
    <s v="这些生活我的. 销售分析环境这里作为."/>
    <x v="7"/>
    <x v="19"/>
    <x v="1575"/>
    <x v="0"/>
    <x v="4"/>
    <n v="844"/>
    <x v="22"/>
    <x v="7"/>
    <x v="2"/>
    <s v="10.1.88"/>
    <s v="Poor"/>
  </r>
  <r>
    <n v="1577"/>
    <n v="4615889"/>
    <x v="10"/>
    <x v="6"/>
    <s v="User-friendly design and smooth performance throughout."/>
    <x v="11"/>
    <x v="39"/>
    <x v="1576"/>
    <x v="0"/>
    <x v="0"/>
    <n v="1169"/>
    <x v="57"/>
    <x v="21"/>
    <x v="3"/>
    <s v="3.9.40.5648"/>
    <s v="Good"/>
  </r>
  <r>
    <n v="1578"/>
    <n v="9575718"/>
    <x v="36"/>
    <x v="15"/>
    <s v="Perfect for daily use, highly recommend to everyone."/>
    <x v="20"/>
    <x v="16"/>
    <x v="1577"/>
    <x v="0"/>
    <x v="0"/>
    <n v="24"/>
    <x v="20"/>
    <x v="8"/>
    <x v="4"/>
    <s v="12.7.34"/>
    <s v="Excellent"/>
  </r>
  <r>
    <n v="1579"/>
    <n v="8216934"/>
    <x v="27"/>
    <x v="0"/>
    <s v="This app is amazing! Really love the new features."/>
    <x v="23"/>
    <x v="4"/>
    <x v="1578"/>
    <x v="0"/>
    <x v="1"/>
    <n v="814"/>
    <x v="43"/>
    <x v="2"/>
    <x v="1"/>
    <s v="3.5"/>
    <s v="Average"/>
  </r>
  <r>
    <n v="1580"/>
    <n v="5377781"/>
    <x v="0"/>
    <x v="8"/>
    <s v="Want across ground executive. Matter fire hospital green can push."/>
    <x v="15"/>
    <x v="37"/>
    <x v="1579"/>
    <x v="0"/>
    <x v="3"/>
    <n v="415"/>
    <x v="1"/>
    <x v="9"/>
    <x v="2"/>
    <s v="3.8"/>
    <s v="Average"/>
  </r>
  <r>
    <n v="1581"/>
    <n v="8548643"/>
    <x v="36"/>
    <x v="7"/>
    <s v="This app is amazing! Really love the new features."/>
    <x v="0"/>
    <x v="22"/>
    <x v="1580"/>
    <x v="0"/>
    <x v="3"/>
    <n v="962"/>
    <x v="11"/>
    <x v="16"/>
    <x v="1"/>
    <s v="1.7.17"/>
    <s v="Poor"/>
  </r>
  <r>
    <n v="1582"/>
    <n v="2619714"/>
    <x v="24"/>
    <x v="2"/>
    <s v="This app is amazing! Really love the new features."/>
    <x v="23"/>
    <x v="21"/>
    <x v="1581"/>
    <x v="0"/>
    <x v="4"/>
    <n v="66"/>
    <x v="8"/>
    <x v="12"/>
    <x v="4"/>
    <s v="v6.1.20"/>
    <s v="Excellent"/>
  </r>
  <r>
    <n v="1583"/>
    <n v="6510771"/>
    <x v="19"/>
    <x v="17"/>
    <s v="User-friendly design and smooth performance throughout."/>
    <x v="14"/>
    <x v="29"/>
    <x v="1582"/>
    <x v="0"/>
    <x v="1"/>
    <n v="78"/>
    <x v="36"/>
    <x v="7"/>
    <x v="4"/>
    <s v="12.0.1-beta"/>
    <s v="Very Poor"/>
  </r>
  <r>
    <n v="1584"/>
    <n v="727606"/>
    <x v="0"/>
    <x v="15"/>
    <s v="Works perfectly on my device, no complaints at all."/>
    <x v="21"/>
    <x v="1"/>
    <x v="1583"/>
    <x v="0"/>
    <x v="3"/>
    <n v="61"/>
    <x v="6"/>
    <x v="21"/>
    <x v="1"/>
    <s v="4.7.42.3354"/>
    <s v="Very Poor"/>
  </r>
  <r>
    <n v="1585"/>
    <n v="2642382"/>
    <x v="32"/>
    <x v="2"/>
    <s v="This app is amazing! Really love the new features."/>
    <x v="1"/>
    <x v="33"/>
    <x v="1584"/>
    <x v="0"/>
    <x v="1"/>
    <n v="131"/>
    <x v="23"/>
    <x v="19"/>
    <x v="4"/>
    <s v="14.8.60"/>
    <s v="Poor"/>
  </r>
  <r>
    <n v="1586"/>
    <n v="1421253"/>
    <x v="20"/>
    <x v="12"/>
    <s v="The interface could be better but overall good experience."/>
    <x v="18"/>
    <x v="36"/>
    <x v="1585"/>
    <x v="1"/>
    <x v="2"/>
    <n v="1188"/>
    <x v="23"/>
    <x v="15"/>
    <x v="0"/>
    <s v="Unknown"/>
    <s v="Poor"/>
  </r>
  <r>
    <n v="1587"/>
    <n v="1665160"/>
    <x v="26"/>
    <x v="16"/>
    <s v="Sunt rem omnis quisquam cum."/>
    <x v="22"/>
    <x v="28"/>
    <x v="1586"/>
    <x v="0"/>
    <x v="2"/>
    <n v="678"/>
    <x v="49"/>
    <x v="9"/>
    <x v="0"/>
    <s v="10.9.90"/>
    <s v="Poor"/>
  </r>
  <r>
    <n v="1588"/>
    <n v="8879300"/>
    <x v="35"/>
    <x v="8"/>
    <s v="Latest update broke some features, please fix soon."/>
    <x v="4"/>
    <x v="7"/>
    <x v="1587"/>
    <x v="1"/>
    <x v="1"/>
    <n v="1017"/>
    <x v="51"/>
    <x v="9"/>
    <x v="3"/>
    <s v="v4.7.82"/>
    <s v="Very Poor"/>
  </r>
  <r>
    <n v="1589"/>
    <n v="5827998"/>
    <x v="2"/>
    <x v="4"/>
    <s v="Crashes too often, needs improvement in stability."/>
    <x v="11"/>
    <x v="24"/>
    <x v="1588"/>
    <x v="0"/>
    <x v="3"/>
    <n v="1130"/>
    <x v="50"/>
    <x v="9"/>
    <x v="2"/>
    <s v="13.2.41.5233"/>
    <s v="Poor"/>
  </r>
  <r>
    <n v="1590"/>
    <n v="5787823"/>
    <x v="12"/>
    <x v="6"/>
    <s v="Facere sequi inventore tempora quo. Dolores voluptatum non vero necessitatibus voluptatibus."/>
    <x v="22"/>
    <x v="31"/>
    <x v="1589"/>
    <x v="0"/>
    <x v="0"/>
    <n v="138"/>
    <x v="44"/>
    <x v="18"/>
    <x v="0"/>
    <s v="5.5.68"/>
    <s v="Good"/>
  </r>
  <r>
    <n v="1591"/>
    <n v="2492808"/>
    <x v="20"/>
    <x v="13"/>
    <s v="User-friendly design and smooth performance throughout."/>
    <x v="17"/>
    <x v="24"/>
    <x v="1590"/>
    <x v="0"/>
    <x v="3"/>
    <n v="1243"/>
    <x v="5"/>
    <x v="0"/>
    <x v="1"/>
    <s v="v10.2.5"/>
    <s v="Poor"/>
  </r>
  <r>
    <n v="1592"/>
    <n v="9279419"/>
    <x v="25"/>
    <x v="4"/>
    <s v="The interface could be better but overall good experience."/>
    <x v="9"/>
    <x v="5"/>
    <x v="1591"/>
    <x v="0"/>
    <x v="4"/>
    <n v="1125"/>
    <x v="37"/>
    <x v="22"/>
    <x v="4"/>
    <s v="v8.6.18"/>
    <s v="Excellent"/>
  </r>
  <r>
    <n v="1593"/>
    <n v="8470358"/>
    <x v="34"/>
    <x v="7"/>
    <s v="Works perfectly on my device, no complaints at all."/>
    <x v="2"/>
    <x v="40"/>
    <x v="1592"/>
    <x v="0"/>
    <x v="3"/>
    <n v="400"/>
    <x v="21"/>
    <x v="10"/>
    <x v="2"/>
    <s v="2.3.25.6209"/>
    <s v="Very Poor"/>
  </r>
  <r>
    <n v="1594"/>
    <n v="5363326"/>
    <x v="8"/>
    <x v="1"/>
    <s v="Tranquillo coloro durante fumare."/>
    <x v="4"/>
    <x v="31"/>
    <x v="1593"/>
    <x v="0"/>
    <x v="3"/>
    <n v="981"/>
    <x v="37"/>
    <x v="21"/>
    <x v="0"/>
    <s v="1.7.35"/>
    <s v="Good"/>
  </r>
  <r>
    <n v="1595"/>
    <n v="3106246"/>
    <x v="30"/>
    <x v="17"/>
    <s v="Crashes too often, needs improvement in stability."/>
    <x v="6"/>
    <x v="33"/>
    <x v="1594"/>
    <x v="1"/>
    <x v="3"/>
    <n v="1048"/>
    <x v="51"/>
    <x v="13"/>
    <x v="1"/>
    <s v="9.7.95.8864"/>
    <s v="Poor"/>
  </r>
  <r>
    <n v="1596"/>
    <n v="7829953"/>
    <x v="12"/>
    <x v="11"/>
    <s v="Excellent customer support and regular feature updates."/>
    <x v="19"/>
    <x v="26"/>
    <x v="1595"/>
    <x v="0"/>
    <x v="3"/>
    <n v="608"/>
    <x v="59"/>
    <x v="24"/>
    <x v="3"/>
    <s v="12.9.1-beta"/>
    <s v="Average"/>
  </r>
  <r>
    <n v="1597"/>
    <n v="4395408"/>
    <x v="2"/>
    <x v="11"/>
    <s v="Great app but too many ads, consider premium version."/>
    <x v="19"/>
    <x v="2"/>
    <x v="1596"/>
    <x v="0"/>
    <x v="1"/>
    <n v="925"/>
    <x v="3"/>
    <x v="22"/>
    <x v="4"/>
    <s v="8.6.74-beta"/>
    <s v="Average"/>
  </r>
  <r>
    <n v="1598"/>
    <n v="2456313"/>
    <x v="8"/>
    <x v="14"/>
    <s v="彼省略細かい参加する。 カラム特徴パン細かいバナー持ってる。 ソース協力ピック試してみるじぶんの叔父。"/>
    <x v="8"/>
    <x v="39"/>
    <x v="1597"/>
    <x v="0"/>
    <x v="0"/>
    <n v="745"/>
    <x v="8"/>
    <x v="11"/>
    <x v="2"/>
    <s v="4.9.66.5397"/>
    <s v="Good"/>
  </r>
  <r>
    <n v="1599"/>
    <n v="4207344"/>
    <x v="7"/>
    <x v="3"/>
    <s v="Ab sequi enim culpa id asperiores harum."/>
    <x v="18"/>
    <x v="38"/>
    <x v="1598"/>
    <x v="1"/>
    <x v="2"/>
    <n v="116"/>
    <x v="17"/>
    <x v="6"/>
    <x v="1"/>
    <s v="7.7"/>
    <s v="Good"/>
  </r>
  <r>
    <n v="1600"/>
    <n v="1668722"/>
    <x v="0"/>
    <x v="17"/>
    <s v="Perfect for daily use, highly recommend to everyone."/>
    <x v="20"/>
    <x v="34"/>
    <x v="1599"/>
    <x v="0"/>
    <x v="2"/>
    <n v="390"/>
    <x v="57"/>
    <x v="8"/>
    <x v="4"/>
    <s v="6.0.82-beta"/>
    <s v="Average"/>
  </r>
  <r>
    <n v="1601"/>
    <n v="7959936"/>
    <x v="5"/>
    <x v="5"/>
    <s v="Crashes too often, needs improvement in stability."/>
    <x v="15"/>
    <x v="11"/>
    <x v="1600"/>
    <x v="0"/>
    <x v="1"/>
    <n v="400"/>
    <x v="12"/>
    <x v="10"/>
    <x v="0"/>
    <s v="9.5"/>
    <s v="Good"/>
  </r>
  <r>
    <n v="1602"/>
    <n v="7898939"/>
    <x v="36"/>
    <x v="15"/>
    <s v="User-friendly design and smooth performance throughout."/>
    <x v="18"/>
    <x v="0"/>
    <x v="1601"/>
    <x v="0"/>
    <x v="0"/>
    <n v="675"/>
    <x v="42"/>
    <x v="3"/>
    <x v="4"/>
    <s v="10.0"/>
    <s v="Very Poor"/>
  </r>
  <r>
    <n v="1603"/>
    <n v="3124485"/>
    <x v="15"/>
    <x v="5"/>
    <s v="Perfect for daily use, highly recommend to everyone."/>
    <x v="16"/>
    <x v="16"/>
    <x v="1602"/>
    <x v="0"/>
    <x v="1"/>
    <n v="738"/>
    <x v="37"/>
    <x v="24"/>
    <x v="2"/>
    <s v="1.0.52-beta"/>
    <s v="Excellent"/>
  </r>
  <r>
    <n v="1604"/>
    <n v="6759629"/>
    <x v="28"/>
    <x v="3"/>
    <s v="User-friendly design and smooth performance throughout."/>
    <x v="4"/>
    <x v="36"/>
    <x v="1603"/>
    <x v="0"/>
    <x v="2"/>
    <n v="345"/>
    <x v="6"/>
    <x v="23"/>
    <x v="4"/>
    <s v="11.2.61-beta"/>
    <s v="Poor"/>
  </r>
  <r>
    <n v="1605"/>
    <n v="3446568"/>
    <x v="1"/>
    <x v="8"/>
    <s v="Great app but too many ads, consider premium version."/>
    <x v="17"/>
    <x v="30"/>
    <x v="1604"/>
    <x v="0"/>
    <x v="4"/>
    <n v="258"/>
    <x v="5"/>
    <x v="15"/>
    <x v="0"/>
    <s v="v12.5.31"/>
    <s v="Average"/>
  </r>
  <r>
    <n v="1606"/>
    <n v="1181652"/>
    <x v="25"/>
    <x v="17"/>
    <s v="Excellent customer support and regular feature updates."/>
    <x v="2"/>
    <x v="15"/>
    <x v="1605"/>
    <x v="0"/>
    <x v="0"/>
    <n v="72"/>
    <x v="0"/>
    <x v="13"/>
    <x v="0"/>
    <s v="4.2"/>
    <s v="Poor"/>
  </r>
  <r>
    <n v="1607"/>
    <n v="8258676"/>
    <x v="36"/>
    <x v="16"/>
    <s v="Excellent customer support and regular feature updates."/>
    <x v="11"/>
    <x v="33"/>
    <x v="1606"/>
    <x v="1"/>
    <x v="1"/>
    <n v="47"/>
    <x v="51"/>
    <x v="12"/>
    <x v="2"/>
    <s v="15.9"/>
    <s v="Poor"/>
  </r>
  <r>
    <n v="1608"/>
    <n v="8089636"/>
    <x v="40"/>
    <x v="4"/>
    <s v="Perfect for daily use, highly recommend to everyone."/>
    <x v="1"/>
    <x v="22"/>
    <x v="1607"/>
    <x v="0"/>
    <x v="4"/>
    <n v="936"/>
    <x v="4"/>
    <x v="21"/>
    <x v="2"/>
    <s v="11.1.22"/>
    <s v="Poor"/>
  </r>
  <r>
    <n v="1609"/>
    <n v="7726564"/>
    <x v="18"/>
    <x v="1"/>
    <s v="No Review"/>
    <x v="3"/>
    <x v="17"/>
    <x v="1608"/>
    <x v="0"/>
    <x v="4"/>
    <n v="5"/>
    <x v="2"/>
    <x v="11"/>
    <x v="0"/>
    <s v="13.3.75.1189"/>
    <s v="Average"/>
  </r>
  <r>
    <n v="1610"/>
    <n v="2712902"/>
    <x v="7"/>
    <x v="5"/>
    <s v="Latest update broke some features, please fix soon."/>
    <x v="12"/>
    <x v="24"/>
    <x v="1609"/>
    <x v="0"/>
    <x v="4"/>
    <n v="646"/>
    <x v="55"/>
    <x v="21"/>
    <x v="4"/>
    <s v="15.2.65-beta"/>
    <s v="Poor"/>
  </r>
  <r>
    <n v="1611"/>
    <n v="3681434"/>
    <x v="7"/>
    <x v="5"/>
    <s v="Some bugs need fixing but generally satisfied with it."/>
    <x v="8"/>
    <x v="6"/>
    <x v="1610"/>
    <x v="0"/>
    <x v="4"/>
    <n v="162"/>
    <x v="5"/>
    <x v="9"/>
    <x v="2"/>
    <s v="1.6"/>
    <s v="Good"/>
  </r>
  <r>
    <n v="1612"/>
    <n v="625516"/>
    <x v="39"/>
    <x v="14"/>
    <s v="Excellent customer support and regular feature updates."/>
    <x v="16"/>
    <x v="31"/>
    <x v="1611"/>
    <x v="1"/>
    <x v="4"/>
    <n v="873"/>
    <x v="42"/>
    <x v="24"/>
    <x v="2"/>
    <s v="10.5.17-beta"/>
    <s v="Good"/>
  </r>
  <r>
    <n v="1613"/>
    <n v="6480120"/>
    <x v="13"/>
    <x v="17"/>
    <s v="Some bugs need fixing but generally satisfied with it."/>
    <x v="1"/>
    <x v="23"/>
    <x v="1612"/>
    <x v="0"/>
    <x v="4"/>
    <n v="1241"/>
    <x v="21"/>
    <x v="15"/>
    <x v="3"/>
    <s v="8.8.59-beta"/>
    <s v="Very Poor"/>
  </r>
  <r>
    <n v="1614"/>
    <n v="7316043"/>
    <x v="29"/>
    <x v="14"/>
    <s v="Works perfectly on my device, no complaints at all."/>
    <x v="6"/>
    <x v="7"/>
    <x v="1613"/>
    <x v="0"/>
    <x v="3"/>
    <n v="279"/>
    <x v="8"/>
    <x v="23"/>
    <x v="2"/>
    <s v="9.9.58.2510"/>
    <s v="Very Poor"/>
  </r>
  <r>
    <n v="1615"/>
    <n v="1007270"/>
    <x v="26"/>
    <x v="6"/>
    <s v="Test well raise establish player. Center event bank them."/>
    <x v="20"/>
    <x v="37"/>
    <x v="1614"/>
    <x v="0"/>
    <x v="0"/>
    <n v="1111"/>
    <x v="8"/>
    <x v="19"/>
    <x v="0"/>
    <s v="6.3.63.1222"/>
    <s v="Average"/>
  </r>
  <r>
    <n v="1616"/>
    <n v="8904312"/>
    <x v="4"/>
    <x v="13"/>
    <s v="The interface could be better but overall good experience."/>
    <x v="12"/>
    <x v="6"/>
    <x v="1615"/>
    <x v="1"/>
    <x v="1"/>
    <n v="273"/>
    <x v="14"/>
    <x v="16"/>
    <x v="3"/>
    <s v="11.1.18.7639"/>
    <s v="Good"/>
  </r>
  <r>
    <n v="1617"/>
    <n v="4452802"/>
    <x v="26"/>
    <x v="3"/>
    <s v="Some bugs need fixing but generally satisfied with it."/>
    <x v="11"/>
    <x v="40"/>
    <x v="1616"/>
    <x v="0"/>
    <x v="4"/>
    <n v="965"/>
    <x v="33"/>
    <x v="8"/>
    <x v="4"/>
    <s v="v10.9.10"/>
    <s v="Very Poor"/>
  </r>
  <r>
    <n v="1618"/>
    <n v="1650906"/>
    <x v="15"/>
    <x v="10"/>
    <s v="Garden send clearly glass industry little. Whole join tree now."/>
    <x v="7"/>
    <x v="20"/>
    <x v="1617"/>
    <x v="0"/>
    <x v="3"/>
    <n v="1185"/>
    <x v="49"/>
    <x v="7"/>
    <x v="2"/>
    <s v="8.1.92-beta"/>
    <s v="Very Poor"/>
  </r>
  <r>
    <n v="1619"/>
    <n v="9510482"/>
    <x v="14"/>
    <x v="4"/>
    <s v="User-friendly design and smooth performance throughout."/>
    <x v="2"/>
    <x v="34"/>
    <x v="1618"/>
    <x v="0"/>
    <x v="0"/>
    <n v="1137"/>
    <x v="38"/>
    <x v="22"/>
    <x v="1"/>
    <s v="2.1.4"/>
    <s v="Average"/>
  </r>
  <r>
    <n v="1620"/>
    <n v="3431283"/>
    <x v="9"/>
    <x v="7"/>
    <s v="Crashes too often, needs improvement in stability."/>
    <x v="5"/>
    <x v="9"/>
    <x v="1619"/>
    <x v="1"/>
    <x v="0"/>
    <n v="746"/>
    <x v="29"/>
    <x v="21"/>
    <x v="4"/>
    <s v="11.3.90"/>
    <s v="Excellent"/>
  </r>
  <r>
    <n v="1621"/>
    <n v="9805440"/>
    <x v="5"/>
    <x v="1"/>
    <s v="織るヒール賞賛する花嫁賞賛するシュガー陶器残る。 助けて呼ぶキャビネット近代化する。 障害コミュニティピックダニジャム。"/>
    <x v="19"/>
    <x v="35"/>
    <x v="1620"/>
    <x v="1"/>
    <x v="2"/>
    <n v="709"/>
    <x v="36"/>
    <x v="1"/>
    <x v="4"/>
    <s v="14.9.54.5265"/>
    <s v="Poor"/>
  </r>
  <r>
    <n v="1622"/>
    <n v="9803556"/>
    <x v="20"/>
    <x v="0"/>
    <s v="Alias quia deleniti possimus. Nobis dolor distinctio deleniti. Veritatis fuga facilis error esse reprehenderit commodi."/>
    <x v="10"/>
    <x v="27"/>
    <x v="1621"/>
    <x v="1"/>
    <x v="2"/>
    <n v="488"/>
    <x v="46"/>
    <x v="21"/>
    <x v="0"/>
    <s v="6.3.56"/>
    <s v="Very Poor"/>
  </r>
  <r>
    <n v="1623"/>
    <n v="7750368"/>
    <x v="28"/>
    <x v="9"/>
    <s v="Illum explicabo molestiae minima quisquam beatae. Itaque fuga mollitia cum."/>
    <x v="18"/>
    <x v="39"/>
    <x v="1622"/>
    <x v="0"/>
    <x v="0"/>
    <n v="616"/>
    <x v="41"/>
    <x v="16"/>
    <x v="1"/>
    <s v="7.8.14"/>
    <s v="Good"/>
  </r>
  <r>
    <n v="1624"/>
    <n v="4881975"/>
    <x v="3"/>
    <x v="15"/>
    <s v="Great app but too many ads, consider premium version."/>
    <x v="6"/>
    <x v="36"/>
    <x v="1623"/>
    <x v="1"/>
    <x v="1"/>
    <n v="92"/>
    <x v="9"/>
    <x v="22"/>
    <x v="2"/>
    <s v="10.9.4"/>
    <s v="Poor"/>
  </r>
  <r>
    <n v="1625"/>
    <n v="7439925"/>
    <x v="19"/>
    <x v="15"/>
    <s v="Praesentium vel temporibus aut assumenda."/>
    <x v="22"/>
    <x v="27"/>
    <x v="1624"/>
    <x v="0"/>
    <x v="4"/>
    <n v="1061"/>
    <x v="49"/>
    <x v="8"/>
    <x v="1"/>
    <s v="6.3.40-beta"/>
    <s v="Very Poor"/>
  </r>
  <r>
    <n v="1626"/>
    <n v="1603875"/>
    <x v="37"/>
    <x v="1"/>
    <s v="Nulla illum libero."/>
    <x v="6"/>
    <x v="13"/>
    <x v="1625"/>
    <x v="1"/>
    <x v="4"/>
    <n v="929"/>
    <x v="25"/>
    <x v="8"/>
    <x v="4"/>
    <s v="v14.2.9"/>
    <s v="Average"/>
  </r>
  <r>
    <n v="1627"/>
    <n v="9239115"/>
    <x v="36"/>
    <x v="5"/>
    <s v="User-friendly design and smooth performance throughout."/>
    <x v="15"/>
    <x v="12"/>
    <x v="1626"/>
    <x v="1"/>
    <x v="4"/>
    <n v="685"/>
    <x v="2"/>
    <x v="11"/>
    <x v="3"/>
    <s v="v11.6.33"/>
    <s v="Excellent"/>
  </r>
  <r>
    <n v="1628"/>
    <n v="7550817"/>
    <x v="7"/>
    <x v="0"/>
    <s v="Latest update broke some features, please fix soon."/>
    <x v="5"/>
    <x v="37"/>
    <x v="1627"/>
    <x v="0"/>
    <x v="1"/>
    <n v="915"/>
    <x v="52"/>
    <x v="1"/>
    <x v="1"/>
    <s v="v12.9.18"/>
    <s v="Average"/>
  </r>
  <r>
    <n v="1629"/>
    <n v="647533"/>
    <x v="7"/>
    <x v="15"/>
    <s v="User-friendly design and smooth performance throughout."/>
    <x v="12"/>
    <x v="34"/>
    <x v="1628"/>
    <x v="0"/>
    <x v="3"/>
    <n v="97"/>
    <x v="44"/>
    <x v="24"/>
    <x v="3"/>
    <s v="v11.7.23"/>
    <s v="Average"/>
  </r>
  <r>
    <n v="1630"/>
    <n v="7157182"/>
    <x v="32"/>
    <x v="14"/>
    <s v="User-friendly design and smooth performance throughout."/>
    <x v="17"/>
    <x v="22"/>
    <x v="1629"/>
    <x v="0"/>
    <x v="1"/>
    <n v="1050"/>
    <x v="11"/>
    <x v="14"/>
    <x v="3"/>
    <s v="9.9.58.9662"/>
    <s v="Poor"/>
  </r>
  <r>
    <n v="1631"/>
    <n v="7727423"/>
    <x v="33"/>
    <x v="17"/>
    <s v="User-friendly design and smooth performance throughout."/>
    <x v="17"/>
    <x v="13"/>
    <x v="1630"/>
    <x v="0"/>
    <x v="4"/>
    <n v="1190"/>
    <x v="20"/>
    <x v="24"/>
    <x v="2"/>
    <s v="7.0.88.5379"/>
    <s v="Average"/>
  </r>
  <r>
    <n v="1632"/>
    <n v="2021009"/>
    <x v="6"/>
    <x v="12"/>
    <s v="Great app but too many ads, consider premium version."/>
    <x v="16"/>
    <x v="29"/>
    <x v="1631"/>
    <x v="0"/>
    <x v="4"/>
    <n v="737"/>
    <x v="60"/>
    <x v="5"/>
    <x v="2"/>
    <s v="13.4"/>
    <s v="Very Poor"/>
  </r>
  <r>
    <n v="1633"/>
    <n v="2187766"/>
    <x v="13"/>
    <x v="6"/>
    <s v="Great app but too many ads, consider premium version."/>
    <x v="7"/>
    <x v="27"/>
    <x v="1632"/>
    <x v="0"/>
    <x v="4"/>
    <n v="268"/>
    <x v="13"/>
    <x v="23"/>
    <x v="2"/>
    <s v="11.6.42.4135"/>
    <s v="Very Poor"/>
  </r>
  <r>
    <n v="1634"/>
    <n v="7027895"/>
    <x v="19"/>
    <x v="10"/>
    <s v="Great app but too many ads, consider premium version."/>
    <x v="16"/>
    <x v="8"/>
    <x v="1633"/>
    <x v="1"/>
    <x v="4"/>
    <n v="215"/>
    <x v="32"/>
    <x v="6"/>
    <x v="1"/>
    <s v="v2.8.52"/>
    <s v="Very Poor"/>
  </r>
  <r>
    <n v="1635"/>
    <n v="6740565"/>
    <x v="11"/>
    <x v="8"/>
    <s v="Latest update broke some features, please fix soon."/>
    <x v="10"/>
    <x v="26"/>
    <x v="1634"/>
    <x v="0"/>
    <x v="3"/>
    <n v="678"/>
    <x v="8"/>
    <x v="1"/>
    <x v="2"/>
    <s v="13.0.50"/>
    <s v="Average"/>
  </r>
  <r>
    <n v="1636"/>
    <n v="3857032"/>
    <x v="26"/>
    <x v="7"/>
    <s v="The interface could be better but overall good experience."/>
    <x v="12"/>
    <x v="12"/>
    <x v="1635"/>
    <x v="0"/>
    <x v="3"/>
    <n v="1106"/>
    <x v="16"/>
    <x v="15"/>
    <x v="4"/>
    <s v="11.8"/>
    <s v="Excellent"/>
  </r>
  <r>
    <n v="1637"/>
    <n v="4589736"/>
    <x v="28"/>
    <x v="14"/>
    <s v="Essere suo sì potenza abito. Amico almeno sacrificio silenzio mi rappresentare. Figurare uso volta difesa vestire contare."/>
    <x v="19"/>
    <x v="24"/>
    <x v="1636"/>
    <x v="0"/>
    <x v="4"/>
    <n v="672"/>
    <x v="36"/>
    <x v="3"/>
    <x v="0"/>
    <s v="13.4.22.8796"/>
    <s v="Poor"/>
  </r>
  <r>
    <n v="1638"/>
    <n v="965385"/>
    <x v="13"/>
    <x v="3"/>
    <s v="Works perfectly on my device, no complaints at all."/>
    <x v="20"/>
    <x v="18"/>
    <x v="1637"/>
    <x v="0"/>
    <x v="1"/>
    <n v="259"/>
    <x v="59"/>
    <x v="10"/>
    <x v="2"/>
    <s v="13.2.26"/>
    <s v="Average"/>
  </r>
  <r>
    <n v="1639"/>
    <n v="7299144"/>
    <x v="19"/>
    <x v="10"/>
    <s v="Travailler flot proposer français."/>
    <x v="6"/>
    <x v="5"/>
    <x v="1638"/>
    <x v="0"/>
    <x v="0"/>
    <n v="919"/>
    <x v="14"/>
    <x v="2"/>
    <x v="3"/>
    <s v="3.8.59"/>
    <s v="Excellent"/>
  </r>
  <r>
    <n v="1640"/>
    <n v="2758243"/>
    <x v="30"/>
    <x v="1"/>
    <s v="Works perfectly on my device, no complaints at all."/>
    <x v="12"/>
    <x v="8"/>
    <x v="1639"/>
    <x v="0"/>
    <x v="2"/>
    <n v="927"/>
    <x v="31"/>
    <x v="6"/>
    <x v="1"/>
    <s v="5.5.96-beta"/>
    <s v="Very Poor"/>
  </r>
  <r>
    <n v="1641"/>
    <n v="1770640"/>
    <x v="24"/>
    <x v="11"/>
    <s v="User-friendly design and smooth performance throughout."/>
    <x v="23"/>
    <x v="22"/>
    <x v="1640"/>
    <x v="0"/>
    <x v="2"/>
    <n v="521"/>
    <x v="28"/>
    <x v="7"/>
    <x v="0"/>
    <s v="3.7"/>
    <s v="Poor"/>
  </r>
  <r>
    <n v="1642"/>
    <n v="8560029"/>
    <x v="30"/>
    <x v="9"/>
    <s v="Works perfectly on my device, no complaints at all."/>
    <x v="18"/>
    <x v="16"/>
    <x v="1641"/>
    <x v="1"/>
    <x v="3"/>
    <n v="141"/>
    <x v="49"/>
    <x v="4"/>
    <x v="2"/>
    <s v="v15.7.83"/>
    <s v="Excellent"/>
  </r>
  <r>
    <n v="1643"/>
    <n v="9779342"/>
    <x v="31"/>
    <x v="4"/>
    <s v="Latest update broke some features, please fix soon."/>
    <x v="4"/>
    <x v="13"/>
    <x v="1642"/>
    <x v="0"/>
    <x v="0"/>
    <n v="467"/>
    <x v="20"/>
    <x v="9"/>
    <x v="0"/>
    <s v="v7.9.1"/>
    <s v="Average"/>
  </r>
  <r>
    <n v="1644"/>
    <n v="4465936"/>
    <x v="16"/>
    <x v="8"/>
    <s v="Dir Gesicht Boden andere alle Spaß dick. Schule wer besser Herz sie dauern Klasse Oma. Einige rechnen Fahrrad Eltern unser sehr."/>
    <x v="5"/>
    <x v="35"/>
    <x v="1643"/>
    <x v="0"/>
    <x v="1"/>
    <n v="1193"/>
    <x v="3"/>
    <x v="4"/>
    <x v="3"/>
    <s v="8.7.3-beta"/>
    <s v="Poor"/>
  </r>
  <r>
    <n v="1645"/>
    <n v="4470124"/>
    <x v="28"/>
    <x v="4"/>
    <s v="Perfect for daily use, highly recommend to everyone."/>
    <x v="21"/>
    <x v="34"/>
    <x v="1644"/>
    <x v="0"/>
    <x v="4"/>
    <n v="494"/>
    <x v="25"/>
    <x v="13"/>
    <x v="2"/>
    <s v="4.0.10"/>
    <s v="Average"/>
  </r>
  <r>
    <n v="1646"/>
    <n v="4713144"/>
    <x v="7"/>
    <x v="11"/>
    <s v="This app is amazing! Really love the new features."/>
    <x v="22"/>
    <x v="33"/>
    <x v="1645"/>
    <x v="0"/>
    <x v="2"/>
    <n v="423"/>
    <x v="46"/>
    <x v="24"/>
    <x v="0"/>
    <s v="6.8.99"/>
    <s v="Poor"/>
  </r>
  <r>
    <n v="1647"/>
    <n v="488238"/>
    <x v="35"/>
    <x v="9"/>
    <s v="Excellent customer support and regular feature updates."/>
    <x v="10"/>
    <x v="19"/>
    <x v="1646"/>
    <x v="0"/>
    <x v="3"/>
    <n v="605"/>
    <x v="34"/>
    <x v="17"/>
    <x v="3"/>
    <s v="2.5.48.5994"/>
    <s v="Poor"/>
  </r>
  <r>
    <n v="1648"/>
    <n v="1835086"/>
    <x v="37"/>
    <x v="1"/>
    <s v="Latest update broke some features, please fix soon."/>
    <x v="6"/>
    <x v="33"/>
    <x v="1647"/>
    <x v="0"/>
    <x v="1"/>
    <n v="152"/>
    <x v="14"/>
    <x v="2"/>
    <x v="4"/>
    <s v="12.6.17"/>
    <s v="Poor"/>
  </r>
  <r>
    <n v="1649"/>
    <n v="2158301"/>
    <x v="39"/>
    <x v="5"/>
    <s v="The interface could be better but overall good experience."/>
    <x v="20"/>
    <x v="2"/>
    <x v="1648"/>
    <x v="0"/>
    <x v="4"/>
    <n v="137"/>
    <x v="48"/>
    <x v="6"/>
    <x v="0"/>
    <s v="13.0.58.8677"/>
    <s v="Average"/>
  </r>
  <r>
    <n v="1650"/>
    <n v="4838943"/>
    <x v="36"/>
    <x v="11"/>
    <s v="Excellent customer support and regular feature updates."/>
    <x v="1"/>
    <x v="19"/>
    <x v="1649"/>
    <x v="0"/>
    <x v="4"/>
    <n v="1050"/>
    <x v="25"/>
    <x v="5"/>
    <x v="0"/>
    <s v="13.3.5-beta"/>
    <s v="Poor"/>
  </r>
  <r>
    <n v="1651"/>
    <n v="1656542"/>
    <x v="19"/>
    <x v="3"/>
    <s v="Crashes too often, needs improvement in stability."/>
    <x v="21"/>
    <x v="8"/>
    <x v="1650"/>
    <x v="0"/>
    <x v="0"/>
    <n v="478"/>
    <x v="55"/>
    <x v="6"/>
    <x v="1"/>
    <s v="v13.2.94"/>
    <s v="Very Poor"/>
  </r>
  <r>
    <n v="1652"/>
    <n v="6163240"/>
    <x v="15"/>
    <x v="13"/>
    <s v="Excellent customer support and regular feature updates."/>
    <x v="2"/>
    <x v="3"/>
    <x v="1651"/>
    <x v="0"/>
    <x v="1"/>
    <n v="979"/>
    <x v="41"/>
    <x v="24"/>
    <x v="1"/>
    <s v="12.2.45.7835"/>
    <s v="Average"/>
  </r>
  <r>
    <n v="1653"/>
    <n v="6656539"/>
    <x v="38"/>
    <x v="3"/>
    <s v="Mancare albergo attorno uso. Coscienza indietro storico perfino. Scorrere concetto accordo concedere notte palazzo americano."/>
    <x v="7"/>
    <x v="35"/>
    <x v="1652"/>
    <x v="0"/>
    <x v="3"/>
    <n v="751"/>
    <x v="47"/>
    <x v="0"/>
    <x v="0"/>
    <s v="9.9"/>
    <s v="Poor"/>
  </r>
  <r>
    <n v="1654"/>
    <n v="8218679"/>
    <x v="32"/>
    <x v="8"/>
    <s v="Crashes too often, needs improvement in stability."/>
    <x v="22"/>
    <x v="39"/>
    <x v="1653"/>
    <x v="0"/>
    <x v="2"/>
    <n v="53"/>
    <x v="40"/>
    <x v="9"/>
    <x v="4"/>
    <s v="7.1"/>
    <s v="Good"/>
  </r>
  <r>
    <n v="1655"/>
    <n v="9268459"/>
    <x v="23"/>
    <x v="12"/>
    <s v="Excellent customer support and regular feature updates."/>
    <x v="2"/>
    <x v="4"/>
    <x v="1654"/>
    <x v="0"/>
    <x v="3"/>
    <n v="143"/>
    <x v="54"/>
    <x v="1"/>
    <x v="2"/>
    <s v="10.4"/>
    <s v="Average"/>
  </r>
  <r>
    <n v="1656"/>
    <n v="8853488"/>
    <x v="4"/>
    <x v="11"/>
    <s v="Some bugs need fixing but generally satisfied with it."/>
    <x v="4"/>
    <x v="31"/>
    <x v="1655"/>
    <x v="0"/>
    <x v="2"/>
    <n v="192"/>
    <x v="17"/>
    <x v="23"/>
    <x v="0"/>
    <s v="9.2"/>
    <s v="Good"/>
  </r>
  <r>
    <n v="1657"/>
    <n v="2140002"/>
    <x v="40"/>
    <x v="10"/>
    <s v="Non modi maxime quis dolor. Beatae dolor eveniet dolor quas velit. Earum dicta at provident officiis."/>
    <x v="22"/>
    <x v="9"/>
    <x v="1656"/>
    <x v="1"/>
    <x v="0"/>
    <n v="595"/>
    <x v="28"/>
    <x v="11"/>
    <x v="4"/>
    <s v="2.0.83.3567"/>
    <s v="Excellent"/>
  </r>
  <r>
    <n v="1658"/>
    <n v="8418172"/>
    <x v="12"/>
    <x v="15"/>
    <s v="User-friendly design and smooth performance throughout."/>
    <x v="9"/>
    <x v="35"/>
    <x v="1657"/>
    <x v="0"/>
    <x v="3"/>
    <n v="972"/>
    <x v="40"/>
    <x v="1"/>
    <x v="3"/>
    <s v="13.4.75-beta"/>
    <s v="Poor"/>
  </r>
  <r>
    <n v="1659"/>
    <n v="6809915"/>
    <x v="13"/>
    <x v="5"/>
    <s v="Perfect for daily use, highly recommend to everyone."/>
    <x v="15"/>
    <x v="34"/>
    <x v="1658"/>
    <x v="0"/>
    <x v="3"/>
    <n v="157"/>
    <x v="1"/>
    <x v="6"/>
    <x v="1"/>
    <s v="4.1.48"/>
    <s v="Average"/>
  </r>
  <r>
    <n v="1660"/>
    <n v="4295866"/>
    <x v="18"/>
    <x v="2"/>
    <s v="Cup suffer response which."/>
    <x v="10"/>
    <x v="17"/>
    <x v="1659"/>
    <x v="0"/>
    <x v="1"/>
    <n v="824"/>
    <x v="30"/>
    <x v="21"/>
    <x v="2"/>
    <s v="14.3.7-beta"/>
    <s v="Average"/>
  </r>
  <r>
    <n v="1661"/>
    <n v="9957937"/>
    <x v="24"/>
    <x v="9"/>
    <s v="This app is amazing! Really love the new features."/>
    <x v="23"/>
    <x v="30"/>
    <x v="1660"/>
    <x v="0"/>
    <x v="4"/>
    <n v="561"/>
    <x v="15"/>
    <x v="3"/>
    <x v="4"/>
    <s v="v1.0.63"/>
    <s v="Average"/>
  </r>
  <r>
    <n v="1662"/>
    <n v="3553284"/>
    <x v="31"/>
    <x v="4"/>
    <s v="Some bugs need fixing but generally satisfied with it."/>
    <x v="8"/>
    <x v="34"/>
    <x v="1661"/>
    <x v="0"/>
    <x v="2"/>
    <n v="350"/>
    <x v="18"/>
    <x v="10"/>
    <x v="3"/>
    <s v="v15.8.99"/>
    <s v="Average"/>
  </r>
  <r>
    <n v="1663"/>
    <n v="7372447"/>
    <x v="37"/>
    <x v="8"/>
    <s v="Infine relazione sedere pazzo pane insieme noto. Stupido segreto lago storia uscire direzione."/>
    <x v="10"/>
    <x v="28"/>
    <x v="1662"/>
    <x v="0"/>
    <x v="4"/>
    <n v="433"/>
    <x v="48"/>
    <x v="12"/>
    <x v="4"/>
    <s v="14.2.87.6125"/>
    <s v="Poor"/>
  </r>
  <r>
    <n v="1664"/>
    <n v="9000282"/>
    <x v="34"/>
    <x v="1"/>
    <s v="No Review"/>
    <x v="13"/>
    <x v="36"/>
    <x v="1663"/>
    <x v="0"/>
    <x v="3"/>
    <n v="394"/>
    <x v="36"/>
    <x v="2"/>
    <x v="4"/>
    <s v="7.7"/>
    <s v="Poor"/>
  </r>
  <r>
    <n v="1665"/>
    <n v="602309"/>
    <x v="25"/>
    <x v="16"/>
    <s v="的人最新深圳出现."/>
    <x v="20"/>
    <x v="20"/>
    <x v="1664"/>
    <x v="0"/>
    <x v="4"/>
    <n v="266"/>
    <x v="28"/>
    <x v="1"/>
    <x v="0"/>
    <s v="7.4.66-beta"/>
    <s v="Very Poor"/>
  </r>
  <r>
    <n v="1666"/>
    <n v="6335425"/>
    <x v="15"/>
    <x v="0"/>
    <s v="The interface could be better but overall good experience."/>
    <x v="4"/>
    <x v="39"/>
    <x v="1665"/>
    <x v="0"/>
    <x v="1"/>
    <n v="162"/>
    <x v="49"/>
    <x v="10"/>
    <x v="0"/>
    <s v="5.5.65"/>
    <s v="Good"/>
  </r>
  <r>
    <n v="1667"/>
    <n v="5375644"/>
    <x v="40"/>
    <x v="16"/>
    <s v="This app is amazing! Really love the new features."/>
    <x v="13"/>
    <x v="14"/>
    <x v="1666"/>
    <x v="0"/>
    <x v="4"/>
    <n v="182"/>
    <x v="27"/>
    <x v="21"/>
    <x v="0"/>
    <s v="v9.6.15"/>
    <s v="Excellent"/>
  </r>
  <r>
    <n v="1668"/>
    <n v="5445038"/>
    <x v="3"/>
    <x v="2"/>
    <s v="Quaerat distinctio necessitatibus. Tempore natus harum nobis minima aut. Quaerat veniam rem perferendis nemo."/>
    <x v="1"/>
    <x v="12"/>
    <x v="1667"/>
    <x v="0"/>
    <x v="2"/>
    <n v="1023"/>
    <x v="17"/>
    <x v="0"/>
    <x v="3"/>
    <s v="6.4.22.6525"/>
    <s v="Excellent"/>
  </r>
  <r>
    <n v="1669"/>
    <n v="7401537"/>
    <x v="37"/>
    <x v="15"/>
    <s v="Perfect for daily use, highly recommend to everyone."/>
    <x v="23"/>
    <x v="38"/>
    <x v="1668"/>
    <x v="0"/>
    <x v="4"/>
    <n v="1230"/>
    <x v="43"/>
    <x v="15"/>
    <x v="0"/>
    <s v="6.9.45-beta"/>
    <s v="Good"/>
  </r>
  <r>
    <n v="1670"/>
    <n v="3424412"/>
    <x v="8"/>
    <x v="10"/>
    <s v="User-friendly design and smooth performance throughout."/>
    <x v="4"/>
    <x v="14"/>
    <x v="1669"/>
    <x v="0"/>
    <x v="2"/>
    <n v="799"/>
    <x v="44"/>
    <x v="13"/>
    <x v="0"/>
    <s v="15.4.87"/>
    <s v="Excellent"/>
  </r>
  <r>
    <n v="1671"/>
    <n v="8386841"/>
    <x v="0"/>
    <x v="9"/>
    <s v="Aliquid earum blanditiis iste nobis nihil dolores. Eligendi officia sequi. Tenetur eligendi sapiente."/>
    <x v="9"/>
    <x v="36"/>
    <x v="1670"/>
    <x v="0"/>
    <x v="1"/>
    <n v="67"/>
    <x v="50"/>
    <x v="12"/>
    <x v="1"/>
    <s v="1.9.24"/>
    <s v="Poor"/>
  </r>
  <r>
    <n v="1672"/>
    <n v="9050091"/>
    <x v="26"/>
    <x v="1"/>
    <s v="User-friendly design and smooth performance throughout."/>
    <x v="11"/>
    <x v="23"/>
    <x v="1671"/>
    <x v="0"/>
    <x v="0"/>
    <n v="353"/>
    <x v="44"/>
    <x v="17"/>
    <x v="4"/>
    <s v="5.8.80.4127"/>
    <s v="Very Poor"/>
  </r>
  <r>
    <n v="1673"/>
    <n v="756328"/>
    <x v="19"/>
    <x v="13"/>
    <s v="Latest update broke some features, please fix soon."/>
    <x v="14"/>
    <x v="31"/>
    <x v="1672"/>
    <x v="1"/>
    <x v="0"/>
    <n v="724"/>
    <x v="2"/>
    <x v="14"/>
    <x v="4"/>
    <s v="5.4.78-beta"/>
    <s v="Good"/>
  </r>
  <r>
    <n v="1674"/>
    <n v="373003"/>
    <x v="40"/>
    <x v="9"/>
    <s v="Latest update broke some features, please fix soon."/>
    <x v="8"/>
    <x v="6"/>
    <x v="1673"/>
    <x v="0"/>
    <x v="3"/>
    <n v="377"/>
    <x v="35"/>
    <x v="11"/>
    <x v="1"/>
    <s v="4.4.39.7553"/>
    <s v="Good"/>
  </r>
  <r>
    <n v="1675"/>
    <n v="1695845"/>
    <x v="35"/>
    <x v="10"/>
    <s v="This app is amazing! Really love the new features."/>
    <x v="11"/>
    <x v="4"/>
    <x v="1674"/>
    <x v="0"/>
    <x v="4"/>
    <n v="256"/>
    <x v="9"/>
    <x v="8"/>
    <x v="4"/>
    <s v="12.1.87"/>
    <s v="Average"/>
  </r>
  <r>
    <n v="1676"/>
    <n v="5149913"/>
    <x v="12"/>
    <x v="11"/>
    <s v="The interface could be better but overall good experience."/>
    <x v="8"/>
    <x v="12"/>
    <x v="1675"/>
    <x v="0"/>
    <x v="1"/>
    <n v="355"/>
    <x v="19"/>
    <x v="8"/>
    <x v="0"/>
    <s v="v14.4.99"/>
    <s v="Excellent"/>
  </r>
  <r>
    <n v="1677"/>
    <n v="5901971"/>
    <x v="10"/>
    <x v="17"/>
    <s v="Avanti risultare maniera appartenere esame vita. Soffrire vendere cantare giallo passare alzare appena."/>
    <x v="20"/>
    <x v="2"/>
    <x v="1676"/>
    <x v="0"/>
    <x v="3"/>
    <n v="1136"/>
    <x v="56"/>
    <x v="16"/>
    <x v="0"/>
    <s v="11.3.61.2769"/>
    <s v="Average"/>
  </r>
  <r>
    <n v="1678"/>
    <n v="1863884"/>
    <x v="9"/>
    <x v="0"/>
    <s v="The interface could be better but overall good experience."/>
    <x v="6"/>
    <x v="14"/>
    <x v="1677"/>
    <x v="1"/>
    <x v="0"/>
    <n v="76"/>
    <x v="9"/>
    <x v="13"/>
    <x v="4"/>
    <s v="14.1.43.8482"/>
    <s v="Excellent"/>
  </r>
  <r>
    <n v="1679"/>
    <n v="7409538"/>
    <x v="2"/>
    <x v="16"/>
    <s v="The interface could be better but overall good experience."/>
    <x v="22"/>
    <x v="5"/>
    <x v="1678"/>
    <x v="0"/>
    <x v="3"/>
    <n v="493"/>
    <x v="10"/>
    <x v="4"/>
    <x v="2"/>
    <s v="v2.1.38"/>
    <s v="Excellent"/>
  </r>
  <r>
    <n v="1680"/>
    <n v="1576675"/>
    <x v="24"/>
    <x v="14"/>
    <s v="User-friendly design and smooth performance throughout."/>
    <x v="19"/>
    <x v="4"/>
    <x v="1679"/>
    <x v="1"/>
    <x v="0"/>
    <n v="938"/>
    <x v="33"/>
    <x v="3"/>
    <x v="2"/>
    <s v="15.8"/>
    <s v="Average"/>
  </r>
  <r>
    <n v="1681"/>
    <n v="6288771"/>
    <x v="27"/>
    <x v="7"/>
    <s v="Voluptatibus vel sint ea quos beatae veniam. Ea porro recusandae fugit."/>
    <x v="21"/>
    <x v="16"/>
    <x v="1680"/>
    <x v="0"/>
    <x v="4"/>
    <n v="837"/>
    <x v="7"/>
    <x v="1"/>
    <x v="2"/>
    <s v="2.8"/>
    <s v="Excellent"/>
  </r>
  <r>
    <n v="1682"/>
    <n v="2411285"/>
    <x v="7"/>
    <x v="17"/>
    <s v="Latest update broke some features, please fix soon."/>
    <x v="20"/>
    <x v="6"/>
    <x v="1681"/>
    <x v="0"/>
    <x v="3"/>
    <n v="273"/>
    <x v="5"/>
    <x v="12"/>
    <x v="1"/>
    <s v="14.9.82-beta"/>
    <s v="Good"/>
  </r>
  <r>
    <n v="1683"/>
    <n v="2111612"/>
    <x v="8"/>
    <x v="6"/>
    <s v="Ручей число ребятишки монета. Металл карандаш интеллектуальный кожа единый природа. Карман назначить горький степь строительство."/>
    <x v="6"/>
    <x v="6"/>
    <x v="1682"/>
    <x v="0"/>
    <x v="0"/>
    <n v="890"/>
    <x v="62"/>
    <x v="4"/>
    <x v="0"/>
    <s v="8.0.31.7986"/>
    <s v="Good"/>
  </r>
  <r>
    <n v="1684"/>
    <n v="9470330"/>
    <x v="35"/>
    <x v="1"/>
    <s v="Works perfectly on my device, no complaints at all."/>
    <x v="18"/>
    <x v="37"/>
    <x v="1683"/>
    <x v="0"/>
    <x v="3"/>
    <n v="901"/>
    <x v="6"/>
    <x v="15"/>
    <x v="0"/>
    <s v="5.8"/>
    <s v="Average"/>
  </r>
  <r>
    <n v="1685"/>
    <n v="3554281"/>
    <x v="3"/>
    <x v="4"/>
    <s v="Great app but too many ads, consider premium version."/>
    <x v="15"/>
    <x v="15"/>
    <x v="1684"/>
    <x v="0"/>
    <x v="3"/>
    <n v="1044"/>
    <x v="12"/>
    <x v="13"/>
    <x v="1"/>
    <s v="Unknown"/>
    <s v="Poor"/>
  </r>
  <r>
    <n v="1686"/>
    <n v="1360713"/>
    <x v="15"/>
    <x v="17"/>
    <s v="Works perfectly on my device, no complaints at all."/>
    <x v="12"/>
    <x v="36"/>
    <x v="1685"/>
    <x v="0"/>
    <x v="2"/>
    <n v="119"/>
    <x v="20"/>
    <x v="23"/>
    <x v="2"/>
    <s v="5.5"/>
    <s v="Poor"/>
  </r>
  <r>
    <n v="1687"/>
    <n v="3664746"/>
    <x v="22"/>
    <x v="1"/>
    <s v="Uderzyć minuta pozbawić. Wiedzieć osiem ósmy więcej wysyłać lis policja."/>
    <x v="2"/>
    <x v="37"/>
    <x v="1686"/>
    <x v="1"/>
    <x v="2"/>
    <n v="686"/>
    <x v="1"/>
    <x v="15"/>
    <x v="4"/>
    <s v="4.0.78-beta"/>
    <s v="Average"/>
  </r>
  <r>
    <n v="1688"/>
    <n v="2683673"/>
    <x v="2"/>
    <x v="5"/>
    <s v="This app is amazing! Really love the new features."/>
    <x v="2"/>
    <x v="37"/>
    <x v="1687"/>
    <x v="0"/>
    <x v="1"/>
    <n v="429"/>
    <x v="51"/>
    <x v="7"/>
    <x v="2"/>
    <s v="6.8.25.7901"/>
    <s v="Average"/>
  </r>
  <r>
    <n v="1689"/>
    <n v="1872688"/>
    <x v="17"/>
    <x v="5"/>
    <s v="Dolor facilis voluptate sint. Dicta id architecto incidunt placeat veritatis neque. Corporis soluta quia dolores."/>
    <x v="7"/>
    <x v="19"/>
    <x v="1688"/>
    <x v="0"/>
    <x v="2"/>
    <n v="1018"/>
    <x v="9"/>
    <x v="9"/>
    <x v="0"/>
    <s v="3.8"/>
    <s v="Poor"/>
  </r>
  <r>
    <n v="1690"/>
    <n v="3237838"/>
    <x v="9"/>
    <x v="11"/>
    <s v="Perfect for daily use, highly recommend to everyone."/>
    <x v="1"/>
    <x v="12"/>
    <x v="1689"/>
    <x v="0"/>
    <x v="4"/>
    <n v="418"/>
    <x v="38"/>
    <x v="10"/>
    <x v="1"/>
    <s v="v1.8.88"/>
    <s v="Excellent"/>
  </r>
  <r>
    <n v="1691"/>
    <n v="8089988"/>
    <x v="0"/>
    <x v="8"/>
    <s v="The interface could be better but overall good experience."/>
    <x v="14"/>
    <x v="25"/>
    <x v="1690"/>
    <x v="0"/>
    <x v="0"/>
    <n v="1121"/>
    <x v="19"/>
    <x v="19"/>
    <x v="3"/>
    <s v="v15.8.26"/>
    <s v="Poor"/>
  </r>
  <r>
    <n v="1692"/>
    <n v="7694054"/>
    <x v="39"/>
    <x v="0"/>
    <s v="Works perfectly on my device, no complaints at all."/>
    <x v="19"/>
    <x v="33"/>
    <x v="1691"/>
    <x v="0"/>
    <x v="1"/>
    <n v="629"/>
    <x v="52"/>
    <x v="7"/>
    <x v="0"/>
    <s v="8.6.73.6319"/>
    <s v="Poor"/>
  </r>
  <r>
    <n v="1693"/>
    <n v="2085184"/>
    <x v="34"/>
    <x v="16"/>
    <s v="User-friendly design and smooth performance throughout."/>
    <x v="13"/>
    <x v="2"/>
    <x v="1692"/>
    <x v="0"/>
    <x v="3"/>
    <n v="877"/>
    <x v="27"/>
    <x v="13"/>
    <x v="3"/>
    <s v="5.0"/>
    <s v="Average"/>
  </r>
  <r>
    <n v="1694"/>
    <n v="1510406"/>
    <x v="0"/>
    <x v="11"/>
    <s v="Inventore corrupti magnam magni amet earum. Aliquid fugit unde deserunt. Illo nisi minus laudantium inventore."/>
    <x v="6"/>
    <x v="14"/>
    <x v="1693"/>
    <x v="0"/>
    <x v="2"/>
    <n v="164"/>
    <x v="61"/>
    <x v="22"/>
    <x v="1"/>
    <s v="4.9.58-beta"/>
    <s v="Excellent"/>
  </r>
  <r>
    <n v="1695"/>
    <n v="4276591"/>
    <x v="1"/>
    <x v="13"/>
    <s v="This app is amazing! Really love the new features."/>
    <x v="20"/>
    <x v="10"/>
    <x v="1694"/>
    <x v="0"/>
    <x v="3"/>
    <n v="829"/>
    <x v="19"/>
    <x v="16"/>
    <x v="1"/>
    <s v="13.5.99"/>
    <s v="Poor"/>
  </r>
  <r>
    <n v="1696"/>
    <n v="2032532"/>
    <x v="25"/>
    <x v="8"/>
    <s v="Excellent customer support and regular feature updates."/>
    <x v="9"/>
    <x v="9"/>
    <x v="1695"/>
    <x v="0"/>
    <x v="4"/>
    <n v="473"/>
    <x v="27"/>
    <x v="11"/>
    <x v="0"/>
    <s v="7.3.18.9168"/>
    <s v="Excellent"/>
  </r>
  <r>
    <n v="1697"/>
    <n v="9750766"/>
    <x v="4"/>
    <x v="2"/>
    <s v="No Review"/>
    <x v="7"/>
    <x v="17"/>
    <x v="1696"/>
    <x v="0"/>
    <x v="1"/>
    <n v="689"/>
    <x v="30"/>
    <x v="21"/>
    <x v="3"/>
    <s v="4.7.37.3374"/>
    <s v="Average"/>
  </r>
  <r>
    <n v="1698"/>
    <n v="1204735"/>
    <x v="39"/>
    <x v="16"/>
    <s v="User-friendly design and smooth performance throughout."/>
    <x v="13"/>
    <x v="23"/>
    <x v="1697"/>
    <x v="0"/>
    <x v="2"/>
    <n v="186"/>
    <x v="0"/>
    <x v="16"/>
    <x v="0"/>
    <s v="13.5.25-beta"/>
    <s v="Very Poor"/>
  </r>
  <r>
    <n v="1699"/>
    <n v="4721443"/>
    <x v="34"/>
    <x v="13"/>
    <s v="Wreszcie mi moc sobą chwila."/>
    <x v="12"/>
    <x v="21"/>
    <x v="1698"/>
    <x v="1"/>
    <x v="2"/>
    <n v="583"/>
    <x v="30"/>
    <x v="13"/>
    <x v="2"/>
    <s v="12.6"/>
    <s v="Excellent"/>
  </r>
  <r>
    <n v="1700"/>
    <n v="4600772"/>
    <x v="27"/>
    <x v="0"/>
    <s v="Works perfectly on my device, no complaints at all."/>
    <x v="4"/>
    <x v="16"/>
    <x v="1699"/>
    <x v="0"/>
    <x v="4"/>
    <n v="905"/>
    <x v="20"/>
    <x v="7"/>
    <x v="0"/>
    <s v="1.9.1.4954"/>
    <s v="Excellent"/>
  </r>
  <r>
    <n v="1701"/>
    <n v="2969392"/>
    <x v="4"/>
    <x v="17"/>
    <s v="Latest update broke some features, please fix soon."/>
    <x v="9"/>
    <x v="19"/>
    <x v="1700"/>
    <x v="0"/>
    <x v="0"/>
    <n v="119"/>
    <x v="59"/>
    <x v="21"/>
    <x v="1"/>
    <s v="11.7.65.5856"/>
    <s v="Poor"/>
  </r>
  <r>
    <n v="1702"/>
    <n v="5932315"/>
    <x v="39"/>
    <x v="8"/>
    <s v="Proporre eh abitare congresso svolgere. Lui esprimere svegliare di fabbrica attesa conseguenza subito."/>
    <x v="16"/>
    <x v="10"/>
    <x v="1701"/>
    <x v="0"/>
    <x v="3"/>
    <n v="614"/>
    <x v="11"/>
    <x v="17"/>
    <x v="0"/>
    <s v="2.0.36-beta"/>
    <s v="Poor"/>
  </r>
  <r>
    <n v="1703"/>
    <n v="8062478"/>
    <x v="37"/>
    <x v="5"/>
    <s v="The interface could be better but overall good experience."/>
    <x v="0"/>
    <x v="8"/>
    <x v="1702"/>
    <x v="0"/>
    <x v="3"/>
    <n v="620"/>
    <x v="38"/>
    <x v="10"/>
    <x v="2"/>
    <s v="9.9.3-beta"/>
    <s v="Very Poor"/>
  </r>
  <r>
    <n v="1704"/>
    <n v="449416"/>
    <x v="3"/>
    <x v="1"/>
    <s v="Указанный слишком очко умолять. Парень сверкающий сынок."/>
    <x v="5"/>
    <x v="20"/>
    <x v="1703"/>
    <x v="0"/>
    <x v="4"/>
    <n v="809"/>
    <x v="12"/>
    <x v="7"/>
    <x v="3"/>
    <s v="14.4.45.712"/>
    <s v="Very Poor"/>
  </r>
  <r>
    <n v="1705"/>
    <n v="8028379"/>
    <x v="21"/>
    <x v="15"/>
    <s v="企业没有行业国际."/>
    <x v="10"/>
    <x v="35"/>
    <x v="1704"/>
    <x v="0"/>
    <x v="0"/>
    <n v="1218"/>
    <x v="26"/>
    <x v="9"/>
    <x v="4"/>
    <s v="v7.9.81"/>
    <s v="Poor"/>
  </r>
  <r>
    <n v="1706"/>
    <n v="8541397"/>
    <x v="22"/>
    <x v="3"/>
    <s v="Latest update broke some features, please fix soon."/>
    <x v="16"/>
    <x v="26"/>
    <x v="1705"/>
    <x v="1"/>
    <x v="0"/>
    <n v="874"/>
    <x v="33"/>
    <x v="18"/>
    <x v="4"/>
    <s v="1.8"/>
    <s v="Average"/>
  </r>
  <r>
    <n v="1707"/>
    <n v="2559253"/>
    <x v="8"/>
    <x v="0"/>
    <s v="Great app but too many ads, consider premium version."/>
    <x v="2"/>
    <x v="16"/>
    <x v="1706"/>
    <x v="0"/>
    <x v="2"/>
    <n v="1176"/>
    <x v="58"/>
    <x v="16"/>
    <x v="2"/>
    <s v="11.1"/>
    <s v="Excellent"/>
  </r>
  <r>
    <n v="1708"/>
    <n v="1777595"/>
    <x v="40"/>
    <x v="11"/>
    <s v="No Review"/>
    <x v="13"/>
    <x v="33"/>
    <x v="1707"/>
    <x v="1"/>
    <x v="3"/>
    <n v="851"/>
    <x v="13"/>
    <x v="8"/>
    <x v="2"/>
    <s v="Unknown"/>
    <s v="Poor"/>
  </r>
  <r>
    <n v="1709"/>
    <n v="5731731"/>
    <x v="26"/>
    <x v="7"/>
    <s v="This app is amazing! Really love the new features."/>
    <x v="9"/>
    <x v="32"/>
    <x v="1708"/>
    <x v="0"/>
    <x v="1"/>
    <n v="724"/>
    <x v="2"/>
    <x v="10"/>
    <x v="1"/>
    <s v="10.5.61.3163"/>
    <s v="Very Poor"/>
  </r>
  <r>
    <n v="1710"/>
    <n v="5985129"/>
    <x v="23"/>
    <x v="12"/>
    <s v="Works perfectly on my device, no complaints at all."/>
    <x v="3"/>
    <x v="39"/>
    <x v="1709"/>
    <x v="0"/>
    <x v="1"/>
    <n v="74"/>
    <x v="42"/>
    <x v="22"/>
    <x v="3"/>
    <s v="10.9.98"/>
    <s v="Good"/>
  </r>
  <r>
    <n v="1711"/>
    <n v="8262003"/>
    <x v="4"/>
    <x v="16"/>
    <s v="細かい葉シェービング犯罪者メニュー。"/>
    <x v="18"/>
    <x v="40"/>
    <x v="1710"/>
    <x v="1"/>
    <x v="4"/>
    <n v="637"/>
    <x v="48"/>
    <x v="23"/>
    <x v="4"/>
    <s v="9.7.10-beta"/>
    <s v="Very Poor"/>
  </r>
  <r>
    <n v="1712"/>
    <n v="8226125"/>
    <x v="39"/>
    <x v="6"/>
    <s v="Excellent customer support and regular feature updates."/>
    <x v="7"/>
    <x v="8"/>
    <x v="1711"/>
    <x v="0"/>
    <x v="2"/>
    <n v="152"/>
    <x v="62"/>
    <x v="20"/>
    <x v="3"/>
    <s v="8.1.76"/>
    <s v="Very Poor"/>
  </r>
  <r>
    <n v="1713"/>
    <n v="8812557"/>
    <x v="17"/>
    <x v="11"/>
    <s v="パーセント式画面。 コンペリニア埋め込むデッド。"/>
    <x v="10"/>
    <x v="34"/>
    <x v="1712"/>
    <x v="0"/>
    <x v="1"/>
    <n v="789"/>
    <x v="36"/>
    <x v="8"/>
    <x v="2"/>
    <s v="11.0.27"/>
    <s v="Average"/>
  </r>
  <r>
    <n v="1714"/>
    <n v="3561265"/>
    <x v="19"/>
    <x v="16"/>
    <s v="Deserunt veritatis odit vitae. Perspiciatis tempore ipsum vero minima eaque perspiciatis suscipit. Nihil veniam eius deleniti neque praesentium."/>
    <x v="10"/>
    <x v="21"/>
    <x v="1713"/>
    <x v="1"/>
    <x v="0"/>
    <n v="651"/>
    <x v="31"/>
    <x v="16"/>
    <x v="1"/>
    <s v="13.2"/>
    <s v="Excellent"/>
  </r>
  <r>
    <n v="1715"/>
    <n v="2162947"/>
    <x v="23"/>
    <x v="0"/>
    <s v="Stellen Mädchen Stein groß böse Affe."/>
    <x v="2"/>
    <x v="32"/>
    <x v="1714"/>
    <x v="1"/>
    <x v="1"/>
    <n v="1195"/>
    <x v="6"/>
    <x v="7"/>
    <x v="4"/>
    <s v="11.2.85.3769"/>
    <s v="Very Poor"/>
  </r>
  <r>
    <n v="1716"/>
    <n v="2568450"/>
    <x v="30"/>
    <x v="0"/>
    <s v="Some bugs need fixing but generally satisfied with it."/>
    <x v="8"/>
    <x v="17"/>
    <x v="1715"/>
    <x v="1"/>
    <x v="4"/>
    <n v="41"/>
    <x v="42"/>
    <x v="4"/>
    <x v="2"/>
    <s v="13.4.84.5585"/>
    <s v="Average"/>
  </r>
  <r>
    <n v="1717"/>
    <n v="2620403"/>
    <x v="16"/>
    <x v="6"/>
    <s v="Zapis przygotować jazda sen napój krzesło a."/>
    <x v="16"/>
    <x v="40"/>
    <x v="1716"/>
    <x v="0"/>
    <x v="4"/>
    <n v="829"/>
    <x v="59"/>
    <x v="24"/>
    <x v="1"/>
    <s v="6.2"/>
    <s v="Very Poor"/>
  </r>
  <r>
    <n v="1718"/>
    <n v="4848242"/>
    <x v="1"/>
    <x v="11"/>
    <s v="The interface could be better but overall good experience."/>
    <x v="1"/>
    <x v="7"/>
    <x v="1717"/>
    <x v="0"/>
    <x v="3"/>
    <n v="483"/>
    <x v="21"/>
    <x v="15"/>
    <x v="4"/>
    <s v="15.8.89.1235"/>
    <s v="Very Poor"/>
  </r>
  <r>
    <n v="1719"/>
    <n v="2170908"/>
    <x v="8"/>
    <x v="4"/>
    <s v="User-friendly design and smooth performance throughout."/>
    <x v="1"/>
    <x v="25"/>
    <x v="1718"/>
    <x v="0"/>
    <x v="0"/>
    <n v="1216"/>
    <x v="14"/>
    <x v="2"/>
    <x v="4"/>
    <s v="14.8"/>
    <s v="Poor"/>
  </r>
  <r>
    <n v="1720"/>
    <n v="5230833"/>
    <x v="36"/>
    <x v="15"/>
    <s v="User-friendly design and smooth performance throughout."/>
    <x v="3"/>
    <x v="24"/>
    <x v="1719"/>
    <x v="0"/>
    <x v="0"/>
    <n v="366"/>
    <x v="24"/>
    <x v="20"/>
    <x v="4"/>
    <s v="v2.4.18"/>
    <s v="Poor"/>
  </r>
  <r>
    <n v="1721"/>
    <n v="6009866"/>
    <x v="16"/>
    <x v="17"/>
    <s v="Works perfectly on my device, no complaints at all."/>
    <x v="22"/>
    <x v="34"/>
    <x v="1720"/>
    <x v="0"/>
    <x v="1"/>
    <n v="768"/>
    <x v="42"/>
    <x v="13"/>
    <x v="3"/>
    <s v="1.1.50-beta"/>
    <s v="Average"/>
  </r>
  <r>
    <n v="1722"/>
    <n v="937217"/>
    <x v="28"/>
    <x v="9"/>
    <s v="Some bugs need fixing but generally satisfied with it."/>
    <x v="20"/>
    <x v="10"/>
    <x v="1721"/>
    <x v="0"/>
    <x v="2"/>
    <n v="631"/>
    <x v="41"/>
    <x v="13"/>
    <x v="0"/>
    <s v="7.1.15-beta"/>
    <s v="Poor"/>
  </r>
  <r>
    <n v="1723"/>
    <n v="5975686"/>
    <x v="1"/>
    <x v="10"/>
    <s v="User-friendly design and smooth performance throughout."/>
    <x v="4"/>
    <x v="34"/>
    <x v="1722"/>
    <x v="0"/>
    <x v="1"/>
    <n v="91"/>
    <x v="12"/>
    <x v="0"/>
    <x v="3"/>
    <s v="v11.0.15"/>
    <s v="Average"/>
  </r>
  <r>
    <n v="1724"/>
    <n v="8522048"/>
    <x v="37"/>
    <x v="5"/>
    <s v="Works perfectly on my device, no complaints at all."/>
    <x v="2"/>
    <x v="40"/>
    <x v="1723"/>
    <x v="1"/>
    <x v="1"/>
    <n v="1070"/>
    <x v="3"/>
    <x v="21"/>
    <x v="3"/>
    <s v="5.2"/>
    <s v="Very Poor"/>
  </r>
  <r>
    <n v="1725"/>
    <n v="9507809"/>
    <x v="14"/>
    <x v="4"/>
    <s v="The interface could be better but overall good experience."/>
    <x v="13"/>
    <x v="37"/>
    <x v="1724"/>
    <x v="0"/>
    <x v="3"/>
    <n v="557"/>
    <x v="49"/>
    <x v="15"/>
    <x v="1"/>
    <s v="13.2"/>
    <s v="Average"/>
  </r>
  <r>
    <n v="1726"/>
    <n v="4641070"/>
    <x v="36"/>
    <x v="5"/>
    <s v="Voluptatum deserunt nesciunt aspernatur. Adipisci ut dolorum perspiciatis harum."/>
    <x v="1"/>
    <x v="9"/>
    <x v="1725"/>
    <x v="0"/>
    <x v="2"/>
    <n v="223"/>
    <x v="59"/>
    <x v="24"/>
    <x v="1"/>
    <s v="12.1.0"/>
    <s v="Excellent"/>
  </r>
  <r>
    <n v="1727"/>
    <n v="4483230"/>
    <x v="30"/>
    <x v="15"/>
    <s v="Some bugs need fixing but generally satisfied with it."/>
    <x v="14"/>
    <x v="3"/>
    <x v="1726"/>
    <x v="0"/>
    <x v="1"/>
    <n v="92"/>
    <x v="62"/>
    <x v="23"/>
    <x v="1"/>
    <s v="12.3.87-beta"/>
    <s v="Average"/>
  </r>
  <r>
    <n v="1728"/>
    <n v="5313281"/>
    <x v="29"/>
    <x v="14"/>
    <s v="Natus perspiciatis eum neque. Dolorum impedit dicta esse error."/>
    <x v="14"/>
    <x v="38"/>
    <x v="1727"/>
    <x v="1"/>
    <x v="2"/>
    <n v="836"/>
    <x v="34"/>
    <x v="10"/>
    <x v="4"/>
    <s v="2.8.13"/>
    <s v="Good"/>
  </r>
  <r>
    <n v="1729"/>
    <n v="7836886"/>
    <x v="35"/>
    <x v="10"/>
    <s v="Latest update broke some features, please fix soon."/>
    <x v="6"/>
    <x v="18"/>
    <x v="1728"/>
    <x v="0"/>
    <x v="3"/>
    <n v="294"/>
    <x v="57"/>
    <x v="7"/>
    <x v="2"/>
    <s v="8.4"/>
    <s v="Average"/>
  </r>
  <r>
    <n v="1730"/>
    <n v="6407661"/>
    <x v="37"/>
    <x v="17"/>
    <s v="Crashes too often, needs improvement in stability."/>
    <x v="0"/>
    <x v="23"/>
    <x v="1729"/>
    <x v="0"/>
    <x v="4"/>
    <n v="511"/>
    <x v="11"/>
    <x v="11"/>
    <x v="3"/>
    <s v="6.1.8.7634"/>
    <s v="Very Poor"/>
  </r>
  <r>
    <n v="1731"/>
    <n v="1711322"/>
    <x v="17"/>
    <x v="9"/>
    <s v="Смертельный за медицина нож."/>
    <x v="0"/>
    <x v="4"/>
    <x v="1730"/>
    <x v="0"/>
    <x v="0"/>
    <n v="612"/>
    <x v="24"/>
    <x v="8"/>
    <x v="4"/>
    <s v="7.7.55-beta"/>
    <s v="Average"/>
  </r>
  <r>
    <n v="1732"/>
    <n v="6042386"/>
    <x v="40"/>
    <x v="17"/>
    <s v="Great app but too many ads, consider premium version."/>
    <x v="8"/>
    <x v="29"/>
    <x v="1731"/>
    <x v="0"/>
    <x v="2"/>
    <n v="195"/>
    <x v="7"/>
    <x v="6"/>
    <x v="1"/>
    <s v="12.6.71.5897"/>
    <s v="Very Poor"/>
  </r>
  <r>
    <n v="1733"/>
    <n v="7154914"/>
    <x v="17"/>
    <x v="1"/>
    <s v="Latest update broke some features, please fix soon."/>
    <x v="10"/>
    <x v="1"/>
    <x v="1732"/>
    <x v="0"/>
    <x v="3"/>
    <n v="782"/>
    <x v="53"/>
    <x v="18"/>
    <x v="3"/>
    <s v="1.1.1"/>
    <s v="Very Poor"/>
  </r>
  <r>
    <n v="1734"/>
    <n v="564274"/>
    <x v="29"/>
    <x v="10"/>
    <s v="Perfect for daily use, highly recommend to everyone."/>
    <x v="1"/>
    <x v="39"/>
    <x v="1733"/>
    <x v="0"/>
    <x v="0"/>
    <n v="337"/>
    <x v="48"/>
    <x v="15"/>
    <x v="4"/>
    <s v="2.1"/>
    <s v="Good"/>
  </r>
  <r>
    <n v="1735"/>
    <n v="543289"/>
    <x v="25"/>
    <x v="1"/>
    <s v="Some bugs need fixing but generally satisfied with it."/>
    <x v="8"/>
    <x v="25"/>
    <x v="1734"/>
    <x v="0"/>
    <x v="3"/>
    <n v="846"/>
    <x v="19"/>
    <x v="0"/>
    <x v="4"/>
    <s v="5.4.76-beta"/>
    <s v="Poor"/>
  </r>
  <r>
    <n v="1736"/>
    <n v="1583592"/>
    <x v="33"/>
    <x v="0"/>
    <s v="Perfect for daily use, highly recommend to everyone."/>
    <x v="11"/>
    <x v="10"/>
    <x v="1735"/>
    <x v="0"/>
    <x v="2"/>
    <n v="1054"/>
    <x v="32"/>
    <x v="17"/>
    <x v="3"/>
    <s v="6.9.75-beta"/>
    <s v="Poor"/>
  </r>
  <r>
    <n v="1737"/>
    <n v="5173262"/>
    <x v="19"/>
    <x v="1"/>
    <s v="User-friendly design and smooth performance throughout."/>
    <x v="23"/>
    <x v="22"/>
    <x v="1736"/>
    <x v="0"/>
    <x v="2"/>
    <n v="240"/>
    <x v="5"/>
    <x v="18"/>
    <x v="4"/>
    <s v="14.9.41.4327"/>
    <s v="Poor"/>
  </r>
  <r>
    <n v="1738"/>
    <n v="9836194"/>
    <x v="11"/>
    <x v="15"/>
    <s v="Great app but too many ads, consider premium version."/>
    <x v="20"/>
    <x v="23"/>
    <x v="1737"/>
    <x v="0"/>
    <x v="0"/>
    <n v="773"/>
    <x v="43"/>
    <x v="8"/>
    <x v="0"/>
    <s v="1.7.2-beta"/>
    <s v="Very Poor"/>
  </r>
  <r>
    <n v="1739"/>
    <n v="2235317"/>
    <x v="10"/>
    <x v="5"/>
    <s v="Поговорить прежний скрытый июнь школьный покидать вскинуть демократия."/>
    <x v="18"/>
    <x v="4"/>
    <x v="1738"/>
    <x v="0"/>
    <x v="1"/>
    <n v="901"/>
    <x v="32"/>
    <x v="15"/>
    <x v="3"/>
    <s v="2.9.27-beta"/>
    <s v="Average"/>
  </r>
  <r>
    <n v="1740"/>
    <n v="7821222"/>
    <x v="39"/>
    <x v="16"/>
    <s v="Works perfectly on my device, no complaints at all."/>
    <x v="2"/>
    <x v="14"/>
    <x v="1739"/>
    <x v="0"/>
    <x v="3"/>
    <n v="721"/>
    <x v="35"/>
    <x v="12"/>
    <x v="0"/>
    <s v="10.2.84-beta"/>
    <s v="Excellent"/>
  </r>
  <r>
    <n v="1741"/>
    <n v="1520343"/>
    <x v="3"/>
    <x v="8"/>
    <s v="Crashes too often, needs improvement in stability."/>
    <x v="1"/>
    <x v="32"/>
    <x v="1740"/>
    <x v="0"/>
    <x v="4"/>
    <n v="796"/>
    <x v="38"/>
    <x v="2"/>
    <x v="4"/>
    <s v="2.1.66-beta"/>
    <s v="Very Poor"/>
  </r>
  <r>
    <n v="1742"/>
    <n v="1895982"/>
    <x v="30"/>
    <x v="2"/>
    <s v="Nisi reprehenderit natus porro sint commodi. Perferendis qui amet dignissimos corporis qui libero dolore."/>
    <x v="10"/>
    <x v="6"/>
    <x v="1741"/>
    <x v="1"/>
    <x v="3"/>
    <n v="762"/>
    <x v="37"/>
    <x v="24"/>
    <x v="0"/>
    <s v="5.8.12-beta"/>
    <s v="Good"/>
  </r>
  <r>
    <n v="1743"/>
    <n v="2696701"/>
    <x v="1"/>
    <x v="17"/>
    <s v="Works perfectly on my device, no complaints at all."/>
    <x v="11"/>
    <x v="10"/>
    <x v="1742"/>
    <x v="1"/>
    <x v="0"/>
    <n v="975"/>
    <x v="31"/>
    <x v="22"/>
    <x v="4"/>
    <s v="15.6.43-beta"/>
    <s v="Poor"/>
  </r>
  <r>
    <n v="1744"/>
    <n v="5315882"/>
    <x v="23"/>
    <x v="10"/>
    <s v="Some bugs need fixing but generally satisfied with it."/>
    <x v="23"/>
    <x v="21"/>
    <x v="1743"/>
    <x v="0"/>
    <x v="3"/>
    <n v="609"/>
    <x v="22"/>
    <x v="15"/>
    <x v="4"/>
    <s v="v5.9.9"/>
    <s v="Excellent"/>
  </r>
  <r>
    <n v="1745"/>
    <n v="8236197"/>
    <x v="31"/>
    <x v="0"/>
    <s v="Excellent customer support and regular feature updates."/>
    <x v="22"/>
    <x v="28"/>
    <x v="1744"/>
    <x v="1"/>
    <x v="3"/>
    <n v="0"/>
    <x v="52"/>
    <x v="18"/>
    <x v="0"/>
    <s v="6.0.4"/>
    <s v="Poor"/>
  </r>
  <r>
    <n v="1746"/>
    <n v="3467185"/>
    <x v="17"/>
    <x v="6"/>
    <s v="Works perfectly on my device, no complaints at all."/>
    <x v="1"/>
    <x v="31"/>
    <x v="1745"/>
    <x v="0"/>
    <x v="3"/>
    <n v="37"/>
    <x v="52"/>
    <x v="6"/>
    <x v="4"/>
    <s v="2.0.92-beta"/>
    <s v="Good"/>
  </r>
  <r>
    <n v="1747"/>
    <n v="100599"/>
    <x v="26"/>
    <x v="2"/>
    <s v="Works perfectly on my device, no complaints at all."/>
    <x v="11"/>
    <x v="32"/>
    <x v="1746"/>
    <x v="0"/>
    <x v="4"/>
    <n v="1196"/>
    <x v="9"/>
    <x v="1"/>
    <x v="1"/>
    <s v="8.9.73-beta"/>
    <s v="Very Poor"/>
  </r>
  <r>
    <n v="1748"/>
    <n v="2130620"/>
    <x v="19"/>
    <x v="11"/>
    <s v="Crashes too often, needs improvement in stability."/>
    <x v="1"/>
    <x v="9"/>
    <x v="1747"/>
    <x v="0"/>
    <x v="3"/>
    <n v="960"/>
    <x v="45"/>
    <x v="16"/>
    <x v="3"/>
    <s v="6.8.49.9300"/>
    <s v="Excellent"/>
  </r>
  <r>
    <n v="1749"/>
    <n v="4247429"/>
    <x v="13"/>
    <x v="6"/>
    <s v="The interface could be better but overall good experience."/>
    <x v="11"/>
    <x v="13"/>
    <x v="1748"/>
    <x v="0"/>
    <x v="2"/>
    <n v="374"/>
    <x v="25"/>
    <x v="15"/>
    <x v="1"/>
    <s v="v2.1.87"/>
    <s v="Average"/>
  </r>
  <r>
    <n v="1750"/>
    <n v="8048078"/>
    <x v="10"/>
    <x v="8"/>
    <s v="User-friendly design and smooth performance throughout."/>
    <x v="13"/>
    <x v="21"/>
    <x v="1749"/>
    <x v="0"/>
    <x v="3"/>
    <n v="775"/>
    <x v="43"/>
    <x v="17"/>
    <x v="4"/>
    <s v="v7.1.4"/>
    <s v="Excellent"/>
  </r>
  <r>
    <n v="1751"/>
    <n v="7545994"/>
    <x v="3"/>
    <x v="15"/>
    <s v="User-friendly design and smooth performance throughout."/>
    <x v="20"/>
    <x v="38"/>
    <x v="1750"/>
    <x v="0"/>
    <x v="0"/>
    <n v="718"/>
    <x v="41"/>
    <x v="1"/>
    <x v="3"/>
    <s v="15.7.6-beta"/>
    <s v="Good"/>
  </r>
  <r>
    <n v="1752"/>
    <n v="2143656"/>
    <x v="8"/>
    <x v="15"/>
    <s v="User-friendly design and smooth performance throughout."/>
    <x v="1"/>
    <x v="14"/>
    <x v="1751"/>
    <x v="0"/>
    <x v="4"/>
    <n v="265"/>
    <x v="11"/>
    <x v="19"/>
    <x v="4"/>
    <s v="8.1"/>
    <s v="Excellent"/>
  </r>
  <r>
    <n v="1753"/>
    <n v="8215466"/>
    <x v="6"/>
    <x v="2"/>
    <s v="Tragen unser merken traurig. Versuchen nächste jetzt Opa einfach tragen."/>
    <x v="10"/>
    <x v="15"/>
    <x v="1752"/>
    <x v="0"/>
    <x v="4"/>
    <n v="987"/>
    <x v="27"/>
    <x v="19"/>
    <x v="3"/>
    <s v="v6.3.82"/>
    <s v="Poor"/>
  </r>
  <r>
    <n v="1754"/>
    <n v="2965137"/>
    <x v="18"/>
    <x v="7"/>
    <s v="Latest update broke some features, please fix soon."/>
    <x v="4"/>
    <x v="18"/>
    <x v="1753"/>
    <x v="1"/>
    <x v="1"/>
    <n v="59"/>
    <x v="47"/>
    <x v="2"/>
    <x v="2"/>
    <s v="Unknown"/>
    <s v="Average"/>
  </r>
  <r>
    <n v="1755"/>
    <n v="9271785"/>
    <x v="21"/>
    <x v="17"/>
    <s v="Crashes too often, needs improvement in stability."/>
    <x v="16"/>
    <x v="25"/>
    <x v="1754"/>
    <x v="0"/>
    <x v="2"/>
    <n v="1091"/>
    <x v="17"/>
    <x v="6"/>
    <x v="4"/>
    <s v="3.4.3"/>
    <s v="Poor"/>
  </r>
  <r>
    <n v="1756"/>
    <n v="8160889"/>
    <x v="32"/>
    <x v="15"/>
    <s v="Crashes too often, needs improvement in stability."/>
    <x v="18"/>
    <x v="8"/>
    <x v="1755"/>
    <x v="0"/>
    <x v="3"/>
    <n v="971"/>
    <x v="11"/>
    <x v="12"/>
    <x v="3"/>
    <s v="12.6"/>
    <s v="Very Poor"/>
  </r>
  <r>
    <n v="1757"/>
    <n v="1778051"/>
    <x v="40"/>
    <x v="11"/>
    <s v="User-friendly design and smooth performance throughout."/>
    <x v="0"/>
    <x v="27"/>
    <x v="1756"/>
    <x v="0"/>
    <x v="3"/>
    <n v="671"/>
    <x v="56"/>
    <x v="1"/>
    <x v="3"/>
    <s v="15.1.2-beta"/>
    <s v="Very Poor"/>
  </r>
  <r>
    <n v="1758"/>
    <n v="6262932"/>
    <x v="18"/>
    <x v="14"/>
    <s v="Perfect for daily use, highly recommend to everyone."/>
    <x v="17"/>
    <x v="24"/>
    <x v="1757"/>
    <x v="0"/>
    <x v="1"/>
    <n v="552"/>
    <x v="13"/>
    <x v="17"/>
    <x v="4"/>
    <s v="4.3.2"/>
    <s v="Poor"/>
  </r>
  <r>
    <n v="1759"/>
    <n v="6663066"/>
    <x v="19"/>
    <x v="16"/>
    <s v="Kolano żyć możliwy tutaj czy ku. Administracyjny zmienić ty dokonywać znów wyrób odważny. Policzek minuta sos przyjść banknot rower."/>
    <x v="18"/>
    <x v="28"/>
    <x v="1758"/>
    <x v="0"/>
    <x v="0"/>
    <n v="123"/>
    <x v="47"/>
    <x v="0"/>
    <x v="4"/>
    <s v="1.2.97"/>
    <s v="Poor"/>
  </r>
  <r>
    <n v="1760"/>
    <n v="3636303"/>
    <x v="31"/>
    <x v="0"/>
    <s v="User-friendly design and smooth performance throughout."/>
    <x v="1"/>
    <x v="33"/>
    <x v="1759"/>
    <x v="1"/>
    <x v="3"/>
    <n v="1066"/>
    <x v="43"/>
    <x v="18"/>
    <x v="1"/>
    <s v="14.3"/>
    <s v="Poor"/>
  </r>
  <r>
    <n v="1761"/>
    <n v="8908972"/>
    <x v="35"/>
    <x v="9"/>
    <s v="The interface could be better but overall good experience."/>
    <x v="2"/>
    <x v="26"/>
    <x v="1760"/>
    <x v="0"/>
    <x v="0"/>
    <n v="744"/>
    <x v="56"/>
    <x v="19"/>
    <x v="2"/>
    <s v="1.5.88"/>
    <s v="Average"/>
  </r>
  <r>
    <n v="1762"/>
    <n v="1153034"/>
    <x v="25"/>
    <x v="9"/>
    <s v="Some bugs need fixing but generally satisfied with it."/>
    <x v="10"/>
    <x v="24"/>
    <x v="1761"/>
    <x v="1"/>
    <x v="0"/>
    <n v="672"/>
    <x v="7"/>
    <x v="18"/>
    <x v="1"/>
    <s v="9.4.65"/>
    <s v="Poor"/>
  </r>
  <r>
    <n v="1763"/>
    <n v="2640116"/>
    <x v="29"/>
    <x v="6"/>
    <s v="Works perfectly on my device, no complaints at all."/>
    <x v="1"/>
    <x v="35"/>
    <x v="1762"/>
    <x v="1"/>
    <x v="4"/>
    <n v="876"/>
    <x v="31"/>
    <x v="7"/>
    <x v="4"/>
    <s v="4.1.57.9079"/>
    <s v="Poor"/>
  </r>
  <r>
    <n v="1764"/>
    <n v="9548051"/>
    <x v="15"/>
    <x v="8"/>
    <s v="Crashes too often, needs improvement in stability."/>
    <x v="3"/>
    <x v="23"/>
    <x v="1763"/>
    <x v="0"/>
    <x v="1"/>
    <n v="892"/>
    <x v="33"/>
    <x v="8"/>
    <x v="3"/>
    <s v="9.9"/>
    <s v="Very Poor"/>
  </r>
  <r>
    <n v="1765"/>
    <n v="2449469"/>
    <x v="24"/>
    <x v="11"/>
    <s v="Perfect for daily use, highly recommend to everyone."/>
    <x v="7"/>
    <x v="23"/>
    <x v="1764"/>
    <x v="1"/>
    <x v="3"/>
    <n v="338"/>
    <x v="30"/>
    <x v="2"/>
    <x v="4"/>
    <s v="15.2.77.9800"/>
    <s v="Very Poor"/>
  </r>
  <r>
    <n v="1766"/>
    <n v="5182320"/>
    <x v="22"/>
    <x v="0"/>
    <s v="Perfect for daily use, highly recommend to everyone."/>
    <x v="12"/>
    <x v="23"/>
    <x v="1765"/>
    <x v="0"/>
    <x v="2"/>
    <n v="1247"/>
    <x v="34"/>
    <x v="14"/>
    <x v="1"/>
    <s v="13.5"/>
    <s v="Very Poor"/>
  </r>
  <r>
    <n v="1767"/>
    <n v="1244375"/>
    <x v="10"/>
    <x v="5"/>
    <s v="This app is amazing! Really love the new features."/>
    <x v="19"/>
    <x v="18"/>
    <x v="1766"/>
    <x v="1"/>
    <x v="4"/>
    <n v="66"/>
    <x v="37"/>
    <x v="2"/>
    <x v="1"/>
    <s v="12.0.97.6300"/>
    <s v="Average"/>
  </r>
  <r>
    <n v="1768"/>
    <n v="8215888"/>
    <x v="6"/>
    <x v="13"/>
    <s v="Some bugs need fixing but generally satisfied with it."/>
    <x v="4"/>
    <x v="1"/>
    <x v="1767"/>
    <x v="0"/>
    <x v="1"/>
    <n v="670"/>
    <x v="18"/>
    <x v="13"/>
    <x v="1"/>
    <s v="8.7"/>
    <s v="Very Poor"/>
  </r>
  <r>
    <n v="1769"/>
    <n v="3126182"/>
    <x v="35"/>
    <x v="5"/>
    <s v="Provident magni omnis ea possimus nihil neque. Nulla illo aliquid sequi culpa atque autem vel. Eum doloremque quo totam recusandae autem sunt."/>
    <x v="17"/>
    <x v="32"/>
    <x v="1768"/>
    <x v="0"/>
    <x v="1"/>
    <n v="747"/>
    <x v="15"/>
    <x v="10"/>
    <x v="2"/>
    <s v="v7.4.16"/>
    <s v="Very Poor"/>
  </r>
  <r>
    <n v="1770"/>
    <n v="7147372"/>
    <x v="8"/>
    <x v="11"/>
    <s v="Excellent customer support and regular feature updates."/>
    <x v="17"/>
    <x v="38"/>
    <x v="1769"/>
    <x v="0"/>
    <x v="1"/>
    <n v="1027"/>
    <x v="46"/>
    <x v="1"/>
    <x v="1"/>
    <s v="4.0.65.2031"/>
    <s v="Good"/>
  </r>
  <r>
    <n v="1771"/>
    <n v="1138956"/>
    <x v="20"/>
    <x v="0"/>
    <s v="Latest update broke some features, please fix soon."/>
    <x v="19"/>
    <x v="36"/>
    <x v="1770"/>
    <x v="0"/>
    <x v="1"/>
    <n v="84"/>
    <x v="18"/>
    <x v="11"/>
    <x v="1"/>
    <s v="15.5.94.499"/>
    <s v="Poor"/>
  </r>
  <r>
    <n v="1772"/>
    <n v="2020551"/>
    <x v="28"/>
    <x v="17"/>
    <s v="Наткнуться плод мягкий. Приятель правление советовать более висеть неожиданно металл отражение. Темнеть отметить естественный правильный светило."/>
    <x v="14"/>
    <x v="13"/>
    <x v="1771"/>
    <x v="0"/>
    <x v="0"/>
    <n v="898"/>
    <x v="40"/>
    <x v="11"/>
    <x v="3"/>
    <s v="6.5.65"/>
    <s v="Average"/>
  </r>
  <r>
    <n v="1773"/>
    <n v="3326188"/>
    <x v="4"/>
    <x v="7"/>
    <s v="User-friendly design and smooth performance throughout."/>
    <x v="14"/>
    <x v="38"/>
    <x v="1772"/>
    <x v="0"/>
    <x v="3"/>
    <n v="508"/>
    <x v="47"/>
    <x v="21"/>
    <x v="2"/>
    <s v="6.4"/>
    <s v="Good"/>
  </r>
  <r>
    <n v="1774"/>
    <n v="506730"/>
    <x v="39"/>
    <x v="12"/>
    <s v="Utile bellezza ammazzare che accanto risultare nudo sottile."/>
    <x v="16"/>
    <x v="10"/>
    <x v="1773"/>
    <x v="0"/>
    <x v="2"/>
    <n v="1154"/>
    <x v="26"/>
    <x v="15"/>
    <x v="2"/>
    <s v="9.4.72-beta"/>
    <s v="Poor"/>
  </r>
  <r>
    <n v="1775"/>
    <n v="8960962"/>
    <x v="34"/>
    <x v="9"/>
    <s v="Crashes too often, needs improvement in stability."/>
    <x v="14"/>
    <x v="34"/>
    <x v="1774"/>
    <x v="0"/>
    <x v="0"/>
    <n v="813"/>
    <x v="49"/>
    <x v="20"/>
    <x v="1"/>
    <s v="7.7.33-beta"/>
    <s v="Average"/>
  </r>
  <r>
    <n v="1776"/>
    <n v="3580849"/>
    <x v="27"/>
    <x v="10"/>
    <s v="Repudiandae magnam explicabo tempore sequi reiciendis ipsa. Fugiat architecto aspernatur quos error blanditiis dolorem nobis. Ad reprehenderit enim repudiandae hic facere."/>
    <x v="7"/>
    <x v="11"/>
    <x v="1775"/>
    <x v="0"/>
    <x v="1"/>
    <n v="728"/>
    <x v="48"/>
    <x v="11"/>
    <x v="3"/>
    <s v="v15.0.7"/>
    <s v="Good"/>
  </r>
  <r>
    <n v="1777"/>
    <n v="4932995"/>
    <x v="24"/>
    <x v="17"/>
    <s v="Some bugs need fixing but generally satisfied with it."/>
    <x v="5"/>
    <x v="25"/>
    <x v="1776"/>
    <x v="0"/>
    <x v="4"/>
    <n v="617"/>
    <x v="44"/>
    <x v="7"/>
    <x v="4"/>
    <s v="6.7.89-beta"/>
    <s v="Poor"/>
  </r>
  <r>
    <n v="1778"/>
    <n v="9752869"/>
    <x v="9"/>
    <x v="3"/>
    <s v="Crashes too often, needs improvement in stability."/>
    <x v="9"/>
    <x v="26"/>
    <x v="1777"/>
    <x v="0"/>
    <x v="3"/>
    <n v="935"/>
    <x v="54"/>
    <x v="2"/>
    <x v="0"/>
    <s v="6.5.87.7726"/>
    <s v="Average"/>
  </r>
  <r>
    <n v="1779"/>
    <n v="8489396"/>
    <x v="12"/>
    <x v="3"/>
    <s v="Потрясти выраженный металл эпоха что. Устройство мучительно второй правильный неожиданный. Кольцо помимо важный новый."/>
    <x v="0"/>
    <x v="25"/>
    <x v="1778"/>
    <x v="0"/>
    <x v="4"/>
    <n v="180"/>
    <x v="28"/>
    <x v="22"/>
    <x v="3"/>
    <s v="11.6.4.8578"/>
    <s v="Poor"/>
  </r>
  <r>
    <n v="1780"/>
    <n v="4053000"/>
    <x v="24"/>
    <x v="7"/>
    <s v="Perfect for daily use, highly recommend to everyone."/>
    <x v="15"/>
    <x v="13"/>
    <x v="1779"/>
    <x v="0"/>
    <x v="2"/>
    <n v="444"/>
    <x v="23"/>
    <x v="4"/>
    <x v="4"/>
    <s v="1.2.51"/>
    <s v="Average"/>
  </r>
  <r>
    <n v="1781"/>
    <n v="9559937"/>
    <x v="12"/>
    <x v="8"/>
    <s v="Excellent customer support and regular feature updates."/>
    <x v="13"/>
    <x v="18"/>
    <x v="1780"/>
    <x v="1"/>
    <x v="1"/>
    <n v="921"/>
    <x v="27"/>
    <x v="12"/>
    <x v="2"/>
    <s v="9.7.66"/>
    <s v="Average"/>
  </r>
  <r>
    <n v="1782"/>
    <n v="693277"/>
    <x v="33"/>
    <x v="6"/>
    <s v="Crashes too often, needs improvement in stability."/>
    <x v="4"/>
    <x v="39"/>
    <x v="1781"/>
    <x v="0"/>
    <x v="0"/>
    <n v="598"/>
    <x v="47"/>
    <x v="24"/>
    <x v="4"/>
    <s v="9.3.38"/>
    <s v="Good"/>
  </r>
  <r>
    <n v="1783"/>
    <n v="7083351"/>
    <x v="7"/>
    <x v="17"/>
    <s v="Qui ut suscipit laboriosam consectetur quam aut libero."/>
    <x v="11"/>
    <x v="17"/>
    <x v="1782"/>
    <x v="1"/>
    <x v="1"/>
    <n v="1061"/>
    <x v="1"/>
    <x v="16"/>
    <x v="4"/>
    <s v="13.2.97.8109"/>
    <s v="Average"/>
  </r>
  <r>
    <n v="1784"/>
    <n v="5976348"/>
    <x v="21"/>
    <x v="14"/>
    <s v="Lange später vorbei fangen wieder anfangen. Man viel schicken sich Minute. Hilfe heraus darauf."/>
    <x v="5"/>
    <x v="3"/>
    <x v="1783"/>
    <x v="0"/>
    <x v="2"/>
    <n v="188"/>
    <x v="44"/>
    <x v="11"/>
    <x v="3"/>
    <s v="8.1.39-beta"/>
    <s v="Average"/>
  </r>
  <r>
    <n v="1785"/>
    <n v="9319833"/>
    <x v="36"/>
    <x v="2"/>
    <s v="Blanditiis blanditiis nulla temporibus. Deserunt ipsa animi doloremque nihil dolorem."/>
    <x v="1"/>
    <x v="39"/>
    <x v="1784"/>
    <x v="1"/>
    <x v="3"/>
    <n v="795"/>
    <x v="16"/>
    <x v="15"/>
    <x v="4"/>
    <s v="13.9.97.183"/>
    <s v="Good"/>
  </r>
  <r>
    <n v="1786"/>
    <n v="9096238"/>
    <x v="4"/>
    <x v="5"/>
    <s v="Crashes too often, needs improvement in stability."/>
    <x v="2"/>
    <x v="20"/>
    <x v="1785"/>
    <x v="0"/>
    <x v="2"/>
    <n v="471"/>
    <x v="31"/>
    <x v="8"/>
    <x v="4"/>
    <s v="4.2.34.6287"/>
    <s v="Very Poor"/>
  </r>
  <r>
    <n v="1787"/>
    <n v="349956"/>
    <x v="1"/>
    <x v="10"/>
    <s v="Perfect for daily use, highly recommend to everyone."/>
    <x v="2"/>
    <x v="12"/>
    <x v="1786"/>
    <x v="1"/>
    <x v="1"/>
    <n v="671"/>
    <x v="54"/>
    <x v="1"/>
    <x v="3"/>
    <s v="v15.4.90"/>
    <s v="Excellent"/>
  </r>
  <r>
    <n v="1788"/>
    <n v="4293002"/>
    <x v="39"/>
    <x v="9"/>
    <s v="Asperiores consectetur debitis aliquam."/>
    <x v="4"/>
    <x v="29"/>
    <x v="1787"/>
    <x v="0"/>
    <x v="0"/>
    <n v="980"/>
    <x v="15"/>
    <x v="15"/>
    <x v="3"/>
    <s v="9.6.71"/>
    <s v="Very Poor"/>
  </r>
  <r>
    <n v="1789"/>
    <n v="4197740"/>
    <x v="34"/>
    <x v="9"/>
    <s v="Consectetur id omnis omnis asperiores."/>
    <x v="1"/>
    <x v="11"/>
    <x v="1788"/>
    <x v="0"/>
    <x v="2"/>
    <n v="86"/>
    <x v="10"/>
    <x v="18"/>
    <x v="0"/>
    <s v="v1.5.52"/>
    <s v="Good"/>
  </r>
  <r>
    <n v="1790"/>
    <n v="3553773"/>
    <x v="39"/>
    <x v="5"/>
    <s v="Some bugs need fixing but generally satisfied with it."/>
    <x v="10"/>
    <x v="13"/>
    <x v="1789"/>
    <x v="1"/>
    <x v="4"/>
    <n v="696"/>
    <x v="60"/>
    <x v="22"/>
    <x v="1"/>
    <s v="1.3.41.1357"/>
    <s v="Average"/>
  </r>
  <r>
    <n v="1791"/>
    <n v="6088766"/>
    <x v="0"/>
    <x v="15"/>
    <s v="見落とす憲法細かい欠乏敵。 クルー評議会ノート不自然な差別する。"/>
    <x v="16"/>
    <x v="3"/>
    <x v="1790"/>
    <x v="0"/>
    <x v="2"/>
    <n v="381"/>
    <x v="2"/>
    <x v="17"/>
    <x v="4"/>
    <s v="4.2.23.9219"/>
    <s v="Average"/>
  </r>
  <r>
    <n v="1792"/>
    <n v="8257211"/>
    <x v="38"/>
    <x v="2"/>
    <s v="Great app but too many ads, consider premium version."/>
    <x v="14"/>
    <x v="29"/>
    <x v="1791"/>
    <x v="0"/>
    <x v="4"/>
    <n v="1082"/>
    <x v="21"/>
    <x v="22"/>
    <x v="2"/>
    <s v="1.8.78-beta"/>
    <s v="Very Poor"/>
  </r>
  <r>
    <n v="1793"/>
    <n v="3515085"/>
    <x v="1"/>
    <x v="13"/>
    <s v="Crashes too often, needs improvement in stability."/>
    <x v="10"/>
    <x v="26"/>
    <x v="1792"/>
    <x v="0"/>
    <x v="0"/>
    <n v="195"/>
    <x v="43"/>
    <x v="12"/>
    <x v="3"/>
    <s v="10.9"/>
    <s v="Average"/>
  </r>
  <r>
    <n v="1794"/>
    <n v="8840844"/>
    <x v="38"/>
    <x v="10"/>
    <s v="This app is amazing! Really love the new features."/>
    <x v="5"/>
    <x v="6"/>
    <x v="1793"/>
    <x v="0"/>
    <x v="2"/>
    <n v="222"/>
    <x v="51"/>
    <x v="5"/>
    <x v="4"/>
    <s v="8.5.15"/>
    <s v="Good"/>
  </r>
  <r>
    <n v="1795"/>
    <n v="9377224"/>
    <x v="22"/>
    <x v="1"/>
    <s v="Crashes too often, needs improvement in stability."/>
    <x v="11"/>
    <x v="15"/>
    <x v="1794"/>
    <x v="0"/>
    <x v="4"/>
    <n v="367"/>
    <x v="60"/>
    <x v="15"/>
    <x v="2"/>
    <s v="14.2"/>
    <s v="Poor"/>
  </r>
  <r>
    <n v="1796"/>
    <n v="6347667"/>
    <x v="1"/>
    <x v="13"/>
    <s v="Great app but too many ads, consider premium version."/>
    <x v="17"/>
    <x v="25"/>
    <x v="1795"/>
    <x v="0"/>
    <x v="0"/>
    <n v="935"/>
    <x v="23"/>
    <x v="23"/>
    <x v="1"/>
    <s v="6.8"/>
    <s v="Poor"/>
  </r>
  <r>
    <n v="1797"/>
    <n v="701759"/>
    <x v="37"/>
    <x v="0"/>
    <s v="Works perfectly on my device, no complaints at all."/>
    <x v="21"/>
    <x v="40"/>
    <x v="1796"/>
    <x v="1"/>
    <x v="0"/>
    <n v="155"/>
    <x v="40"/>
    <x v="0"/>
    <x v="0"/>
    <s v="1.0.45.7154"/>
    <s v="Very Poor"/>
  </r>
  <r>
    <n v="1798"/>
    <n v="7486629"/>
    <x v="18"/>
    <x v="7"/>
    <s v="Wohl am und fröhlich natürlich gefährlich Zahl."/>
    <x v="3"/>
    <x v="14"/>
    <x v="1797"/>
    <x v="0"/>
    <x v="1"/>
    <n v="1084"/>
    <x v="55"/>
    <x v="7"/>
    <x v="4"/>
    <s v="4.5"/>
    <s v="Excellent"/>
  </r>
  <r>
    <n v="1799"/>
    <n v="6541381"/>
    <x v="14"/>
    <x v="9"/>
    <s v="Alt Herz Katze fallen Herr richtig Mama."/>
    <x v="14"/>
    <x v="15"/>
    <x v="1798"/>
    <x v="0"/>
    <x v="0"/>
    <n v="542"/>
    <x v="60"/>
    <x v="7"/>
    <x v="4"/>
    <s v="10.4.24"/>
    <s v="Poor"/>
  </r>
  <r>
    <n v="1800"/>
    <n v="625229"/>
    <x v="36"/>
    <x v="11"/>
    <s v="Мягкий пропаганда термин июнь возбуждение командующий степь. Радость изба банк приходить потом ложиться руководитель применяться. Механический казнь изредка естественный."/>
    <x v="2"/>
    <x v="39"/>
    <x v="1799"/>
    <x v="0"/>
    <x v="4"/>
    <n v="102"/>
    <x v="41"/>
    <x v="2"/>
    <x v="0"/>
    <s v="v5.1.99"/>
    <s v="Good"/>
  </r>
  <r>
    <n v="1801"/>
    <n v="7876282"/>
    <x v="12"/>
    <x v="6"/>
    <s v="This app is amazing! Really love the new features."/>
    <x v="23"/>
    <x v="30"/>
    <x v="1800"/>
    <x v="0"/>
    <x v="3"/>
    <n v="577"/>
    <x v="56"/>
    <x v="1"/>
    <x v="3"/>
    <s v="v6.7.90"/>
    <s v="Average"/>
  </r>
  <r>
    <n v="1802"/>
    <n v="9634543"/>
    <x v="13"/>
    <x v="6"/>
    <s v="Ea vero iusto voluptatibus dolores tenetur eligendi. Assumenda dolorum molestiae excepturi hic. Earum eaque dolorum officiis quo accusamus esse optio."/>
    <x v="8"/>
    <x v="14"/>
    <x v="1801"/>
    <x v="0"/>
    <x v="2"/>
    <n v="1130"/>
    <x v="29"/>
    <x v="16"/>
    <x v="0"/>
    <s v="14.4.56"/>
    <s v="Excellent"/>
  </r>
  <r>
    <n v="1803"/>
    <n v="3099504"/>
    <x v="22"/>
    <x v="8"/>
    <s v="User-friendly design and smooth performance throughout."/>
    <x v="10"/>
    <x v="23"/>
    <x v="1802"/>
    <x v="0"/>
    <x v="3"/>
    <n v="193"/>
    <x v="31"/>
    <x v="7"/>
    <x v="0"/>
    <s v="6.6.67-beta"/>
    <s v="Very Poor"/>
  </r>
  <r>
    <n v="1804"/>
    <n v="389686"/>
    <x v="14"/>
    <x v="13"/>
    <s v="Some bugs need fixing but generally satisfied with it."/>
    <x v="13"/>
    <x v="35"/>
    <x v="1803"/>
    <x v="0"/>
    <x v="4"/>
    <n v="999"/>
    <x v="54"/>
    <x v="20"/>
    <x v="2"/>
    <s v="12.5.75-beta"/>
    <s v="Poor"/>
  </r>
  <r>
    <n v="1805"/>
    <n v="7925556"/>
    <x v="25"/>
    <x v="11"/>
    <s v="Vedere là sistema. Immaginare oggetto avanti studio necessità."/>
    <x v="21"/>
    <x v="8"/>
    <x v="1804"/>
    <x v="0"/>
    <x v="1"/>
    <n v="956"/>
    <x v="0"/>
    <x v="16"/>
    <x v="4"/>
    <s v="v7.5.90"/>
    <s v="Very Poor"/>
  </r>
  <r>
    <n v="1806"/>
    <n v="3116609"/>
    <x v="19"/>
    <x v="6"/>
    <s v="Crashes too often, needs improvement in stability."/>
    <x v="11"/>
    <x v="27"/>
    <x v="1805"/>
    <x v="1"/>
    <x v="2"/>
    <n v="841"/>
    <x v="0"/>
    <x v="23"/>
    <x v="2"/>
    <s v="8.8.82-beta"/>
    <s v="Very Poor"/>
  </r>
  <r>
    <n v="1807"/>
    <n v="4732933"/>
    <x v="26"/>
    <x v="0"/>
    <s v="The interface could be better but overall good experience."/>
    <x v="21"/>
    <x v="15"/>
    <x v="1806"/>
    <x v="0"/>
    <x v="3"/>
    <n v="7"/>
    <x v="58"/>
    <x v="5"/>
    <x v="1"/>
    <s v="1.9.28"/>
    <s v="Poor"/>
  </r>
  <r>
    <n v="1808"/>
    <n v="2234439"/>
    <x v="31"/>
    <x v="7"/>
    <s v="User-friendly design and smooth performance throughout."/>
    <x v="18"/>
    <x v="39"/>
    <x v="1807"/>
    <x v="1"/>
    <x v="4"/>
    <n v="568"/>
    <x v="7"/>
    <x v="4"/>
    <x v="2"/>
    <s v="9.0.44-beta"/>
    <s v="Good"/>
  </r>
  <r>
    <n v="1809"/>
    <n v="3027545"/>
    <x v="5"/>
    <x v="16"/>
    <s v="User-friendly design and smooth performance throughout."/>
    <x v="11"/>
    <x v="8"/>
    <x v="1808"/>
    <x v="1"/>
    <x v="1"/>
    <n v="1217"/>
    <x v="49"/>
    <x v="1"/>
    <x v="4"/>
    <s v="11.9.51-beta"/>
    <s v="Very Poor"/>
  </r>
  <r>
    <n v="1810"/>
    <n v="931808"/>
    <x v="2"/>
    <x v="17"/>
    <s v="Calcio andare presente sorprendere oggetto. Nemmeno decidere umano. Vi affatto situazione sognare muro."/>
    <x v="15"/>
    <x v="17"/>
    <x v="1809"/>
    <x v="0"/>
    <x v="1"/>
    <n v="91"/>
    <x v="10"/>
    <x v="17"/>
    <x v="3"/>
    <s v="6.6.30-beta"/>
    <s v="Average"/>
  </r>
  <r>
    <n v="1811"/>
    <n v="4037559"/>
    <x v="0"/>
    <x v="10"/>
    <s v="The interface could be better but overall good experience."/>
    <x v="18"/>
    <x v="37"/>
    <x v="1810"/>
    <x v="0"/>
    <x v="1"/>
    <n v="1043"/>
    <x v="17"/>
    <x v="18"/>
    <x v="2"/>
    <s v="4.5.69.1977"/>
    <s v="Average"/>
  </r>
  <r>
    <n v="1812"/>
    <n v="1399884"/>
    <x v="5"/>
    <x v="8"/>
    <s v="Excellent customer support and regular feature updates."/>
    <x v="21"/>
    <x v="19"/>
    <x v="1811"/>
    <x v="0"/>
    <x v="4"/>
    <n v="363"/>
    <x v="34"/>
    <x v="23"/>
    <x v="1"/>
    <s v="v5.3.68"/>
    <s v="Poor"/>
  </r>
  <r>
    <n v="1813"/>
    <n v="1998888"/>
    <x v="0"/>
    <x v="0"/>
    <s v="Works perfectly on my device, no complaints at all."/>
    <x v="21"/>
    <x v="30"/>
    <x v="1812"/>
    <x v="0"/>
    <x v="2"/>
    <n v="756"/>
    <x v="18"/>
    <x v="16"/>
    <x v="1"/>
    <s v="3.6.62.1834"/>
    <s v="Average"/>
  </r>
  <r>
    <n v="1814"/>
    <n v="4075843"/>
    <x v="37"/>
    <x v="2"/>
    <s v="Great app but too many ads, consider premium version."/>
    <x v="17"/>
    <x v="32"/>
    <x v="1813"/>
    <x v="0"/>
    <x v="2"/>
    <n v="109"/>
    <x v="32"/>
    <x v="21"/>
    <x v="3"/>
    <s v="v9.2.65"/>
    <s v="Very Poor"/>
  </r>
  <r>
    <n v="1815"/>
    <n v="9669151"/>
    <x v="7"/>
    <x v="7"/>
    <s v="Great app but too many ads, consider premium version."/>
    <x v="22"/>
    <x v="24"/>
    <x v="1814"/>
    <x v="1"/>
    <x v="3"/>
    <n v="338"/>
    <x v="44"/>
    <x v="23"/>
    <x v="0"/>
    <s v="7.9"/>
    <s v="Poor"/>
  </r>
  <r>
    <n v="1816"/>
    <n v="7078813"/>
    <x v="38"/>
    <x v="1"/>
    <s v="Odit soluta corporis eveniet. Ex illum officiis iusto voluptate numquam. Fuga enim corrupti nihil."/>
    <x v="2"/>
    <x v="28"/>
    <x v="1815"/>
    <x v="0"/>
    <x v="0"/>
    <n v="1013"/>
    <x v="25"/>
    <x v="17"/>
    <x v="4"/>
    <s v="v10.4.87"/>
    <s v="Poor"/>
  </r>
  <r>
    <n v="1817"/>
    <n v="3648039"/>
    <x v="25"/>
    <x v="4"/>
    <s v="Great app but too many ads, consider premium version."/>
    <x v="18"/>
    <x v="25"/>
    <x v="1816"/>
    <x v="0"/>
    <x v="3"/>
    <n v="288"/>
    <x v="29"/>
    <x v="10"/>
    <x v="0"/>
    <s v="4.5.31"/>
    <s v="Poor"/>
  </r>
  <r>
    <n v="1818"/>
    <n v="8669737"/>
    <x v="39"/>
    <x v="9"/>
    <s v="Perfect for daily use, highly recommend to everyone."/>
    <x v="21"/>
    <x v="27"/>
    <x v="1817"/>
    <x v="1"/>
    <x v="3"/>
    <n v="773"/>
    <x v="42"/>
    <x v="10"/>
    <x v="1"/>
    <s v="11.5.53.3055"/>
    <s v="Very Poor"/>
  </r>
  <r>
    <n v="1819"/>
    <n v="8625883"/>
    <x v="30"/>
    <x v="15"/>
    <s v="User-friendly design and smooth performance throughout."/>
    <x v="4"/>
    <x v="17"/>
    <x v="1818"/>
    <x v="0"/>
    <x v="1"/>
    <n v="395"/>
    <x v="34"/>
    <x v="14"/>
    <x v="4"/>
    <s v="5.1.7"/>
    <s v="Average"/>
  </r>
  <r>
    <n v="1820"/>
    <n v="5872247"/>
    <x v="35"/>
    <x v="8"/>
    <s v="Fugiat nesciunt omnis corrupti quis. Veritatis vero voluptatibus natus. Occaecati quasi molestiae commodi soluta reiciendis non."/>
    <x v="21"/>
    <x v="35"/>
    <x v="1819"/>
    <x v="0"/>
    <x v="0"/>
    <n v="657"/>
    <x v="20"/>
    <x v="13"/>
    <x v="3"/>
    <s v="15.9"/>
    <s v="Poor"/>
  </r>
  <r>
    <n v="1821"/>
    <n v="8829789"/>
    <x v="15"/>
    <x v="17"/>
    <s v="Works perfectly on my device, no complaints at all."/>
    <x v="19"/>
    <x v="38"/>
    <x v="1820"/>
    <x v="0"/>
    <x v="2"/>
    <n v="787"/>
    <x v="22"/>
    <x v="18"/>
    <x v="4"/>
    <s v="5.7.47"/>
    <s v="Good"/>
  </r>
  <r>
    <n v="1822"/>
    <n v="4616136"/>
    <x v="2"/>
    <x v="1"/>
    <s v="Excellent customer support and regular feature updates."/>
    <x v="19"/>
    <x v="40"/>
    <x v="1821"/>
    <x v="0"/>
    <x v="4"/>
    <n v="910"/>
    <x v="18"/>
    <x v="16"/>
    <x v="3"/>
    <s v="6.4"/>
    <s v="Very Poor"/>
  </r>
  <r>
    <n v="1823"/>
    <n v="5016819"/>
    <x v="5"/>
    <x v="15"/>
    <s v="Perfect for daily use, highly recommend to everyone."/>
    <x v="21"/>
    <x v="18"/>
    <x v="1822"/>
    <x v="0"/>
    <x v="4"/>
    <n v="105"/>
    <x v="17"/>
    <x v="4"/>
    <x v="3"/>
    <s v="8.0.92-beta"/>
    <s v="Average"/>
  </r>
  <r>
    <n v="1824"/>
    <n v="5614410"/>
    <x v="23"/>
    <x v="7"/>
    <s v="Works perfectly on my device, no complaints at all."/>
    <x v="9"/>
    <x v="33"/>
    <x v="1823"/>
    <x v="1"/>
    <x v="4"/>
    <n v="1243"/>
    <x v="26"/>
    <x v="15"/>
    <x v="3"/>
    <s v="1.2.21"/>
    <s v="Poor"/>
  </r>
  <r>
    <n v="1825"/>
    <n v="6172764"/>
    <x v="18"/>
    <x v="17"/>
    <s v="Lay security break drop run."/>
    <x v="6"/>
    <x v="25"/>
    <x v="1824"/>
    <x v="0"/>
    <x v="3"/>
    <n v="137"/>
    <x v="26"/>
    <x v="15"/>
    <x v="3"/>
    <s v="v11.3.55"/>
    <s v="Poor"/>
  </r>
  <r>
    <n v="1826"/>
    <n v="6171358"/>
    <x v="7"/>
    <x v="7"/>
    <s v="为了帖子一点经验. 最后责任最后之间一定以下手机当然. 登录提高欢迎状态发表如何帖子发布."/>
    <x v="12"/>
    <x v="32"/>
    <x v="1825"/>
    <x v="1"/>
    <x v="3"/>
    <n v="237"/>
    <x v="15"/>
    <x v="16"/>
    <x v="1"/>
    <s v="10.0"/>
    <s v="Very Poor"/>
  </r>
  <r>
    <n v="1827"/>
    <n v="3423637"/>
    <x v="20"/>
    <x v="0"/>
    <s v="Soluta accusamus blanditiis ea. Quae iusto aut sit rerum ad cumque. Consequatur sint ullam temporibus."/>
    <x v="8"/>
    <x v="36"/>
    <x v="1826"/>
    <x v="0"/>
    <x v="3"/>
    <n v="1190"/>
    <x v="57"/>
    <x v="4"/>
    <x v="4"/>
    <s v="5.0"/>
    <s v="Poor"/>
  </r>
  <r>
    <n v="1828"/>
    <n v="6849767"/>
    <x v="34"/>
    <x v="6"/>
    <s v="Some bugs need fixing but generally satisfied with it."/>
    <x v="3"/>
    <x v="22"/>
    <x v="1827"/>
    <x v="0"/>
    <x v="1"/>
    <n v="892"/>
    <x v="48"/>
    <x v="13"/>
    <x v="4"/>
    <s v="2.7"/>
    <s v="Poor"/>
  </r>
  <r>
    <n v="1829"/>
    <n v="4150605"/>
    <x v="10"/>
    <x v="5"/>
    <s v="User-friendly design and smooth performance throughout."/>
    <x v="15"/>
    <x v="28"/>
    <x v="1828"/>
    <x v="0"/>
    <x v="3"/>
    <n v="208"/>
    <x v="30"/>
    <x v="15"/>
    <x v="3"/>
    <s v="8.2"/>
    <s v="Poor"/>
  </r>
  <r>
    <n v="1830"/>
    <n v="2096986"/>
    <x v="18"/>
    <x v="5"/>
    <s v="This app is amazing! Really love the new features."/>
    <x v="6"/>
    <x v="28"/>
    <x v="1829"/>
    <x v="0"/>
    <x v="2"/>
    <n v="445"/>
    <x v="45"/>
    <x v="22"/>
    <x v="2"/>
    <s v="12.1.71"/>
    <s v="Poor"/>
  </r>
  <r>
    <n v="1831"/>
    <n v="1908110"/>
    <x v="10"/>
    <x v="15"/>
    <s v="Attorno tenere uguale. Perciò rappresentare interessare riconoscere produzione quindi."/>
    <x v="20"/>
    <x v="32"/>
    <x v="1830"/>
    <x v="1"/>
    <x v="0"/>
    <n v="976"/>
    <x v="3"/>
    <x v="0"/>
    <x v="0"/>
    <s v="15.0"/>
    <s v="Very Poor"/>
  </r>
  <r>
    <n v="1832"/>
    <n v="9991144"/>
    <x v="17"/>
    <x v="7"/>
    <s v="ソース残る溝ニュース指名トーン腐った。 改善保証金虐待マリンログ移動運。"/>
    <x v="23"/>
    <x v="22"/>
    <x v="1831"/>
    <x v="0"/>
    <x v="2"/>
    <n v="405"/>
    <x v="15"/>
    <x v="6"/>
    <x v="4"/>
    <s v="4.8.54"/>
    <s v="Poor"/>
  </r>
  <r>
    <n v="1833"/>
    <n v="8626649"/>
    <x v="9"/>
    <x v="12"/>
    <s v="No Review"/>
    <x v="11"/>
    <x v="2"/>
    <x v="1832"/>
    <x v="1"/>
    <x v="2"/>
    <n v="598"/>
    <x v="3"/>
    <x v="8"/>
    <x v="1"/>
    <s v="1.8.89-beta"/>
    <s v="Average"/>
  </r>
  <r>
    <n v="1834"/>
    <n v="3634635"/>
    <x v="40"/>
    <x v="6"/>
    <s v="User-friendly design and smooth performance throughout."/>
    <x v="14"/>
    <x v="25"/>
    <x v="1833"/>
    <x v="0"/>
    <x v="2"/>
    <n v="885"/>
    <x v="34"/>
    <x v="18"/>
    <x v="1"/>
    <s v="12.9"/>
    <s v="Poor"/>
  </r>
  <r>
    <n v="1835"/>
    <n v="4768364"/>
    <x v="19"/>
    <x v="10"/>
    <s v="Crashes too often, needs improvement in stability."/>
    <x v="7"/>
    <x v="4"/>
    <x v="1834"/>
    <x v="1"/>
    <x v="4"/>
    <n v="1129"/>
    <x v="12"/>
    <x v="13"/>
    <x v="4"/>
    <s v="14.6.96.3833"/>
    <s v="Average"/>
  </r>
  <r>
    <n v="1836"/>
    <n v="5374209"/>
    <x v="13"/>
    <x v="8"/>
    <s v="Fondare cominciare egli maggio."/>
    <x v="1"/>
    <x v="32"/>
    <x v="1835"/>
    <x v="0"/>
    <x v="2"/>
    <n v="721"/>
    <x v="29"/>
    <x v="10"/>
    <x v="0"/>
    <s v="11.6.66-beta"/>
    <s v="Very Poor"/>
  </r>
  <r>
    <n v="1837"/>
    <n v="4939871"/>
    <x v="32"/>
    <x v="7"/>
    <s v="User-friendly design and smooth performance throughout."/>
    <x v="4"/>
    <x v="7"/>
    <x v="1836"/>
    <x v="0"/>
    <x v="4"/>
    <n v="961"/>
    <x v="5"/>
    <x v="6"/>
    <x v="1"/>
    <s v="v11.1.83"/>
    <s v="Very Poor"/>
  </r>
  <r>
    <n v="1838"/>
    <n v="1880388"/>
    <x v="25"/>
    <x v="12"/>
    <s v="敵対的なトスリフト証言する軸。 脊椎仕上げメニュー。"/>
    <x v="6"/>
    <x v="34"/>
    <x v="1837"/>
    <x v="0"/>
    <x v="0"/>
    <n v="256"/>
    <x v="40"/>
    <x v="0"/>
    <x v="0"/>
    <s v="11.9"/>
    <s v="Average"/>
  </r>
  <r>
    <n v="1839"/>
    <n v="211821"/>
    <x v="17"/>
    <x v="8"/>
    <s v="Rerum ad dicta velit necessitatibus quasi maxime. Eos autem provident sapiente ipsam inventore ea."/>
    <x v="17"/>
    <x v="27"/>
    <x v="1838"/>
    <x v="0"/>
    <x v="2"/>
    <n v="70"/>
    <x v="38"/>
    <x v="11"/>
    <x v="4"/>
    <s v="5.5"/>
    <s v="Very Poor"/>
  </r>
  <r>
    <n v="1840"/>
    <n v="4771669"/>
    <x v="2"/>
    <x v="0"/>
    <s v="Perfect for daily use, highly recommend to everyone."/>
    <x v="16"/>
    <x v="20"/>
    <x v="1839"/>
    <x v="1"/>
    <x v="1"/>
    <n v="1239"/>
    <x v="33"/>
    <x v="11"/>
    <x v="1"/>
    <s v="v1.9.52"/>
    <s v="Very Poor"/>
  </r>
  <r>
    <n v="1841"/>
    <n v="2053918"/>
    <x v="12"/>
    <x v="15"/>
    <s v="サワー偏差画面主人教授ダッシュ。"/>
    <x v="8"/>
    <x v="8"/>
    <x v="1840"/>
    <x v="1"/>
    <x v="2"/>
    <n v="443"/>
    <x v="19"/>
    <x v="5"/>
    <x v="1"/>
    <s v="3.6.89.7977"/>
    <s v="Very Poor"/>
  </r>
  <r>
    <n v="1842"/>
    <n v="8704096"/>
    <x v="29"/>
    <x v="1"/>
    <s v="Zachowywać Się składać wpaść telefon."/>
    <x v="9"/>
    <x v="9"/>
    <x v="1841"/>
    <x v="1"/>
    <x v="0"/>
    <n v="649"/>
    <x v="23"/>
    <x v="4"/>
    <x v="2"/>
    <s v="v6.4.86"/>
    <s v="Excellent"/>
  </r>
  <r>
    <n v="1843"/>
    <n v="8845909"/>
    <x v="28"/>
    <x v="17"/>
    <s v="Perfect for daily use, highly recommend to everyone."/>
    <x v="2"/>
    <x v="31"/>
    <x v="1842"/>
    <x v="0"/>
    <x v="1"/>
    <n v="1190"/>
    <x v="42"/>
    <x v="24"/>
    <x v="1"/>
    <s v="4.1.2.8767"/>
    <s v="Good"/>
  </r>
  <r>
    <n v="1844"/>
    <n v="9464543"/>
    <x v="1"/>
    <x v="12"/>
    <s v="Animer particulier accord chaleur ferme très plein discussion."/>
    <x v="6"/>
    <x v="1"/>
    <x v="1843"/>
    <x v="0"/>
    <x v="4"/>
    <n v="517"/>
    <x v="0"/>
    <x v="5"/>
    <x v="1"/>
    <s v="9.5.91"/>
    <s v="Very Poor"/>
  </r>
  <r>
    <n v="1845"/>
    <n v="3239098"/>
    <x v="7"/>
    <x v="10"/>
    <s v="图片价格国内到了工具您的我们. 怎么作品部门工作. 或者经营同时点击无法."/>
    <x v="5"/>
    <x v="30"/>
    <x v="1844"/>
    <x v="0"/>
    <x v="4"/>
    <n v="429"/>
    <x v="7"/>
    <x v="23"/>
    <x v="1"/>
    <s v="9.7"/>
    <s v="Average"/>
  </r>
  <r>
    <n v="1846"/>
    <n v="3990524"/>
    <x v="25"/>
    <x v="12"/>
    <s v="This app is amazing! Really love the new features."/>
    <x v="23"/>
    <x v="22"/>
    <x v="1845"/>
    <x v="0"/>
    <x v="0"/>
    <n v="3"/>
    <x v="39"/>
    <x v="19"/>
    <x v="3"/>
    <s v="v3.1.5"/>
    <s v="Poor"/>
  </r>
  <r>
    <n v="1847"/>
    <n v="8237955"/>
    <x v="4"/>
    <x v="12"/>
    <s v="Crashes too often, needs improvement in stability."/>
    <x v="15"/>
    <x v="20"/>
    <x v="1846"/>
    <x v="1"/>
    <x v="1"/>
    <n v="866"/>
    <x v="62"/>
    <x v="8"/>
    <x v="2"/>
    <s v="3.0"/>
    <s v="Very Poor"/>
  </r>
  <r>
    <n v="1848"/>
    <n v="6680192"/>
    <x v="28"/>
    <x v="8"/>
    <s v="User-friendly design and smooth performance throughout."/>
    <x v="4"/>
    <x v="24"/>
    <x v="1847"/>
    <x v="0"/>
    <x v="1"/>
    <n v="130"/>
    <x v="20"/>
    <x v="13"/>
    <x v="2"/>
    <s v="10.8.63-beta"/>
    <s v="Poor"/>
  </r>
  <r>
    <n v="1849"/>
    <n v="9216962"/>
    <x v="4"/>
    <x v="1"/>
    <s v="User-friendly design and smooth performance throughout."/>
    <x v="7"/>
    <x v="7"/>
    <x v="1848"/>
    <x v="0"/>
    <x v="1"/>
    <n v="239"/>
    <x v="54"/>
    <x v="24"/>
    <x v="3"/>
    <s v="10.7.82"/>
    <s v="Very Poor"/>
  </r>
  <r>
    <n v="1850"/>
    <n v="1719558"/>
    <x v="13"/>
    <x v="1"/>
    <s v="Excellent customer support and regular feature updates."/>
    <x v="15"/>
    <x v="36"/>
    <x v="1849"/>
    <x v="0"/>
    <x v="1"/>
    <n v="82"/>
    <x v="18"/>
    <x v="6"/>
    <x v="1"/>
    <s v="5.1.68"/>
    <s v="Poor"/>
  </r>
  <r>
    <n v="1851"/>
    <n v="4919613"/>
    <x v="4"/>
    <x v="0"/>
    <s v="Crashes too often, needs improvement in stability."/>
    <x v="2"/>
    <x v="25"/>
    <x v="1850"/>
    <x v="0"/>
    <x v="1"/>
    <n v="626"/>
    <x v="41"/>
    <x v="20"/>
    <x v="0"/>
    <s v="13.8"/>
    <s v="Poor"/>
  </r>
  <r>
    <n v="1852"/>
    <n v="5559256"/>
    <x v="1"/>
    <x v="1"/>
    <s v="This app is amazing! Really love the new features."/>
    <x v="4"/>
    <x v="19"/>
    <x v="1851"/>
    <x v="1"/>
    <x v="4"/>
    <n v="727"/>
    <x v="57"/>
    <x v="10"/>
    <x v="4"/>
    <s v="9.5.53"/>
    <s v="Poor"/>
  </r>
  <r>
    <n v="1853"/>
    <n v="7228056"/>
    <x v="16"/>
    <x v="4"/>
    <s v="This app is amazing! Really love the new features."/>
    <x v="11"/>
    <x v="6"/>
    <x v="1852"/>
    <x v="0"/>
    <x v="3"/>
    <n v="1215"/>
    <x v="9"/>
    <x v="15"/>
    <x v="2"/>
    <s v="v13.3.86"/>
    <s v="Good"/>
  </r>
  <r>
    <n v="1854"/>
    <n v="7896975"/>
    <x v="34"/>
    <x v="5"/>
    <s v="Crashes too often, needs improvement in stability."/>
    <x v="15"/>
    <x v="13"/>
    <x v="1853"/>
    <x v="1"/>
    <x v="1"/>
    <n v="44"/>
    <x v="40"/>
    <x v="21"/>
    <x v="3"/>
    <s v="13.1.97"/>
    <s v="Average"/>
  </r>
  <r>
    <n v="1855"/>
    <n v="2004822"/>
    <x v="27"/>
    <x v="9"/>
    <s v="This app is amazing! Really love the new features."/>
    <x v="8"/>
    <x v="16"/>
    <x v="1854"/>
    <x v="1"/>
    <x v="3"/>
    <n v="875"/>
    <x v="60"/>
    <x v="17"/>
    <x v="1"/>
    <s v="v6.7.68"/>
    <s v="Excellent"/>
  </r>
  <r>
    <n v="1856"/>
    <n v="6778830"/>
    <x v="20"/>
    <x v="12"/>
    <s v="User-friendly design and smooth performance throughout."/>
    <x v="9"/>
    <x v="29"/>
    <x v="1855"/>
    <x v="0"/>
    <x v="4"/>
    <n v="240"/>
    <x v="8"/>
    <x v="10"/>
    <x v="2"/>
    <s v="14.7.7.4240"/>
    <s v="Very Poor"/>
  </r>
  <r>
    <n v="1857"/>
    <n v="8215789"/>
    <x v="20"/>
    <x v="12"/>
    <s v="Works perfectly on my device, no complaints at all."/>
    <x v="15"/>
    <x v="10"/>
    <x v="1856"/>
    <x v="0"/>
    <x v="3"/>
    <n v="1159"/>
    <x v="48"/>
    <x v="17"/>
    <x v="3"/>
    <s v="4.0"/>
    <s v="Poor"/>
  </r>
  <r>
    <n v="1858"/>
    <n v="7012261"/>
    <x v="17"/>
    <x v="1"/>
    <s v="Some bugs need fixing but generally satisfied with it."/>
    <x v="21"/>
    <x v="30"/>
    <x v="1857"/>
    <x v="0"/>
    <x v="1"/>
    <n v="827"/>
    <x v="3"/>
    <x v="4"/>
    <x v="0"/>
    <s v="9.1.59.7247"/>
    <s v="Average"/>
  </r>
  <r>
    <n v="1859"/>
    <n v="585910"/>
    <x v="18"/>
    <x v="11"/>
    <s v="The interface could be better but overall good experience."/>
    <x v="1"/>
    <x v="12"/>
    <x v="1858"/>
    <x v="0"/>
    <x v="0"/>
    <n v="761"/>
    <x v="45"/>
    <x v="13"/>
    <x v="1"/>
    <s v="2.8"/>
    <s v="Excellent"/>
  </r>
  <r>
    <n v="1860"/>
    <n v="8614225"/>
    <x v="12"/>
    <x v="15"/>
    <s v="Works perfectly on my device, no complaints at all."/>
    <x v="15"/>
    <x v="19"/>
    <x v="1859"/>
    <x v="0"/>
    <x v="4"/>
    <n v="677"/>
    <x v="20"/>
    <x v="1"/>
    <x v="0"/>
    <s v="4.7"/>
    <s v="Poor"/>
  </r>
  <r>
    <n v="1861"/>
    <n v="1120109"/>
    <x v="5"/>
    <x v="15"/>
    <s v="This app is amazing! Really love the new features."/>
    <x v="20"/>
    <x v="40"/>
    <x v="1860"/>
    <x v="1"/>
    <x v="4"/>
    <n v="507"/>
    <x v="38"/>
    <x v="1"/>
    <x v="4"/>
    <s v="2.1.14"/>
    <s v="Very Poor"/>
  </r>
  <r>
    <n v="1862"/>
    <n v="5522262"/>
    <x v="25"/>
    <x v="15"/>
    <s v="Бабочка обида вывести социалистический блин. Картинка передо деловой."/>
    <x v="15"/>
    <x v="29"/>
    <x v="1861"/>
    <x v="0"/>
    <x v="0"/>
    <n v="245"/>
    <x v="56"/>
    <x v="15"/>
    <x v="1"/>
    <s v="v3.6.56"/>
    <s v="Very Poor"/>
  </r>
  <r>
    <n v="1863"/>
    <n v="5275949"/>
    <x v="3"/>
    <x v="5"/>
    <s v="User-friendly design and smooth performance throughout."/>
    <x v="17"/>
    <x v="18"/>
    <x v="1862"/>
    <x v="0"/>
    <x v="2"/>
    <n v="822"/>
    <x v="27"/>
    <x v="23"/>
    <x v="4"/>
    <s v="v7.1.68"/>
    <s v="Average"/>
  </r>
  <r>
    <n v="1864"/>
    <n v="3812966"/>
    <x v="25"/>
    <x v="11"/>
    <s v="Excellent customer support and regular feature updates."/>
    <x v="7"/>
    <x v="31"/>
    <x v="1863"/>
    <x v="0"/>
    <x v="3"/>
    <n v="114"/>
    <x v="61"/>
    <x v="20"/>
    <x v="3"/>
    <s v="v3.3.17"/>
    <s v="Good"/>
  </r>
  <r>
    <n v="1865"/>
    <n v="9092807"/>
    <x v="11"/>
    <x v="4"/>
    <s v="User-friendly design and smooth performance throughout."/>
    <x v="13"/>
    <x v="25"/>
    <x v="1864"/>
    <x v="1"/>
    <x v="1"/>
    <n v="269"/>
    <x v="34"/>
    <x v="9"/>
    <x v="3"/>
    <s v="1.7.91"/>
    <s v="Poor"/>
  </r>
  <r>
    <n v="1866"/>
    <n v="1950788"/>
    <x v="3"/>
    <x v="2"/>
    <s v="This app is amazing! Really love the new features."/>
    <x v="2"/>
    <x v="10"/>
    <x v="1865"/>
    <x v="1"/>
    <x v="0"/>
    <n v="1163"/>
    <x v="50"/>
    <x v="13"/>
    <x v="0"/>
    <s v="v5.9.31"/>
    <s v="Poor"/>
  </r>
  <r>
    <n v="1867"/>
    <n v="5631182"/>
    <x v="39"/>
    <x v="17"/>
    <s v="No Review"/>
    <x v="3"/>
    <x v="11"/>
    <x v="1866"/>
    <x v="0"/>
    <x v="4"/>
    <n v="1193"/>
    <x v="45"/>
    <x v="23"/>
    <x v="1"/>
    <s v="8.7.75.3734"/>
    <s v="Good"/>
  </r>
  <r>
    <n v="1868"/>
    <n v="9155792"/>
    <x v="16"/>
    <x v="17"/>
    <s v="Excellent customer support and regular feature updates."/>
    <x v="7"/>
    <x v="1"/>
    <x v="1867"/>
    <x v="1"/>
    <x v="1"/>
    <n v="959"/>
    <x v="0"/>
    <x v="10"/>
    <x v="4"/>
    <s v="10.6.5-beta"/>
    <s v="Very Poor"/>
  </r>
  <r>
    <n v="1869"/>
    <n v="454296"/>
    <x v="9"/>
    <x v="12"/>
    <s v="Great app but too many ads, consider premium version."/>
    <x v="2"/>
    <x v="2"/>
    <x v="1868"/>
    <x v="0"/>
    <x v="2"/>
    <n v="1197"/>
    <x v="52"/>
    <x v="2"/>
    <x v="4"/>
    <s v="4.1.87"/>
    <s v="Average"/>
  </r>
  <r>
    <n v="1870"/>
    <n v="1614189"/>
    <x v="4"/>
    <x v="13"/>
    <s v="Latest update broke some features, please fix soon."/>
    <x v="21"/>
    <x v="10"/>
    <x v="1869"/>
    <x v="1"/>
    <x v="1"/>
    <n v="688"/>
    <x v="53"/>
    <x v="18"/>
    <x v="4"/>
    <s v="3.3.54-beta"/>
    <s v="Poor"/>
  </r>
  <r>
    <n v="1871"/>
    <n v="5691646"/>
    <x v="35"/>
    <x v="0"/>
    <s v="Latest update broke some features, please fix soon."/>
    <x v="15"/>
    <x v="37"/>
    <x v="1870"/>
    <x v="0"/>
    <x v="2"/>
    <n v="899"/>
    <x v="25"/>
    <x v="12"/>
    <x v="4"/>
    <s v="3.7.92"/>
    <s v="Average"/>
  </r>
  <r>
    <n v="1872"/>
    <n v="9376025"/>
    <x v="24"/>
    <x v="17"/>
    <s v="Latest update broke some features, please fix soon."/>
    <x v="8"/>
    <x v="23"/>
    <x v="1871"/>
    <x v="1"/>
    <x v="1"/>
    <n v="82"/>
    <x v="21"/>
    <x v="7"/>
    <x v="2"/>
    <s v="7.2.60"/>
    <s v="Very Poor"/>
  </r>
  <r>
    <n v="1873"/>
    <n v="925694"/>
    <x v="23"/>
    <x v="0"/>
    <s v="Excellent customer support and regular feature updates."/>
    <x v="12"/>
    <x v="7"/>
    <x v="1872"/>
    <x v="0"/>
    <x v="1"/>
    <n v="693"/>
    <x v="54"/>
    <x v="22"/>
    <x v="0"/>
    <s v="1.5"/>
    <s v="Very Poor"/>
  </r>
  <r>
    <n v="1874"/>
    <n v="6174992"/>
    <x v="1"/>
    <x v="10"/>
    <s v="Latest update broke some features, please fix soon."/>
    <x v="13"/>
    <x v="9"/>
    <x v="1873"/>
    <x v="0"/>
    <x v="2"/>
    <n v="935"/>
    <x v="57"/>
    <x v="7"/>
    <x v="0"/>
    <s v="8.4.23.3380"/>
    <s v="Excellent"/>
  </r>
  <r>
    <n v="1875"/>
    <n v="2733903"/>
    <x v="19"/>
    <x v="3"/>
    <s v="This app is amazing! Really love the new features."/>
    <x v="18"/>
    <x v="24"/>
    <x v="1874"/>
    <x v="0"/>
    <x v="2"/>
    <n v="138"/>
    <x v="11"/>
    <x v="20"/>
    <x v="3"/>
    <s v="14.5.15"/>
    <s v="Poor"/>
  </r>
  <r>
    <n v="1876"/>
    <n v="6735829"/>
    <x v="21"/>
    <x v="4"/>
    <s v="The interface could be better but overall good experience."/>
    <x v="23"/>
    <x v="25"/>
    <x v="1875"/>
    <x v="1"/>
    <x v="4"/>
    <n v="1147"/>
    <x v="37"/>
    <x v="5"/>
    <x v="0"/>
    <s v="v4.7.8"/>
    <s v="Poor"/>
  </r>
  <r>
    <n v="1877"/>
    <n v="3947593"/>
    <x v="14"/>
    <x v="10"/>
    <s v="Stück weiter ging Essen Seite."/>
    <x v="14"/>
    <x v="17"/>
    <x v="1876"/>
    <x v="0"/>
    <x v="2"/>
    <n v="563"/>
    <x v="23"/>
    <x v="0"/>
    <x v="3"/>
    <s v="10.3.29-beta"/>
    <s v="Average"/>
  </r>
  <r>
    <n v="1878"/>
    <n v="705237"/>
    <x v="39"/>
    <x v="6"/>
    <s v="This app is amazing! Really love the new features."/>
    <x v="18"/>
    <x v="1"/>
    <x v="1877"/>
    <x v="0"/>
    <x v="4"/>
    <n v="1148"/>
    <x v="15"/>
    <x v="6"/>
    <x v="2"/>
    <s v="9.2.52"/>
    <s v="Very Poor"/>
  </r>
  <r>
    <n v="1879"/>
    <n v="8934133"/>
    <x v="3"/>
    <x v="13"/>
    <s v="This app is amazing! Really love the new features."/>
    <x v="14"/>
    <x v="20"/>
    <x v="1878"/>
    <x v="0"/>
    <x v="4"/>
    <n v="671"/>
    <x v="44"/>
    <x v="21"/>
    <x v="4"/>
    <s v="3.3.76.5298"/>
    <s v="Very Poor"/>
  </r>
  <r>
    <n v="1880"/>
    <n v="6776281"/>
    <x v="29"/>
    <x v="6"/>
    <s v="This app is amazing! Really love the new features."/>
    <x v="16"/>
    <x v="14"/>
    <x v="1879"/>
    <x v="0"/>
    <x v="3"/>
    <n v="579"/>
    <x v="23"/>
    <x v="0"/>
    <x v="2"/>
    <s v="4.2.25.226"/>
    <s v="Excellent"/>
  </r>
  <r>
    <n v="1881"/>
    <n v="809427"/>
    <x v="26"/>
    <x v="11"/>
    <s v="Great app but too many ads, consider premium version."/>
    <x v="6"/>
    <x v="3"/>
    <x v="1880"/>
    <x v="0"/>
    <x v="0"/>
    <n v="664"/>
    <x v="26"/>
    <x v="16"/>
    <x v="4"/>
    <s v="8.8.80-beta"/>
    <s v="Average"/>
  </r>
  <r>
    <n v="1882"/>
    <n v="5157767"/>
    <x v="5"/>
    <x v="11"/>
    <s v="Excellent customer support and regular feature updates."/>
    <x v="19"/>
    <x v="13"/>
    <x v="1881"/>
    <x v="0"/>
    <x v="2"/>
    <n v="912"/>
    <x v="22"/>
    <x v="13"/>
    <x v="2"/>
    <s v="5.9"/>
    <s v="Average"/>
  </r>
  <r>
    <n v="1883"/>
    <n v="4249152"/>
    <x v="15"/>
    <x v="12"/>
    <s v="Earum commodi quos."/>
    <x v="15"/>
    <x v="21"/>
    <x v="1882"/>
    <x v="0"/>
    <x v="1"/>
    <n v="821"/>
    <x v="36"/>
    <x v="12"/>
    <x v="2"/>
    <s v="v13.3.83"/>
    <s v="Excellent"/>
  </r>
  <r>
    <n v="1884"/>
    <n v="2301056"/>
    <x v="4"/>
    <x v="12"/>
    <s v="This app is amazing! Really love the new features."/>
    <x v="11"/>
    <x v="4"/>
    <x v="1883"/>
    <x v="1"/>
    <x v="3"/>
    <n v="859"/>
    <x v="37"/>
    <x v="13"/>
    <x v="3"/>
    <s v="2.6.91-beta"/>
    <s v="Average"/>
  </r>
  <r>
    <n v="1885"/>
    <n v="4629825"/>
    <x v="31"/>
    <x v="16"/>
    <s v="Excellent customer support and regular feature updates."/>
    <x v="7"/>
    <x v="2"/>
    <x v="1884"/>
    <x v="0"/>
    <x v="0"/>
    <n v="1101"/>
    <x v="48"/>
    <x v="11"/>
    <x v="0"/>
    <s v="8.2.54"/>
    <s v="Average"/>
  </r>
  <r>
    <n v="1886"/>
    <n v="1383911"/>
    <x v="2"/>
    <x v="16"/>
    <s v="帖子男人可是没有."/>
    <x v="11"/>
    <x v="4"/>
    <x v="1885"/>
    <x v="0"/>
    <x v="1"/>
    <n v="901"/>
    <x v="33"/>
    <x v="18"/>
    <x v="1"/>
    <s v="12.4.45.9792"/>
    <s v="Average"/>
  </r>
  <r>
    <n v="1887"/>
    <n v="2647579"/>
    <x v="22"/>
    <x v="13"/>
    <s v="This app is amazing! Really love the new features."/>
    <x v="7"/>
    <x v="13"/>
    <x v="1886"/>
    <x v="1"/>
    <x v="2"/>
    <n v="961"/>
    <x v="23"/>
    <x v="20"/>
    <x v="3"/>
    <s v="7.9.22.7080"/>
    <s v="Average"/>
  </r>
  <r>
    <n v="1888"/>
    <n v="9968287"/>
    <x v="40"/>
    <x v="5"/>
    <s v="ボトル戦略的呼ぶスペル転倒バーゲン。 楽しんでスキーム彼埋め込むトーン。 ストレージ君は電話ホイール舗装月。"/>
    <x v="6"/>
    <x v="14"/>
    <x v="1887"/>
    <x v="0"/>
    <x v="1"/>
    <n v="1202"/>
    <x v="56"/>
    <x v="22"/>
    <x v="0"/>
    <s v="14.3.0.441"/>
    <s v="Excellent"/>
  </r>
  <r>
    <n v="1889"/>
    <n v="388778"/>
    <x v="8"/>
    <x v="8"/>
    <s v="Excellent customer support and regular feature updates."/>
    <x v="2"/>
    <x v="3"/>
    <x v="1888"/>
    <x v="1"/>
    <x v="2"/>
    <n v="63"/>
    <x v="57"/>
    <x v="24"/>
    <x v="1"/>
    <s v="13.0.42.8047"/>
    <s v="Average"/>
  </r>
  <r>
    <n v="1890"/>
    <n v="6704270"/>
    <x v="33"/>
    <x v="14"/>
    <s v="Excellent customer support and regular feature updates."/>
    <x v="11"/>
    <x v="14"/>
    <x v="1889"/>
    <x v="1"/>
    <x v="0"/>
    <n v="56"/>
    <x v="38"/>
    <x v="17"/>
    <x v="1"/>
    <s v="v6.6.93"/>
    <s v="Excellent"/>
  </r>
  <r>
    <n v="1891"/>
    <n v="9270114"/>
    <x v="12"/>
    <x v="1"/>
    <s v="Iste neque ad quo. Fuga natus odit ex repellat voluptate atque. Dignissimos velit nisi assumenda."/>
    <x v="15"/>
    <x v="34"/>
    <x v="1890"/>
    <x v="1"/>
    <x v="1"/>
    <n v="581"/>
    <x v="57"/>
    <x v="1"/>
    <x v="4"/>
    <s v="v14.7.4"/>
    <s v="Average"/>
  </r>
  <r>
    <n v="1892"/>
    <n v="8044257"/>
    <x v="35"/>
    <x v="9"/>
    <s v="Quam necessitatibus doloremque quisquam dolorum est excepturi. Alias porro nisi sit."/>
    <x v="23"/>
    <x v="6"/>
    <x v="1891"/>
    <x v="1"/>
    <x v="1"/>
    <n v="767"/>
    <x v="3"/>
    <x v="13"/>
    <x v="2"/>
    <s v="7.2.10-beta"/>
    <s v="Good"/>
  </r>
  <r>
    <n v="1893"/>
    <n v="3610199"/>
    <x v="40"/>
    <x v="15"/>
    <s v="Latest update broke some features, please fix soon."/>
    <x v="22"/>
    <x v="37"/>
    <x v="1892"/>
    <x v="0"/>
    <x v="3"/>
    <n v="1030"/>
    <x v="8"/>
    <x v="17"/>
    <x v="0"/>
    <s v="3.7"/>
    <s v="Average"/>
  </r>
  <r>
    <n v="1894"/>
    <n v="8299476"/>
    <x v="33"/>
    <x v="17"/>
    <s v="Silnik jednocześnie jasny działalność jeździć wczesny żydowski."/>
    <x v="22"/>
    <x v="28"/>
    <x v="1893"/>
    <x v="0"/>
    <x v="4"/>
    <n v="29"/>
    <x v="46"/>
    <x v="8"/>
    <x v="4"/>
    <s v="12.3.73.9589"/>
    <s v="Poor"/>
  </r>
  <r>
    <n v="1895"/>
    <n v="1862343"/>
    <x v="35"/>
    <x v="15"/>
    <s v="Latest update broke some features, please fix soon."/>
    <x v="22"/>
    <x v="37"/>
    <x v="1894"/>
    <x v="1"/>
    <x v="0"/>
    <n v="777"/>
    <x v="16"/>
    <x v="19"/>
    <x v="3"/>
    <s v="15.5.53-beta"/>
    <s v="Average"/>
  </r>
  <r>
    <n v="1896"/>
    <n v="1400308"/>
    <x v="31"/>
    <x v="12"/>
    <s v="Jej jak typowy położyć właściwy zaraz. Państwo niedziela pić usuwać. Pani tablica umrzeć co jeść wątpliwość wyjście."/>
    <x v="11"/>
    <x v="6"/>
    <x v="1895"/>
    <x v="1"/>
    <x v="0"/>
    <n v="762"/>
    <x v="58"/>
    <x v="17"/>
    <x v="2"/>
    <s v="6.7.83-beta"/>
    <s v="Good"/>
  </r>
  <r>
    <n v="1897"/>
    <n v="4648431"/>
    <x v="33"/>
    <x v="6"/>
    <s v="Great app but too many ads, consider premium version."/>
    <x v="17"/>
    <x v="12"/>
    <x v="1896"/>
    <x v="0"/>
    <x v="4"/>
    <n v="1005"/>
    <x v="49"/>
    <x v="3"/>
    <x v="3"/>
    <s v="9.5.82.2289"/>
    <s v="Excellent"/>
  </r>
  <r>
    <n v="1898"/>
    <n v="6334947"/>
    <x v="11"/>
    <x v="5"/>
    <s v="Works perfectly on my device, no complaints at all."/>
    <x v="9"/>
    <x v="13"/>
    <x v="1897"/>
    <x v="1"/>
    <x v="3"/>
    <n v="740"/>
    <x v="61"/>
    <x v="3"/>
    <x v="2"/>
    <s v="8.5"/>
    <s v="Average"/>
  </r>
  <r>
    <n v="1899"/>
    <n v="2884106"/>
    <x v="6"/>
    <x v="16"/>
    <s v="Écarter politique révéler un. Lutter dessus inconnu trait toucher problème."/>
    <x v="16"/>
    <x v="38"/>
    <x v="1898"/>
    <x v="0"/>
    <x v="0"/>
    <n v="414"/>
    <x v="54"/>
    <x v="3"/>
    <x v="0"/>
    <s v="13.4.4-beta"/>
    <s v="Good"/>
  </r>
  <r>
    <n v="1900"/>
    <n v="2855459"/>
    <x v="18"/>
    <x v="1"/>
    <s v="Выраженный висеть чувство помолчать что еврейский вскинуть. Выбирать прощение серьезный прежде постоянный."/>
    <x v="15"/>
    <x v="23"/>
    <x v="1899"/>
    <x v="0"/>
    <x v="1"/>
    <n v="515"/>
    <x v="8"/>
    <x v="5"/>
    <x v="3"/>
    <s v="4.0.10"/>
    <s v="Very Poor"/>
  </r>
  <r>
    <n v="1901"/>
    <n v="1220248"/>
    <x v="4"/>
    <x v="2"/>
    <s v="User-friendly design and smooth performance throughout."/>
    <x v="1"/>
    <x v="25"/>
    <x v="1900"/>
    <x v="1"/>
    <x v="3"/>
    <n v="432"/>
    <x v="24"/>
    <x v="0"/>
    <x v="2"/>
    <s v="2.5"/>
    <s v="Poor"/>
  </r>
  <r>
    <n v="1902"/>
    <n v="9481082"/>
    <x v="23"/>
    <x v="1"/>
    <s v="Perfect for daily use, highly recommend to everyone."/>
    <x v="15"/>
    <x v="16"/>
    <x v="1901"/>
    <x v="0"/>
    <x v="3"/>
    <n v="1177"/>
    <x v="34"/>
    <x v="8"/>
    <x v="4"/>
    <s v="6.5.50.6951"/>
    <s v="Excellent"/>
  </r>
  <r>
    <n v="1903"/>
    <n v="5887425"/>
    <x v="21"/>
    <x v="11"/>
    <s v="Adesso contare eccetera tale inizio quello gamba rimettere. Non peso coraggio oramai bisogno."/>
    <x v="14"/>
    <x v="15"/>
    <x v="1902"/>
    <x v="0"/>
    <x v="0"/>
    <n v="1234"/>
    <x v="52"/>
    <x v="6"/>
    <x v="2"/>
    <s v="12.1.76"/>
    <s v="Poor"/>
  </r>
  <r>
    <n v="1904"/>
    <n v="3091801"/>
    <x v="10"/>
    <x v="12"/>
    <s v="Excellent customer support and regular feature updates."/>
    <x v="11"/>
    <x v="8"/>
    <x v="1903"/>
    <x v="0"/>
    <x v="0"/>
    <n v="1156"/>
    <x v="25"/>
    <x v="21"/>
    <x v="1"/>
    <s v="3.6.67"/>
    <s v="Very Poor"/>
  </r>
  <r>
    <n v="1905"/>
    <n v="1816680"/>
    <x v="11"/>
    <x v="3"/>
    <s v="Straße nass Sonntag gibt. Nichts zehn setzen nächste weit erzählen Abend fehlen. Blume suchen der dort vor."/>
    <x v="15"/>
    <x v="24"/>
    <x v="1904"/>
    <x v="0"/>
    <x v="4"/>
    <n v="263"/>
    <x v="56"/>
    <x v="22"/>
    <x v="1"/>
    <s v="10.0"/>
    <s v="Poor"/>
  </r>
  <r>
    <n v="1906"/>
    <n v="975589"/>
    <x v="25"/>
    <x v="15"/>
    <s v="Works perfectly on my device, no complaints at all."/>
    <x v="16"/>
    <x v="20"/>
    <x v="1905"/>
    <x v="0"/>
    <x v="2"/>
    <n v="1232"/>
    <x v="20"/>
    <x v="16"/>
    <x v="3"/>
    <s v="7.2.19"/>
    <s v="Very Poor"/>
  </r>
  <r>
    <n v="1907"/>
    <n v="7476757"/>
    <x v="12"/>
    <x v="8"/>
    <s v="Great app but too many ads, consider premium version."/>
    <x v="17"/>
    <x v="21"/>
    <x v="1906"/>
    <x v="1"/>
    <x v="3"/>
    <n v="1079"/>
    <x v="3"/>
    <x v="18"/>
    <x v="1"/>
    <s v="2.4.1"/>
    <s v="Excellent"/>
  </r>
  <r>
    <n v="1908"/>
    <n v="8013629"/>
    <x v="18"/>
    <x v="13"/>
    <s v="Esistere ridere difendere grande risposta proposito. Estremo minimo momento stanza simile uno. Provincia signorina non mamma russo."/>
    <x v="13"/>
    <x v="6"/>
    <x v="1907"/>
    <x v="0"/>
    <x v="2"/>
    <n v="377"/>
    <x v="8"/>
    <x v="3"/>
    <x v="4"/>
    <s v="1.7.35"/>
    <s v="Good"/>
  </r>
  <r>
    <n v="1909"/>
    <n v="9460094"/>
    <x v="3"/>
    <x v="6"/>
    <s v="User-friendly design and smooth performance throughout."/>
    <x v="22"/>
    <x v="13"/>
    <x v="1908"/>
    <x v="0"/>
    <x v="2"/>
    <n v="482"/>
    <x v="9"/>
    <x v="11"/>
    <x v="0"/>
    <s v="5.3.11.395"/>
    <s v="Average"/>
  </r>
  <r>
    <n v="1910"/>
    <n v="5941499"/>
    <x v="11"/>
    <x v="16"/>
    <s v="Crashes too often, needs improvement in stability."/>
    <x v="11"/>
    <x v="25"/>
    <x v="1909"/>
    <x v="0"/>
    <x v="2"/>
    <n v="691"/>
    <x v="24"/>
    <x v="18"/>
    <x v="4"/>
    <s v="6.5.32-beta"/>
    <s v="Poor"/>
  </r>
  <r>
    <n v="1911"/>
    <n v="6235212"/>
    <x v="32"/>
    <x v="0"/>
    <s v="Rejeter éternel gouvernement oui sortir tirer continuer. Conclure quitter acheter hésiter mal accepter. Envoyer tempête terminer lier action."/>
    <x v="1"/>
    <x v="32"/>
    <x v="1910"/>
    <x v="0"/>
    <x v="4"/>
    <n v="284"/>
    <x v="43"/>
    <x v="0"/>
    <x v="3"/>
    <s v="6.3.74.3558"/>
    <s v="Very Poor"/>
  </r>
  <r>
    <n v="1912"/>
    <n v="4712919"/>
    <x v="0"/>
    <x v="1"/>
    <s v="Some bugs need fixing but generally satisfied with it."/>
    <x v="5"/>
    <x v="2"/>
    <x v="1911"/>
    <x v="0"/>
    <x v="1"/>
    <n v="1032"/>
    <x v="22"/>
    <x v="18"/>
    <x v="2"/>
    <s v="10.0.55-beta"/>
    <s v="Average"/>
  </r>
  <r>
    <n v="1913"/>
    <n v="6782264"/>
    <x v="28"/>
    <x v="11"/>
    <s v="User-friendly design and smooth performance throughout."/>
    <x v="10"/>
    <x v="17"/>
    <x v="1912"/>
    <x v="1"/>
    <x v="3"/>
    <n v="742"/>
    <x v="24"/>
    <x v="10"/>
    <x v="1"/>
    <s v="4.7.14"/>
    <s v="Average"/>
  </r>
  <r>
    <n v="1914"/>
    <n v="4345272"/>
    <x v="19"/>
    <x v="7"/>
    <s v="This app is amazing! Really love the new features."/>
    <x v="8"/>
    <x v="15"/>
    <x v="1913"/>
    <x v="1"/>
    <x v="1"/>
    <n v="388"/>
    <x v="51"/>
    <x v="24"/>
    <x v="0"/>
    <s v="1.6.83.5329"/>
    <s v="Poor"/>
  </r>
  <r>
    <n v="1915"/>
    <n v="1060109"/>
    <x v="1"/>
    <x v="3"/>
    <s v="Crashes too often, needs improvement in stability."/>
    <x v="12"/>
    <x v="12"/>
    <x v="1914"/>
    <x v="0"/>
    <x v="0"/>
    <n v="815"/>
    <x v="13"/>
    <x v="13"/>
    <x v="0"/>
    <s v="5.2.20"/>
    <s v="Excellent"/>
  </r>
  <r>
    <n v="1916"/>
    <n v="7998869"/>
    <x v="22"/>
    <x v="8"/>
    <s v="Oma leben lachen vor singen Tante Arzt Angst. Schuh durch verkaufen Bild. Bauen packen bei braun."/>
    <x v="10"/>
    <x v="20"/>
    <x v="1915"/>
    <x v="0"/>
    <x v="4"/>
    <n v="89"/>
    <x v="54"/>
    <x v="3"/>
    <x v="1"/>
    <s v="6.7.13.924"/>
    <s v="Very Poor"/>
  </r>
  <r>
    <n v="1917"/>
    <n v="3357839"/>
    <x v="32"/>
    <x v="10"/>
    <s v="Works perfectly on my device, no complaints at all."/>
    <x v="22"/>
    <x v="19"/>
    <x v="1916"/>
    <x v="1"/>
    <x v="3"/>
    <n v="632"/>
    <x v="43"/>
    <x v="10"/>
    <x v="1"/>
    <s v="15.7.42-beta"/>
    <s v="Poor"/>
  </r>
  <r>
    <n v="1918"/>
    <n v="379750"/>
    <x v="20"/>
    <x v="2"/>
    <s v="Works perfectly on my device, no complaints at all."/>
    <x v="4"/>
    <x v="8"/>
    <x v="1917"/>
    <x v="1"/>
    <x v="4"/>
    <n v="953"/>
    <x v="24"/>
    <x v="17"/>
    <x v="0"/>
    <s v="6.6.67"/>
    <s v="Very Poor"/>
  </r>
  <r>
    <n v="1919"/>
    <n v="5409658"/>
    <x v="11"/>
    <x v="2"/>
    <s v="Temporibus nesciunt velit maiores. Impedit pariatur aperiam deserunt quis corporis."/>
    <x v="16"/>
    <x v="23"/>
    <x v="1918"/>
    <x v="0"/>
    <x v="2"/>
    <n v="448"/>
    <x v="17"/>
    <x v="7"/>
    <x v="3"/>
    <s v="v10.6.45"/>
    <s v="Very Poor"/>
  </r>
  <r>
    <n v="1920"/>
    <n v="2995499"/>
    <x v="33"/>
    <x v="3"/>
    <s v="Latest update broke some features, please fix soon."/>
    <x v="17"/>
    <x v="25"/>
    <x v="1919"/>
    <x v="0"/>
    <x v="3"/>
    <n v="754"/>
    <x v="3"/>
    <x v="7"/>
    <x v="0"/>
    <s v="1.9"/>
    <s v="Poor"/>
  </r>
  <r>
    <n v="1921"/>
    <n v="4722550"/>
    <x v="20"/>
    <x v="5"/>
    <s v="User-friendly design and smooth performance throughout."/>
    <x v="2"/>
    <x v="4"/>
    <x v="1920"/>
    <x v="0"/>
    <x v="2"/>
    <n v="996"/>
    <x v="36"/>
    <x v="9"/>
    <x v="4"/>
    <s v="15.6.39"/>
    <s v="Average"/>
  </r>
  <r>
    <n v="1922"/>
    <n v="8580309"/>
    <x v="36"/>
    <x v="12"/>
    <s v="Great app but too many ads, consider premium version."/>
    <x v="2"/>
    <x v="0"/>
    <x v="1921"/>
    <x v="0"/>
    <x v="1"/>
    <n v="1162"/>
    <x v="51"/>
    <x v="23"/>
    <x v="4"/>
    <s v="15.3"/>
    <s v="Very Poor"/>
  </r>
  <r>
    <n v="1923"/>
    <n v="154096"/>
    <x v="5"/>
    <x v="17"/>
    <s v="Earum expedita exercitationem necessitatibus possimus. Ut at ullam delectus assumenda et occaecati. Quisquam ratione dolor."/>
    <x v="19"/>
    <x v="6"/>
    <x v="1922"/>
    <x v="0"/>
    <x v="0"/>
    <n v="937"/>
    <x v="9"/>
    <x v="21"/>
    <x v="1"/>
    <s v="10.0.69.7666"/>
    <s v="Good"/>
  </r>
  <r>
    <n v="1924"/>
    <n v="1463567"/>
    <x v="31"/>
    <x v="2"/>
    <s v="This app is amazing! Really love the new features."/>
    <x v="15"/>
    <x v="16"/>
    <x v="1923"/>
    <x v="1"/>
    <x v="1"/>
    <n v="430"/>
    <x v="27"/>
    <x v="15"/>
    <x v="4"/>
    <s v="10.4"/>
    <s v="Excellent"/>
  </r>
  <r>
    <n v="1925"/>
    <n v="4239478"/>
    <x v="5"/>
    <x v="7"/>
    <s v="Saepe odit temporibus deleniti quidem. Est fugit enim eius."/>
    <x v="21"/>
    <x v="6"/>
    <x v="1924"/>
    <x v="0"/>
    <x v="2"/>
    <n v="431"/>
    <x v="44"/>
    <x v="23"/>
    <x v="3"/>
    <s v="6.6.21-beta"/>
    <s v="Good"/>
  </r>
  <r>
    <n v="1926"/>
    <n v="7045478"/>
    <x v="1"/>
    <x v="8"/>
    <s v="Si donna contro villa distanza. Diverso mamma offrire forma peso lago. Presso compagno uguale ombra civile nudo voltare intenzione."/>
    <x v="1"/>
    <x v="19"/>
    <x v="1925"/>
    <x v="1"/>
    <x v="2"/>
    <n v="493"/>
    <x v="11"/>
    <x v="6"/>
    <x v="3"/>
    <s v="14.9.91-beta"/>
    <s v="Poor"/>
  </r>
  <r>
    <n v="1927"/>
    <n v="4943397"/>
    <x v="25"/>
    <x v="2"/>
    <s v="Some bugs need fixing but generally satisfied with it."/>
    <x v="0"/>
    <x v="33"/>
    <x v="1926"/>
    <x v="0"/>
    <x v="3"/>
    <n v="1068"/>
    <x v="43"/>
    <x v="17"/>
    <x v="4"/>
    <s v="2.8.6.6201"/>
    <s v="Poor"/>
  </r>
  <r>
    <n v="1928"/>
    <n v="8551778"/>
    <x v="26"/>
    <x v="1"/>
    <s v="Rerum recusandae at quo ducimus iusto adipisci. Maxime occaecati labore iusto. Fuga fugiat nihil alias praesentium occaecati."/>
    <x v="17"/>
    <x v="10"/>
    <x v="1927"/>
    <x v="0"/>
    <x v="4"/>
    <n v="470"/>
    <x v="7"/>
    <x v="18"/>
    <x v="3"/>
    <s v="11.9.46.1367"/>
    <s v="Poor"/>
  </r>
  <r>
    <n v="1929"/>
    <n v="2763391"/>
    <x v="27"/>
    <x v="8"/>
    <s v="Perfect for daily use, highly recommend to everyone."/>
    <x v="1"/>
    <x v="19"/>
    <x v="1928"/>
    <x v="0"/>
    <x v="3"/>
    <n v="139"/>
    <x v="44"/>
    <x v="23"/>
    <x v="0"/>
    <s v="4.8.3-beta"/>
    <s v="Poor"/>
  </r>
  <r>
    <n v="1930"/>
    <n v="5715543"/>
    <x v="7"/>
    <x v="6"/>
    <s v="The interface could be better but overall good experience."/>
    <x v="6"/>
    <x v="39"/>
    <x v="1929"/>
    <x v="1"/>
    <x v="2"/>
    <n v="63"/>
    <x v="33"/>
    <x v="6"/>
    <x v="0"/>
    <s v="2.2.20"/>
    <s v="Good"/>
  </r>
  <r>
    <n v="1931"/>
    <n v="1781206"/>
    <x v="31"/>
    <x v="17"/>
    <s v="The interface could be better but overall good experience."/>
    <x v="12"/>
    <x v="19"/>
    <x v="1930"/>
    <x v="0"/>
    <x v="2"/>
    <n v="500"/>
    <x v="56"/>
    <x v="5"/>
    <x v="4"/>
    <s v="11.1.37.80"/>
    <s v="Poor"/>
  </r>
  <r>
    <n v="1932"/>
    <n v="5238452"/>
    <x v="28"/>
    <x v="6"/>
    <s v="Works perfectly on my device, no complaints at all."/>
    <x v="21"/>
    <x v="3"/>
    <x v="1931"/>
    <x v="0"/>
    <x v="4"/>
    <n v="15"/>
    <x v="61"/>
    <x v="19"/>
    <x v="1"/>
    <s v="15.3.12-beta"/>
    <s v="Average"/>
  </r>
  <r>
    <n v="1933"/>
    <n v="9273414"/>
    <x v="5"/>
    <x v="17"/>
    <s v="Perfect for daily use, highly recommend to everyone."/>
    <x v="6"/>
    <x v="9"/>
    <x v="1932"/>
    <x v="1"/>
    <x v="0"/>
    <n v="232"/>
    <x v="49"/>
    <x v="0"/>
    <x v="3"/>
    <s v="14.2.37.5062"/>
    <s v="Excellent"/>
  </r>
  <r>
    <n v="1934"/>
    <n v="464903"/>
    <x v="0"/>
    <x v="11"/>
    <s v="Some bugs need fixing but generally satisfied with it."/>
    <x v="12"/>
    <x v="9"/>
    <x v="1933"/>
    <x v="1"/>
    <x v="1"/>
    <n v="109"/>
    <x v="28"/>
    <x v="21"/>
    <x v="0"/>
    <s v="15.8"/>
    <s v="Excellent"/>
  </r>
  <r>
    <n v="1935"/>
    <n v="7757887"/>
    <x v="18"/>
    <x v="12"/>
    <s v="Muet habiter fort science détail faux essuyer poésie."/>
    <x v="20"/>
    <x v="13"/>
    <x v="1934"/>
    <x v="0"/>
    <x v="4"/>
    <n v="51"/>
    <x v="49"/>
    <x v="21"/>
    <x v="0"/>
    <s v="11.9"/>
    <s v="Average"/>
  </r>
  <r>
    <n v="1936"/>
    <n v="4030952"/>
    <x v="16"/>
    <x v="7"/>
    <s v="This app is amazing! Really love the new features."/>
    <x v="12"/>
    <x v="27"/>
    <x v="1935"/>
    <x v="0"/>
    <x v="4"/>
    <n v="202"/>
    <x v="4"/>
    <x v="10"/>
    <x v="4"/>
    <s v="v12.7.49"/>
    <s v="Very Poor"/>
  </r>
  <r>
    <n v="1937"/>
    <n v="1909511"/>
    <x v="21"/>
    <x v="10"/>
    <s v="The interface could be better but overall good experience."/>
    <x v="22"/>
    <x v="34"/>
    <x v="1936"/>
    <x v="0"/>
    <x v="0"/>
    <n v="1099"/>
    <x v="60"/>
    <x v="7"/>
    <x v="0"/>
    <s v="11.0.12-beta"/>
    <s v="Average"/>
  </r>
  <r>
    <n v="1938"/>
    <n v="4619127"/>
    <x v="17"/>
    <x v="7"/>
    <s v="Excellent customer support and regular feature updates."/>
    <x v="21"/>
    <x v="22"/>
    <x v="1937"/>
    <x v="0"/>
    <x v="0"/>
    <n v="692"/>
    <x v="20"/>
    <x v="6"/>
    <x v="1"/>
    <s v="7.7"/>
    <s v="Poor"/>
  </r>
  <r>
    <n v="1939"/>
    <n v="579076"/>
    <x v="3"/>
    <x v="3"/>
    <s v="Mention two though whole. Cup win sell candidate four whether wife. Society center get how leave."/>
    <x v="1"/>
    <x v="34"/>
    <x v="1938"/>
    <x v="0"/>
    <x v="2"/>
    <n v="1121"/>
    <x v="55"/>
    <x v="15"/>
    <x v="2"/>
    <s v="v1.5.3"/>
    <s v="Average"/>
  </r>
  <r>
    <n v="1940"/>
    <n v="3462263"/>
    <x v="11"/>
    <x v="11"/>
    <s v="Works perfectly on my device, no complaints at all."/>
    <x v="1"/>
    <x v="2"/>
    <x v="1939"/>
    <x v="0"/>
    <x v="4"/>
    <n v="695"/>
    <x v="53"/>
    <x v="14"/>
    <x v="0"/>
    <s v="12.0.71"/>
    <s v="Average"/>
  </r>
  <r>
    <n v="1941"/>
    <n v="5154678"/>
    <x v="34"/>
    <x v="9"/>
    <s v="Excellent customer support and regular feature updates."/>
    <x v="23"/>
    <x v="29"/>
    <x v="1940"/>
    <x v="0"/>
    <x v="3"/>
    <n v="483"/>
    <x v="32"/>
    <x v="19"/>
    <x v="3"/>
    <s v="11.9"/>
    <s v="Very Poor"/>
  </r>
  <r>
    <n v="1942"/>
    <n v="3196967"/>
    <x v="18"/>
    <x v="2"/>
    <s v="Crashes too often, needs improvement in stability."/>
    <x v="19"/>
    <x v="7"/>
    <x v="1941"/>
    <x v="0"/>
    <x v="1"/>
    <n v="131"/>
    <x v="39"/>
    <x v="16"/>
    <x v="2"/>
    <s v="9.0.9"/>
    <s v="Very Poor"/>
  </r>
  <r>
    <n v="1943"/>
    <n v="7424074"/>
    <x v="23"/>
    <x v="9"/>
    <s v="Ojczyzna działać wejście uciekać. Terytorium lud dodatek."/>
    <x v="21"/>
    <x v="10"/>
    <x v="1942"/>
    <x v="0"/>
    <x v="3"/>
    <n v="1138"/>
    <x v="51"/>
    <x v="20"/>
    <x v="1"/>
    <s v="v1.6.34"/>
    <s v="Poor"/>
  </r>
  <r>
    <n v="1944"/>
    <n v="3665022"/>
    <x v="28"/>
    <x v="6"/>
    <s v="Some bugs need fixing but generally satisfied with it."/>
    <x v="22"/>
    <x v="30"/>
    <x v="1943"/>
    <x v="0"/>
    <x v="4"/>
    <n v="204"/>
    <x v="62"/>
    <x v="24"/>
    <x v="3"/>
    <s v="5.4"/>
    <s v="Average"/>
  </r>
  <r>
    <n v="1945"/>
    <n v="6413125"/>
    <x v="40"/>
    <x v="4"/>
    <s v="This app is amazing! Really love the new features."/>
    <x v="21"/>
    <x v="1"/>
    <x v="1944"/>
    <x v="0"/>
    <x v="4"/>
    <n v="921"/>
    <x v="4"/>
    <x v="18"/>
    <x v="3"/>
    <s v="3.4.72"/>
    <s v="Very Poor"/>
  </r>
  <r>
    <n v="1946"/>
    <n v="4172535"/>
    <x v="33"/>
    <x v="5"/>
    <s v="Harum et vel id."/>
    <x v="19"/>
    <x v="24"/>
    <x v="1945"/>
    <x v="0"/>
    <x v="2"/>
    <n v="901"/>
    <x v="46"/>
    <x v="16"/>
    <x v="0"/>
    <s v="v11.3.71"/>
    <s v="Poor"/>
  </r>
  <r>
    <n v="1947"/>
    <n v="7223479"/>
    <x v="8"/>
    <x v="7"/>
    <s v="Perfect for daily use, highly recommend to everyone."/>
    <x v="10"/>
    <x v="3"/>
    <x v="1946"/>
    <x v="0"/>
    <x v="0"/>
    <n v="357"/>
    <x v="5"/>
    <x v="10"/>
    <x v="0"/>
    <s v="9.4.67.9242"/>
    <s v="Average"/>
  </r>
  <r>
    <n v="1948"/>
    <n v="9060965"/>
    <x v="9"/>
    <x v="6"/>
    <s v="Works perfectly on my device, no complaints at all."/>
    <x v="13"/>
    <x v="37"/>
    <x v="1947"/>
    <x v="0"/>
    <x v="3"/>
    <n v="631"/>
    <x v="40"/>
    <x v="1"/>
    <x v="3"/>
    <s v="3.4.3.3977"/>
    <s v="Average"/>
  </r>
  <r>
    <n v="1949"/>
    <n v="8292471"/>
    <x v="37"/>
    <x v="2"/>
    <s v="Some bugs need fixing but generally satisfied with it."/>
    <x v="16"/>
    <x v="2"/>
    <x v="1948"/>
    <x v="1"/>
    <x v="0"/>
    <n v="340"/>
    <x v="59"/>
    <x v="23"/>
    <x v="2"/>
    <s v="13.5.16.3929"/>
    <s v="Average"/>
  </r>
  <r>
    <n v="1950"/>
    <n v="9938645"/>
    <x v="38"/>
    <x v="2"/>
    <s v="Perfect for daily use, highly recommend to everyone."/>
    <x v="1"/>
    <x v="39"/>
    <x v="1949"/>
    <x v="0"/>
    <x v="4"/>
    <n v="536"/>
    <x v="61"/>
    <x v="23"/>
    <x v="1"/>
    <s v="11.2.7-beta"/>
    <s v="Good"/>
  </r>
  <r>
    <n v="1951"/>
    <n v="3089029"/>
    <x v="1"/>
    <x v="17"/>
    <s v="Perfect for daily use, highly recommend to everyone."/>
    <x v="13"/>
    <x v="33"/>
    <x v="1950"/>
    <x v="0"/>
    <x v="4"/>
    <n v="580"/>
    <x v="21"/>
    <x v="24"/>
    <x v="3"/>
    <s v="7.2.67-beta"/>
    <s v="Poor"/>
  </r>
  <r>
    <n v="1952"/>
    <n v="6293016"/>
    <x v="24"/>
    <x v="15"/>
    <s v="Great app but too many ads, consider premium version."/>
    <x v="1"/>
    <x v="9"/>
    <x v="1951"/>
    <x v="0"/>
    <x v="1"/>
    <n v="600"/>
    <x v="37"/>
    <x v="11"/>
    <x v="2"/>
    <s v="14.4.18"/>
    <s v="Excellent"/>
  </r>
  <r>
    <n v="1953"/>
    <n v="8513034"/>
    <x v="25"/>
    <x v="7"/>
    <s v="Great app but too many ads, consider premium version."/>
    <x v="9"/>
    <x v="1"/>
    <x v="1952"/>
    <x v="0"/>
    <x v="4"/>
    <n v="251"/>
    <x v="5"/>
    <x v="15"/>
    <x v="3"/>
    <s v="14.4.48.3894"/>
    <s v="Very Poor"/>
  </r>
  <r>
    <n v="1954"/>
    <n v="6780364"/>
    <x v="19"/>
    <x v="14"/>
    <s v="Excellent customer support and regular feature updates."/>
    <x v="5"/>
    <x v="18"/>
    <x v="1953"/>
    <x v="0"/>
    <x v="0"/>
    <n v="767"/>
    <x v="62"/>
    <x v="6"/>
    <x v="4"/>
    <s v="8.2"/>
    <s v="Average"/>
  </r>
  <r>
    <n v="1955"/>
    <n v="3959992"/>
    <x v="2"/>
    <x v="15"/>
    <s v="Excellent customer support and regular feature updates."/>
    <x v="12"/>
    <x v="12"/>
    <x v="1954"/>
    <x v="0"/>
    <x v="2"/>
    <n v="99"/>
    <x v="26"/>
    <x v="10"/>
    <x v="4"/>
    <s v="v6.1.67"/>
    <s v="Excellent"/>
  </r>
  <r>
    <n v="1956"/>
    <n v="3253622"/>
    <x v="23"/>
    <x v="5"/>
    <s v="No Review"/>
    <x v="12"/>
    <x v="22"/>
    <x v="1955"/>
    <x v="0"/>
    <x v="4"/>
    <n v="145"/>
    <x v="30"/>
    <x v="24"/>
    <x v="2"/>
    <s v="5.6.38-beta"/>
    <s v="Poor"/>
  </r>
  <r>
    <n v="1957"/>
    <n v="5165677"/>
    <x v="21"/>
    <x v="16"/>
    <s v="Besoin fils condamner cheval endormir pluie."/>
    <x v="6"/>
    <x v="12"/>
    <x v="1956"/>
    <x v="0"/>
    <x v="3"/>
    <n v="75"/>
    <x v="16"/>
    <x v="11"/>
    <x v="1"/>
    <s v="4.7.39"/>
    <s v="Excellent"/>
  </r>
  <r>
    <n v="1958"/>
    <n v="4479180"/>
    <x v="27"/>
    <x v="0"/>
    <s v="Eigentlich hoch ließ Bruder Tag groß."/>
    <x v="16"/>
    <x v="7"/>
    <x v="1957"/>
    <x v="0"/>
    <x v="1"/>
    <n v="107"/>
    <x v="22"/>
    <x v="17"/>
    <x v="0"/>
    <s v="15.2"/>
    <s v="Very Poor"/>
  </r>
  <r>
    <n v="1959"/>
    <n v="6885940"/>
    <x v="35"/>
    <x v="1"/>
    <s v="The interface could be better but overall good experience."/>
    <x v="1"/>
    <x v="6"/>
    <x v="1958"/>
    <x v="0"/>
    <x v="3"/>
    <n v="1122"/>
    <x v="55"/>
    <x v="23"/>
    <x v="3"/>
    <s v="11.2.14"/>
    <s v="Good"/>
  </r>
  <r>
    <n v="1960"/>
    <n v="2799181"/>
    <x v="0"/>
    <x v="9"/>
    <s v="Latest update broke some features, please fix soon."/>
    <x v="9"/>
    <x v="15"/>
    <x v="1959"/>
    <x v="0"/>
    <x v="1"/>
    <n v="279"/>
    <x v="11"/>
    <x v="1"/>
    <x v="1"/>
    <s v="9.4.20"/>
    <s v="Poor"/>
  </r>
  <r>
    <n v="1961"/>
    <n v="9741567"/>
    <x v="32"/>
    <x v="3"/>
    <s v="Great app but too many ads, consider premium version."/>
    <x v="4"/>
    <x v="17"/>
    <x v="1960"/>
    <x v="0"/>
    <x v="3"/>
    <n v="559"/>
    <x v="46"/>
    <x v="11"/>
    <x v="2"/>
    <s v="12.5"/>
    <s v="Average"/>
  </r>
  <r>
    <n v="1962"/>
    <n v="7728467"/>
    <x v="35"/>
    <x v="7"/>
    <s v="Excellent customer support and regular feature updates."/>
    <x v="18"/>
    <x v="2"/>
    <x v="1961"/>
    <x v="0"/>
    <x v="3"/>
    <n v="1094"/>
    <x v="2"/>
    <x v="20"/>
    <x v="2"/>
    <s v="v10.3.3"/>
    <s v="Average"/>
  </r>
  <r>
    <n v="1963"/>
    <n v="6839464"/>
    <x v="8"/>
    <x v="17"/>
    <s v="Latest update broke some features, please fix soon."/>
    <x v="7"/>
    <x v="30"/>
    <x v="1962"/>
    <x v="1"/>
    <x v="2"/>
    <n v="698"/>
    <x v="5"/>
    <x v="15"/>
    <x v="1"/>
    <s v="10.4.93"/>
    <s v="Average"/>
  </r>
  <r>
    <n v="1964"/>
    <n v="1014547"/>
    <x v="21"/>
    <x v="16"/>
    <s v="User-friendly design and smooth performance throughout."/>
    <x v="20"/>
    <x v="23"/>
    <x v="1963"/>
    <x v="0"/>
    <x v="0"/>
    <n v="668"/>
    <x v="2"/>
    <x v="0"/>
    <x v="0"/>
    <s v="12.0"/>
    <s v="Very Poor"/>
  </r>
  <r>
    <n v="1965"/>
    <n v="4439410"/>
    <x v="21"/>
    <x v="12"/>
    <s v="Occasion révéler huit faux. Prétendre sens vide cabinet conclure goutte recevoir."/>
    <x v="10"/>
    <x v="30"/>
    <x v="1964"/>
    <x v="1"/>
    <x v="4"/>
    <n v="1027"/>
    <x v="34"/>
    <x v="21"/>
    <x v="0"/>
    <s v="14.4.13"/>
    <s v="Average"/>
  </r>
  <r>
    <n v="1966"/>
    <n v="1442330"/>
    <x v="9"/>
    <x v="9"/>
    <s v="Ab veniam provident ducimus. Repellat quas iste aliquid eligendi commodi laudantium. Amet nobis fuga incidunt perferendis quisquam."/>
    <x v="10"/>
    <x v="39"/>
    <x v="1965"/>
    <x v="0"/>
    <x v="1"/>
    <n v="939"/>
    <x v="29"/>
    <x v="2"/>
    <x v="2"/>
    <s v="13.9.42-beta"/>
    <s v="Good"/>
  </r>
  <r>
    <n v="1967"/>
    <n v="4583468"/>
    <x v="36"/>
    <x v="4"/>
    <s v="Eos impedit ipsum error. Nisi facere alias."/>
    <x v="21"/>
    <x v="38"/>
    <x v="1966"/>
    <x v="0"/>
    <x v="4"/>
    <n v="168"/>
    <x v="7"/>
    <x v="17"/>
    <x v="3"/>
    <s v="2.2.21.5423"/>
    <s v="Good"/>
  </r>
  <r>
    <n v="1968"/>
    <n v="4271264"/>
    <x v="19"/>
    <x v="15"/>
    <s v="Assumenda atque quas odio. Tempora exercitationem itaque nulla ullam temporibus."/>
    <x v="1"/>
    <x v="13"/>
    <x v="1967"/>
    <x v="1"/>
    <x v="3"/>
    <n v="1154"/>
    <x v="48"/>
    <x v="3"/>
    <x v="0"/>
    <s v="10.6"/>
    <s v="Average"/>
  </r>
  <r>
    <n v="1969"/>
    <n v="8883858"/>
    <x v="14"/>
    <x v="8"/>
    <s v="还有如果介绍本站正在作为制作."/>
    <x v="16"/>
    <x v="30"/>
    <x v="1968"/>
    <x v="0"/>
    <x v="1"/>
    <n v="962"/>
    <x v="42"/>
    <x v="11"/>
    <x v="0"/>
    <s v="5.1.43"/>
    <s v="Average"/>
  </r>
  <r>
    <n v="1970"/>
    <n v="1421455"/>
    <x v="28"/>
    <x v="10"/>
    <s v="The interface could be better but overall good experience."/>
    <x v="19"/>
    <x v="29"/>
    <x v="1969"/>
    <x v="1"/>
    <x v="0"/>
    <n v="343"/>
    <x v="0"/>
    <x v="24"/>
    <x v="1"/>
    <s v="7.3.42.2639"/>
    <s v="Very Poor"/>
  </r>
  <r>
    <n v="1971"/>
    <n v="5166483"/>
    <x v="1"/>
    <x v="3"/>
    <s v="User-friendly design and smooth performance throughout."/>
    <x v="14"/>
    <x v="18"/>
    <x v="1970"/>
    <x v="0"/>
    <x v="0"/>
    <n v="715"/>
    <x v="41"/>
    <x v="20"/>
    <x v="0"/>
    <s v="2.8.76.8163"/>
    <s v="Average"/>
  </r>
  <r>
    <n v="1972"/>
    <n v="475532"/>
    <x v="23"/>
    <x v="2"/>
    <s v="Great app but too many ads, consider premium version."/>
    <x v="19"/>
    <x v="15"/>
    <x v="1971"/>
    <x v="1"/>
    <x v="3"/>
    <n v="617"/>
    <x v="18"/>
    <x v="14"/>
    <x v="2"/>
    <s v="1.3.25"/>
    <s v="Poor"/>
  </r>
  <r>
    <n v="1973"/>
    <n v="4409362"/>
    <x v="30"/>
    <x v="10"/>
    <s v="The interface could be better but overall good experience."/>
    <x v="2"/>
    <x v="30"/>
    <x v="1972"/>
    <x v="1"/>
    <x v="0"/>
    <n v="994"/>
    <x v="25"/>
    <x v="7"/>
    <x v="2"/>
    <s v="15.8"/>
    <s v="Average"/>
  </r>
  <r>
    <n v="1974"/>
    <n v="1430152"/>
    <x v="13"/>
    <x v="2"/>
    <s v="This app is amazing! Really love the new features."/>
    <x v="13"/>
    <x v="35"/>
    <x v="1973"/>
    <x v="0"/>
    <x v="3"/>
    <n v="226"/>
    <x v="48"/>
    <x v="11"/>
    <x v="3"/>
    <s v="v5.5.44"/>
    <s v="Poor"/>
  </r>
  <r>
    <n v="1975"/>
    <n v="2053294"/>
    <x v="21"/>
    <x v="17"/>
    <s v="Очутиться призыв запретить манера порог. Растеряться висеть умолять. Необычный шлем дошлый очередной мера потрясти."/>
    <x v="4"/>
    <x v="6"/>
    <x v="1974"/>
    <x v="1"/>
    <x v="2"/>
    <n v="510"/>
    <x v="57"/>
    <x v="6"/>
    <x v="1"/>
    <s v="10.5"/>
    <s v="Good"/>
  </r>
  <r>
    <n v="1976"/>
    <n v="4880038"/>
    <x v="37"/>
    <x v="4"/>
    <s v="This app is amazing! Really love the new features."/>
    <x v="16"/>
    <x v="1"/>
    <x v="1975"/>
    <x v="0"/>
    <x v="0"/>
    <n v="29"/>
    <x v="16"/>
    <x v="10"/>
    <x v="3"/>
    <s v="12.0"/>
    <s v="Very Poor"/>
  </r>
  <r>
    <n v="1977"/>
    <n v="6931393"/>
    <x v="35"/>
    <x v="10"/>
    <s v="Perfect for daily use, highly recommend to everyone."/>
    <x v="4"/>
    <x v="5"/>
    <x v="1976"/>
    <x v="0"/>
    <x v="2"/>
    <n v="928"/>
    <x v="61"/>
    <x v="4"/>
    <x v="2"/>
    <s v="v7.2.13"/>
    <s v="Excellent"/>
  </r>
  <r>
    <n v="1978"/>
    <n v="7051217"/>
    <x v="9"/>
    <x v="7"/>
    <s v="Great app but too many ads, consider premium version."/>
    <x v="6"/>
    <x v="26"/>
    <x v="1977"/>
    <x v="0"/>
    <x v="0"/>
    <n v="946"/>
    <x v="40"/>
    <x v="12"/>
    <x v="0"/>
    <s v="6.2"/>
    <s v="Average"/>
  </r>
  <r>
    <n v="1979"/>
    <n v="4709853"/>
    <x v="23"/>
    <x v="12"/>
    <s v="Great app but too many ads, consider premium version."/>
    <x v="5"/>
    <x v="30"/>
    <x v="1978"/>
    <x v="0"/>
    <x v="3"/>
    <n v="565"/>
    <x v="24"/>
    <x v="1"/>
    <x v="3"/>
    <s v="14.9.45-beta"/>
    <s v="Average"/>
  </r>
  <r>
    <n v="1980"/>
    <n v="5437828"/>
    <x v="38"/>
    <x v="6"/>
    <s v="Nauczyciel człowiek karta stolica. Pokazywać model zwolennik nagle policjant. Azja otoczenie miasto poziom ucho wyrób miejski."/>
    <x v="6"/>
    <x v="33"/>
    <x v="1979"/>
    <x v="0"/>
    <x v="3"/>
    <n v="748"/>
    <x v="26"/>
    <x v="24"/>
    <x v="2"/>
    <s v="v5.1.47"/>
    <s v="Poor"/>
  </r>
  <r>
    <n v="1981"/>
    <n v="3633909"/>
    <x v="16"/>
    <x v="11"/>
    <s v="Possimus perferendis ducimus adipisci sequi voluptas occaecati. Voluptates assumenda quibusdam minus esse quibusdam iste. Adipisci numquam cumque expedita inventore voluptatum ad."/>
    <x v="7"/>
    <x v="10"/>
    <x v="1980"/>
    <x v="0"/>
    <x v="2"/>
    <n v="703"/>
    <x v="29"/>
    <x v="3"/>
    <x v="0"/>
    <s v="2.4.48"/>
    <s v="Poor"/>
  </r>
  <r>
    <n v="1982"/>
    <n v="8333534"/>
    <x v="13"/>
    <x v="10"/>
    <s v="No Review"/>
    <x v="2"/>
    <x v="13"/>
    <x v="1981"/>
    <x v="0"/>
    <x v="4"/>
    <n v="847"/>
    <x v="45"/>
    <x v="2"/>
    <x v="3"/>
    <s v="15.0"/>
    <s v="Average"/>
  </r>
  <r>
    <n v="1983"/>
    <n v="9119309"/>
    <x v="21"/>
    <x v="15"/>
    <s v="Crashes too often, needs improvement in stability."/>
    <x v="8"/>
    <x v="34"/>
    <x v="1982"/>
    <x v="0"/>
    <x v="2"/>
    <n v="257"/>
    <x v="62"/>
    <x v="5"/>
    <x v="2"/>
    <s v="6.7.41-beta"/>
    <s v="Average"/>
  </r>
  <r>
    <n v="1984"/>
    <n v="2171885"/>
    <x v="14"/>
    <x v="16"/>
    <s v="User-friendly design and smooth performance throughout."/>
    <x v="22"/>
    <x v="3"/>
    <x v="1983"/>
    <x v="0"/>
    <x v="1"/>
    <n v="851"/>
    <x v="9"/>
    <x v="15"/>
    <x v="1"/>
    <s v="15.6.66"/>
    <s v="Average"/>
  </r>
  <r>
    <n v="1985"/>
    <n v="3762556"/>
    <x v="4"/>
    <x v="1"/>
    <s v="Great app but too many ads, consider premium version."/>
    <x v="21"/>
    <x v="14"/>
    <x v="1984"/>
    <x v="0"/>
    <x v="1"/>
    <n v="244"/>
    <x v="61"/>
    <x v="15"/>
    <x v="1"/>
    <s v="7.3.49-beta"/>
    <s v="Excellent"/>
  </r>
  <r>
    <n v="1986"/>
    <n v="9675512"/>
    <x v="19"/>
    <x v="5"/>
    <s v="Excellent customer support and regular feature updates."/>
    <x v="20"/>
    <x v="0"/>
    <x v="1985"/>
    <x v="0"/>
    <x v="2"/>
    <n v="166"/>
    <x v="23"/>
    <x v="23"/>
    <x v="2"/>
    <s v="5.5"/>
    <s v="Very Poor"/>
  </r>
  <r>
    <n v="1987"/>
    <n v="2769548"/>
    <x v="21"/>
    <x v="10"/>
    <s v="Домашний пища радость беспомощный труп свежий. Близко мальчишка уточнить умолять чувство одиннадцать школьный левый. Бетонный естественный новый салон способ освобождение монета."/>
    <x v="5"/>
    <x v="5"/>
    <x v="1986"/>
    <x v="0"/>
    <x v="2"/>
    <n v="174"/>
    <x v="37"/>
    <x v="15"/>
    <x v="0"/>
    <s v="9.4.67.7893"/>
    <s v="Excellent"/>
  </r>
  <r>
    <n v="1988"/>
    <n v="7884988"/>
    <x v="4"/>
    <x v="7"/>
    <s v="Perfect for daily use, highly recommend to everyone."/>
    <x v="23"/>
    <x v="21"/>
    <x v="1987"/>
    <x v="0"/>
    <x v="2"/>
    <n v="988"/>
    <x v="55"/>
    <x v="1"/>
    <x v="4"/>
    <s v="3.5.72-beta"/>
    <s v="Excellent"/>
  </r>
  <r>
    <n v="1989"/>
    <n v="1749587"/>
    <x v="28"/>
    <x v="3"/>
    <s v="Neque in in deleniti adipisci dolore."/>
    <x v="6"/>
    <x v="33"/>
    <x v="1988"/>
    <x v="1"/>
    <x v="1"/>
    <n v="463"/>
    <x v="44"/>
    <x v="1"/>
    <x v="1"/>
    <s v="10.8.54-beta"/>
    <s v="Poor"/>
  </r>
  <r>
    <n v="1990"/>
    <n v="8545000"/>
    <x v="9"/>
    <x v="17"/>
    <s v="Latest update broke some features, please fix soon."/>
    <x v="12"/>
    <x v="39"/>
    <x v="1989"/>
    <x v="0"/>
    <x v="3"/>
    <n v="633"/>
    <x v="44"/>
    <x v="0"/>
    <x v="1"/>
    <s v="v11.5.62"/>
    <s v="Good"/>
  </r>
  <r>
    <n v="1991"/>
    <n v="9672822"/>
    <x v="34"/>
    <x v="10"/>
    <s v="Troisième entrer désormais monter intérieur beaucoup. Ailleurs obliger résister fleur longtemps convenir. Immobile profond dent interroger."/>
    <x v="11"/>
    <x v="22"/>
    <x v="1990"/>
    <x v="0"/>
    <x v="0"/>
    <n v="423"/>
    <x v="38"/>
    <x v="11"/>
    <x v="0"/>
    <s v="v4.0.27"/>
    <s v="Poor"/>
  </r>
  <r>
    <n v="1992"/>
    <n v="5514413"/>
    <x v="35"/>
    <x v="5"/>
    <s v="Eos tempora dignissimos itaque. Placeat ipsam doloribus debitis itaque. Rem saepe sit tenetur."/>
    <x v="4"/>
    <x v="30"/>
    <x v="1991"/>
    <x v="0"/>
    <x v="3"/>
    <n v="845"/>
    <x v="43"/>
    <x v="23"/>
    <x v="1"/>
    <s v="1.3.69-beta"/>
    <s v="Average"/>
  </r>
  <r>
    <n v="1993"/>
    <n v="1271758"/>
    <x v="27"/>
    <x v="0"/>
    <s v="Excellent customer support and regular feature updates."/>
    <x v="23"/>
    <x v="11"/>
    <x v="1992"/>
    <x v="1"/>
    <x v="2"/>
    <n v="801"/>
    <x v="4"/>
    <x v="1"/>
    <x v="2"/>
    <s v="11.2.64-beta"/>
    <s v="Good"/>
  </r>
  <r>
    <n v="1994"/>
    <n v="642282"/>
    <x v="40"/>
    <x v="1"/>
    <s v="This app is amazing! Really love the new features."/>
    <x v="13"/>
    <x v="8"/>
    <x v="1993"/>
    <x v="1"/>
    <x v="0"/>
    <n v="100"/>
    <x v="13"/>
    <x v="9"/>
    <x v="4"/>
    <s v="3.6.41.9528"/>
    <s v="Very Poor"/>
  </r>
  <r>
    <n v="1995"/>
    <n v="6917366"/>
    <x v="0"/>
    <x v="17"/>
    <s v="Vostro sorriso attimo improvviso distinguere punta cantare. Piantare morale alcuno là qualunque enorme grigio sembrare."/>
    <x v="14"/>
    <x v="38"/>
    <x v="1994"/>
    <x v="0"/>
    <x v="0"/>
    <n v="675"/>
    <x v="60"/>
    <x v="10"/>
    <x v="1"/>
    <s v="11.1"/>
    <s v="Good"/>
  </r>
  <r>
    <n v="1996"/>
    <n v="6196391"/>
    <x v="14"/>
    <x v="13"/>
    <s v="The interface could be better but overall good experience."/>
    <x v="14"/>
    <x v="3"/>
    <x v="1995"/>
    <x v="1"/>
    <x v="0"/>
    <n v="675"/>
    <x v="36"/>
    <x v="18"/>
    <x v="4"/>
    <s v="7.8.58"/>
    <s v="Average"/>
  </r>
  <r>
    <n v="1997"/>
    <n v="8682547"/>
    <x v="28"/>
    <x v="14"/>
    <s v="Officiis inventore commodi corporis ea repudiandae quidem beatae. Facilis omnis consequuntur doloribus."/>
    <x v="22"/>
    <x v="15"/>
    <x v="1996"/>
    <x v="0"/>
    <x v="0"/>
    <n v="904"/>
    <x v="31"/>
    <x v="15"/>
    <x v="3"/>
    <s v="4.8.64"/>
    <s v="Poor"/>
  </r>
  <r>
    <n v="1998"/>
    <n v="4537702"/>
    <x v="1"/>
    <x v="13"/>
    <s v="Excellent customer support and regular feature updates."/>
    <x v="3"/>
    <x v="28"/>
    <x v="1997"/>
    <x v="0"/>
    <x v="1"/>
    <n v="1154"/>
    <x v="7"/>
    <x v="19"/>
    <x v="0"/>
    <s v="3.8.21-beta"/>
    <s v="Poor"/>
  </r>
  <r>
    <n v="1999"/>
    <n v="1342680"/>
    <x v="17"/>
    <x v="4"/>
    <s v="Weg Leben finden Frau Garten Katze stehen. Mögen nein sollen deshalb gab. Wahr Musik Schwester gehören schwimmen."/>
    <x v="0"/>
    <x v="38"/>
    <x v="1998"/>
    <x v="1"/>
    <x v="1"/>
    <n v="696"/>
    <x v="0"/>
    <x v="7"/>
    <x v="1"/>
    <s v="8.7.52"/>
    <s v="Good"/>
  </r>
  <r>
    <n v="2000"/>
    <n v="5212711"/>
    <x v="31"/>
    <x v="9"/>
    <s v="Great app but too many ads, consider premium version."/>
    <x v="21"/>
    <x v="6"/>
    <x v="1999"/>
    <x v="1"/>
    <x v="0"/>
    <n v="31"/>
    <x v="53"/>
    <x v="12"/>
    <x v="4"/>
    <s v="9.3.18.3413"/>
    <s v="Good"/>
  </r>
  <r>
    <n v="2001"/>
    <n v="7479665"/>
    <x v="7"/>
    <x v="4"/>
    <s v="This app is amazing! Really love the new features."/>
    <x v="11"/>
    <x v="29"/>
    <x v="2000"/>
    <x v="0"/>
    <x v="2"/>
    <n v="59"/>
    <x v="29"/>
    <x v="2"/>
    <x v="0"/>
    <s v="11.3.52.563"/>
    <s v="Very Poor"/>
  </r>
  <r>
    <n v="2002"/>
    <n v="2691094"/>
    <x v="4"/>
    <x v="16"/>
    <s v="This app is amazing! Really love the new features."/>
    <x v="13"/>
    <x v="2"/>
    <x v="2001"/>
    <x v="1"/>
    <x v="2"/>
    <n v="604"/>
    <x v="40"/>
    <x v="24"/>
    <x v="4"/>
    <s v="7.7.54-beta"/>
    <s v="Average"/>
  </r>
  <r>
    <n v="2003"/>
    <n v="2256762"/>
    <x v="27"/>
    <x v="6"/>
    <s v="Ślub wina zupa utwór."/>
    <x v="21"/>
    <x v="36"/>
    <x v="2002"/>
    <x v="0"/>
    <x v="0"/>
    <n v="69"/>
    <x v="24"/>
    <x v="24"/>
    <x v="2"/>
    <s v="6.6.84-beta"/>
    <s v="Poor"/>
  </r>
  <r>
    <n v="2004"/>
    <n v="9884981"/>
    <x v="38"/>
    <x v="4"/>
    <s v="Deshalb allein Hase letzte vom. Hängen nämlich drei Gott Ding verlieren gerade. Heraus Wetter Polizei vom las lassen."/>
    <x v="15"/>
    <x v="7"/>
    <x v="2003"/>
    <x v="0"/>
    <x v="1"/>
    <n v="1059"/>
    <x v="43"/>
    <x v="13"/>
    <x v="2"/>
    <s v="5.6.70-beta"/>
    <s v="Very Poor"/>
  </r>
  <r>
    <n v="2005"/>
    <n v="1186368"/>
    <x v="8"/>
    <x v="7"/>
    <s v="No Review"/>
    <x v="2"/>
    <x v="13"/>
    <x v="2004"/>
    <x v="0"/>
    <x v="3"/>
    <n v="671"/>
    <x v="27"/>
    <x v="3"/>
    <x v="3"/>
    <s v="v7.6.16"/>
    <s v="Average"/>
  </r>
  <r>
    <n v="2006"/>
    <n v="9071681"/>
    <x v="13"/>
    <x v="6"/>
    <s v="Their wife argue note easy eight school. Direction response concern without entire."/>
    <x v="13"/>
    <x v="18"/>
    <x v="2005"/>
    <x v="0"/>
    <x v="1"/>
    <n v="527"/>
    <x v="51"/>
    <x v="10"/>
    <x v="0"/>
    <s v="1.0.9"/>
    <s v="Average"/>
  </r>
  <r>
    <n v="2007"/>
    <n v="3287908"/>
    <x v="30"/>
    <x v="11"/>
    <s v="Some bugs need fixing but generally satisfied with it."/>
    <x v="17"/>
    <x v="21"/>
    <x v="2006"/>
    <x v="0"/>
    <x v="0"/>
    <n v="1019"/>
    <x v="39"/>
    <x v="14"/>
    <x v="0"/>
    <s v="9.9"/>
    <s v="Excellent"/>
  </r>
  <r>
    <n v="2008"/>
    <n v="2323802"/>
    <x v="10"/>
    <x v="15"/>
    <s v="Excellent customer support and regular feature updates."/>
    <x v="3"/>
    <x v="7"/>
    <x v="2007"/>
    <x v="0"/>
    <x v="1"/>
    <n v="1231"/>
    <x v="52"/>
    <x v="7"/>
    <x v="1"/>
    <s v="11.2.45"/>
    <s v="Very Poor"/>
  </r>
  <r>
    <n v="2009"/>
    <n v="1121147"/>
    <x v="4"/>
    <x v="9"/>
    <s v="Fangen Nase nah Kopf Maus."/>
    <x v="7"/>
    <x v="4"/>
    <x v="2008"/>
    <x v="0"/>
    <x v="0"/>
    <n v="857"/>
    <x v="46"/>
    <x v="1"/>
    <x v="2"/>
    <s v="10.9.94"/>
    <s v="Average"/>
  </r>
  <r>
    <n v="2010"/>
    <n v="5449555"/>
    <x v="37"/>
    <x v="3"/>
    <s v="Excellent customer support and regular feature updates."/>
    <x v="5"/>
    <x v="31"/>
    <x v="2009"/>
    <x v="1"/>
    <x v="0"/>
    <n v="1126"/>
    <x v="20"/>
    <x v="5"/>
    <x v="4"/>
    <s v="15.3.99"/>
    <s v="Good"/>
  </r>
  <r>
    <n v="2011"/>
    <n v="1325651"/>
    <x v="18"/>
    <x v="16"/>
    <s v="User-friendly design and smooth performance throughout."/>
    <x v="8"/>
    <x v="40"/>
    <x v="2010"/>
    <x v="0"/>
    <x v="0"/>
    <n v="782"/>
    <x v="18"/>
    <x v="13"/>
    <x v="0"/>
    <s v="4.2"/>
    <s v="Very Poor"/>
  </r>
  <r>
    <n v="2012"/>
    <n v="2052975"/>
    <x v="37"/>
    <x v="0"/>
    <s v="This app is amazing! Really love the new features."/>
    <x v="17"/>
    <x v="24"/>
    <x v="2011"/>
    <x v="0"/>
    <x v="0"/>
    <n v="831"/>
    <x v="3"/>
    <x v="10"/>
    <x v="2"/>
    <s v="4.3.13-beta"/>
    <s v="Poor"/>
  </r>
  <r>
    <n v="2013"/>
    <n v="8086555"/>
    <x v="7"/>
    <x v="5"/>
    <s v="User-friendly design and smooth performance throughout."/>
    <x v="17"/>
    <x v="11"/>
    <x v="2012"/>
    <x v="0"/>
    <x v="1"/>
    <n v="68"/>
    <x v="34"/>
    <x v="13"/>
    <x v="4"/>
    <s v="13.0"/>
    <s v="Good"/>
  </r>
  <r>
    <n v="2014"/>
    <n v="9199439"/>
    <x v="21"/>
    <x v="9"/>
    <s v="Cruel journée monter naturellement simplement cabinet souvenir remplir. Nom partie rapport voler détacher."/>
    <x v="5"/>
    <x v="19"/>
    <x v="2013"/>
    <x v="0"/>
    <x v="2"/>
    <n v="774"/>
    <x v="24"/>
    <x v="11"/>
    <x v="2"/>
    <s v="8.8.61.1815"/>
    <s v="Poor"/>
  </r>
  <r>
    <n v="2015"/>
    <n v="4642317"/>
    <x v="17"/>
    <x v="13"/>
    <s v="Crashes too often, needs improvement in stability."/>
    <x v="10"/>
    <x v="24"/>
    <x v="2014"/>
    <x v="1"/>
    <x v="1"/>
    <n v="608"/>
    <x v="9"/>
    <x v="13"/>
    <x v="4"/>
    <s v="2.4.40-beta"/>
    <s v="Poor"/>
  </r>
  <r>
    <n v="2016"/>
    <n v="3061713"/>
    <x v="28"/>
    <x v="11"/>
    <s v="Magni maiores veritatis error sint dolorum."/>
    <x v="17"/>
    <x v="37"/>
    <x v="2015"/>
    <x v="1"/>
    <x v="0"/>
    <n v="511"/>
    <x v="59"/>
    <x v="2"/>
    <x v="4"/>
    <s v="12.1.66"/>
    <s v="Average"/>
  </r>
  <r>
    <n v="2017"/>
    <n v="9516452"/>
    <x v="15"/>
    <x v="13"/>
    <s v="Возможно падаль ремень госпожа иной ручей указанный."/>
    <x v="6"/>
    <x v="37"/>
    <x v="2016"/>
    <x v="0"/>
    <x v="4"/>
    <n v="1193"/>
    <x v="35"/>
    <x v="24"/>
    <x v="2"/>
    <s v="1.6.96"/>
    <s v="Average"/>
  </r>
  <r>
    <n v="2018"/>
    <n v="2836881"/>
    <x v="14"/>
    <x v="1"/>
    <s v="Perfect for daily use, highly recommend to everyone."/>
    <x v="13"/>
    <x v="39"/>
    <x v="2017"/>
    <x v="0"/>
    <x v="3"/>
    <n v="308"/>
    <x v="18"/>
    <x v="18"/>
    <x v="4"/>
    <s v="15.4.95-beta"/>
    <s v="Good"/>
  </r>
  <r>
    <n v="2019"/>
    <n v="7348007"/>
    <x v="40"/>
    <x v="4"/>
    <s v="Atque similique exercitationem porro reprehenderit."/>
    <x v="20"/>
    <x v="8"/>
    <x v="2018"/>
    <x v="1"/>
    <x v="3"/>
    <n v="15"/>
    <x v="58"/>
    <x v="6"/>
    <x v="0"/>
    <s v="14.5.92.7709"/>
    <s v="Very Poor"/>
  </r>
  <r>
    <n v="2020"/>
    <n v="1923879"/>
    <x v="13"/>
    <x v="3"/>
    <s v="Costruire mattino fantasia momento bisogno. Tipo coscienza possibilità fede contadino. Roba sole parere ciò uomo visita."/>
    <x v="6"/>
    <x v="9"/>
    <x v="2019"/>
    <x v="0"/>
    <x v="0"/>
    <n v="1187"/>
    <x v="53"/>
    <x v="10"/>
    <x v="3"/>
    <s v="7.1.85-beta"/>
    <s v="Excellent"/>
  </r>
  <r>
    <n v="2021"/>
    <n v="7094575"/>
    <x v="9"/>
    <x v="6"/>
    <s v="User-friendly design and smooth performance throughout."/>
    <x v="8"/>
    <x v="32"/>
    <x v="2020"/>
    <x v="1"/>
    <x v="3"/>
    <n v="196"/>
    <x v="37"/>
    <x v="20"/>
    <x v="1"/>
    <s v="4.8.44-beta"/>
    <s v="Very Poor"/>
  </r>
  <r>
    <n v="2022"/>
    <n v="4619499"/>
    <x v="19"/>
    <x v="1"/>
    <s v="Perfect for daily use, highly recommend to everyone."/>
    <x v="15"/>
    <x v="30"/>
    <x v="2021"/>
    <x v="0"/>
    <x v="4"/>
    <n v="1027"/>
    <x v="49"/>
    <x v="24"/>
    <x v="3"/>
    <s v="3.8.96-beta"/>
    <s v="Average"/>
  </r>
  <r>
    <n v="2023"/>
    <n v="8018538"/>
    <x v="6"/>
    <x v="1"/>
    <s v="Fuga esse quas repudiandae et. Incidunt hic impedit quis illo."/>
    <x v="7"/>
    <x v="23"/>
    <x v="2022"/>
    <x v="0"/>
    <x v="2"/>
    <n v="1034"/>
    <x v="36"/>
    <x v="15"/>
    <x v="4"/>
    <s v="2.4.98"/>
    <s v="Very Poor"/>
  </r>
  <r>
    <n v="2024"/>
    <n v="2447640"/>
    <x v="8"/>
    <x v="8"/>
    <s v="Конференция куча предоставить наслаждение пересечь поймать угроза. Головка кпсс научить трясти граница дремать. Бровь более провинция неправда выкинуть вообще."/>
    <x v="8"/>
    <x v="10"/>
    <x v="2023"/>
    <x v="0"/>
    <x v="2"/>
    <n v="189"/>
    <x v="57"/>
    <x v="23"/>
    <x v="3"/>
    <s v="7.5.56-beta"/>
    <s v="Poor"/>
  </r>
  <r>
    <n v="2025"/>
    <n v="6644171"/>
    <x v="21"/>
    <x v="12"/>
    <s v="Some bugs need fixing but generally satisfied with it."/>
    <x v="0"/>
    <x v="32"/>
    <x v="2024"/>
    <x v="1"/>
    <x v="4"/>
    <n v="1180"/>
    <x v="12"/>
    <x v="22"/>
    <x v="4"/>
    <s v="11.3.38-beta"/>
    <s v="Very Poor"/>
  </r>
  <r>
    <n v="2026"/>
    <n v="8271197"/>
    <x v="24"/>
    <x v="2"/>
    <s v="Some bugs need fixing but generally satisfied with it."/>
    <x v="19"/>
    <x v="33"/>
    <x v="2025"/>
    <x v="0"/>
    <x v="4"/>
    <n v="960"/>
    <x v="12"/>
    <x v="7"/>
    <x v="2"/>
    <s v="4.1"/>
    <s v="Poor"/>
  </r>
  <r>
    <n v="2027"/>
    <n v="9933367"/>
    <x v="31"/>
    <x v="12"/>
    <s v="The interface could be better but overall good experience."/>
    <x v="3"/>
    <x v="27"/>
    <x v="2026"/>
    <x v="0"/>
    <x v="2"/>
    <n v="520"/>
    <x v="2"/>
    <x v="6"/>
    <x v="0"/>
    <s v="10.0.65-beta"/>
    <s v="Very Poor"/>
  </r>
  <r>
    <n v="2028"/>
    <n v="1801879"/>
    <x v="27"/>
    <x v="2"/>
    <s v="Crashes too often, needs improvement in stability."/>
    <x v="6"/>
    <x v="15"/>
    <x v="2027"/>
    <x v="1"/>
    <x v="1"/>
    <n v="626"/>
    <x v="39"/>
    <x v="18"/>
    <x v="1"/>
    <s v="7.3.98-beta"/>
    <s v="Poor"/>
  </r>
  <r>
    <n v="2029"/>
    <n v="5849416"/>
    <x v="36"/>
    <x v="7"/>
    <s v="Some bugs need fixing but generally satisfied with it."/>
    <x v="19"/>
    <x v="18"/>
    <x v="2028"/>
    <x v="0"/>
    <x v="4"/>
    <n v="74"/>
    <x v="16"/>
    <x v="7"/>
    <x v="2"/>
    <s v="15.9.45"/>
    <s v="Average"/>
  </r>
  <r>
    <n v="2030"/>
    <n v="6298322"/>
    <x v="38"/>
    <x v="12"/>
    <s v="Great app but too many ads, consider premium version."/>
    <x v="13"/>
    <x v="34"/>
    <x v="2029"/>
    <x v="0"/>
    <x v="3"/>
    <n v="216"/>
    <x v="30"/>
    <x v="7"/>
    <x v="2"/>
    <s v="7.9.2-beta"/>
    <s v="Average"/>
  </r>
  <r>
    <n v="2031"/>
    <n v="1962787"/>
    <x v="21"/>
    <x v="10"/>
    <s v="Dazu singen gestern sprechen ihn dich dich."/>
    <x v="9"/>
    <x v="10"/>
    <x v="2030"/>
    <x v="0"/>
    <x v="4"/>
    <n v="363"/>
    <x v="30"/>
    <x v="16"/>
    <x v="3"/>
    <s v="9.8.36-beta"/>
    <s v="Poor"/>
  </r>
  <r>
    <n v="2032"/>
    <n v="3455347"/>
    <x v="17"/>
    <x v="6"/>
    <s v="At doloribus nemo quis ea minus eos. Consequuntur quo sit. Vero facere quo quibusdam dolor eum."/>
    <x v="10"/>
    <x v="23"/>
    <x v="2031"/>
    <x v="0"/>
    <x v="2"/>
    <n v="52"/>
    <x v="34"/>
    <x v="6"/>
    <x v="1"/>
    <s v="8.1.8-beta"/>
    <s v="Very Poor"/>
  </r>
  <r>
    <n v="2033"/>
    <n v="6176771"/>
    <x v="30"/>
    <x v="17"/>
    <s v="Great app but too many ads, consider premium version."/>
    <x v="10"/>
    <x v="35"/>
    <x v="2032"/>
    <x v="0"/>
    <x v="4"/>
    <n v="349"/>
    <x v="37"/>
    <x v="5"/>
    <x v="4"/>
    <s v="v13.1.63"/>
    <s v="Poor"/>
  </r>
  <r>
    <n v="2034"/>
    <n v="4445732"/>
    <x v="35"/>
    <x v="8"/>
    <s v="Great app but too many ads, consider premium version."/>
    <x v="14"/>
    <x v="27"/>
    <x v="2033"/>
    <x v="0"/>
    <x v="0"/>
    <n v="803"/>
    <x v="14"/>
    <x v="19"/>
    <x v="1"/>
    <s v="2.5.83"/>
    <s v="Very Poor"/>
  </r>
  <r>
    <n v="2035"/>
    <n v="488196"/>
    <x v="37"/>
    <x v="11"/>
    <s v="Blanditiis illum id laborum."/>
    <x v="7"/>
    <x v="14"/>
    <x v="2034"/>
    <x v="0"/>
    <x v="1"/>
    <n v="488"/>
    <x v="10"/>
    <x v="2"/>
    <x v="0"/>
    <s v="v8.3.91"/>
    <s v="Excellent"/>
  </r>
  <r>
    <n v="2036"/>
    <n v="1111437"/>
    <x v="36"/>
    <x v="1"/>
    <s v="Perfect for daily use, highly recommend to everyone."/>
    <x v="18"/>
    <x v="2"/>
    <x v="2035"/>
    <x v="0"/>
    <x v="1"/>
    <n v="526"/>
    <x v="20"/>
    <x v="21"/>
    <x v="4"/>
    <s v="v9.3.64"/>
    <s v="Average"/>
  </r>
  <r>
    <n v="2037"/>
    <n v="6365860"/>
    <x v="26"/>
    <x v="17"/>
    <s v="起来全部参加. 深圳应该认为科技比较起来. 成功无法加入谢谢现在历史作品."/>
    <x v="16"/>
    <x v="2"/>
    <x v="2036"/>
    <x v="1"/>
    <x v="2"/>
    <n v="1209"/>
    <x v="15"/>
    <x v="3"/>
    <x v="4"/>
    <s v="v4.0.66"/>
    <s v="Average"/>
  </r>
  <r>
    <n v="2038"/>
    <n v="1326138"/>
    <x v="35"/>
    <x v="10"/>
    <s v="Repellendus iure suscipit voluptatibus corrupti ex. Officia excepturi minus possimus. Suscipit illo eos numquam harum ab."/>
    <x v="14"/>
    <x v="9"/>
    <x v="2037"/>
    <x v="0"/>
    <x v="0"/>
    <n v="999"/>
    <x v="12"/>
    <x v="12"/>
    <x v="1"/>
    <s v="11.1.42"/>
    <s v="Excellent"/>
  </r>
  <r>
    <n v="2039"/>
    <n v="2624885"/>
    <x v="4"/>
    <x v="0"/>
    <s v="Nieprzyjemny sędzia dodać wzór zawodnik. Suma dłoń włoski letni trudność. Kościół nawet wy nauka."/>
    <x v="23"/>
    <x v="23"/>
    <x v="2038"/>
    <x v="0"/>
    <x v="1"/>
    <n v="730"/>
    <x v="51"/>
    <x v="13"/>
    <x v="4"/>
    <s v="12.1.60-beta"/>
    <s v="Very Poor"/>
  </r>
  <r>
    <n v="2040"/>
    <n v="761904"/>
    <x v="24"/>
    <x v="10"/>
    <s v="This app is amazing! Really love the new features."/>
    <x v="11"/>
    <x v="29"/>
    <x v="2039"/>
    <x v="0"/>
    <x v="0"/>
    <n v="775"/>
    <x v="25"/>
    <x v="3"/>
    <x v="3"/>
    <s v="5.4.76-beta"/>
    <s v="Very Poor"/>
  </r>
  <r>
    <n v="2041"/>
    <n v="9160975"/>
    <x v="10"/>
    <x v="6"/>
    <s v="No Review"/>
    <x v="10"/>
    <x v="38"/>
    <x v="2040"/>
    <x v="0"/>
    <x v="2"/>
    <n v="1092"/>
    <x v="9"/>
    <x v="4"/>
    <x v="3"/>
    <s v="4.6"/>
    <s v="Good"/>
  </r>
  <r>
    <n v="2042"/>
    <n v="5593884"/>
    <x v="33"/>
    <x v="2"/>
    <s v="Works perfectly on my device, no complaints at all."/>
    <x v="16"/>
    <x v="4"/>
    <x v="2041"/>
    <x v="0"/>
    <x v="3"/>
    <n v="105"/>
    <x v="20"/>
    <x v="16"/>
    <x v="1"/>
    <s v="v10.5.61"/>
    <s v="Average"/>
  </r>
  <r>
    <n v="2043"/>
    <n v="3960502"/>
    <x v="7"/>
    <x v="3"/>
    <s v="Couper coeur voix dehors théâtre. Allumer soudain triste ce trou ajouter. Fier honneur fort course fier."/>
    <x v="6"/>
    <x v="20"/>
    <x v="2042"/>
    <x v="0"/>
    <x v="3"/>
    <n v="450"/>
    <x v="33"/>
    <x v="20"/>
    <x v="4"/>
    <s v="4.5.31-beta"/>
    <s v="Very Poor"/>
  </r>
  <r>
    <n v="2044"/>
    <n v="1657794"/>
    <x v="31"/>
    <x v="11"/>
    <s v="Some bugs need fixing but generally satisfied with it."/>
    <x v="11"/>
    <x v="14"/>
    <x v="2043"/>
    <x v="0"/>
    <x v="1"/>
    <n v="61"/>
    <x v="1"/>
    <x v="0"/>
    <x v="3"/>
    <s v="9.8"/>
    <s v="Excellent"/>
  </r>
  <r>
    <n v="2045"/>
    <n v="9802323"/>
    <x v="3"/>
    <x v="10"/>
    <s v="Commodi quidem blanditiis laudantium non quibusdam et."/>
    <x v="21"/>
    <x v="16"/>
    <x v="2044"/>
    <x v="0"/>
    <x v="0"/>
    <n v="1093"/>
    <x v="39"/>
    <x v="21"/>
    <x v="3"/>
    <s v="v4.7.59"/>
    <s v="Excellent"/>
  </r>
  <r>
    <n v="2046"/>
    <n v="1623219"/>
    <x v="22"/>
    <x v="1"/>
    <s v="知道大家方式还有时间能够看到."/>
    <x v="17"/>
    <x v="19"/>
    <x v="2045"/>
    <x v="0"/>
    <x v="0"/>
    <n v="1108"/>
    <x v="29"/>
    <x v="7"/>
    <x v="4"/>
    <s v="10.6"/>
    <s v="Poor"/>
  </r>
  <r>
    <n v="2047"/>
    <n v="6050561"/>
    <x v="11"/>
    <x v="4"/>
    <s v="Crashes too often, needs improvement in stability."/>
    <x v="22"/>
    <x v="9"/>
    <x v="2046"/>
    <x v="0"/>
    <x v="3"/>
    <n v="1036"/>
    <x v="46"/>
    <x v="16"/>
    <x v="2"/>
    <s v="7.9"/>
    <s v="Excellent"/>
  </r>
  <r>
    <n v="2048"/>
    <n v="1195646"/>
    <x v="21"/>
    <x v="4"/>
    <s v="The interface could be better but overall good experience."/>
    <x v="22"/>
    <x v="23"/>
    <x v="2047"/>
    <x v="1"/>
    <x v="3"/>
    <n v="679"/>
    <x v="17"/>
    <x v="5"/>
    <x v="2"/>
    <s v="9.7.23-beta"/>
    <s v="Very Poor"/>
  </r>
  <r>
    <n v="2049"/>
    <n v="5144815"/>
    <x v="34"/>
    <x v="8"/>
    <s v="Yeux barbe paupière fleur intérieur. Protéger sûr après séparer compte."/>
    <x v="0"/>
    <x v="26"/>
    <x v="2048"/>
    <x v="0"/>
    <x v="3"/>
    <n v="1042"/>
    <x v="49"/>
    <x v="6"/>
    <x v="0"/>
    <s v="14.1.70.2353"/>
    <s v="Average"/>
  </r>
  <r>
    <n v="2050"/>
    <n v="8801033"/>
    <x v="0"/>
    <x v="14"/>
    <s v="Consequuntur iusto aliquam nisi."/>
    <x v="11"/>
    <x v="37"/>
    <x v="2049"/>
    <x v="1"/>
    <x v="4"/>
    <n v="569"/>
    <x v="20"/>
    <x v="10"/>
    <x v="2"/>
    <s v="5.1.92.5697"/>
    <s v="Average"/>
  </r>
  <r>
    <n v="2051"/>
    <n v="5017143"/>
    <x v="11"/>
    <x v="0"/>
    <s v="Pisarz grzech płynąć stanowić pomagać powierzchnia."/>
    <x v="1"/>
    <x v="6"/>
    <x v="2050"/>
    <x v="1"/>
    <x v="4"/>
    <n v="9"/>
    <x v="10"/>
    <x v="7"/>
    <x v="3"/>
    <s v="7.9.32.4183"/>
    <s v="Good"/>
  </r>
  <r>
    <n v="2052"/>
    <n v="3146988"/>
    <x v="2"/>
    <x v="11"/>
    <s v="Soluta autem cum libero esse numquam. Numquam adipisci ad adipisci iusto."/>
    <x v="12"/>
    <x v="30"/>
    <x v="2051"/>
    <x v="0"/>
    <x v="3"/>
    <n v="330"/>
    <x v="22"/>
    <x v="7"/>
    <x v="4"/>
    <s v="12.6.39-beta"/>
    <s v="Average"/>
  </r>
  <r>
    <n v="2053"/>
    <n v="6939304"/>
    <x v="24"/>
    <x v="15"/>
    <s v="Molestiae quis quam."/>
    <x v="10"/>
    <x v="29"/>
    <x v="2052"/>
    <x v="0"/>
    <x v="3"/>
    <n v="983"/>
    <x v="61"/>
    <x v="20"/>
    <x v="2"/>
    <s v="5.9.91.7954"/>
    <s v="Very Poor"/>
  </r>
  <r>
    <n v="2054"/>
    <n v="1779655"/>
    <x v="39"/>
    <x v="14"/>
    <s v="Give development information. Both little work task. Key tax speak a live tonight either."/>
    <x v="17"/>
    <x v="8"/>
    <x v="2053"/>
    <x v="1"/>
    <x v="3"/>
    <n v="292"/>
    <x v="34"/>
    <x v="6"/>
    <x v="4"/>
    <s v="15.7.71-beta"/>
    <s v="Very Poor"/>
  </r>
  <r>
    <n v="2055"/>
    <n v="9159463"/>
    <x v="18"/>
    <x v="2"/>
    <s v="原因合作网络应该一种一样."/>
    <x v="12"/>
    <x v="25"/>
    <x v="2054"/>
    <x v="0"/>
    <x v="4"/>
    <n v="95"/>
    <x v="55"/>
    <x v="12"/>
    <x v="0"/>
    <s v="1.1"/>
    <s v="Poor"/>
  </r>
  <r>
    <n v="2056"/>
    <n v="8735804"/>
    <x v="9"/>
    <x v="6"/>
    <s v="Scopo chiamare politica recare. E particolare dipendere dire quello esercito. Posare milione odore stanza ridere caso industriale."/>
    <x v="11"/>
    <x v="27"/>
    <x v="2055"/>
    <x v="0"/>
    <x v="0"/>
    <n v="436"/>
    <x v="38"/>
    <x v="11"/>
    <x v="1"/>
    <s v="8.1.19.7339"/>
    <s v="Very Poor"/>
  </r>
  <r>
    <n v="2057"/>
    <n v="9820191"/>
    <x v="4"/>
    <x v="6"/>
    <s v="User-friendly design and smooth performance throughout."/>
    <x v="4"/>
    <x v="36"/>
    <x v="2056"/>
    <x v="0"/>
    <x v="0"/>
    <n v="277"/>
    <x v="53"/>
    <x v="9"/>
    <x v="2"/>
    <s v="12.4.26.8385"/>
    <s v="Poor"/>
  </r>
  <r>
    <n v="2058"/>
    <n v="6559731"/>
    <x v="30"/>
    <x v="3"/>
    <s v="Arme couche confier chaque anglais rester classe entourer. Jeune signer construire solitude vide frapper volonté."/>
    <x v="16"/>
    <x v="7"/>
    <x v="2057"/>
    <x v="1"/>
    <x v="1"/>
    <n v="786"/>
    <x v="44"/>
    <x v="10"/>
    <x v="4"/>
    <s v="v6.8.39"/>
    <s v="Very Poor"/>
  </r>
  <r>
    <n v="2059"/>
    <n v="4509130"/>
    <x v="27"/>
    <x v="4"/>
    <s v="Kam sieben reiten lieb gleich über einige. Tante laut mich rufen rund glücklich."/>
    <x v="23"/>
    <x v="3"/>
    <x v="2058"/>
    <x v="0"/>
    <x v="0"/>
    <n v="463"/>
    <x v="1"/>
    <x v="23"/>
    <x v="0"/>
    <s v="12.5.4-beta"/>
    <s v="Average"/>
  </r>
  <r>
    <n v="2060"/>
    <n v="1158940"/>
    <x v="32"/>
    <x v="2"/>
    <s v="Crashes too often, needs improvement in stability."/>
    <x v="1"/>
    <x v="1"/>
    <x v="2059"/>
    <x v="0"/>
    <x v="4"/>
    <n v="843"/>
    <x v="5"/>
    <x v="4"/>
    <x v="3"/>
    <s v="v6.4.83"/>
    <s v="Very Poor"/>
  </r>
  <r>
    <n v="2061"/>
    <n v="7255726"/>
    <x v="40"/>
    <x v="9"/>
    <s v="Some bugs need fixing but generally satisfied with it."/>
    <x v="2"/>
    <x v="21"/>
    <x v="2060"/>
    <x v="0"/>
    <x v="0"/>
    <n v="459"/>
    <x v="22"/>
    <x v="12"/>
    <x v="0"/>
    <s v="9.0.46"/>
    <s v="Excellent"/>
  </r>
  <r>
    <n v="2062"/>
    <n v="9215376"/>
    <x v="7"/>
    <x v="2"/>
    <s v="No Review"/>
    <x v="22"/>
    <x v="23"/>
    <x v="2061"/>
    <x v="0"/>
    <x v="4"/>
    <n v="712"/>
    <x v="7"/>
    <x v="22"/>
    <x v="2"/>
    <s v="5.5"/>
    <s v="Very Poor"/>
  </r>
  <r>
    <n v="2063"/>
    <n v="3910526"/>
    <x v="31"/>
    <x v="8"/>
    <s v="Rerum blanditiis quae commodi expedita iste mollitia. Vitae voluptas delectus reprehenderit. Deserunt saepe dolore accusantium quasi explicabo nobis."/>
    <x v="21"/>
    <x v="30"/>
    <x v="2062"/>
    <x v="0"/>
    <x v="3"/>
    <n v="1206"/>
    <x v="4"/>
    <x v="6"/>
    <x v="0"/>
    <s v="8.4"/>
    <s v="Average"/>
  </r>
  <r>
    <n v="2064"/>
    <n v="9001345"/>
    <x v="37"/>
    <x v="16"/>
    <s v="The interface could be better but overall good experience."/>
    <x v="10"/>
    <x v="0"/>
    <x v="2063"/>
    <x v="0"/>
    <x v="3"/>
    <n v="914"/>
    <x v="61"/>
    <x v="22"/>
    <x v="1"/>
    <s v="v1.0.49"/>
    <s v="Very Poor"/>
  </r>
  <r>
    <n v="2065"/>
    <n v="9044877"/>
    <x v="40"/>
    <x v="7"/>
    <s v="This app is amazing! Really love the new features."/>
    <x v="15"/>
    <x v="0"/>
    <x v="2064"/>
    <x v="0"/>
    <x v="0"/>
    <n v="866"/>
    <x v="61"/>
    <x v="9"/>
    <x v="1"/>
    <s v="v8.3.34"/>
    <s v="Very Poor"/>
  </r>
  <r>
    <n v="2066"/>
    <n v="3965865"/>
    <x v="40"/>
    <x v="4"/>
    <s v="Crashes too often, needs improvement in stability."/>
    <x v="14"/>
    <x v="38"/>
    <x v="2065"/>
    <x v="0"/>
    <x v="1"/>
    <n v="920"/>
    <x v="28"/>
    <x v="7"/>
    <x v="4"/>
    <s v="3.6"/>
    <s v="Good"/>
  </r>
  <r>
    <n v="2067"/>
    <n v="2897658"/>
    <x v="8"/>
    <x v="9"/>
    <s v="Some bugs need fixing but generally satisfied with it."/>
    <x v="5"/>
    <x v="14"/>
    <x v="2066"/>
    <x v="0"/>
    <x v="1"/>
    <n v="504"/>
    <x v="17"/>
    <x v="18"/>
    <x v="4"/>
    <s v="v2.9.71"/>
    <s v="Excellent"/>
  </r>
  <r>
    <n v="2068"/>
    <n v="1780038"/>
    <x v="33"/>
    <x v="2"/>
    <s v="This app is amazing! Really love the new features."/>
    <x v="6"/>
    <x v="38"/>
    <x v="2067"/>
    <x v="0"/>
    <x v="1"/>
    <n v="1054"/>
    <x v="50"/>
    <x v="4"/>
    <x v="4"/>
    <s v="9.1"/>
    <s v="Good"/>
  </r>
  <r>
    <n v="2069"/>
    <n v="3895970"/>
    <x v="2"/>
    <x v="15"/>
    <s v="This app is amazing! Really love the new features."/>
    <x v="0"/>
    <x v="38"/>
    <x v="2068"/>
    <x v="1"/>
    <x v="4"/>
    <n v="98"/>
    <x v="26"/>
    <x v="1"/>
    <x v="0"/>
    <s v="1.3.27"/>
    <s v="Good"/>
  </r>
  <r>
    <n v="2070"/>
    <n v="2650993"/>
    <x v="8"/>
    <x v="11"/>
    <s v="Works perfectly on my device, no complaints at all."/>
    <x v="21"/>
    <x v="22"/>
    <x v="2069"/>
    <x v="1"/>
    <x v="4"/>
    <n v="280"/>
    <x v="43"/>
    <x v="6"/>
    <x v="1"/>
    <s v="11.2.13"/>
    <s v="Poor"/>
  </r>
  <r>
    <n v="2071"/>
    <n v="7213803"/>
    <x v="32"/>
    <x v="15"/>
    <s v="Perfect for daily use, highly recommend to everyone."/>
    <x v="20"/>
    <x v="39"/>
    <x v="2070"/>
    <x v="0"/>
    <x v="4"/>
    <n v="936"/>
    <x v="58"/>
    <x v="24"/>
    <x v="4"/>
    <s v="v3.8.14"/>
    <s v="Good"/>
  </r>
  <r>
    <n v="2072"/>
    <n v="4771135"/>
    <x v="37"/>
    <x v="3"/>
    <s v="Perfect for daily use, highly recommend to everyone."/>
    <x v="7"/>
    <x v="0"/>
    <x v="2071"/>
    <x v="0"/>
    <x v="1"/>
    <n v="886"/>
    <x v="49"/>
    <x v="15"/>
    <x v="3"/>
    <s v="14.2.49.74"/>
    <s v="Very Poor"/>
  </r>
  <r>
    <n v="2073"/>
    <n v="5074384"/>
    <x v="35"/>
    <x v="0"/>
    <s v="This app is amazing! Really love the new features."/>
    <x v="19"/>
    <x v="20"/>
    <x v="2072"/>
    <x v="0"/>
    <x v="3"/>
    <n v="1166"/>
    <x v="9"/>
    <x v="1"/>
    <x v="3"/>
    <s v="4.0.36.9416"/>
    <s v="Very Poor"/>
  </r>
  <r>
    <n v="2074"/>
    <n v="7167639"/>
    <x v="4"/>
    <x v="4"/>
    <s v="Crashes too often, needs improvement in stability."/>
    <x v="1"/>
    <x v="9"/>
    <x v="2073"/>
    <x v="0"/>
    <x v="3"/>
    <n v="1001"/>
    <x v="16"/>
    <x v="24"/>
    <x v="1"/>
    <s v="4.2"/>
    <s v="Excellent"/>
  </r>
  <r>
    <n v="2075"/>
    <n v="7951806"/>
    <x v="39"/>
    <x v="10"/>
    <s v="This app is amazing! Really love the new features."/>
    <x v="8"/>
    <x v="28"/>
    <x v="2074"/>
    <x v="0"/>
    <x v="3"/>
    <n v="409"/>
    <x v="37"/>
    <x v="2"/>
    <x v="3"/>
    <s v="5.5.69"/>
    <s v="Poor"/>
  </r>
  <r>
    <n v="2076"/>
    <n v="5133050"/>
    <x v="3"/>
    <x v="5"/>
    <s v="Some bugs need fixing but generally satisfied with it."/>
    <x v="22"/>
    <x v="17"/>
    <x v="2075"/>
    <x v="0"/>
    <x v="4"/>
    <n v="887"/>
    <x v="48"/>
    <x v="1"/>
    <x v="3"/>
    <s v="v11.7.65"/>
    <s v="Average"/>
  </r>
  <r>
    <n v="2077"/>
    <n v="4316604"/>
    <x v="36"/>
    <x v="9"/>
    <s v="The interface could be better but overall good experience."/>
    <x v="12"/>
    <x v="19"/>
    <x v="2076"/>
    <x v="0"/>
    <x v="2"/>
    <n v="520"/>
    <x v="56"/>
    <x v="5"/>
    <x v="0"/>
    <s v="7.2.17-beta"/>
    <s v="Poor"/>
  </r>
  <r>
    <n v="2078"/>
    <n v="5327870"/>
    <x v="9"/>
    <x v="8"/>
    <s v="User-friendly design and smooth performance throughout."/>
    <x v="18"/>
    <x v="0"/>
    <x v="2077"/>
    <x v="1"/>
    <x v="4"/>
    <n v="861"/>
    <x v="32"/>
    <x v="4"/>
    <x v="3"/>
    <s v="14.0.20.2199"/>
    <s v="Very Poor"/>
  </r>
  <r>
    <n v="2079"/>
    <n v="1220966"/>
    <x v="20"/>
    <x v="15"/>
    <s v="Latest update broke some features, please fix soon."/>
    <x v="8"/>
    <x v="35"/>
    <x v="2078"/>
    <x v="1"/>
    <x v="4"/>
    <n v="62"/>
    <x v="38"/>
    <x v="20"/>
    <x v="0"/>
    <s v="8.3"/>
    <s v="Poor"/>
  </r>
  <r>
    <n v="2080"/>
    <n v="6984958"/>
    <x v="32"/>
    <x v="9"/>
    <s v="User-friendly design and smooth performance throughout."/>
    <x v="4"/>
    <x v="35"/>
    <x v="2079"/>
    <x v="0"/>
    <x v="0"/>
    <n v="278"/>
    <x v="62"/>
    <x v="3"/>
    <x v="1"/>
    <s v="14.9.81-beta"/>
    <s v="Poor"/>
  </r>
  <r>
    <n v="2081"/>
    <n v="8168702"/>
    <x v="12"/>
    <x v="9"/>
    <s v="Quisquam rem veritatis doloribus. Officia hic deserunt rerum. Dolorem veniam consequuntur illo."/>
    <x v="11"/>
    <x v="19"/>
    <x v="2080"/>
    <x v="1"/>
    <x v="0"/>
    <n v="708"/>
    <x v="15"/>
    <x v="2"/>
    <x v="0"/>
    <s v="14.8.22"/>
    <s v="Poor"/>
  </r>
  <r>
    <n v="2082"/>
    <n v="9930269"/>
    <x v="30"/>
    <x v="5"/>
    <s v="Crashes too often, needs improvement in stability."/>
    <x v="11"/>
    <x v="24"/>
    <x v="2081"/>
    <x v="0"/>
    <x v="1"/>
    <n v="913"/>
    <x v="9"/>
    <x v="11"/>
    <x v="1"/>
    <s v="3.4.16-beta"/>
    <s v="Poor"/>
  </r>
  <r>
    <n v="2083"/>
    <n v="3553272"/>
    <x v="23"/>
    <x v="0"/>
    <s v="Denken früher gewinnen Opa Loch Luft. Neu fehlen kalt traurig mehr noch dick wahr. Vor wo auch und Frage offen."/>
    <x v="20"/>
    <x v="8"/>
    <x v="2082"/>
    <x v="0"/>
    <x v="2"/>
    <n v="1192"/>
    <x v="58"/>
    <x v="1"/>
    <x v="4"/>
    <s v="15.4.67-beta"/>
    <s v="Very Poor"/>
  </r>
  <r>
    <n v="2084"/>
    <n v="2926222"/>
    <x v="20"/>
    <x v="9"/>
    <s v="Some bugs need fixing but generally satisfied with it."/>
    <x v="5"/>
    <x v="22"/>
    <x v="2083"/>
    <x v="1"/>
    <x v="0"/>
    <n v="114"/>
    <x v="42"/>
    <x v="1"/>
    <x v="4"/>
    <s v="6.9"/>
    <s v="Poor"/>
  </r>
  <r>
    <n v="2085"/>
    <n v="8275606"/>
    <x v="12"/>
    <x v="5"/>
    <s v="Works perfectly on my device, no complaints at all."/>
    <x v="8"/>
    <x v="13"/>
    <x v="2084"/>
    <x v="0"/>
    <x v="0"/>
    <n v="1212"/>
    <x v="23"/>
    <x v="18"/>
    <x v="2"/>
    <s v="v11.0.19"/>
    <s v="Average"/>
  </r>
  <r>
    <n v="2086"/>
    <n v="3868723"/>
    <x v="4"/>
    <x v="14"/>
    <s v="Zwykle bronić sobota lipiec pozycja pasmo wyrażenie. Instrument przyjemny św. wiedza ojczyzna wojskowy. Korzyść naród tracić substancja stanowisko."/>
    <x v="17"/>
    <x v="26"/>
    <x v="2085"/>
    <x v="0"/>
    <x v="1"/>
    <n v="671"/>
    <x v="5"/>
    <x v="4"/>
    <x v="0"/>
    <s v="13.6.27"/>
    <s v="Average"/>
  </r>
  <r>
    <n v="2087"/>
    <n v="8246156"/>
    <x v="30"/>
    <x v="4"/>
    <s v="User-friendly design and smooth performance throughout."/>
    <x v="21"/>
    <x v="10"/>
    <x v="2086"/>
    <x v="0"/>
    <x v="0"/>
    <n v="402"/>
    <x v="8"/>
    <x v="4"/>
    <x v="2"/>
    <s v="11.0.11-beta"/>
    <s v="Poor"/>
  </r>
  <r>
    <n v="2088"/>
    <n v="8404320"/>
    <x v="11"/>
    <x v="9"/>
    <s v="Crashes too often, needs improvement in stability."/>
    <x v="14"/>
    <x v="23"/>
    <x v="2087"/>
    <x v="0"/>
    <x v="3"/>
    <n v="252"/>
    <x v="0"/>
    <x v="19"/>
    <x v="1"/>
    <s v="10.1.90.7843"/>
    <s v="Very Poor"/>
  </r>
  <r>
    <n v="2089"/>
    <n v="7377403"/>
    <x v="31"/>
    <x v="7"/>
    <s v="The interface could be better but overall good experience."/>
    <x v="1"/>
    <x v="14"/>
    <x v="2088"/>
    <x v="0"/>
    <x v="4"/>
    <n v="1157"/>
    <x v="61"/>
    <x v="1"/>
    <x v="2"/>
    <s v="v6.1.41"/>
    <s v="Excellent"/>
  </r>
  <r>
    <n v="2090"/>
    <n v="1844250"/>
    <x v="38"/>
    <x v="6"/>
    <s v="Crashes too often, needs improvement in stability."/>
    <x v="1"/>
    <x v="1"/>
    <x v="2089"/>
    <x v="1"/>
    <x v="2"/>
    <n v="990"/>
    <x v="2"/>
    <x v="16"/>
    <x v="3"/>
    <s v="12.4.80.5785"/>
    <s v="Very Poor"/>
  </r>
  <r>
    <n v="2091"/>
    <n v="8284965"/>
    <x v="33"/>
    <x v="12"/>
    <s v="The interface could be better but overall good experience."/>
    <x v="21"/>
    <x v="19"/>
    <x v="2090"/>
    <x v="0"/>
    <x v="1"/>
    <n v="130"/>
    <x v="22"/>
    <x v="6"/>
    <x v="0"/>
    <s v="v14.8.25"/>
    <s v="Poor"/>
  </r>
  <r>
    <n v="2092"/>
    <n v="9589530"/>
    <x v="32"/>
    <x v="9"/>
    <s v="Latest update broke some features, please fix soon."/>
    <x v="4"/>
    <x v="39"/>
    <x v="2091"/>
    <x v="0"/>
    <x v="2"/>
    <n v="794"/>
    <x v="44"/>
    <x v="11"/>
    <x v="4"/>
    <s v="6.7.87-beta"/>
    <s v="Good"/>
  </r>
  <r>
    <n v="2093"/>
    <n v="8806817"/>
    <x v="8"/>
    <x v="9"/>
    <s v="Aliquam autem saepe odit atque atque. Facere perferendis temporibus in hic. Expedita ratione sequi."/>
    <x v="15"/>
    <x v="26"/>
    <x v="2092"/>
    <x v="0"/>
    <x v="3"/>
    <n v="61"/>
    <x v="43"/>
    <x v="15"/>
    <x v="1"/>
    <s v="10.1.32-beta"/>
    <s v="Average"/>
  </r>
  <r>
    <n v="2094"/>
    <n v="725391"/>
    <x v="31"/>
    <x v="2"/>
    <s v="The interface could be better but overall good experience."/>
    <x v="11"/>
    <x v="29"/>
    <x v="2093"/>
    <x v="0"/>
    <x v="2"/>
    <n v="593"/>
    <x v="40"/>
    <x v="2"/>
    <x v="3"/>
    <s v="v15.6.77"/>
    <s v="Very Poor"/>
  </r>
  <r>
    <n v="2095"/>
    <n v="7344357"/>
    <x v="24"/>
    <x v="5"/>
    <s v="Dolor debitis occaecati. Atque ullam reiciendis quas sed ducimus."/>
    <x v="0"/>
    <x v="24"/>
    <x v="2094"/>
    <x v="1"/>
    <x v="0"/>
    <n v="1002"/>
    <x v="20"/>
    <x v="11"/>
    <x v="1"/>
    <s v="v6.3.49"/>
    <s v="Poor"/>
  </r>
  <r>
    <n v="2096"/>
    <n v="5872196"/>
    <x v="6"/>
    <x v="1"/>
    <s v="Works perfectly on my device, no complaints at all."/>
    <x v="4"/>
    <x v="13"/>
    <x v="2095"/>
    <x v="0"/>
    <x v="4"/>
    <n v="375"/>
    <x v="9"/>
    <x v="1"/>
    <x v="1"/>
    <s v="11.9.38-beta"/>
    <s v="Average"/>
  </r>
  <r>
    <n v="2097"/>
    <n v="4741122"/>
    <x v="12"/>
    <x v="0"/>
    <s v="Latest update broke some features, please fix soon."/>
    <x v="1"/>
    <x v="20"/>
    <x v="2096"/>
    <x v="0"/>
    <x v="4"/>
    <n v="1194"/>
    <x v="24"/>
    <x v="0"/>
    <x v="4"/>
    <s v="13.9.50-beta"/>
    <s v="Very Poor"/>
  </r>
  <r>
    <n v="2098"/>
    <n v="5544414"/>
    <x v="31"/>
    <x v="17"/>
    <s v="The interface could be better but overall good experience."/>
    <x v="20"/>
    <x v="35"/>
    <x v="2097"/>
    <x v="1"/>
    <x v="0"/>
    <n v="1045"/>
    <x v="46"/>
    <x v="7"/>
    <x v="1"/>
    <s v="7.2.91"/>
    <s v="Poor"/>
  </r>
  <r>
    <n v="2099"/>
    <n v="4515321"/>
    <x v="39"/>
    <x v="17"/>
    <s v="Crashes too often, needs improvement in stability."/>
    <x v="18"/>
    <x v="12"/>
    <x v="2098"/>
    <x v="0"/>
    <x v="2"/>
    <n v="1219"/>
    <x v="24"/>
    <x v="4"/>
    <x v="4"/>
    <s v="14.7.95.4037"/>
    <s v="Excellent"/>
  </r>
  <r>
    <n v="2100"/>
    <n v="3612830"/>
    <x v="8"/>
    <x v="11"/>
    <s v="Excellent customer support and regular feature updates."/>
    <x v="22"/>
    <x v="28"/>
    <x v="2099"/>
    <x v="1"/>
    <x v="3"/>
    <n v="374"/>
    <x v="5"/>
    <x v="17"/>
    <x v="1"/>
    <s v="8.1.23.9631"/>
    <s v="Poor"/>
  </r>
  <r>
    <n v="2101"/>
    <n v="9281796"/>
    <x v="24"/>
    <x v="5"/>
    <s v="Qui quidem quos cupiditate libero at."/>
    <x v="12"/>
    <x v="0"/>
    <x v="2100"/>
    <x v="1"/>
    <x v="0"/>
    <n v="1116"/>
    <x v="2"/>
    <x v="5"/>
    <x v="3"/>
    <s v="7.8.73-beta"/>
    <s v="Very Poor"/>
  </r>
  <r>
    <n v="2102"/>
    <n v="9130080"/>
    <x v="40"/>
    <x v="14"/>
    <s v="Et esse totam at illo. Libero delectus fugit eaque provident expedita rem tempore."/>
    <x v="9"/>
    <x v="19"/>
    <x v="2101"/>
    <x v="0"/>
    <x v="1"/>
    <n v="688"/>
    <x v="14"/>
    <x v="21"/>
    <x v="0"/>
    <s v="5.2.89"/>
    <s v="Poor"/>
  </r>
  <r>
    <n v="2103"/>
    <n v="2927685"/>
    <x v="7"/>
    <x v="10"/>
    <s v="Afin De content encore lisser patron effacer."/>
    <x v="0"/>
    <x v="39"/>
    <x v="2102"/>
    <x v="0"/>
    <x v="2"/>
    <n v="1245"/>
    <x v="53"/>
    <x v="2"/>
    <x v="0"/>
    <s v="11.0.55"/>
    <s v="Good"/>
  </r>
  <r>
    <n v="2104"/>
    <n v="3084802"/>
    <x v="39"/>
    <x v="17"/>
    <s v="Crashes too often, needs improvement in stability."/>
    <x v="16"/>
    <x v="18"/>
    <x v="2103"/>
    <x v="1"/>
    <x v="1"/>
    <n v="1021"/>
    <x v="21"/>
    <x v="15"/>
    <x v="3"/>
    <s v="v6.9.83"/>
    <s v="Average"/>
  </r>
  <r>
    <n v="2105"/>
    <n v="1373983"/>
    <x v="27"/>
    <x v="6"/>
    <s v="This app is amazing! Really love the new features."/>
    <x v="0"/>
    <x v="19"/>
    <x v="2104"/>
    <x v="0"/>
    <x v="0"/>
    <n v="635"/>
    <x v="58"/>
    <x v="22"/>
    <x v="4"/>
    <s v="15.1.70"/>
    <s v="Poor"/>
  </r>
  <r>
    <n v="2106"/>
    <n v="1619046"/>
    <x v="27"/>
    <x v="6"/>
    <s v="Latest update broke some features, please fix soon."/>
    <x v="1"/>
    <x v="34"/>
    <x v="2105"/>
    <x v="0"/>
    <x v="4"/>
    <n v="1204"/>
    <x v="20"/>
    <x v="10"/>
    <x v="4"/>
    <s v="9.8.87-beta"/>
    <s v="Average"/>
  </r>
  <r>
    <n v="2107"/>
    <n v="6888683"/>
    <x v="0"/>
    <x v="12"/>
    <s v="User-friendly design and smooth performance throughout."/>
    <x v="11"/>
    <x v="15"/>
    <x v="2106"/>
    <x v="0"/>
    <x v="3"/>
    <n v="836"/>
    <x v="5"/>
    <x v="2"/>
    <x v="0"/>
    <s v="7.5"/>
    <s v="Poor"/>
  </r>
  <r>
    <n v="2108"/>
    <n v="2545538"/>
    <x v="32"/>
    <x v="7"/>
    <s v="Perfect for daily use, highly recommend to everyone."/>
    <x v="18"/>
    <x v="22"/>
    <x v="2107"/>
    <x v="0"/>
    <x v="3"/>
    <n v="1021"/>
    <x v="18"/>
    <x v="18"/>
    <x v="3"/>
    <s v="v9.1.78"/>
    <s v="Poor"/>
  </r>
  <r>
    <n v="2109"/>
    <n v="9039366"/>
    <x v="0"/>
    <x v="6"/>
    <s v="Excellent customer support and regular feature updates."/>
    <x v="16"/>
    <x v="32"/>
    <x v="2108"/>
    <x v="0"/>
    <x v="4"/>
    <n v="552"/>
    <x v="34"/>
    <x v="4"/>
    <x v="4"/>
    <s v="5.7.16"/>
    <s v="Very Poor"/>
  </r>
  <r>
    <n v="2110"/>
    <n v="2331911"/>
    <x v="37"/>
    <x v="0"/>
    <s v="Perfect for daily use, highly recommend to everyone."/>
    <x v="20"/>
    <x v="10"/>
    <x v="2109"/>
    <x v="0"/>
    <x v="2"/>
    <n v="903"/>
    <x v="15"/>
    <x v="13"/>
    <x v="4"/>
    <s v="v10.8.11"/>
    <s v="Poor"/>
  </r>
  <r>
    <n v="2111"/>
    <n v="1838556"/>
    <x v="16"/>
    <x v="13"/>
    <s v="Latest update broke some features, please fix soon."/>
    <x v="1"/>
    <x v="21"/>
    <x v="2110"/>
    <x v="1"/>
    <x v="3"/>
    <n v="799"/>
    <x v="39"/>
    <x v="15"/>
    <x v="0"/>
    <s v="8.1.31.1856"/>
    <s v="Excellent"/>
  </r>
  <r>
    <n v="2112"/>
    <n v="5031029"/>
    <x v="3"/>
    <x v="1"/>
    <s v="Some bugs need fixing but generally satisfied with it."/>
    <x v="11"/>
    <x v="24"/>
    <x v="2111"/>
    <x v="0"/>
    <x v="0"/>
    <n v="148"/>
    <x v="59"/>
    <x v="21"/>
    <x v="1"/>
    <s v="8.2"/>
    <s v="Poor"/>
  </r>
  <r>
    <n v="2113"/>
    <n v="1479281"/>
    <x v="8"/>
    <x v="8"/>
    <s v="This app is amazing! Really love the new features."/>
    <x v="2"/>
    <x v="28"/>
    <x v="2112"/>
    <x v="0"/>
    <x v="4"/>
    <n v="654"/>
    <x v="55"/>
    <x v="22"/>
    <x v="1"/>
    <s v="14.3.16.3071"/>
    <s v="Poor"/>
  </r>
  <r>
    <n v="2114"/>
    <n v="7524522"/>
    <x v="4"/>
    <x v="3"/>
    <s v="Crashes too often, needs improvement in stability."/>
    <x v="15"/>
    <x v="6"/>
    <x v="2113"/>
    <x v="0"/>
    <x v="0"/>
    <n v="211"/>
    <x v="5"/>
    <x v="23"/>
    <x v="0"/>
    <s v="10.3"/>
    <s v="Good"/>
  </r>
  <r>
    <n v="2115"/>
    <n v="4225577"/>
    <x v="1"/>
    <x v="4"/>
    <s v="User-friendly design and smooth performance throughout."/>
    <x v="17"/>
    <x v="12"/>
    <x v="2114"/>
    <x v="0"/>
    <x v="3"/>
    <n v="1109"/>
    <x v="0"/>
    <x v="4"/>
    <x v="2"/>
    <s v="v4.3.47"/>
    <s v="Excellent"/>
  </r>
  <r>
    <n v="2116"/>
    <n v="4693405"/>
    <x v="38"/>
    <x v="14"/>
    <s v="Some bugs need fixing but generally satisfied with it."/>
    <x v="14"/>
    <x v="39"/>
    <x v="2115"/>
    <x v="0"/>
    <x v="0"/>
    <n v="389"/>
    <x v="46"/>
    <x v="15"/>
    <x v="0"/>
    <s v="8.8.62-beta"/>
    <s v="Good"/>
  </r>
  <r>
    <n v="2117"/>
    <n v="3865958"/>
    <x v="12"/>
    <x v="16"/>
    <s v="Excellent customer support and regular feature updates."/>
    <x v="18"/>
    <x v="34"/>
    <x v="2116"/>
    <x v="1"/>
    <x v="1"/>
    <n v="686"/>
    <x v="5"/>
    <x v="19"/>
    <x v="1"/>
    <s v="14.6.52.447"/>
    <s v="Average"/>
  </r>
  <r>
    <n v="2118"/>
    <n v="3773793"/>
    <x v="33"/>
    <x v="2"/>
    <s v="User-friendly design and smooth performance throughout."/>
    <x v="5"/>
    <x v="20"/>
    <x v="2117"/>
    <x v="0"/>
    <x v="2"/>
    <n v="302"/>
    <x v="51"/>
    <x v="22"/>
    <x v="0"/>
    <s v="3.9.93"/>
    <s v="Very Poor"/>
  </r>
  <r>
    <n v="2119"/>
    <n v="7487946"/>
    <x v="25"/>
    <x v="3"/>
    <s v="User-friendly design and smooth performance throughout."/>
    <x v="17"/>
    <x v="8"/>
    <x v="2118"/>
    <x v="0"/>
    <x v="3"/>
    <n v="905"/>
    <x v="12"/>
    <x v="24"/>
    <x v="3"/>
    <s v="12.5.54"/>
    <s v="Very Poor"/>
  </r>
  <r>
    <n v="2120"/>
    <n v="2539016"/>
    <x v="15"/>
    <x v="14"/>
    <s v="Great app but too many ads, consider premium version."/>
    <x v="13"/>
    <x v="3"/>
    <x v="2119"/>
    <x v="0"/>
    <x v="4"/>
    <n v="746"/>
    <x v="57"/>
    <x v="7"/>
    <x v="2"/>
    <s v="11.8.38-beta"/>
    <s v="Average"/>
  </r>
  <r>
    <n v="2121"/>
    <n v="4188275"/>
    <x v="39"/>
    <x v="11"/>
    <s v="Perfect for daily use, highly recommend to everyone."/>
    <x v="2"/>
    <x v="36"/>
    <x v="2120"/>
    <x v="1"/>
    <x v="0"/>
    <n v="918"/>
    <x v="22"/>
    <x v="0"/>
    <x v="0"/>
    <s v="v13.7.94"/>
    <s v="Poor"/>
  </r>
  <r>
    <n v="2122"/>
    <n v="8207980"/>
    <x v="19"/>
    <x v="10"/>
    <s v="Some bugs need fixing but generally satisfied with it."/>
    <x v="14"/>
    <x v="27"/>
    <x v="2121"/>
    <x v="0"/>
    <x v="3"/>
    <n v="349"/>
    <x v="52"/>
    <x v="14"/>
    <x v="0"/>
    <s v="14.8.42-beta"/>
    <s v="Very Poor"/>
  </r>
  <r>
    <n v="2123"/>
    <n v="7054589"/>
    <x v="4"/>
    <x v="11"/>
    <s v="Some bugs need fixing but generally satisfied with it."/>
    <x v="1"/>
    <x v="13"/>
    <x v="2122"/>
    <x v="0"/>
    <x v="3"/>
    <n v="418"/>
    <x v="5"/>
    <x v="15"/>
    <x v="4"/>
    <s v="14.8"/>
    <s v="Average"/>
  </r>
  <r>
    <n v="2124"/>
    <n v="9630896"/>
    <x v="1"/>
    <x v="11"/>
    <s v="Impedit sed neque occaecati suscipit. Quia provident voluptatem rem ea fuga. Eum explicabo vero consequatur similique."/>
    <x v="10"/>
    <x v="24"/>
    <x v="2123"/>
    <x v="0"/>
    <x v="2"/>
    <n v="669"/>
    <x v="55"/>
    <x v="12"/>
    <x v="1"/>
    <s v="v15.6.60"/>
    <s v="Poor"/>
  </r>
  <r>
    <n v="2125"/>
    <n v="9130763"/>
    <x v="33"/>
    <x v="13"/>
    <s v="Some bugs need fixing but generally satisfied with it."/>
    <x v="3"/>
    <x v="26"/>
    <x v="2124"/>
    <x v="0"/>
    <x v="3"/>
    <n v="1122"/>
    <x v="39"/>
    <x v="19"/>
    <x v="4"/>
    <s v="v1.4.5"/>
    <s v="Average"/>
  </r>
  <r>
    <n v="2126"/>
    <n v="1721038"/>
    <x v="35"/>
    <x v="12"/>
    <s v="Crashes too often, needs improvement in stability."/>
    <x v="19"/>
    <x v="21"/>
    <x v="2125"/>
    <x v="0"/>
    <x v="4"/>
    <n v="586"/>
    <x v="1"/>
    <x v="22"/>
    <x v="1"/>
    <s v="13.5.60"/>
    <s v="Excellent"/>
  </r>
  <r>
    <n v="2127"/>
    <n v="8081554"/>
    <x v="31"/>
    <x v="2"/>
    <s v="Dopływ pijany piątek wyjście robotnik brzydki Japonia."/>
    <x v="9"/>
    <x v="25"/>
    <x v="2126"/>
    <x v="0"/>
    <x v="1"/>
    <n v="783"/>
    <x v="5"/>
    <x v="15"/>
    <x v="1"/>
    <s v="1.8.85-beta"/>
    <s v="Poor"/>
  </r>
  <r>
    <n v="2128"/>
    <n v="4615309"/>
    <x v="15"/>
    <x v="11"/>
    <s v="Some bugs need fixing but generally satisfied with it."/>
    <x v="21"/>
    <x v="1"/>
    <x v="2127"/>
    <x v="0"/>
    <x v="0"/>
    <n v="47"/>
    <x v="51"/>
    <x v="4"/>
    <x v="4"/>
    <s v="v1.4.42"/>
    <s v="Very Poor"/>
  </r>
  <r>
    <n v="2129"/>
    <n v="7821526"/>
    <x v="12"/>
    <x v="4"/>
    <s v="Kalt neben beide öffnen an kein Rad Wasser. Vogel der schicken beim Schüler mögen Wissen. Schwester leben Schuh."/>
    <x v="20"/>
    <x v="8"/>
    <x v="2128"/>
    <x v="0"/>
    <x v="2"/>
    <n v="826"/>
    <x v="55"/>
    <x v="17"/>
    <x v="0"/>
    <s v="7.5.94"/>
    <s v="Very Poor"/>
  </r>
  <r>
    <n v="2130"/>
    <n v="3710526"/>
    <x v="11"/>
    <x v="11"/>
    <s v="Est possimus esse doloremque reiciendis magni illum. Voluptatem nesciunt sint voluptas amet quidem nesciunt."/>
    <x v="3"/>
    <x v="13"/>
    <x v="2129"/>
    <x v="0"/>
    <x v="1"/>
    <n v="557"/>
    <x v="15"/>
    <x v="6"/>
    <x v="4"/>
    <s v="9.3.30"/>
    <s v="Average"/>
  </r>
  <r>
    <n v="2131"/>
    <n v="1167513"/>
    <x v="15"/>
    <x v="11"/>
    <s v="Some bugs need fixing but generally satisfied with it."/>
    <x v="0"/>
    <x v="34"/>
    <x v="2130"/>
    <x v="0"/>
    <x v="0"/>
    <n v="1015"/>
    <x v="19"/>
    <x v="9"/>
    <x v="3"/>
    <s v="5.5.27.9695"/>
    <s v="Average"/>
  </r>
  <r>
    <n v="2132"/>
    <n v="2804608"/>
    <x v="4"/>
    <x v="14"/>
    <s v="Низкий трубка избегать помолчать поздравлять."/>
    <x v="20"/>
    <x v="16"/>
    <x v="2131"/>
    <x v="0"/>
    <x v="3"/>
    <n v="1148"/>
    <x v="45"/>
    <x v="2"/>
    <x v="1"/>
    <s v="8.3.9"/>
    <s v="Excellent"/>
  </r>
  <r>
    <n v="2133"/>
    <n v="2104878"/>
    <x v="7"/>
    <x v="0"/>
    <s v="Works perfectly on my device, no complaints at all."/>
    <x v="20"/>
    <x v="5"/>
    <x v="2132"/>
    <x v="0"/>
    <x v="1"/>
    <n v="899"/>
    <x v="35"/>
    <x v="12"/>
    <x v="0"/>
    <s v="v6.0.12"/>
    <s v="Excellent"/>
  </r>
  <r>
    <n v="2134"/>
    <n v="1679766"/>
    <x v="22"/>
    <x v="2"/>
    <s v="Nemo veniam harum illum possimus consequuntur. Delectus est debitis inventore dolorum at. Illo dolorem voluptates odio excepturi."/>
    <x v="3"/>
    <x v="30"/>
    <x v="2133"/>
    <x v="0"/>
    <x v="1"/>
    <n v="1000"/>
    <x v="21"/>
    <x v="22"/>
    <x v="1"/>
    <s v="v3.2.96"/>
    <s v="Average"/>
  </r>
  <r>
    <n v="2135"/>
    <n v="8889034"/>
    <x v="13"/>
    <x v="1"/>
    <s v="Works perfectly on my device, no complaints at all."/>
    <x v="2"/>
    <x v="9"/>
    <x v="2134"/>
    <x v="0"/>
    <x v="2"/>
    <n v="783"/>
    <x v="23"/>
    <x v="0"/>
    <x v="3"/>
    <s v="11.3.11-beta"/>
    <s v="Excellent"/>
  </r>
  <r>
    <n v="2136"/>
    <n v="1121747"/>
    <x v="17"/>
    <x v="15"/>
    <s v="Great app but too many ads, consider premium version."/>
    <x v="15"/>
    <x v="2"/>
    <x v="2135"/>
    <x v="0"/>
    <x v="2"/>
    <n v="1227"/>
    <x v="29"/>
    <x v="15"/>
    <x v="4"/>
    <s v="13.1.47-beta"/>
    <s v="Average"/>
  </r>
  <r>
    <n v="2137"/>
    <n v="6360367"/>
    <x v="2"/>
    <x v="1"/>
    <s v="User-friendly design and smooth performance throughout."/>
    <x v="16"/>
    <x v="29"/>
    <x v="2136"/>
    <x v="0"/>
    <x v="3"/>
    <n v="387"/>
    <x v="44"/>
    <x v="5"/>
    <x v="0"/>
    <s v="v15.7.71"/>
    <s v="Very Poor"/>
  </r>
  <r>
    <n v="2138"/>
    <n v="129006"/>
    <x v="19"/>
    <x v="10"/>
    <s v="The interface could be better but overall good experience."/>
    <x v="19"/>
    <x v="10"/>
    <x v="2137"/>
    <x v="0"/>
    <x v="1"/>
    <n v="6"/>
    <x v="59"/>
    <x v="9"/>
    <x v="2"/>
    <s v="v11.6.0"/>
    <s v="Poor"/>
  </r>
  <r>
    <n v="2139"/>
    <n v="178199"/>
    <x v="21"/>
    <x v="3"/>
    <s v="Hier Angst weil Musik versuchen wohnen. Opa Lehrerin Mann ziehen braun. Neun müssen warum Schule."/>
    <x v="1"/>
    <x v="21"/>
    <x v="2138"/>
    <x v="1"/>
    <x v="1"/>
    <n v="705"/>
    <x v="39"/>
    <x v="19"/>
    <x v="4"/>
    <s v="9.3"/>
    <s v="Excellent"/>
  </r>
  <r>
    <n v="2140"/>
    <n v="3077821"/>
    <x v="36"/>
    <x v="10"/>
    <s v="This app is amazing! Really love the new features."/>
    <x v="6"/>
    <x v="9"/>
    <x v="2139"/>
    <x v="0"/>
    <x v="3"/>
    <n v="352"/>
    <x v="61"/>
    <x v="19"/>
    <x v="2"/>
    <s v="6.0.47.6586"/>
    <s v="Excellent"/>
  </r>
  <r>
    <n v="2141"/>
    <n v="7567647"/>
    <x v="19"/>
    <x v="17"/>
    <s v="Crashes too often, needs improvement in stability."/>
    <x v="11"/>
    <x v="35"/>
    <x v="2140"/>
    <x v="1"/>
    <x v="2"/>
    <n v="838"/>
    <x v="32"/>
    <x v="10"/>
    <x v="2"/>
    <s v="8.8"/>
    <s v="Poor"/>
  </r>
  <r>
    <n v="2142"/>
    <n v="750524"/>
    <x v="35"/>
    <x v="14"/>
    <s v="User-friendly design and smooth performance throughout."/>
    <x v="3"/>
    <x v="3"/>
    <x v="2141"/>
    <x v="0"/>
    <x v="1"/>
    <n v="1195"/>
    <x v="9"/>
    <x v="23"/>
    <x v="4"/>
    <s v="14.1.74-beta"/>
    <s v="Average"/>
  </r>
  <r>
    <n v="2143"/>
    <n v="2118015"/>
    <x v="16"/>
    <x v="10"/>
    <s v="Vel autem placeat nihil cumque."/>
    <x v="15"/>
    <x v="28"/>
    <x v="2142"/>
    <x v="0"/>
    <x v="0"/>
    <n v="865"/>
    <x v="29"/>
    <x v="10"/>
    <x v="4"/>
    <s v="v3.6.52"/>
    <s v="Poor"/>
  </r>
  <r>
    <n v="2144"/>
    <n v="3340681"/>
    <x v="24"/>
    <x v="0"/>
    <s v="This app is amazing! Really love the new features."/>
    <x v="13"/>
    <x v="4"/>
    <x v="2143"/>
    <x v="0"/>
    <x v="3"/>
    <n v="453"/>
    <x v="57"/>
    <x v="20"/>
    <x v="1"/>
    <s v="v8.7.76"/>
    <s v="Average"/>
  </r>
  <r>
    <n v="2145"/>
    <n v="5760577"/>
    <x v="26"/>
    <x v="0"/>
    <s v="Works perfectly on my device, no complaints at all."/>
    <x v="14"/>
    <x v="4"/>
    <x v="2144"/>
    <x v="0"/>
    <x v="4"/>
    <n v="1222"/>
    <x v="35"/>
    <x v="13"/>
    <x v="4"/>
    <s v="7.6.35"/>
    <s v="Average"/>
  </r>
  <r>
    <n v="2146"/>
    <n v="9293586"/>
    <x v="40"/>
    <x v="0"/>
    <s v="The interface could be better but overall good experience."/>
    <x v="10"/>
    <x v="19"/>
    <x v="2145"/>
    <x v="0"/>
    <x v="1"/>
    <n v="177"/>
    <x v="6"/>
    <x v="11"/>
    <x v="4"/>
    <s v="6.4.99.3949"/>
    <s v="Poor"/>
  </r>
  <r>
    <n v="2147"/>
    <n v="7615111"/>
    <x v="19"/>
    <x v="1"/>
    <s v="Crashes too often, needs improvement in stability."/>
    <x v="16"/>
    <x v="12"/>
    <x v="2146"/>
    <x v="1"/>
    <x v="2"/>
    <n v="293"/>
    <x v="52"/>
    <x v="17"/>
    <x v="4"/>
    <s v="v12.6.45"/>
    <s v="Excellent"/>
  </r>
  <r>
    <n v="2148"/>
    <n v="9402326"/>
    <x v="7"/>
    <x v="5"/>
    <s v="Works perfectly on my device, no complaints at all."/>
    <x v="14"/>
    <x v="0"/>
    <x v="2147"/>
    <x v="0"/>
    <x v="3"/>
    <n v="592"/>
    <x v="28"/>
    <x v="0"/>
    <x v="3"/>
    <s v="14.6"/>
    <s v="Very Poor"/>
  </r>
  <r>
    <n v="2149"/>
    <n v="4230922"/>
    <x v="31"/>
    <x v="5"/>
    <s v="Excellent customer support and regular feature updates."/>
    <x v="18"/>
    <x v="2"/>
    <x v="2148"/>
    <x v="0"/>
    <x v="2"/>
    <n v="865"/>
    <x v="27"/>
    <x v="1"/>
    <x v="2"/>
    <s v="12.9.67"/>
    <s v="Average"/>
  </r>
  <r>
    <n v="2150"/>
    <n v="4117327"/>
    <x v="31"/>
    <x v="8"/>
    <s v="Perfect for daily use, highly recommend to everyone."/>
    <x v="18"/>
    <x v="16"/>
    <x v="2149"/>
    <x v="0"/>
    <x v="4"/>
    <n v="1076"/>
    <x v="9"/>
    <x v="10"/>
    <x v="1"/>
    <s v="15.2.14"/>
    <s v="Excellent"/>
  </r>
  <r>
    <n v="2151"/>
    <n v="3259823"/>
    <x v="36"/>
    <x v="6"/>
    <s v="This app is amazing! Really love the new features."/>
    <x v="18"/>
    <x v="40"/>
    <x v="2150"/>
    <x v="0"/>
    <x v="2"/>
    <n v="582"/>
    <x v="31"/>
    <x v="18"/>
    <x v="4"/>
    <s v="15.0"/>
    <s v="Very Poor"/>
  </r>
  <r>
    <n v="2152"/>
    <n v="797770"/>
    <x v="6"/>
    <x v="7"/>
    <s v="Great app but too many ads, consider premium version."/>
    <x v="12"/>
    <x v="1"/>
    <x v="2151"/>
    <x v="0"/>
    <x v="2"/>
    <n v="354"/>
    <x v="32"/>
    <x v="4"/>
    <x v="2"/>
    <s v="2.3"/>
    <s v="Very Poor"/>
  </r>
  <r>
    <n v="2153"/>
    <n v="8160167"/>
    <x v="8"/>
    <x v="1"/>
    <s v="The interface could be better but overall good experience."/>
    <x v="6"/>
    <x v="18"/>
    <x v="2152"/>
    <x v="1"/>
    <x v="1"/>
    <n v="739"/>
    <x v="41"/>
    <x v="24"/>
    <x v="2"/>
    <s v="v9.4.62"/>
    <s v="Average"/>
  </r>
  <r>
    <n v="2154"/>
    <n v="1757259"/>
    <x v="3"/>
    <x v="16"/>
    <s v="Great app but too many ads, consider premium version."/>
    <x v="10"/>
    <x v="16"/>
    <x v="2153"/>
    <x v="0"/>
    <x v="1"/>
    <n v="34"/>
    <x v="21"/>
    <x v="11"/>
    <x v="4"/>
    <s v="4.6.52.9809"/>
    <s v="Excellent"/>
  </r>
  <r>
    <n v="2155"/>
    <n v="1625946"/>
    <x v="13"/>
    <x v="11"/>
    <s v="Crashes too often, needs improvement in stability."/>
    <x v="22"/>
    <x v="34"/>
    <x v="2154"/>
    <x v="1"/>
    <x v="4"/>
    <n v="464"/>
    <x v="40"/>
    <x v="22"/>
    <x v="4"/>
    <s v="10.9.6"/>
    <s v="Average"/>
  </r>
  <r>
    <n v="2156"/>
    <n v="5477987"/>
    <x v="39"/>
    <x v="16"/>
    <s v="Latest update broke some features, please fix soon."/>
    <x v="20"/>
    <x v="23"/>
    <x v="2155"/>
    <x v="0"/>
    <x v="3"/>
    <n v="409"/>
    <x v="30"/>
    <x v="20"/>
    <x v="3"/>
    <s v="10.6.33"/>
    <s v="Very Poor"/>
  </r>
  <r>
    <n v="2157"/>
    <n v="9545517"/>
    <x v="21"/>
    <x v="11"/>
    <s v="Premier magnifique rare paupière droit chair reculer. Triste grain habitude baisser aimer."/>
    <x v="20"/>
    <x v="38"/>
    <x v="2156"/>
    <x v="0"/>
    <x v="2"/>
    <n v="473"/>
    <x v="56"/>
    <x v="1"/>
    <x v="1"/>
    <s v="Unknown"/>
    <s v="Good"/>
  </r>
  <r>
    <n v="2158"/>
    <n v="9516262"/>
    <x v="9"/>
    <x v="3"/>
    <s v="User-friendly design and smooth performance throughout."/>
    <x v="4"/>
    <x v="35"/>
    <x v="2157"/>
    <x v="1"/>
    <x v="1"/>
    <n v="225"/>
    <x v="41"/>
    <x v="16"/>
    <x v="4"/>
    <s v="Unknown"/>
    <s v="Poor"/>
  </r>
  <r>
    <n v="2159"/>
    <n v="6623126"/>
    <x v="5"/>
    <x v="16"/>
    <s v="Lehrerin stark für Schiff Ball. Einigen bleiben was."/>
    <x v="5"/>
    <x v="33"/>
    <x v="2158"/>
    <x v="0"/>
    <x v="0"/>
    <n v="885"/>
    <x v="18"/>
    <x v="22"/>
    <x v="0"/>
    <s v="13.7"/>
    <s v="Poor"/>
  </r>
  <r>
    <n v="2160"/>
    <n v="9206455"/>
    <x v="6"/>
    <x v="2"/>
    <s v="Works perfectly on my device, no complaints at all."/>
    <x v="23"/>
    <x v="32"/>
    <x v="2159"/>
    <x v="1"/>
    <x v="3"/>
    <n v="343"/>
    <x v="43"/>
    <x v="20"/>
    <x v="3"/>
    <s v="8.1.6-beta"/>
    <s v="Very Poor"/>
  </r>
  <r>
    <n v="2161"/>
    <n v="5362234"/>
    <x v="39"/>
    <x v="10"/>
    <s v="User-friendly design and smooth performance throughout."/>
    <x v="15"/>
    <x v="26"/>
    <x v="2160"/>
    <x v="0"/>
    <x v="3"/>
    <n v="1010"/>
    <x v="61"/>
    <x v="16"/>
    <x v="3"/>
    <s v="2.7"/>
    <s v="Average"/>
  </r>
  <r>
    <n v="2162"/>
    <n v="9063934"/>
    <x v="29"/>
    <x v="14"/>
    <s v="The interface could be better but overall good experience."/>
    <x v="17"/>
    <x v="14"/>
    <x v="2161"/>
    <x v="0"/>
    <x v="4"/>
    <n v="191"/>
    <x v="39"/>
    <x v="24"/>
    <x v="0"/>
    <s v="10.1"/>
    <s v="Excellent"/>
  </r>
  <r>
    <n v="2163"/>
    <n v="5182589"/>
    <x v="39"/>
    <x v="12"/>
    <s v="User-friendly design and smooth performance throughout."/>
    <x v="8"/>
    <x v="15"/>
    <x v="2162"/>
    <x v="0"/>
    <x v="3"/>
    <n v="1"/>
    <x v="9"/>
    <x v="15"/>
    <x v="2"/>
    <s v="7.7"/>
    <s v="Poor"/>
  </r>
  <r>
    <n v="2164"/>
    <n v="6001647"/>
    <x v="9"/>
    <x v="6"/>
    <s v="Amet repudiandae soluta qui minima debitis fuga."/>
    <x v="11"/>
    <x v="23"/>
    <x v="2163"/>
    <x v="0"/>
    <x v="4"/>
    <n v="422"/>
    <x v="15"/>
    <x v="3"/>
    <x v="1"/>
    <s v="4.4.0"/>
    <s v="Very Poor"/>
  </r>
  <r>
    <n v="2165"/>
    <n v="3698598"/>
    <x v="6"/>
    <x v="3"/>
    <s v="Works perfectly on my device, no complaints at all."/>
    <x v="10"/>
    <x v="21"/>
    <x v="2164"/>
    <x v="0"/>
    <x v="0"/>
    <n v="531"/>
    <x v="33"/>
    <x v="19"/>
    <x v="1"/>
    <s v="v8.2.3"/>
    <s v="Excellent"/>
  </r>
  <r>
    <n v="2166"/>
    <n v="3215619"/>
    <x v="20"/>
    <x v="5"/>
    <s v="Crashes too often, needs improvement in stability."/>
    <x v="19"/>
    <x v="0"/>
    <x v="2165"/>
    <x v="0"/>
    <x v="0"/>
    <n v="573"/>
    <x v="20"/>
    <x v="24"/>
    <x v="0"/>
    <s v="13.6.92-beta"/>
    <s v="Very Poor"/>
  </r>
  <r>
    <n v="2167"/>
    <n v="5473918"/>
    <x v="9"/>
    <x v="4"/>
    <s v="Some bugs need fixing but generally satisfied with it."/>
    <x v="14"/>
    <x v="29"/>
    <x v="2166"/>
    <x v="1"/>
    <x v="4"/>
    <n v="871"/>
    <x v="29"/>
    <x v="18"/>
    <x v="0"/>
    <s v="15.4.84-beta"/>
    <s v="Very Poor"/>
  </r>
  <r>
    <n v="2168"/>
    <n v="3515979"/>
    <x v="30"/>
    <x v="14"/>
    <s v="Perfect for daily use, highly recommend to everyone."/>
    <x v="1"/>
    <x v="12"/>
    <x v="2167"/>
    <x v="0"/>
    <x v="0"/>
    <n v="800"/>
    <x v="24"/>
    <x v="23"/>
    <x v="1"/>
    <s v="v13.9.44"/>
    <s v="Excellent"/>
  </r>
  <r>
    <n v="2169"/>
    <n v="9682228"/>
    <x v="30"/>
    <x v="0"/>
    <s v="Great app but too many ads, consider premium version."/>
    <x v="3"/>
    <x v="31"/>
    <x v="2168"/>
    <x v="1"/>
    <x v="4"/>
    <n v="196"/>
    <x v="61"/>
    <x v="20"/>
    <x v="2"/>
    <s v="7.4.74"/>
    <s v="Good"/>
  </r>
  <r>
    <n v="2170"/>
    <n v="361602"/>
    <x v="32"/>
    <x v="1"/>
    <s v="This app is amazing! Really love the new features."/>
    <x v="3"/>
    <x v="19"/>
    <x v="2169"/>
    <x v="0"/>
    <x v="0"/>
    <n v="1180"/>
    <x v="3"/>
    <x v="16"/>
    <x v="3"/>
    <s v="11.1.96-beta"/>
    <s v="Poor"/>
  </r>
  <r>
    <n v="2171"/>
    <n v="3556607"/>
    <x v="38"/>
    <x v="15"/>
    <s v="User-friendly design and smooth performance throughout."/>
    <x v="7"/>
    <x v="35"/>
    <x v="2170"/>
    <x v="1"/>
    <x v="2"/>
    <n v="760"/>
    <x v="15"/>
    <x v="6"/>
    <x v="4"/>
    <s v="v2.5.81"/>
    <s v="Poor"/>
  </r>
  <r>
    <n v="2172"/>
    <n v="2051710"/>
    <x v="35"/>
    <x v="13"/>
    <s v="A dolores repellendus rerum voluptates."/>
    <x v="1"/>
    <x v="16"/>
    <x v="2171"/>
    <x v="0"/>
    <x v="3"/>
    <n v="438"/>
    <x v="47"/>
    <x v="19"/>
    <x v="1"/>
    <s v="3.5.30-beta"/>
    <s v="Excellent"/>
  </r>
  <r>
    <n v="2173"/>
    <n v="6337496"/>
    <x v="22"/>
    <x v="15"/>
    <s v="Great app but too many ads, consider premium version."/>
    <x v="4"/>
    <x v="11"/>
    <x v="2172"/>
    <x v="0"/>
    <x v="1"/>
    <n v="66"/>
    <x v="41"/>
    <x v="22"/>
    <x v="2"/>
    <s v="11.0"/>
    <s v="Good"/>
  </r>
  <r>
    <n v="2174"/>
    <n v="850894"/>
    <x v="21"/>
    <x v="2"/>
    <s v="Crashes too often, needs improvement in stability."/>
    <x v="19"/>
    <x v="0"/>
    <x v="2173"/>
    <x v="0"/>
    <x v="4"/>
    <n v="185"/>
    <x v="41"/>
    <x v="22"/>
    <x v="3"/>
    <s v="9.0.50.3367"/>
    <s v="Very Poor"/>
  </r>
  <r>
    <n v="2175"/>
    <n v="4230100"/>
    <x v="21"/>
    <x v="7"/>
    <s v="Posare stanco infatti numero sostenere pena corrente staccare. Immagine accordo senso gioia sinistro. Segnare malattia ottenere pena grazia."/>
    <x v="3"/>
    <x v="7"/>
    <x v="2174"/>
    <x v="1"/>
    <x v="3"/>
    <n v="412"/>
    <x v="1"/>
    <x v="12"/>
    <x v="0"/>
    <s v="12.7.65.425"/>
    <s v="Very Poor"/>
  </r>
  <r>
    <n v="2176"/>
    <n v="7635120"/>
    <x v="7"/>
    <x v="5"/>
    <s v="Works perfectly on my device, no complaints at all."/>
    <x v="18"/>
    <x v="34"/>
    <x v="2175"/>
    <x v="1"/>
    <x v="1"/>
    <n v="4"/>
    <x v="58"/>
    <x v="8"/>
    <x v="0"/>
    <s v="13.2.26"/>
    <s v="Average"/>
  </r>
  <r>
    <n v="2177"/>
    <n v="3840892"/>
    <x v="13"/>
    <x v="0"/>
    <s v="User-friendly design and smooth performance throughout."/>
    <x v="13"/>
    <x v="1"/>
    <x v="2176"/>
    <x v="1"/>
    <x v="1"/>
    <n v="1007"/>
    <x v="35"/>
    <x v="8"/>
    <x v="2"/>
    <s v="5.1"/>
    <s v="Very Poor"/>
  </r>
  <r>
    <n v="2178"/>
    <n v="2018984"/>
    <x v="36"/>
    <x v="6"/>
    <s v="User-friendly design and smooth performance throughout."/>
    <x v="1"/>
    <x v="27"/>
    <x v="2177"/>
    <x v="0"/>
    <x v="3"/>
    <n v="932"/>
    <x v="39"/>
    <x v="21"/>
    <x v="4"/>
    <s v="10.4.23-beta"/>
    <s v="Very Poor"/>
  </r>
  <r>
    <n v="2179"/>
    <n v="8296287"/>
    <x v="33"/>
    <x v="4"/>
    <s v="Some bugs need fixing but generally satisfied with it."/>
    <x v="18"/>
    <x v="34"/>
    <x v="2178"/>
    <x v="0"/>
    <x v="3"/>
    <n v="458"/>
    <x v="51"/>
    <x v="18"/>
    <x v="0"/>
    <s v="v4.0.98"/>
    <s v="Average"/>
  </r>
  <r>
    <n v="2180"/>
    <n v="9108353"/>
    <x v="0"/>
    <x v="0"/>
    <s v="Great app but too many ads, consider premium version."/>
    <x v="22"/>
    <x v="27"/>
    <x v="2179"/>
    <x v="0"/>
    <x v="4"/>
    <n v="490"/>
    <x v="15"/>
    <x v="20"/>
    <x v="1"/>
    <s v="7.1"/>
    <s v="Very Poor"/>
  </r>
  <r>
    <n v="2181"/>
    <n v="4403341"/>
    <x v="19"/>
    <x v="15"/>
    <s v="Eligendi enim sequi ea quis hic."/>
    <x v="13"/>
    <x v="1"/>
    <x v="2180"/>
    <x v="0"/>
    <x v="2"/>
    <n v="371"/>
    <x v="35"/>
    <x v="9"/>
    <x v="1"/>
    <s v="v7.9.35"/>
    <s v="Very Poor"/>
  </r>
  <r>
    <n v="2182"/>
    <n v="1551280"/>
    <x v="9"/>
    <x v="11"/>
    <s v="Sed dicta maxime alias laboriosam beatae alias."/>
    <x v="18"/>
    <x v="40"/>
    <x v="2181"/>
    <x v="0"/>
    <x v="3"/>
    <n v="723"/>
    <x v="14"/>
    <x v="10"/>
    <x v="4"/>
    <s v="13.9.38.3395"/>
    <s v="Very Poor"/>
  </r>
  <r>
    <n v="2183"/>
    <n v="1502709"/>
    <x v="7"/>
    <x v="7"/>
    <s v="Excellent customer support and regular feature updates."/>
    <x v="13"/>
    <x v="24"/>
    <x v="2182"/>
    <x v="1"/>
    <x v="1"/>
    <n v="218"/>
    <x v="48"/>
    <x v="2"/>
    <x v="1"/>
    <s v="3.6.83.887"/>
    <s v="Poor"/>
  </r>
  <r>
    <n v="2184"/>
    <n v="1230790"/>
    <x v="12"/>
    <x v="8"/>
    <s v="Ipsa fuga qui ipsam quisquam."/>
    <x v="0"/>
    <x v="29"/>
    <x v="2183"/>
    <x v="0"/>
    <x v="2"/>
    <n v="427"/>
    <x v="17"/>
    <x v="3"/>
    <x v="3"/>
    <s v="1.3.56-beta"/>
    <s v="Very Poor"/>
  </r>
  <r>
    <n v="2185"/>
    <n v="3270380"/>
    <x v="22"/>
    <x v="10"/>
    <s v="Quam aliquam accusamus corrupti similique. Ullam expedita dicta officia hic. Veniam magni dolore occaecati."/>
    <x v="6"/>
    <x v="18"/>
    <x v="2184"/>
    <x v="1"/>
    <x v="2"/>
    <n v="540"/>
    <x v="14"/>
    <x v="7"/>
    <x v="1"/>
    <s v="15.0"/>
    <s v="Average"/>
  </r>
  <r>
    <n v="2186"/>
    <n v="7463043"/>
    <x v="30"/>
    <x v="14"/>
    <s v="Excellent customer support and regular feature updates."/>
    <x v="0"/>
    <x v="39"/>
    <x v="2185"/>
    <x v="0"/>
    <x v="1"/>
    <n v="1055"/>
    <x v="31"/>
    <x v="7"/>
    <x v="3"/>
    <s v="v6.0.17"/>
    <s v="Good"/>
  </r>
  <r>
    <n v="2187"/>
    <n v="1264051"/>
    <x v="12"/>
    <x v="17"/>
    <s v="User-friendly design and smooth performance throughout."/>
    <x v="2"/>
    <x v="2"/>
    <x v="2186"/>
    <x v="0"/>
    <x v="0"/>
    <n v="436"/>
    <x v="62"/>
    <x v="2"/>
    <x v="1"/>
    <s v="12.0.57-beta"/>
    <s v="Average"/>
  </r>
  <r>
    <n v="2188"/>
    <n v="8967708"/>
    <x v="27"/>
    <x v="4"/>
    <s v="The interface could be better but overall good experience."/>
    <x v="13"/>
    <x v="35"/>
    <x v="2187"/>
    <x v="0"/>
    <x v="4"/>
    <n v="471"/>
    <x v="31"/>
    <x v="17"/>
    <x v="4"/>
    <s v="6.3"/>
    <s v="Poor"/>
  </r>
  <r>
    <n v="2189"/>
    <n v="2802775"/>
    <x v="24"/>
    <x v="6"/>
    <s v="Natural fish born assume. Move peace college usually have century billion."/>
    <x v="10"/>
    <x v="18"/>
    <x v="2188"/>
    <x v="0"/>
    <x v="4"/>
    <n v="976"/>
    <x v="36"/>
    <x v="12"/>
    <x v="2"/>
    <s v="7.1"/>
    <s v="Average"/>
  </r>
  <r>
    <n v="2190"/>
    <n v="6495699"/>
    <x v="7"/>
    <x v="15"/>
    <s v="Natus repellendus quisquam."/>
    <x v="16"/>
    <x v="21"/>
    <x v="2189"/>
    <x v="0"/>
    <x v="2"/>
    <n v="1178"/>
    <x v="7"/>
    <x v="21"/>
    <x v="1"/>
    <s v="v15.7.31"/>
    <s v="Excellent"/>
  </r>
  <r>
    <n v="2191"/>
    <n v="690477"/>
    <x v="0"/>
    <x v="0"/>
    <s v="User-friendly design and smooth performance throughout."/>
    <x v="0"/>
    <x v="31"/>
    <x v="2190"/>
    <x v="0"/>
    <x v="3"/>
    <n v="46"/>
    <x v="2"/>
    <x v="14"/>
    <x v="3"/>
    <s v="3.0.57"/>
    <s v="Good"/>
  </r>
  <r>
    <n v="2192"/>
    <n v="1340239"/>
    <x v="28"/>
    <x v="16"/>
    <s v="User-friendly design and smooth performance throughout."/>
    <x v="4"/>
    <x v="3"/>
    <x v="2191"/>
    <x v="1"/>
    <x v="3"/>
    <n v="162"/>
    <x v="58"/>
    <x v="7"/>
    <x v="2"/>
    <s v="9.4.35-beta"/>
    <s v="Average"/>
  </r>
  <r>
    <n v="2193"/>
    <n v="8093139"/>
    <x v="0"/>
    <x v="13"/>
    <s v="Latest update broke some features, please fix soon."/>
    <x v="23"/>
    <x v="30"/>
    <x v="2192"/>
    <x v="0"/>
    <x v="2"/>
    <n v="99"/>
    <x v="56"/>
    <x v="7"/>
    <x v="2"/>
    <s v="15.1.47-beta"/>
    <s v="Average"/>
  </r>
  <r>
    <n v="2194"/>
    <n v="6576923"/>
    <x v="26"/>
    <x v="3"/>
    <s v="Placeat harum tenetur dolores laudantium. Exercitationem voluptates iste ullam corrupti. Sunt dolore enim quasi vitae harum ducimus."/>
    <x v="3"/>
    <x v="4"/>
    <x v="2193"/>
    <x v="0"/>
    <x v="0"/>
    <n v="980"/>
    <x v="0"/>
    <x v="4"/>
    <x v="1"/>
    <s v="v4.4.80"/>
    <s v="Average"/>
  </r>
  <r>
    <n v="2195"/>
    <n v="451266"/>
    <x v="17"/>
    <x v="6"/>
    <s v="Works perfectly on my device, no complaints at all."/>
    <x v="1"/>
    <x v="38"/>
    <x v="2194"/>
    <x v="0"/>
    <x v="1"/>
    <n v="946"/>
    <x v="16"/>
    <x v="13"/>
    <x v="0"/>
    <s v="1.0.5"/>
    <s v="Good"/>
  </r>
  <r>
    <n v="2196"/>
    <n v="2515646"/>
    <x v="26"/>
    <x v="12"/>
    <s v="Itaque quae molestiae. Voluptates commodi occaecati dignissimos illo."/>
    <x v="14"/>
    <x v="28"/>
    <x v="2195"/>
    <x v="0"/>
    <x v="0"/>
    <n v="123"/>
    <x v="1"/>
    <x v="20"/>
    <x v="4"/>
    <s v="15.8"/>
    <s v="Poor"/>
  </r>
  <r>
    <n v="2197"/>
    <n v="7827275"/>
    <x v="2"/>
    <x v="7"/>
    <s v="No Review"/>
    <x v="2"/>
    <x v="4"/>
    <x v="2196"/>
    <x v="0"/>
    <x v="4"/>
    <n v="753"/>
    <x v="37"/>
    <x v="11"/>
    <x v="4"/>
    <s v="11.1"/>
    <s v="Average"/>
  </r>
  <r>
    <n v="2198"/>
    <n v="7547286"/>
    <x v="40"/>
    <x v="10"/>
    <s v="User-friendly design and smooth performance throughout."/>
    <x v="4"/>
    <x v="2"/>
    <x v="2197"/>
    <x v="0"/>
    <x v="2"/>
    <n v="207"/>
    <x v="19"/>
    <x v="3"/>
    <x v="0"/>
    <s v="v5.1.80"/>
    <s v="Average"/>
  </r>
  <r>
    <n v="2199"/>
    <n v="6199529"/>
    <x v="14"/>
    <x v="7"/>
    <s v="Latest update broke some features, please fix soon."/>
    <x v="1"/>
    <x v="33"/>
    <x v="2198"/>
    <x v="0"/>
    <x v="0"/>
    <n v="579"/>
    <x v="49"/>
    <x v="6"/>
    <x v="4"/>
    <s v="6.4.48-beta"/>
    <s v="Poor"/>
  </r>
  <r>
    <n v="2200"/>
    <n v="6792147"/>
    <x v="10"/>
    <x v="1"/>
    <s v="Quam dignissimos dolor deleniti."/>
    <x v="11"/>
    <x v="26"/>
    <x v="2199"/>
    <x v="1"/>
    <x v="1"/>
    <n v="571"/>
    <x v="40"/>
    <x v="17"/>
    <x v="4"/>
    <s v="3.8.98"/>
    <s v="Average"/>
  </r>
  <r>
    <n v="2201"/>
    <n v="6197090"/>
    <x v="4"/>
    <x v="3"/>
    <s v="Nature shake impact popular degree center board."/>
    <x v="21"/>
    <x v="2"/>
    <x v="2200"/>
    <x v="0"/>
    <x v="0"/>
    <n v="695"/>
    <x v="2"/>
    <x v="5"/>
    <x v="3"/>
    <s v="12.4.38.8688"/>
    <s v="Average"/>
  </r>
  <r>
    <n v="2202"/>
    <n v="5138538"/>
    <x v="20"/>
    <x v="8"/>
    <s v="User-friendly design and smooth performance throughout."/>
    <x v="7"/>
    <x v="19"/>
    <x v="2201"/>
    <x v="1"/>
    <x v="0"/>
    <n v="856"/>
    <x v="44"/>
    <x v="24"/>
    <x v="4"/>
    <s v="12.8.63"/>
    <s v="Poor"/>
  </r>
  <r>
    <n v="2203"/>
    <n v="7014190"/>
    <x v="36"/>
    <x v="13"/>
    <s v="Crashes too often, needs improvement in stability."/>
    <x v="0"/>
    <x v="30"/>
    <x v="2202"/>
    <x v="0"/>
    <x v="1"/>
    <n v="904"/>
    <x v="4"/>
    <x v="10"/>
    <x v="2"/>
    <s v="2.9.12-beta"/>
    <s v="Average"/>
  </r>
  <r>
    <n v="2204"/>
    <n v="3743644"/>
    <x v="2"/>
    <x v="17"/>
    <s v="Excellent customer support and regular feature updates."/>
    <x v="15"/>
    <x v="2"/>
    <x v="2203"/>
    <x v="0"/>
    <x v="2"/>
    <n v="231"/>
    <x v="17"/>
    <x v="14"/>
    <x v="4"/>
    <s v="v15.5.20"/>
    <s v="Average"/>
  </r>
  <r>
    <n v="2205"/>
    <n v="2729314"/>
    <x v="22"/>
    <x v="4"/>
    <s v="Winter jeder wirklich andere erschrecken Mädchen. Früh sieht Musik Ding. Müssen Stück dich gern finden sich."/>
    <x v="21"/>
    <x v="2"/>
    <x v="2204"/>
    <x v="0"/>
    <x v="0"/>
    <n v="993"/>
    <x v="28"/>
    <x v="16"/>
    <x v="3"/>
    <s v="10.1.3-beta"/>
    <s v="Average"/>
  </r>
  <r>
    <n v="2206"/>
    <n v="5405200"/>
    <x v="2"/>
    <x v="15"/>
    <s v="Great app but too many ads, consider premium version."/>
    <x v="4"/>
    <x v="23"/>
    <x v="2205"/>
    <x v="1"/>
    <x v="4"/>
    <n v="737"/>
    <x v="49"/>
    <x v="18"/>
    <x v="3"/>
    <s v="1.5.57"/>
    <s v="Very Poor"/>
  </r>
  <r>
    <n v="2207"/>
    <n v="9001791"/>
    <x v="10"/>
    <x v="4"/>
    <s v="Vorbei schauen stark bis Affe vielleicht bald verlieren. Wieder halbe sie Wohnung gehören beim."/>
    <x v="1"/>
    <x v="21"/>
    <x v="2206"/>
    <x v="0"/>
    <x v="1"/>
    <n v="1125"/>
    <x v="21"/>
    <x v="22"/>
    <x v="3"/>
    <s v="8.5.16-beta"/>
    <s v="Excellent"/>
  </r>
  <r>
    <n v="2208"/>
    <n v="9888641"/>
    <x v="1"/>
    <x v="17"/>
    <s v="Great app but too many ads, consider premium version."/>
    <x v="23"/>
    <x v="5"/>
    <x v="2207"/>
    <x v="0"/>
    <x v="1"/>
    <n v="441"/>
    <x v="40"/>
    <x v="19"/>
    <x v="2"/>
    <s v="4.5"/>
    <s v="Excellent"/>
  </r>
  <r>
    <n v="2209"/>
    <n v="8070642"/>
    <x v="36"/>
    <x v="10"/>
    <s v="Some bugs need fixing but generally satisfied with it."/>
    <x v="21"/>
    <x v="5"/>
    <x v="2208"/>
    <x v="1"/>
    <x v="2"/>
    <n v="873"/>
    <x v="58"/>
    <x v="1"/>
    <x v="1"/>
    <s v="7.9.41.8316"/>
    <s v="Excellent"/>
  </r>
  <r>
    <n v="2210"/>
    <n v="3039670"/>
    <x v="19"/>
    <x v="9"/>
    <s v="Excellent customer support and regular feature updates."/>
    <x v="19"/>
    <x v="8"/>
    <x v="2209"/>
    <x v="0"/>
    <x v="1"/>
    <n v="94"/>
    <x v="10"/>
    <x v="17"/>
    <x v="4"/>
    <s v="7.4"/>
    <s v="Very Poor"/>
  </r>
  <r>
    <n v="2211"/>
    <n v="1802878"/>
    <x v="13"/>
    <x v="14"/>
    <s v="Latest update broke some features, please fix soon."/>
    <x v="21"/>
    <x v="5"/>
    <x v="2210"/>
    <x v="0"/>
    <x v="3"/>
    <n v="228"/>
    <x v="16"/>
    <x v="20"/>
    <x v="2"/>
    <s v="5.2.35"/>
    <s v="Excellent"/>
  </r>
  <r>
    <n v="2212"/>
    <n v="2781207"/>
    <x v="28"/>
    <x v="7"/>
    <s v="Works perfectly on my device, no complaints at all."/>
    <x v="5"/>
    <x v="19"/>
    <x v="2211"/>
    <x v="0"/>
    <x v="4"/>
    <n v="983"/>
    <x v="48"/>
    <x v="13"/>
    <x v="0"/>
    <s v="6.0.12.6361"/>
    <s v="Poor"/>
  </r>
  <r>
    <n v="2213"/>
    <n v="2838993"/>
    <x v="25"/>
    <x v="6"/>
    <s v="Works perfectly on my device, no complaints at all."/>
    <x v="21"/>
    <x v="38"/>
    <x v="2212"/>
    <x v="0"/>
    <x v="2"/>
    <n v="570"/>
    <x v="48"/>
    <x v="18"/>
    <x v="1"/>
    <s v="v3.3.98"/>
    <s v="Good"/>
  </r>
  <r>
    <n v="2214"/>
    <n v="9030598"/>
    <x v="29"/>
    <x v="0"/>
    <s v="Important no pick record example summer economic box."/>
    <x v="9"/>
    <x v="5"/>
    <x v="2213"/>
    <x v="0"/>
    <x v="3"/>
    <n v="318"/>
    <x v="14"/>
    <x v="10"/>
    <x v="4"/>
    <s v="2.2.73-beta"/>
    <s v="Excellent"/>
  </r>
  <r>
    <n v="2215"/>
    <n v="1728546"/>
    <x v="23"/>
    <x v="5"/>
    <s v="Consequatur fugit fugit. Quisquam nesciunt voluptates facere."/>
    <x v="16"/>
    <x v="13"/>
    <x v="2214"/>
    <x v="0"/>
    <x v="3"/>
    <n v="519"/>
    <x v="36"/>
    <x v="20"/>
    <x v="4"/>
    <s v="1.3.29"/>
    <s v="Average"/>
  </r>
  <r>
    <n v="2216"/>
    <n v="9695061"/>
    <x v="16"/>
    <x v="12"/>
    <s v="User-friendly design and smooth performance throughout."/>
    <x v="4"/>
    <x v="34"/>
    <x v="2215"/>
    <x v="0"/>
    <x v="1"/>
    <n v="1126"/>
    <x v="19"/>
    <x v="11"/>
    <x v="1"/>
    <s v="v15.2.67"/>
    <s v="Average"/>
  </r>
  <r>
    <n v="2217"/>
    <n v="433139"/>
    <x v="33"/>
    <x v="3"/>
    <s v="This app is amazing! Really love the new features."/>
    <x v="17"/>
    <x v="25"/>
    <x v="2216"/>
    <x v="1"/>
    <x v="2"/>
    <n v="869"/>
    <x v="17"/>
    <x v="21"/>
    <x v="4"/>
    <s v="8.9.26-beta"/>
    <s v="Poor"/>
  </r>
  <r>
    <n v="2218"/>
    <n v="9609040"/>
    <x v="35"/>
    <x v="1"/>
    <s v="Suscipit voluptates suscipit architecto consequatur error. Totam beatae vel vero deserunt odio. Quae veniam assumenda nobis reiciendis."/>
    <x v="18"/>
    <x v="17"/>
    <x v="2217"/>
    <x v="1"/>
    <x v="2"/>
    <n v="1044"/>
    <x v="42"/>
    <x v="16"/>
    <x v="4"/>
    <s v="12.7.18.6465"/>
    <s v="Average"/>
  </r>
  <r>
    <n v="2219"/>
    <n v="7108491"/>
    <x v="32"/>
    <x v="9"/>
    <s v="Some bugs need fixing but generally satisfied with it."/>
    <x v="20"/>
    <x v="12"/>
    <x v="2218"/>
    <x v="0"/>
    <x v="4"/>
    <n v="106"/>
    <x v="55"/>
    <x v="19"/>
    <x v="2"/>
    <s v="v3.8.62"/>
    <s v="Excellent"/>
  </r>
  <r>
    <n v="2220"/>
    <n v="4339867"/>
    <x v="21"/>
    <x v="4"/>
    <s v="Some bugs need fixing but generally satisfied with it."/>
    <x v="2"/>
    <x v="1"/>
    <x v="2219"/>
    <x v="0"/>
    <x v="1"/>
    <n v="41"/>
    <x v="11"/>
    <x v="0"/>
    <x v="1"/>
    <s v="3.4.12-beta"/>
    <s v="Very Poor"/>
  </r>
  <r>
    <n v="2221"/>
    <n v="4801744"/>
    <x v="12"/>
    <x v="1"/>
    <s v="The interface could be better but overall good experience."/>
    <x v="19"/>
    <x v="26"/>
    <x v="2220"/>
    <x v="0"/>
    <x v="2"/>
    <n v="732"/>
    <x v="24"/>
    <x v="19"/>
    <x v="1"/>
    <s v="v8.0.23"/>
    <s v="Average"/>
  </r>
  <r>
    <n v="2222"/>
    <n v="8314276"/>
    <x v="2"/>
    <x v="4"/>
    <s v="Temporibus amet dolores esse ipsum inventore."/>
    <x v="18"/>
    <x v="7"/>
    <x v="2221"/>
    <x v="0"/>
    <x v="4"/>
    <n v="134"/>
    <x v="7"/>
    <x v="8"/>
    <x v="2"/>
    <s v="9.4.47-beta"/>
    <s v="Very Poor"/>
  </r>
  <r>
    <n v="2223"/>
    <n v="7785433"/>
    <x v="26"/>
    <x v="10"/>
    <s v="Perfect for daily use, highly recommend to everyone."/>
    <x v="7"/>
    <x v="31"/>
    <x v="2222"/>
    <x v="0"/>
    <x v="0"/>
    <n v="90"/>
    <x v="1"/>
    <x v="19"/>
    <x v="1"/>
    <s v="4.0.23-beta"/>
    <s v="Good"/>
  </r>
  <r>
    <n v="2224"/>
    <n v="5685451"/>
    <x v="7"/>
    <x v="7"/>
    <s v="Adipisci sit unde ab nemo esse dicta."/>
    <x v="13"/>
    <x v="18"/>
    <x v="2223"/>
    <x v="0"/>
    <x v="1"/>
    <n v="552"/>
    <x v="2"/>
    <x v="8"/>
    <x v="4"/>
    <s v="15.2.92"/>
    <s v="Average"/>
  </r>
  <r>
    <n v="2225"/>
    <n v="6616222"/>
    <x v="3"/>
    <x v="1"/>
    <s v="Possimus earum fugiat."/>
    <x v="0"/>
    <x v="3"/>
    <x v="2224"/>
    <x v="0"/>
    <x v="4"/>
    <n v="66"/>
    <x v="43"/>
    <x v="18"/>
    <x v="3"/>
    <s v="v6.8.92"/>
    <s v="Average"/>
  </r>
  <r>
    <n v="2226"/>
    <n v="7222166"/>
    <x v="4"/>
    <x v="4"/>
    <s v="Perfect for daily use, highly recommend to everyone."/>
    <x v="8"/>
    <x v="38"/>
    <x v="2225"/>
    <x v="1"/>
    <x v="0"/>
    <n v="992"/>
    <x v="41"/>
    <x v="15"/>
    <x v="2"/>
    <s v="10.6.7-beta"/>
    <s v="Good"/>
  </r>
  <r>
    <n v="2227"/>
    <n v="5839966"/>
    <x v="36"/>
    <x v="4"/>
    <s v="Works perfectly on my device, no complaints at all."/>
    <x v="1"/>
    <x v="6"/>
    <x v="2226"/>
    <x v="0"/>
    <x v="0"/>
    <n v="1209"/>
    <x v="42"/>
    <x v="24"/>
    <x v="4"/>
    <s v="8.5"/>
    <s v="Good"/>
  </r>
  <r>
    <n v="2228"/>
    <n v="4488717"/>
    <x v="27"/>
    <x v="14"/>
    <s v="No Review"/>
    <x v="0"/>
    <x v="31"/>
    <x v="2227"/>
    <x v="0"/>
    <x v="4"/>
    <n v="783"/>
    <x v="10"/>
    <x v="22"/>
    <x v="4"/>
    <s v="3.7.99"/>
    <s v="Good"/>
  </r>
  <r>
    <n v="2229"/>
    <n v="2721335"/>
    <x v="11"/>
    <x v="11"/>
    <s v="Great app but too many ads, consider premium version."/>
    <x v="2"/>
    <x v="15"/>
    <x v="2228"/>
    <x v="1"/>
    <x v="1"/>
    <n v="187"/>
    <x v="29"/>
    <x v="18"/>
    <x v="3"/>
    <s v="9.2.51.8060"/>
    <s v="Poor"/>
  </r>
  <r>
    <n v="2230"/>
    <n v="7830320"/>
    <x v="11"/>
    <x v="6"/>
    <s v="The interface could be better but overall good experience."/>
    <x v="7"/>
    <x v="24"/>
    <x v="2229"/>
    <x v="0"/>
    <x v="3"/>
    <n v="850"/>
    <x v="5"/>
    <x v="9"/>
    <x v="2"/>
    <s v="9.8.7"/>
    <s v="Poor"/>
  </r>
  <r>
    <n v="2231"/>
    <n v="1875578"/>
    <x v="17"/>
    <x v="3"/>
    <s v="This app is amazing! Really love the new features."/>
    <x v="11"/>
    <x v="16"/>
    <x v="2230"/>
    <x v="0"/>
    <x v="3"/>
    <n v="160"/>
    <x v="17"/>
    <x v="6"/>
    <x v="1"/>
    <s v="7.9.85"/>
    <s v="Excellent"/>
  </r>
  <r>
    <n v="2232"/>
    <n v="1042316"/>
    <x v="9"/>
    <x v="5"/>
    <s v="The interface could be better but overall good experience."/>
    <x v="15"/>
    <x v="7"/>
    <x v="2231"/>
    <x v="0"/>
    <x v="1"/>
    <n v="248"/>
    <x v="6"/>
    <x v="10"/>
    <x v="4"/>
    <s v="11.3.76-beta"/>
    <s v="Very Poor"/>
  </r>
  <r>
    <n v="2233"/>
    <n v="3447412"/>
    <x v="13"/>
    <x v="13"/>
    <s v="User-friendly design and smooth performance throughout."/>
    <x v="18"/>
    <x v="4"/>
    <x v="2232"/>
    <x v="1"/>
    <x v="2"/>
    <n v="1038"/>
    <x v="55"/>
    <x v="22"/>
    <x v="3"/>
    <s v="13.1.90"/>
    <s v="Average"/>
  </r>
  <r>
    <n v="2234"/>
    <n v="1461565"/>
    <x v="15"/>
    <x v="16"/>
    <s v="At veritatis a recusandae."/>
    <x v="0"/>
    <x v="6"/>
    <x v="2233"/>
    <x v="0"/>
    <x v="1"/>
    <n v="1200"/>
    <x v="6"/>
    <x v="12"/>
    <x v="3"/>
    <s v="7.7.16.1513"/>
    <s v="Good"/>
  </r>
  <r>
    <n v="2235"/>
    <n v="938837"/>
    <x v="22"/>
    <x v="7"/>
    <s v="Works perfectly on my device, no complaints at all."/>
    <x v="11"/>
    <x v="9"/>
    <x v="2234"/>
    <x v="0"/>
    <x v="1"/>
    <n v="111"/>
    <x v="29"/>
    <x v="13"/>
    <x v="4"/>
    <s v="12.5.79.7951"/>
    <s v="Excellent"/>
  </r>
  <r>
    <n v="2236"/>
    <n v="6591120"/>
    <x v="20"/>
    <x v="9"/>
    <s v="Crashes too often, needs improvement in stability."/>
    <x v="15"/>
    <x v="39"/>
    <x v="2235"/>
    <x v="1"/>
    <x v="1"/>
    <n v="829"/>
    <x v="44"/>
    <x v="23"/>
    <x v="1"/>
    <s v="11.6.75.8740"/>
    <s v="Good"/>
  </r>
  <r>
    <n v="2237"/>
    <n v="8980742"/>
    <x v="36"/>
    <x v="13"/>
    <s v="Luce continuo voglia pagina conoscenza. Questo ora sorprendere inverno meno. Comune conto chiaro nascere."/>
    <x v="20"/>
    <x v="37"/>
    <x v="2236"/>
    <x v="1"/>
    <x v="0"/>
    <n v="127"/>
    <x v="35"/>
    <x v="22"/>
    <x v="3"/>
    <s v="8.0"/>
    <s v="Average"/>
  </r>
  <r>
    <n v="2238"/>
    <n v="2180547"/>
    <x v="21"/>
    <x v="3"/>
    <s v="Deleniti sed quidem dolorem. Odio nihil nobis magni eligendi incidunt. Quasi minus omnis voluptas dolorum quidem."/>
    <x v="20"/>
    <x v="12"/>
    <x v="2237"/>
    <x v="0"/>
    <x v="2"/>
    <n v="790"/>
    <x v="2"/>
    <x v="3"/>
    <x v="0"/>
    <s v="7.6.19-beta"/>
    <s v="Excellent"/>
  </r>
  <r>
    <n v="2239"/>
    <n v="1153323"/>
    <x v="36"/>
    <x v="11"/>
    <s v="Some bugs need fixing but generally satisfied with it."/>
    <x v="23"/>
    <x v="33"/>
    <x v="2238"/>
    <x v="0"/>
    <x v="1"/>
    <n v="37"/>
    <x v="48"/>
    <x v="10"/>
    <x v="4"/>
    <s v="v10.2.22"/>
    <s v="Poor"/>
  </r>
  <r>
    <n v="2240"/>
    <n v="1113410"/>
    <x v="7"/>
    <x v="10"/>
    <s v="Quidem inventore perferendis tempore ipsum voluptate perferendis et."/>
    <x v="2"/>
    <x v="2"/>
    <x v="2239"/>
    <x v="0"/>
    <x v="0"/>
    <n v="797"/>
    <x v="24"/>
    <x v="5"/>
    <x v="3"/>
    <s v="v15.1.68"/>
    <s v="Average"/>
  </r>
  <r>
    <n v="2241"/>
    <n v="1205263"/>
    <x v="4"/>
    <x v="1"/>
    <s v="Great app but too many ads, consider premium version."/>
    <x v="3"/>
    <x v="37"/>
    <x v="2240"/>
    <x v="0"/>
    <x v="4"/>
    <n v="1092"/>
    <x v="41"/>
    <x v="8"/>
    <x v="2"/>
    <s v="1.0.35"/>
    <s v="Average"/>
  </r>
  <r>
    <n v="2242"/>
    <n v="5453005"/>
    <x v="39"/>
    <x v="6"/>
    <s v="Rower orzeł nie ma publiczny drewniany małżeństwo Austria."/>
    <x v="2"/>
    <x v="15"/>
    <x v="2241"/>
    <x v="0"/>
    <x v="4"/>
    <n v="259"/>
    <x v="31"/>
    <x v="6"/>
    <x v="4"/>
    <s v="v5.4.59"/>
    <s v="Poor"/>
  </r>
  <r>
    <n v="2243"/>
    <n v="2961403"/>
    <x v="18"/>
    <x v="6"/>
    <s v="Недостаток какой пропадать. Райком наткнуться дорогой заработать прошептать каюта."/>
    <x v="18"/>
    <x v="28"/>
    <x v="2242"/>
    <x v="1"/>
    <x v="0"/>
    <n v="429"/>
    <x v="29"/>
    <x v="5"/>
    <x v="4"/>
    <s v="11.0.41"/>
    <s v="Poor"/>
  </r>
  <r>
    <n v="2244"/>
    <n v="6568693"/>
    <x v="35"/>
    <x v="7"/>
    <s v="Perfect for daily use, highly recommend to everyone."/>
    <x v="12"/>
    <x v="23"/>
    <x v="2243"/>
    <x v="0"/>
    <x v="2"/>
    <n v="1098"/>
    <x v="49"/>
    <x v="0"/>
    <x v="3"/>
    <s v="9.5"/>
    <s v="Very Poor"/>
  </r>
  <r>
    <n v="2245"/>
    <n v="2439281"/>
    <x v="23"/>
    <x v="3"/>
    <s v="Great app but too many ads, consider premium version."/>
    <x v="23"/>
    <x v="37"/>
    <x v="2244"/>
    <x v="0"/>
    <x v="4"/>
    <n v="426"/>
    <x v="5"/>
    <x v="21"/>
    <x v="4"/>
    <s v="13.7.70-beta"/>
    <s v="Average"/>
  </r>
  <r>
    <n v="2246"/>
    <n v="6499792"/>
    <x v="20"/>
    <x v="0"/>
    <s v="This app is amazing! Really love the new features."/>
    <x v="1"/>
    <x v="37"/>
    <x v="2245"/>
    <x v="1"/>
    <x v="1"/>
    <n v="138"/>
    <x v="26"/>
    <x v="15"/>
    <x v="4"/>
    <s v="3.0.91-beta"/>
    <s v="Average"/>
  </r>
  <r>
    <n v="2247"/>
    <n v="2606246"/>
    <x v="29"/>
    <x v="5"/>
    <s v="Perfect for daily use, highly recommend to everyone."/>
    <x v="6"/>
    <x v="19"/>
    <x v="2246"/>
    <x v="0"/>
    <x v="3"/>
    <n v="415"/>
    <x v="28"/>
    <x v="4"/>
    <x v="0"/>
    <s v="13.6.71.9368"/>
    <s v="Poor"/>
  </r>
  <r>
    <n v="2248"/>
    <n v="334044"/>
    <x v="39"/>
    <x v="16"/>
    <s v="The interface could be better but overall good experience."/>
    <x v="13"/>
    <x v="19"/>
    <x v="2247"/>
    <x v="1"/>
    <x v="3"/>
    <n v="608"/>
    <x v="48"/>
    <x v="0"/>
    <x v="0"/>
    <s v="4.6.5"/>
    <s v="Poor"/>
  </r>
  <r>
    <n v="2249"/>
    <n v="2998766"/>
    <x v="21"/>
    <x v="12"/>
    <s v="Nihil delectus atque hic. Earum deserunt libero culpa. Eius deleniti non libero ipsa sed laborum."/>
    <x v="8"/>
    <x v="8"/>
    <x v="2248"/>
    <x v="0"/>
    <x v="1"/>
    <n v="645"/>
    <x v="61"/>
    <x v="21"/>
    <x v="3"/>
    <s v="14.3"/>
    <s v="Very Poor"/>
  </r>
  <r>
    <n v="2250"/>
    <n v="6028554"/>
    <x v="8"/>
    <x v="4"/>
    <s v="Excellent customer support and regular feature updates."/>
    <x v="0"/>
    <x v="34"/>
    <x v="2249"/>
    <x v="0"/>
    <x v="0"/>
    <n v="467"/>
    <x v="18"/>
    <x v="16"/>
    <x v="1"/>
    <s v="2.4.48"/>
    <s v="Average"/>
  </r>
  <r>
    <n v="2251"/>
    <n v="5523780"/>
    <x v="30"/>
    <x v="14"/>
    <s v="No Review"/>
    <x v="17"/>
    <x v="23"/>
    <x v="2250"/>
    <x v="0"/>
    <x v="2"/>
    <n v="1015"/>
    <x v="0"/>
    <x v="24"/>
    <x v="1"/>
    <s v="9.3.13-beta"/>
    <s v="Very Poor"/>
  </r>
  <r>
    <n v="2252"/>
    <n v="4954015"/>
    <x v="21"/>
    <x v="16"/>
    <s v="Works perfectly on my device, no complaints at all."/>
    <x v="2"/>
    <x v="6"/>
    <x v="2251"/>
    <x v="0"/>
    <x v="0"/>
    <n v="644"/>
    <x v="47"/>
    <x v="7"/>
    <x v="4"/>
    <s v="9.4.59-beta"/>
    <s v="Good"/>
  </r>
  <r>
    <n v="2253"/>
    <n v="8803393"/>
    <x v="11"/>
    <x v="17"/>
    <s v="This app is amazing! Really love the new features."/>
    <x v="21"/>
    <x v="24"/>
    <x v="2252"/>
    <x v="0"/>
    <x v="4"/>
    <n v="1246"/>
    <x v="44"/>
    <x v="4"/>
    <x v="4"/>
    <s v="9.0"/>
    <s v="Poor"/>
  </r>
  <r>
    <n v="2254"/>
    <n v="7085116"/>
    <x v="6"/>
    <x v="2"/>
    <s v="Works perfectly on my device, no complaints at all."/>
    <x v="13"/>
    <x v="36"/>
    <x v="2253"/>
    <x v="0"/>
    <x v="3"/>
    <n v="356"/>
    <x v="8"/>
    <x v="6"/>
    <x v="4"/>
    <s v="3.1.0.9232"/>
    <s v="Poor"/>
  </r>
  <r>
    <n v="2255"/>
    <n v="5267511"/>
    <x v="31"/>
    <x v="14"/>
    <s v="Latest update broke some features, please fix soon."/>
    <x v="4"/>
    <x v="14"/>
    <x v="2254"/>
    <x v="0"/>
    <x v="1"/>
    <n v="351"/>
    <x v="50"/>
    <x v="16"/>
    <x v="3"/>
    <s v="11.8.8-beta"/>
    <s v="Excellent"/>
  </r>
  <r>
    <n v="2256"/>
    <n v="5780438"/>
    <x v="22"/>
    <x v="5"/>
    <s v="探査血まみれの尿脊椎追放する擁する癌中世。"/>
    <x v="13"/>
    <x v="34"/>
    <x v="2255"/>
    <x v="0"/>
    <x v="3"/>
    <n v="127"/>
    <x v="27"/>
    <x v="20"/>
    <x v="3"/>
    <s v="3.4.12-beta"/>
    <s v="Average"/>
  </r>
  <r>
    <n v="2257"/>
    <n v="9584624"/>
    <x v="17"/>
    <x v="15"/>
    <s v="Latest update broke some features, please fix soon."/>
    <x v="0"/>
    <x v="35"/>
    <x v="2256"/>
    <x v="0"/>
    <x v="1"/>
    <n v="852"/>
    <x v="29"/>
    <x v="11"/>
    <x v="4"/>
    <s v="15.8.58.9028"/>
    <s v="Poor"/>
  </r>
  <r>
    <n v="2258"/>
    <n v="397120"/>
    <x v="19"/>
    <x v="0"/>
    <s v="Works perfectly on my device, no complaints at all."/>
    <x v="4"/>
    <x v="37"/>
    <x v="2257"/>
    <x v="0"/>
    <x v="1"/>
    <n v="114"/>
    <x v="24"/>
    <x v="6"/>
    <x v="4"/>
    <s v="4.1.85"/>
    <s v="Average"/>
  </r>
  <r>
    <n v="2259"/>
    <n v="7096108"/>
    <x v="11"/>
    <x v="8"/>
    <s v="Distinctio eveniet doloremque sit est. Ratione nam neque ex deserunt consectetur eum."/>
    <x v="8"/>
    <x v="12"/>
    <x v="2258"/>
    <x v="0"/>
    <x v="2"/>
    <n v="898"/>
    <x v="45"/>
    <x v="23"/>
    <x v="4"/>
    <s v="1.3"/>
    <s v="Excellent"/>
  </r>
  <r>
    <n v="2260"/>
    <n v="3940752"/>
    <x v="23"/>
    <x v="4"/>
    <s v="User-friendly design and smooth performance throughout."/>
    <x v="13"/>
    <x v="37"/>
    <x v="2259"/>
    <x v="0"/>
    <x v="1"/>
    <n v="342"/>
    <x v="5"/>
    <x v="12"/>
    <x v="2"/>
    <s v="13.5.62"/>
    <s v="Average"/>
  </r>
  <r>
    <n v="2261"/>
    <n v="4076500"/>
    <x v="17"/>
    <x v="1"/>
    <s v="This app is amazing! Really love the new features."/>
    <x v="10"/>
    <x v="2"/>
    <x v="2260"/>
    <x v="0"/>
    <x v="3"/>
    <n v="978"/>
    <x v="60"/>
    <x v="14"/>
    <x v="0"/>
    <s v="4.1"/>
    <s v="Average"/>
  </r>
  <r>
    <n v="2262"/>
    <n v="8297145"/>
    <x v="31"/>
    <x v="15"/>
    <s v="Latest update broke some features, please fix soon."/>
    <x v="16"/>
    <x v="16"/>
    <x v="2261"/>
    <x v="0"/>
    <x v="2"/>
    <n v="239"/>
    <x v="41"/>
    <x v="21"/>
    <x v="2"/>
    <s v="v15.0.97"/>
    <s v="Excellent"/>
  </r>
  <r>
    <n v="2263"/>
    <n v="425432"/>
    <x v="5"/>
    <x v="12"/>
    <s v="Crashes too often, needs improvement in stability."/>
    <x v="5"/>
    <x v="32"/>
    <x v="2262"/>
    <x v="0"/>
    <x v="3"/>
    <n v="112"/>
    <x v="46"/>
    <x v="9"/>
    <x v="0"/>
    <s v="3.4.42-beta"/>
    <s v="Very Poor"/>
  </r>
  <r>
    <n v="2264"/>
    <n v="1703610"/>
    <x v="27"/>
    <x v="4"/>
    <s v="Perfect for daily use, highly recommend to everyone."/>
    <x v="0"/>
    <x v="36"/>
    <x v="2263"/>
    <x v="1"/>
    <x v="3"/>
    <n v="1076"/>
    <x v="20"/>
    <x v="2"/>
    <x v="4"/>
    <s v="13.4.13.3731"/>
    <s v="Poor"/>
  </r>
  <r>
    <n v="2265"/>
    <n v="2588991"/>
    <x v="33"/>
    <x v="5"/>
    <s v="Works perfectly on my device, no complaints at all."/>
    <x v="16"/>
    <x v="16"/>
    <x v="2264"/>
    <x v="0"/>
    <x v="4"/>
    <n v="464"/>
    <x v="49"/>
    <x v="1"/>
    <x v="3"/>
    <s v="6.4.54-beta"/>
    <s v="Excellent"/>
  </r>
  <r>
    <n v="2266"/>
    <n v="1464116"/>
    <x v="23"/>
    <x v="12"/>
    <s v="Great app but too many ads, consider premium version."/>
    <x v="23"/>
    <x v="2"/>
    <x v="2265"/>
    <x v="0"/>
    <x v="4"/>
    <n v="107"/>
    <x v="25"/>
    <x v="0"/>
    <x v="0"/>
    <s v="14.9"/>
    <s v="Average"/>
  </r>
  <r>
    <n v="2267"/>
    <n v="7862637"/>
    <x v="8"/>
    <x v="16"/>
    <s v="Tempore veniam quas architecto harum deserunt quo quae."/>
    <x v="2"/>
    <x v="17"/>
    <x v="2266"/>
    <x v="1"/>
    <x v="0"/>
    <n v="803"/>
    <x v="34"/>
    <x v="16"/>
    <x v="4"/>
    <s v="2.4.77.595"/>
    <s v="Average"/>
  </r>
  <r>
    <n v="2268"/>
    <n v="1090212"/>
    <x v="14"/>
    <x v="0"/>
    <s v="User-friendly design and smooth performance throughout."/>
    <x v="4"/>
    <x v="22"/>
    <x v="2267"/>
    <x v="0"/>
    <x v="2"/>
    <n v="8"/>
    <x v="30"/>
    <x v="6"/>
    <x v="3"/>
    <s v="8.8"/>
    <s v="Poor"/>
  </r>
  <r>
    <n v="2269"/>
    <n v="3846911"/>
    <x v="13"/>
    <x v="17"/>
    <s v="Works perfectly on my device, no complaints at all."/>
    <x v="10"/>
    <x v="31"/>
    <x v="2268"/>
    <x v="0"/>
    <x v="0"/>
    <n v="1166"/>
    <x v="42"/>
    <x v="12"/>
    <x v="1"/>
    <s v="1.7"/>
    <s v="Good"/>
  </r>
  <r>
    <n v="2270"/>
    <n v="5589746"/>
    <x v="40"/>
    <x v="0"/>
    <s v="Crashes too often, needs improvement in stability."/>
    <x v="10"/>
    <x v="23"/>
    <x v="2269"/>
    <x v="1"/>
    <x v="4"/>
    <n v="833"/>
    <x v="21"/>
    <x v="9"/>
    <x v="0"/>
    <s v="v14.7.11"/>
    <s v="Very Poor"/>
  </r>
  <r>
    <n v="2271"/>
    <n v="8195897"/>
    <x v="4"/>
    <x v="12"/>
    <s v="Great app but too many ads, consider premium version."/>
    <x v="2"/>
    <x v="38"/>
    <x v="2270"/>
    <x v="0"/>
    <x v="2"/>
    <n v="582"/>
    <x v="31"/>
    <x v="14"/>
    <x v="3"/>
    <s v="13.6.43-beta"/>
    <s v="Good"/>
  </r>
  <r>
    <n v="2272"/>
    <n v="4676112"/>
    <x v="16"/>
    <x v="17"/>
    <s v="Some bugs need fixing but generally satisfied with it."/>
    <x v="18"/>
    <x v="12"/>
    <x v="2271"/>
    <x v="0"/>
    <x v="3"/>
    <n v="383"/>
    <x v="10"/>
    <x v="24"/>
    <x v="1"/>
    <s v="v12.8.68"/>
    <s v="Excellent"/>
  </r>
  <r>
    <n v="2273"/>
    <n v="5370869"/>
    <x v="34"/>
    <x v="1"/>
    <s v="Perfect for daily use, highly recommend to everyone."/>
    <x v="3"/>
    <x v="16"/>
    <x v="2272"/>
    <x v="0"/>
    <x v="2"/>
    <n v="1235"/>
    <x v="43"/>
    <x v="17"/>
    <x v="2"/>
    <s v="1.1"/>
    <s v="Excellent"/>
  </r>
  <r>
    <n v="2274"/>
    <n v="3456421"/>
    <x v="36"/>
    <x v="12"/>
    <s v="Latest update broke some features, please fix soon."/>
    <x v="8"/>
    <x v="7"/>
    <x v="2273"/>
    <x v="1"/>
    <x v="0"/>
    <n v="930"/>
    <x v="32"/>
    <x v="24"/>
    <x v="2"/>
    <s v="6.7.67-beta"/>
    <s v="Very Poor"/>
  </r>
  <r>
    <n v="2275"/>
    <n v="3257389"/>
    <x v="35"/>
    <x v="17"/>
    <s v="The interface could be better but overall good experience."/>
    <x v="23"/>
    <x v="23"/>
    <x v="2274"/>
    <x v="0"/>
    <x v="3"/>
    <n v="905"/>
    <x v="14"/>
    <x v="18"/>
    <x v="3"/>
    <s v="11.4.13"/>
    <s v="Very Poor"/>
  </r>
  <r>
    <n v="2276"/>
    <n v="2119346"/>
    <x v="0"/>
    <x v="15"/>
    <s v="Some bugs need fixing but generally satisfied with it."/>
    <x v="10"/>
    <x v="21"/>
    <x v="2275"/>
    <x v="1"/>
    <x v="0"/>
    <n v="103"/>
    <x v="43"/>
    <x v="9"/>
    <x v="3"/>
    <s v="3.1"/>
    <s v="Excellent"/>
  </r>
  <r>
    <n v="2277"/>
    <n v="1116077"/>
    <x v="4"/>
    <x v="3"/>
    <s v="Great app but too many ads, consider premium version."/>
    <x v="20"/>
    <x v="25"/>
    <x v="2276"/>
    <x v="0"/>
    <x v="4"/>
    <n v="301"/>
    <x v="40"/>
    <x v="2"/>
    <x v="3"/>
    <s v="6.8"/>
    <s v="Poor"/>
  </r>
  <r>
    <n v="2278"/>
    <n v="8882909"/>
    <x v="35"/>
    <x v="6"/>
    <s v="Latest update broke some features, please fix soon."/>
    <x v="7"/>
    <x v="28"/>
    <x v="2277"/>
    <x v="0"/>
    <x v="0"/>
    <n v="1105"/>
    <x v="38"/>
    <x v="6"/>
    <x v="3"/>
    <s v="7.3.9.3922"/>
    <s v="Poor"/>
  </r>
  <r>
    <n v="2279"/>
    <n v="4838829"/>
    <x v="2"/>
    <x v="5"/>
    <s v="Latest update broke some features, please fix soon."/>
    <x v="3"/>
    <x v="1"/>
    <x v="2278"/>
    <x v="0"/>
    <x v="3"/>
    <n v="161"/>
    <x v="24"/>
    <x v="24"/>
    <x v="3"/>
    <s v="9.2.9"/>
    <s v="Very Poor"/>
  </r>
  <r>
    <n v="2280"/>
    <n v="7196616"/>
    <x v="13"/>
    <x v="11"/>
    <s v="Great app but too many ads, consider premium version."/>
    <x v="3"/>
    <x v="37"/>
    <x v="2279"/>
    <x v="0"/>
    <x v="0"/>
    <n v="266"/>
    <x v="16"/>
    <x v="16"/>
    <x v="0"/>
    <s v="8.0.47-beta"/>
    <s v="Average"/>
  </r>
  <r>
    <n v="2281"/>
    <n v="5102580"/>
    <x v="18"/>
    <x v="5"/>
    <s v="柔らかいコミュニケーションリニア奨励します管理する。 人形インチパーセント催眠術通行料金溝。 ささやき主婦保証金デフォルトピックバスケット。"/>
    <x v="6"/>
    <x v="7"/>
    <x v="2280"/>
    <x v="0"/>
    <x v="0"/>
    <n v="82"/>
    <x v="47"/>
    <x v="13"/>
    <x v="4"/>
    <s v="7.5.57"/>
    <s v="Very Poor"/>
  </r>
  <r>
    <n v="2282"/>
    <n v="384478"/>
    <x v="11"/>
    <x v="10"/>
    <s v="Works perfectly on my device, no complaints at all."/>
    <x v="13"/>
    <x v="36"/>
    <x v="2281"/>
    <x v="0"/>
    <x v="4"/>
    <n v="1063"/>
    <x v="52"/>
    <x v="22"/>
    <x v="3"/>
    <s v="11.5.20.3127"/>
    <s v="Poor"/>
  </r>
  <r>
    <n v="2283"/>
    <n v="5578399"/>
    <x v="35"/>
    <x v="13"/>
    <s v="Crashes too often, needs improvement in stability."/>
    <x v="4"/>
    <x v="17"/>
    <x v="2282"/>
    <x v="0"/>
    <x v="4"/>
    <n v="858"/>
    <x v="44"/>
    <x v="22"/>
    <x v="1"/>
    <s v="8.9"/>
    <s v="Average"/>
  </r>
  <r>
    <n v="2284"/>
    <n v="6287806"/>
    <x v="10"/>
    <x v="10"/>
    <s v="Perfect for daily use, highly recommend to everyone."/>
    <x v="9"/>
    <x v="16"/>
    <x v="2283"/>
    <x v="0"/>
    <x v="0"/>
    <n v="1175"/>
    <x v="23"/>
    <x v="2"/>
    <x v="1"/>
    <s v="2.5"/>
    <s v="Excellent"/>
  </r>
  <r>
    <n v="2285"/>
    <n v="6391943"/>
    <x v="40"/>
    <x v="16"/>
    <s v="Crashes too often, needs improvement in stability."/>
    <x v="22"/>
    <x v="11"/>
    <x v="2284"/>
    <x v="0"/>
    <x v="4"/>
    <n v="88"/>
    <x v="12"/>
    <x v="17"/>
    <x v="4"/>
    <s v="v12.1.59"/>
    <s v="Good"/>
  </r>
  <r>
    <n v="2286"/>
    <n v="7385667"/>
    <x v="6"/>
    <x v="9"/>
    <s v="Hinter gesund um Arbeit führen Mutter. Arzt Licht See Schwester Lehrer Wetter dem. Luft wir Ferien so."/>
    <x v="3"/>
    <x v="7"/>
    <x v="2285"/>
    <x v="0"/>
    <x v="0"/>
    <n v="395"/>
    <x v="45"/>
    <x v="21"/>
    <x v="1"/>
    <s v="1.0"/>
    <s v="Very Poor"/>
  </r>
  <r>
    <n v="2287"/>
    <n v="1461617"/>
    <x v="24"/>
    <x v="7"/>
    <s v="擁する必要状況数字協力キャビネット。 分割野球リフト教授。"/>
    <x v="15"/>
    <x v="38"/>
    <x v="2286"/>
    <x v="0"/>
    <x v="0"/>
    <n v="383"/>
    <x v="22"/>
    <x v="1"/>
    <x v="4"/>
    <s v="12.8"/>
    <s v="Good"/>
  </r>
  <r>
    <n v="2288"/>
    <n v="3915074"/>
    <x v="34"/>
    <x v="15"/>
    <s v="Argue raise agency poor recently. Amount despite discussion check that may follow."/>
    <x v="17"/>
    <x v="24"/>
    <x v="2287"/>
    <x v="1"/>
    <x v="2"/>
    <n v="198"/>
    <x v="52"/>
    <x v="6"/>
    <x v="3"/>
    <s v="13.3"/>
    <s v="Poor"/>
  </r>
  <r>
    <n v="2289"/>
    <n v="6740569"/>
    <x v="4"/>
    <x v="2"/>
    <s v="Latest update broke some features, please fix soon."/>
    <x v="15"/>
    <x v="8"/>
    <x v="2288"/>
    <x v="0"/>
    <x v="1"/>
    <n v="12"/>
    <x v="43"/>
    <x v="4"/>
    <x v="0"/>
    <s v="11.4.40-beta"/>
    <s v="Very Poor"/>
  </r>
  <r>
    <n v="2290"/>
    <n v="4959342"/>
    <x v="30"/>
    <x v="16"/>
    <s v="The interface could be better but overall good experience."/>
    <x v="0"/>
    <x v="1"/>
    <x v="2289"/>
    <x v="0"/>
    <x v="4"/>
    <n v="242"/>
    <x v="59"/>
    <x v="19"/>
    <x v="0"/>
    <s v="9.5.0"/>
    <s v="Very Poor"/>
  </r>
  <r>
    <n v="2291"/>
    <n v="7061516"/>
    <x v="8"/>
    <x v="0"/>
    <s v="The interface could be better but overall good experience."/>
    <x v="5"/>
    <x v="36"/>
    <x v="2290"/>
    <x v="0"/>
    <x v="0"/>
    <n v="940"/>
    <x v="9"/>
    <x v="1"/>
    <x v="1"/>
    <s v="5.4.94-beta"/>
    <s v="Poor"/>
  </r>
  <r>
    <n v="2292"/>
    <n v="773270"/>
    <x v="38"/>
    <x v="3"/>
    <s v="Latest update broke some features, please fix soon."/>
    <x v="11"/>
    <x v="33"/>
    <x v="2291"/>
    <x v="0"/>
    <x v="0"/>
    <n v="742"/>
    <x v="38"/>
    <x v="10"/>
    <x v="0"/>
    <s v="v1.2.50"/>
    <s v="Poor"/>
  </r>
  <r>
    <n v="2293"/>
    <n v="704073"/>
    <x v="14"/>
    <x v="4"/>
    <s v="Crashes too often, needs improvement in stability."/>
    <x v="7"/>
    <x v="35"/>
    <x v="2292"/>
    <x v="0"/>
    <x v="3"/>
    <n v="608"/>
    <x v="29"/>
    <x v="15"/>
    <x v="0"/>
    <s v="1.6.66.5316"/>
    <s v="Poor"/>
  </r>
  <r>
    <n v="2294"/>
    <n v="9876741"/>
    <x v="21"/>
    <x v="4"/>
    <s v="Latest update broke some features, please fix soon."/>
    <x v="12"/>
    <x v="4"/>
    <x v="2293"/>
    <x v="0"/>
    <x v="4"/>
    <n v="1005"/>
    <x v="13"/>
    <x v="13"/>
    <x v="1"/>
    <s v="v4.7.28"/>
    <s v="Average"/>
  </r>
  <r>
    <n v="2295"/>
    <n v="5961649"/>
    <x v="21"/>
    <x v="0"/>
    <s v="The interface could be better but overall good experience."/>
    <x v="20"/>
    <x v="17"/>
    <x v="2294"/>
    <x v="0"/>
    <x v="2"/>
    <n v="887"/>
    <x v="2"/>
    <x v="10"/>
    <x v="1"/>
    <s v="6.0.61"/>
    <s v="Average"/>
  </r>
  <r>
    <n v="2296"/>
    <n v="9857347"/>
    <x v="0"/>
    <x v="10"/>
    <s v="Latest update broke some features, please fix soon."/>
    <x v="16"/>
    <x v="24"/>
    <x v="2295"/>
    <x v="0"/>
    <x v="3"/>
    <n v="793"/>
    <x v="9"/>
    <x v="3"/>
    <x v="4"/>
    <s v="8.9.55"/>
    <s v="Poor"/>
  </r>
  <r>
    <n v="2297"/>
    <n v="8642096"/>
    <x v="35"/>
    <x v="1"/>
    <s v="User-friendly design and smooth performance throughout."/>
    <x v="11"/>
    <x v="38"/>
    <x v="2296"/>
    <x v="0"/>
    <x v="3"/>
    <n v="1041"/>
    <x v="30"/>
    <x v="13"/>
    <x v="0"/>
    <s v="1.8.85.8030"/>
    <s v="Good"/>
  </r>
  <r>
    <n v="2298"/>
    <n v="6763599"/>
    <x v="31"/>
    <x v="8"/>
    <s v="Chez accomplir pareil papa discuter. Long circonstance couper offrir espérer envie. Fonction pendant humide hiver verser."/>
    <x v="7"/>
    <x v="40"/>
    <x v="2297"/>
    <x v="0"/>
    <x v="4"/>
    <n v="1167"/>
    <x v="13"/>
    <x v="10"/>
    <x v="1"/>
    <s v="v11.6.22"/>
    <s v="Very Poor"/>
  </r>
  <r>
    <n v="2299"/>
    <n v="6906362"/>
    <x v="2"/>
    <x v="17"/>
    <s v="Delectus aliquam rem quia soluta."/>
    <x v="17"/>
    <x v="33"/>
    <x v="2298"/>
    <x v="1"/>
    <x v="3"/>
    <n v="135"/>
    <x v="21"/>
    <x v="19"/>
    <x v="4"/>
    <s v="14.3"/>
    <s v="Poor"/>
  </r>
  <r>
    <n v="2300"/>
    <n v="9666485"/>
    <x v="28"/>
    <x v="0"/>
    <s v="Strategy purpose though stand guess. Possible discover three. Describe agency actually stop team."/>
    <x v="1"/>
    <x v="13"/>
    <x v="2299"/>
    <x v="0"/>
    <x v="2"/>
    <n v="443"/>
    <x v="7"/>
    <x v="12"/>
    <x v="3"/>
    <s v="11.3.57-beta"/>
    <s v="Average"/>
  </r>
  <r>
    <n v="2301"/>
    <n v="6619151"/>
    <x v="30"/>
    <x v="0"/>
    <s v="The interface could be better but overall good experience."/>
    <x v="8"/>
    <x v="35"/>
    <x v="2300"/>
    <x v="0"/>
    <x v="3"/>
    <n v="47"/>
    <x v="0"/>
    <x v="24"/>
    <x v="2"/>
    <s v="15.9.8"/>
    <s v="Poor"/>
  </r>
  <r>
    <n v="2302"/>
    <n v="7782024"/>
    <x v="16"/>
    <x v="8"/>
    <s v="Crashes too often, needs improvement in stability."/>
    <x v="18"/>
    <x v="4"/>
    <x v="2301"/>
    <x v="0"/>
    <x v="4"/>
    <n v="148"/>
    <x v="48"/>
    <x v="16"/>
    <x v="4"/>
    <s v="2.5"/>
    <s v="Average"/>
  </r>
  <r>
    <n v="2303"/>
    <n v="2872557"/>
    <x v="32"/>
    <x v="11"/>
    <s v="The interface could be better but overall good experience."/>
    <x v="16"/>
    <x v="9"/>
    <x v="2302"/>
    <x v="0"/>
    <x v="0"/>
    <n v="796"/>
    <x v="45"/>
    <x v="12"/>
    <x v="2"/>
    <s v="v11.6.66"/>
    <s v="Excellent"/>
  </r>
  <r>
    <n v="2304"/>
    <n v="8156009"/>
    <x v="1"/>
    <x v="10"/>
    <s v="Nisi recusandae pariatur vel aspernatur autem a. Nulla similique veniam. Esse fugit necessitatibus."/>
    <x v="14"/>
    <x v="15"/>
    <x v="2303"/>
    <x v="0"/>
    <x v="4"/>
    <n v="522"/>
    <x v="48"/>
    <x v="6"/>
    <x v="2"/>
    <s v="1.8.3.5609"/>
    <s v="Poor"/>
  </r>
  <r>
    <n v="2305"/>
    <n v="998215"/>
    <x v="20"/>
    <x v="6"/>
    <s v="Some bugs need fixing but generally satisfied with it."/>
    <x v="16"/>
    <x v="27"/>
    <x v="2304"/>
    <x v="0"/>
    <x v="1"/>
    <n v="1207"/>
    <x v="14"/>
    <x v="21"/>
    <x v="2"/>
    <s v="1.3.7"/>
    <s v="Very Poor"/>
  </r>
  <r>
    <n v="2306"/>
    <n v="3300848"/>
    <x v="1"/>
    <x v="15"/>
    <s v="Quia fuga eius officiis error alias. Error ea ut suscipit. Blanditiis odio veritatis recusandae sunt."/>
    <x v="13"/>
    <x v="32"/>
    <x v="2305"/>
    <x v="0"/>
    <x v="1"/>
    <n v="154"/>
    <x v="41"/>
    <x v="4"/>
    <x v="1"/>
    <s v="11.1.78.4432"/>
    <s v="Very Poor"/>
  </r>
  <r>
    <n v="2307"/>
    <n v="3028988"/>
    <x v="29"/>
    <x v="5"/>
    <s v="Great app but too many ads, consider premium version."/>
    <x v="21"/>
    <x v="22"/>
    <x v="2306"/>
    <x v="0"/>
    <x v="2"/>
    <n v="865"/>
    <x v="8"/>
    <x v="9"/>
    <x v="0"/>
    <s v="3.7.96-beta"/>
    <s v="Poor"/>
  </r>
  <r>
    <n v="2308"/>
    <n v="1544438"/>
    <x v="17"/>
    <x v="8"/>
    <s v="The interface could be better but overall good experience."/>
    <x v="22"/>
    <x v="28"/>
    <x v="2307"/>
    <x v="0"/>
    <x v="1"/>
    <n v="977"/>
    <x v="51"/>
    <x v="21"/>
    <x v="3"/>
    <s v="13.2.11.3950"/>
    <s v="Poor"/>
  </r>
  <r>
    <n v="2309"/>
    <n v="7737736"/>
    <x v="10"/>
    <x v="13"/>
    <s v="Some bugs need fixing but generally satisfied with it."/>
    <x v="13"/>
    <x v="17"/>
    <x v="2308"/>
    <x v="0"/>
    <x v="2"/>
    <n v="240"/>
    <x v="46"/>
    <x v="11"/>
    <x v="0"/>
    <s v="6.3.20-beta"/>
    <s v="Average"/>
  </r>
  <r>
    <n v="2310"/>
    <n v="9452372"/>
    <x v="17"/>
    <x v="5"/>
    <s v="No Review"/>
    <x v="16"/>
    <x v="32"/>
    <x v="2309"/>
    <x v="0"/>
    <x v="4"/>
    <n v="1005"/>
    <x v="57"/>
    <x v="2"/>
    <x v="3"/>
    <s v="2.3.72-beta"/>
    <s v="Very Poor"/>
  </r>
  <r>
    <n v="2311"/>
    <n v="3036396"/>
    <x v="6"/>
    <x v="11"/>
    <s v="Officer analysis as. Report rest dark environment provide."/>
    <x v="15"/>
    <x v="4"/>
    <x v="2310"/>
    <x v="0"/>
    <x v="3"/>
    <n v="776"/>
    <x v="22"/>
    <x v="22"/>
    <x v="3"/>
    <s v="15.4.66.2797"/>
    <s v="Average"/>
  </r>
  <r>
    <n v="2312"/>
    <n v="4039600"/>
    <x v="26"/>
    <x v="16"/>
    <s v="Scuola vuoto antico nostro sopra noi programma."/>
    <x v="20"/>
    <x v="23"/>
    <x v="2311"/>
    <x v="0"/>
    <x v="4"/>
    <n v="752"/>
    <x v="34"/>
    <x v="5"/>
    <x v="0"/>
    <s v="15.2.80.5918"/>
    <s v="Very Poor"/>
  </r>
  <r>
    <n v="2313"/>
    <n v="893470"/>
    <x v="23"/>
    <x v="16"/>
    <s v="Crashes too often, needs improvement in stability."/>
    <x v="3"/>
    <x v="21"/>
    <x v="2312"/>
    <x v="0"/>
    <x v="4"/>
    <n v="440"/>
    <x v="3"/>
    <x v="18"/>
    <x v="1"/>
    <s v="8.5.2"/>
    <s v="Excellent"/>
  </r>
  <r>
    <n v="2314"/>
    <n v="1583374"/>
    <x v="21"/>
    <x v="8"/>
    <s v="User-friendly design and smooth performance throughout."/>
    <x v="21"/>
    <x v="17"/>
    <x v="2313"/>
    <x v="0"/>
    <x v="0"/>
    <n v="16"/>
    <x v="27"/>
    <x v="19"/>
    <x v="3"/>
    <s v="9.6.27"/>
    <s v="Average"/>
  </r>
  <r>
    <n v="2315"/>
    <n v="7754730"/>
    <x v="19"/>
    <x v="5"/>
    <s v="Great app but too many ads, consider premium version."/>
    <x v="13"/>
    <x v="6"/>
    <x v="2314"/>
    <x v="0"/>
    <x v="0"/>
    <n v="796"/>
    <x v="21"/>
    <x v="18"/>
    <x v="3"/>
    <s v="v11.3.84"/>
    <s v="Good"/>
  </r>
  <r>
    <n v="2316"/>
    <n v="9236716"/>
    <x v="38"/>
    <x v="8"/>
    <s v="Crashes too often, needs improvement in stability."/>
    <x v="21"/>
    <x v="30"/>
    <x v="2315"/>
    <x v="0"/>
    <x v="0"/>
    <n v="249"/>
    <x v="20"/>
    <x v="13"/>
    <x v="1"/>
    <s v="v15.3.35"/>
    <s v="Average"/>
  </r>
  <r>
    <n v="2317"/>
    <n v="6328915"/>
    <x v="32"/>
    <x v="17"/>
    <s v="Works perfectly on my device, no complaints at all."/>
    <x v="15"/>
    <x v="38"/>
    <x v="2316"/>
    <x v="0"/>
    <x v="2"/>
    <n v="1062"/>
    <x v="25"/>
    <x v="23"/>
    <x v="4"/>
    <s v="10.9.33"/>
    <s v="Good"/>
  </r>
  <r>
    <n v="2318"/>
    <n v="9172565"/>
    <x v="38"/>
    <x v="12"/>
    <s v="Eum odit illum neque."/>
    <x v="2"/>
    <x v="35"/>
    <x v="2317"/>
    <x v="0"/>
    <x v="2"/>
    <n v="25"/>
    <x v="49"/>
    <x v="1"/>
    <x v="4"/>
    <s v="v12.2.62"/>
    <s v="Poor"/>
  </r>
  <r>
    <n v="2319"/>
    <n v="5929027"/>
    <x v="15"/>
    <x v="2"/>
    <s v="Some bugs need fixing but generally satisfied with it."/>
    <x v="6"/>
    <x v="4"/>
    <x v="2318"/>
    <x v="0"/>
    <x v="3"/>
    <n v="3"/>
    <x v="9"/>
    <x v="5"/>
    <x v="4"/>
    <s v="10.4"/>
    <s v="Average"/>
  </r>
  <r>
    <n v="2320"/>
    <n v="2576873"/>
    <x v="38"/>
    <x v="9"/>
    <s v="Put imagine which beat education case under."/>
    <x v="16"/>
    <x v="34"/>
    <x v="2319"/>
    <x v="0"/>
    <x v="3"/>
    <n v="683"/>
    <x v="5"/>
    <x v="5"/>
    <x v="4"/>
    <s v="2.4"/>
    <s v="Average"/>
  </r>
  <r>
    <n v="2321"/>
    <n v="7662644"/>
    <x v="2"/>
    <x v="17"/>
    <s v="Viel dort auf lesen versuchen oder neu. Oma sieben verkaufen müde Zimmer Stein trinken. Bild immer da leise auf Brot."/>
    <x v="7"/>
    <x v="39"/>
    <x v="2320"/>
    <x v="0"/>
    <x v="4"/>
    <n v="1202"/>
    <x v="39"/>
    <x v="16"/>
    <x v="4"/>
    <s v="3.6.91-beta"/>
    <s v="Good"/>
  </r>
  <r>
    <n v="2322"/>
    <n v="9334994"/>
    <x v="8"/>
    <x v="10"/>
    <s v="文化对于责任怎么."/>
    <x v="22"/>
    <x v="4"/>
    <x v="2321"/>
    <x v="1"/>
    <x v="3"/>
    <n v="67"/>
    <x v="39"/>
    <x v="13"/>
    <x v="2"/>
    <s v="10.7.42.6158"/>
    <s v="Average"/>
  </r>
  <r>
    <n v="2323"/>
    <n v="6363305"/>
    <x v="27"/>
    <x v="0"/>
    <s v="Perfect for daily use, highly recommend to everyone."/>
    <x v="2"/>
    <x v="29"/>
    <x v="2322"/>
    <x v="0"/>
    <x v="2"/>
    <n v="218"/>
    <x v="32"/>
    <x v="0"/>
    <x v="2"/>
    <s v="v3.6.45"/>
    <s v="Very Poor"/>
  </r>
  <r>
    <n v="2324"/>
    <n v="8876514"/>
    <x v="33"/>
    <x v="10"/>
    <s v="The interface could be better but overall good experience."/>
    <x v="0"/>
    <x v="28"/>
    <x v="2323"/>
    <x v="0"/>
    <x v="2"/>
    <n v="49"/>
    <x v="60"/>
    <x v="20"/>
    <x v="1"/>
    <s v="14.5.67.8921"/>
    <s v="Poor"/>
  </r>
  <r>
    <n v="2325"/>
    <n v="3775408"/>
    <x v="31"/>
    <x v="3"/>
    <s v="The interface could be better but overall good experience."/>
    <x v="2"/>
    <x v="23"/>
    <x v="2324"/>
    <x v="0"/>
    <x v="4"/>
    <n v="941"/>
    <x v="41"/>
    <x v="16"/>
    <x v="0"/>
    <s v="9.9.13.159"/>
    <s v="Very Poor"/>
  </r>
  <r>
    <n v="2326"/>
    <n v="6945078"/>
    <x v="10"/>
    <x v="6"/>
    <s v="Excellent customer support and regular feature updates."/>
    <x v="3"/>
    <x v="14"/>
    <x v="2325"/>
    <x v="1"/>
    <x v="4"/>
    <n v="1222"/>
    <x v="52"/>
    <x v="19"/>
    <x v="1"/>
    <s v="2.3.84"/>
    <s v="Excellent"/>
  </r>
  <r>
    <n v="2327"/>
    <n v="1885542"/>
    <x v="12"/>
    <x v="2"/>
    <s v="Latest update broke some features, please fix soon."/>
    <x v="10"/>
    <x v="7"/>
    <x v="2326"/>
    <x v="1"/>
    <x v="3"/>
    <n v="1129"/>
    <x v="33"/>
    <x v="15"/>
    <x v="0"/>
    <s v="1.7.63-beta"/>
    <s v="Very Poor"/>
  </r>
  <r>
    <n v="2328"/>
    <n v="7711052"/>
    <x v="26"/>
    <x v="0"/>
    <s v="Strong time could a. Son manager trouble reason fill sense field."/>
    <x v="21"/>
    <x v="15"/>
    <x v="2327"/>
    <x v="0"/>
    <x v="4"/>
    <n v="993"/>
    <x v="18"/>
    <x v="3"/>
    <x v="3"/>
    <s v="v7.2.53"/>
    <s v="Poor"/>
  </r>
  <r>
    <n v="2329"/>
    <n v="1720464"/>
    <x v="33"/>
    <x v="6"/>
    <s v="Ad adipisci commodi delectus quod."/>
    <x v="19"/>
    <x v="16"/>
    <x v="2328"/>
    <x v="0"/>
    <x v="0"/>
    <n v="633"/>
    <x v="1"/>
    <x v="6"/>
    <x v="0"/>
    <s v="10.6.56"/>
    <s v="Excellent"/>
  </r>
  <r>
    <n v="2330"/>
    <n v="4351915"/>
    <x v="14"/>
    <x v="1"/>
    <s v="Perfect for daily use, highly recommend to everyone."/>
    <x v="7"/>
    <x v="17"/>
    <x v="2329"/>
    <x v="0"/>
    <x v="3"/>
    <n v="655"/>
    <x v="6"/>
    <x v="13"/>
    <x v="1"/>
    <s v="v13.6.28"/>
    <s v="Average"/>
  </r>
  <r>
    <n v="2331"/>
    <n v="7178601"/>
    <x v="21"/>
    <x v="10"/>
    <s v="The interface could be better but overall good experience."/>
    <x v="1"/>
    <x v="36"/>
    <x v="2330"/>
    <x v="1"/>
    <x v="4"/>
    <n v="36"/>
    <x v="35"/>
    <x v="4"/>
    <x v="3"/>
    <s v="6.0.11-beta"/>
    <s v="Poor"/>
  </r>
  <r>
    <n v="2332"/>
    <n v="6861231"/>
    <x v="20"/>
    <x v="2"/>
    <s v="The interface could be better but overall good experience."/>
    <x v="3"/>
    <x v="12"/>
    <x v="2331"/>
    <x v="1"/>
    <x v="4"/>
    <n v="287"/>
    <x v="20"/>
    <x v="9"/>
    <x v="1"/>
    <s v="14.4.82"/>
    <s v="Excellent"/>
  </r>
  <r>
    <n v="2333"/>
    <n v="5136779"/>
    <x v="38"/>
    <x v="2"/>
    <s v="Hold decade investment operation long pass. Quickly with matter."/>
    <x v="17"/>
    <x v="29"/>
    <x v="2332"/>
    <x v="0"/>
    <x v="3"/>
    <n v="330"/>
    <x v="16"/>
    <x v="10"/>
    <x v="2"/>
    <s v="12.0.76-beta"/>
    <s v="Very Poor"/>
  </r>
  <r>
    <n v="2334"/>
    <n v="4391312"/>
    <x v="34"/>
    <x v="5"/>
    <s v="Similique fugit molestiae atque porro nulla expedita. Voluptatum fugit vitae quis assumenda dolorum at."/>
    <x v="10"/>
    <x v="34"/>
    <x v="2333"/>
    <x v="1"/>
    <x v="3"/>
    <n v="1022"/>
    <x v="59"/>
    <x v="9"/>
    <x v="1"/>
    <s v="11.8"/>
    <s v="Average"/>
  </r>
  <r>
    <n v="2335"/>
    <n v="1677152"/>
    <x v="23"/>
    <x v="6"/>
    <s v="Works perfectly on my device, no complaints at all."/>
    <x v="19"/>
    <x v="27"/>
    <x v="2334"/>
    <x v="0"/>
    <x v="1"/>
    <n v="292"/>
    <x v="25"/>
    <x v="8"/>
    <x v="2"/>
    <s v="14.3"/>
    <s v="Very Poor"/>
  </r>
  <r>
    <n v="2336"/>
    <n v="5760342"/>
    <x v="40"/>
    <x v="12"/>
    <s v="Page light follow need region."/>
    <x v="14"/>
    <x v="26"/>
    <x v="2335"/>
    <x v="0"/>
    <x v="4"/>
    <n v="873"/>
    <x v="25"/>
    <x v="4"/>
    <x v="3"/>
    <s v="6.9.47"/>
    <s v="Average"/>
  </r>
  <r>
    <n v="2337"/>
    <n v="6988843"/>
    <x v="22"/>
    <x v="5"/>
    <s v="Excellent customer support and regular feature updates."/>
    <x v="23"/>
    <x v="30"/>
    <x v="2336"/>
    <x v="0"/>
    <x v="2"/>
    <n v="534"/>
    <x v="24"/>
    <x v="3"/>
    <x v="4"/>
    <s v="10.4.26"/>
    <s v="Average"/>
  </r>
  <r>
    <n v="2338"/>
    <n v="2253928"/>
    <x v="18"/>
    <x v="16"/>
    <s v="Works perfectly on my device, no complaints at all."/>
    <x v="23"/>
    <x v="32"/>
    <x v="2337"/>
    <x v="1"/>
    <x v="1"/>
    <n v="347"/>
    <x v="26"/>
    <x v="11"/>
    <x v="0"/>
    <s v="1.7.37-beta"/>
    <s v="Very Poor"/>
  </r>
  <r>
    <n v="2339"/>
    <n v="573717"/>
    <x v="19"/>
    <x v="8"/>
    <s v="Latest update broke some features, please fix soon."/>
    <x v="15"/>
    <x v="23"/>
    <x v="2338"/>
    <x v="0"/>
    <x v="0"/>
    <n v="506"/>
    <x v="5"/>
    <x v="10"/>
    <x v="4"/>
    <s v="1.9.44"/>
    <s v="Very Poor"/>
  </r>
  <r>
    <n v="2340"/>
    <n v="7556297"/>
    <x v="18"/>
    <x v="17"/>
    <s v="The interface could be better but overall good experience."/>
    <x v="23"/>
    <x v="6"/>
    <x v="2339"/>
    <x v="0"/>
    <x v="3"/>
    <n v="335"/>
    <x v="44"/>
    <x v="4"/>
    <x v="2"/>
    <s v="4.9.95.6654"/>
    <s v="Good"/>
  </r>
  <r>
    <n v="2341"/>
    <n v="3140589"/>
    <x v="21"/>
    <x v="12"/>
    <s v="User-friendly design and smooth performance throughout."/>
    <x v="0"/>
    <x v="31"/>
    <x v="2340"/>
    <x v="0"/>
    <x v="0"/>
    <n v="347"/>
    <x v="26"/>
    <x v="3"/>
    <x v="4"/>
    <s v="7.4.92-beta"/>
    <s v="Good"/>
  </r>
  <r>
    <n v="2342"/>
    <n v="9579965"/>
    <x v="25"/>
    <x v="1"/>
    <s v="This app is amazing! Really love the new features."/>
    <x v="21"/>
    <x v="30"/>
    <x v="2341"/>
    <x v="0"/>
    <x v="2"/>
    <n v="1053"/>
    <x v="4"/>
    <x v="12"/>
    <x v="1"/>
    <s v="13.9"/>
    <s v="Average"/>
  </r>
  <r>
    <n v="2343"/>
    <n v="917300"/>
    <x v="6"/>
    <x v="5"/>
    <s v="Some bugs need fixing but generally satisfied with it."/>
    <x v="16"/>
    <x v="28"/>
    <x v="2342"/>
    <x v="0"/>
    <x v="3"/>
    <n v="241"/>
    <x v="50"/>
    <x v="12"/>
    <x v="4"/>
    <s v="6.5"/>
    <s v="Poor"/>
  </r>
  <r>
    <n v="2344"/>
    <n v="2074150"/>
    <x v="28"/>
    <x v="11"/>
    <s v="This app is amazing! Really love the new features."/>
    <x v="4"/>
    <x v="13"/>
    <x v="2343"/>
    <x v="0"/>
    <x v="2"/>
    <n v="108"/>
    <x v="35"/>
    <x v="5"/>
    <x v="4"/>
    <s v="14.5.24-beta"/>
    <s v="Average"/>
  </r>
  <r>
    <n v="2345"/>
    <n v="8339274"/>
    <x v="8"/>
    <x v="5"/>
    <s v="User-friendly design and smooth performance throughout."/>
    <x v="22"/>
    <x v="30"/>
    <x v="2344"/>
    <x v="0"/>
    <x v="4"/>
    <n v="1232"/>
    <x v="34"/>
    <x v="17"/>
    <x v="3"/>
    <s v="12.1.74"/>
    <s v="Average"/>
  </r>
  <r>
    <n v="2346"/>
    <n v="5022258"/>
    <x v="32"/>
    <x v="0"/>
    <s v="仕上げブラケット編組保持する。"/>
    <x v="0"/>
    <x v="2"/>
    <x v="2345"/>
    <x v="0"/>
    <x v="2"/>
    <n v="238"/>
    <x v="40"/>
    <x v="8"/>
    <x v="3"/>
    <s v="15.4.31-beta"/>
    <s v="Average"/>
  </r>
  <r>
    <n v="2347"/>
    <n v="3440730"/>
    <x v="13"/>
    <x v="7"/>
    <s v="User-friendly design and smooth performance throughout."/>
    <x v="13"/>
    <x v="32"/>
    <x v="2346"/>
    <x v="0"/>
    <x v="1"/>
    <n v="467"/>
    <x v="31"/>
    <x v="3"/>
    <x v="0"/>
    <s v="10.6"/>
    <s v="Very Poor"/>
  </r>
  <r>
    <n v="2348"/>
    <n v="4278242"/>
    <x v="1"/>
    <x v="2"/>
    <s v="Perfect for daily use, highly recommend to everyone."/>
    <x v="19"/>
    <x v="8"/>
    <x v="2347"/>
    <x v="0"/>
    <x v="0"/>
    <n v="813"/>
    <x v="27"/>
    <x v="6"/>
    <x v="0"/>
    <s v="v13.5.87"/>
    <s v="Very Poor"/>
  </r>
  <r>
    <n v="2349"/>
    <n v="3063386"/>
    <x v="23"/>
    <x v="16"/>
    <s v="This app is amazing! Really love the new features."/>
    <x v="12"/>
    <x v="13"/>
    <x v="2348"/>
    <x v="0"/>
    <x v="2"/>
    <n v="486"/>
    <x v="4"/>
    <x v="7"/>
    <x v="0"/>
    <s v="1.5.92.1422"/>
    <s v="Average"/>
  </r>
  <r>
    <n v="2350"/>
    <n v="836094"/>
    <x v="24"/>
    <x v="3"/>
    <s v="User-friendly design and smooth performance throughout."/>
    <x v="8"/>
    <x v="29"/>
    <x v="2349"/>
    <x v="0"/>
    <x v="0"/>
    <n v="1150"/>
    <x v="36"/>
    <x v="15"/>
    <x v="1"/>
    <s v="9.4.24"/>
    <s v="Very Poor"/>
  </r>
  <r>
    <n v="2351"/>
    <n v="3848410"/>
    <x v="26"/>
    <x v="9"/>
    <s v="Sint nesciunt laudantium quae repellat veniam."/>
    <x v="4"/>
    <x v="25"/>
    <x v="2350"/>
    <x v="0"/>
    <x v="4"/>
    <n v="574"/>
    <x v="58"/>
    <x v="11"/>
    <x v="3"/>
    <s v="4.4.59-beta"/>
    <s v="Poor"/>
  </r>
  <r>
    <n v="2352"/>
    <n v="2858732"/>
    <x v="40"/>
    <x v="0"/>
    <s v="Works perfectly on my device, no complaints at all."/>
    <x v="20"/>
    <x v="20"/>
    <x v="2351"/>
    <x v="0"/>
    <x v="4"/>
    <n v="28"/>
    <x v="50"/>
    <x v="6"/>
    <x v="4"/>
    <s v="v13.6.65"/>
    <s v="Very Poor"/>
  </r>
  <r>
    <n v="2353"/>
    <n v="9541726"/>
    <x v="39"/>
    <x v="10"/>
    <s v="Some bugs need fixing but generally satisfied with it."/>
    <x v="2"/>
    <x v="9"/>
    <x v="2352"/>
    <x v="0"/>
    <x v="1"/>
    <n v="140"/>
    <x v="8"/>
    <x v="16"/>
    <x v="4"/>
    <s v="9.1.51-beta"/>
    <s v="Excellent"/>
  </r>
  <r>
    <n v="2354"/>
    <n v="8423942"/>
    <x v="19"/>
    <x v="8"/>
    <s v="Works perfectly on my device, no complaints at all."/>
    <x v="2"/>
    <x v="12"/>
    <x v="2353"/>
    <x v="1"/>
    <x v="3"/>
    <n v="936"/>
    <x v="20"/>
    <x v="15"/>
    <x v="0"/>
    <s v="9.2.55-beta"/>
    <s v="Excellent"/>
  </r>
  <r>
    <n v="2355"/>
    <n v="7313757"/>
    <x v="33"/>
    <x v="5"/>
    <s v="Perfect for daily use, highly recommend to everyone."/>
    <x v="23"/>
    <x v="39"/>
    <x v="2354"/>
    <x v="1"/>
    <x v="3"/>
    <n v="470"/>
    <x v="21"/>
    <x v="4"/>
    <x v="1"/>
    <s v="v10.3.66"/>
    <s v="Good"/>
  </r>
  <r>
    <n v="2356"/>
    <n v="8910978"/>
    <x v="9"/>
    <x v="17"/>
    <s v="Pericoloso bravo lontano dunque no industriale. Baciare stabilire porre loro."/>
    <x v="3"/>
    <x v="29"/>
    <x v="2355"/>
    <x v="0"/>
    <x v="2"/>
    <n v="998"/>
    <x v="44"/>
    <x v="8"/>
    <x v="4"/>
    <s v="9.6"/>
    <s v="Very Poor"/>
  </r>
  <r>
    <n v="2357"/>
    <n v="2407324"/>
    <x v="39"/>
    <x v="14"/>
    <s v="User-friendly design and smooth performance throughout."/>
    <x v="9"/>
    <x v="36"/>
    <x v="2356"/>
    <x v="0"/>
    <x v="2"/>
    <n v="500"/>
    <x v="8"/>
    <x v="18"/>
    <x v="1"/>
    <s v="9.3.4"/>
    <s v="Poor"/>
  </r>
  <r>
    <n v="2358"/>
    <n v="2817830"/>
    <x v="11"/>
    <x v="12"/>
    <s v="Necessitatibus optio ipsum voluptatum. Nam labore voluptas omnis neque blanditiis."/>
    <x v="6"/>
    <x v="34"/>
    <x v="2357"/>
    <x v="0"/>
    <x v="4"/>
    <n v="693"/>
    <x v="61"/>
    <x v="19"/>
    <x v="0"/>
    <s v="10.0.60-beta"/>
    <s v="Average"/>
  </r>
  <r>
    <n v="2359"/>
    <n v="3496501"/>
    <x v="12"/>
    <x v="9"/>
    <s v="Error quia hic fuga."/>
    <x v="2"/>
    <x v="39"/>
    <x v="2358"/>
    <x v="0"/>
    <x v="2"/>
    <n v="376"/>
    <x v="59"/>
    <x v="10"/>
    <x v="4"/>
    <s v="v10.3.77"/>
    <s v="Good"/>
  </r>
  <r>
    <n v="2360"/>
    <n v="1991674"/>
    <x v="1"/>
    <x v="14"/>
    <s v="Latest update broke some features, please fix soon."/>
    <x v="6"/>
    <x v="10"/>
    <x v="2359"/>
    <x v="1"/>
    <x v="4"/>
    <n v="697"/>
    <x v="4"/>
    <x v="16"/>
    <x v="0"/>
    <s v="12.2.31"/>
    <s v="Poor"/>
  </r>
  <r>
    <n v="2361"/>
    <n v="4560852"/>
    <x v="4"/>
    <x v="15"/>
    <s v="Minus esse repellat eum doloribus laboriosam distinctio optio."/>
    <x v="0"/>
    <x v="14"/>
    <x v="2360"/>
    <x v="0"/>
    <x v="4"/>
    <n v="522"/>
    <x v="55"/>
    <x v="10"/>
    <x v="1"/>
    <s v="v7.7.4"/>
    <s v="Excellent"/>
  </r>
  <r>
    <n v="2362"/>
    <n v="3692379"/>
    <x v="1"/>
    <x v="5"/>
    <s v="Crashes too often, needs improvement in stability."/>
    <x v="13"/>
    <x v="31"/>
    <x v="2361"/>
    <x v="0"/>
    <x v="3"/>
    <n v="1139"/>
    <x v="4"/>
    <x v="8"/>
    <x v="1"/>
    <s v="5.8.57.5040"/>
    <s v="Good"/>
  </r>
  <r>
    <n v="2363"/>
    <n v="6607169"/>
    <x v="1"/>
    <x v="6"/>
    <s v="Odio molestiae rem corporis consectetur magni similique. Labore voluptatibus asperiores cum."/>
    <x v="3"/>
    <x v="0"/>
    <x v="2362"/>
    <x v="1"/>
    <x v="2"/>
    <n v="834"/>
    <x v="14"/>
    <x v="4"/>
    <x v="4"/>
    <s v="12.6.97.3085"/>
    <s v="Very Poor"/>
  </r>
  <r>
    <n v="2364"/>
    <n v="7037523"/>
    <x v="7"/>
    <x v="15"/>
    <s v="User-friendly design and smooth performance throughout."/>
    <x v="4"/>
    <x v="31"/>
    <x v="2363"/>
    <x v="1"/>
    <x v="1"/>
    <n v="852"/>
    <x v="40"/>
    <x v="0"/>
    <x v="4"/>
    <s v="11.3"/>
    <s v="Good"/>
  </r>
  <r>
    <n v="2365"/>
    <n v="6168696"/>
    <x v="6"/>
    <x v="13"/>
    <s v="Материя жить применяться опасность карман."/>
    <x v="16"/>
    <x v="0"/>
    <x v="2364"/>
    <x v="0"/>
    <x v="3"/>
    <n v="392"/>
    <x v="17"/>
    <x v="18"/>
    <x v="3"/>
    <s v="v10.2.88"/>
    <s v="Very Poor"/>
  </r>
  <r>
    <n v="2366"/>
    <n v="3331387"/>
    <x v="21"/>
    <x v="11"/>
    <s v="Great app but too many ads, consider premium version."/>
    <x v="20"/>
    <x v="34"/>
    <x v="2365"/>
    <x v="1"/>
    <x v="4"/>
    <n v="318"/>
    <x v="56"/>
    <x v="17"/>
    <x v="4"/>
    <s v="v5.2.34"/>
    <s v="Average"/>
  </r>
  <r>
    <n v="2367"/>
    <n v="6369347"/>
    <x v="31"/>
    <x v="0"/>
    <s v="Crashes too often, needs improvement in stability."/>
    <x v="21"/>
    <x v="22"/>
    <x v="2366"/>
    <x v="0"/>
    <x v="2"/>
    <n v="1040"/>
    <x v="58"/>
    <x v="7"/>
    <x v="1"/>
    <s v="12.0.29-beta"/>
    <s v="Poor"/>
  </r>
  <r>
    <n v="2368"/>
    <n v="3870193"/>
    <x v="7"/>
    <x v="6"/>
    <s v="Works perfectly on my device, no complaints at all."/>
    <x v="22"/>
    <x v="26"/>
    <x v="2367"/>
    <x v="0"/>
    <x v="3"/>
    <n v="947"/>
    <x v="30"/>
    <x v="19"/>
    <x v="2"/>
    <s v="9.6.40"/>
    <s v="Average"/>
  </r>
  <r>
    <n v="2369"/>
    <n v="8142423"/>
    <x v="12"/>
    <x v="5"/>
    <s v="Veniam magni illo sit odio dolores maxime libero. Inventore adipisci architecto assumenda."/>
    <x v="12"/>
    <x v="25"/>
    <x v="2368"/>
    <x v="1"/>
    <x v="4"/>
    <n v="135"/>
    <x v="42"/>
    <x v="1"/>
    <x v="3"/>
    <s v="10.4.4-beta"/>
    <s v="Poor"/>
  </r>
  <r>
    <n v="2370"/>
    <n v="2542155"/>
    <x v="36"/>
    <x v="8"/>
    <s v="Fuga hic iure."/>
    <x v="17"/>
    <x v="5"/>
    <x v="2369"/>
    <x v="0"/>
    <x v="0"/>
    <n v="430"/>
    <x v="27"/>
    <x v="14"/>
    <x v="4"/>
    <s v="2.0.87"/>
    <s v="Excellent"/>
  </r>
  <r>
    <n v="2371"/>
    <n v="5191832"/>
    <x v="21"/>
    <x v="0"/>
    <s v="ブラケットはカラム建築省略サラダ符号。 デッド持つブラケットヒール埋め込む建築野球省略。"/>
    <x v="20"/>
    <x v="23"/>
    <x v="2370"/>
    <x v="0"/>
    <x v="2"/>
    <n v="600"/>
    <x v="55"/>
    <x v="8"/>
    <x v="3"/>
    <s v="7.1"/>
    <s v="Very Poor"/>
  </r>
  <r>
    <n v="2372"/>
    <n v="8773780"/>
    <x v="30"/>
    <x v="2"/>
    <s v="Great app but too many ads, consider premium version."/>
    <x v="1"/>
    <x v="36"/>
    <x v="2371"/>
    <x v="1"/>
    <x v="4"/>
    <n v="787"/>
    <x v="14"/>
    <x v="20"/>
    <x v="3"/>
    <s v="14.9.57-beta"/>
    <s v="Poor"/>
  </r>
  <r>
    <n v="2373"/>
    <n v="1155863"/>
    <x v="10"/>
    <x v="7"/>
    <s v="Works perfectly on my device, no complaints at all."/>
    <x v="4"/>
    <x v="7"/>
    <x v="2372"/>
    <x v="1"/>
    <x v="4"/>
    <n v="1052"/>
    <x v="46"/>
    <x v="11"/>
    <x v="4"/>
    <s v="14.4.77-beta"/>
    <s v="Very Poor"/>
  </r>
  <r>
    <n v="2374"/>
    <n v="4599844"/>
    <x v="30"/>
    <x v="12"/>
    <s v="Works perfectly on my device, no complaints at all."/>
    <x v="22"/>
    <x v="9"/>
    <x v="2373"/>
    <x v="0"/>
    <x v="2"/>
    <n v="921"/>
    <x v="48"/>
    <x v="3"/>
    <x v="0"/>
    <s v="9.7.33"/>
    <s v="Excellent"/>
  </r>
  <r>
    <n v="2375"/>
    <n v="4947725"/>
    <x v="20"/>
    <x v="12"/>
    <s v="电脑日期一起一起起来点击会员其实. 影响美国销售合作世界或者责任. 世界表示数据感觉通过."/>
    <x v="17"/>
    <x v="28"/>
    <x v="2374"/>
    <x v="0"/>
    <x v="0"/>
    <n v="1242"/>
    <x v="48"/>
    <x v="21"/>
    <x v="1"/>
    <s v="4.1.87"/>
    <s v="Poor"/>
  </r>
  <r>
    <n v="2376"/>
    <n v="8826042"/>
    <x v="7"/>
    <x v="10"/>
    <s v="Blanditiis quam eos doloribus. Ratione rerum delectus officia libero doloribus laborum earum."/>
    <x v="6"/>
    <x v="16"/>
    <x v="2375"/>
    <x v="0"/>
    <x v="0"/>
    <n v="150"/>
    <x v="15"/>
    <x v="16"/>
    <x v="3"/>
    <s v="3.3"/>
    <s v="Excellent"/>
  </r>
  <r>
    <n v="2377"/>
    <n v="9116220"/>
    <x v="9"/>
    <x v="2"/>
    <s v="Chiesa pagina direttore vendere secolo vita."/>
    <x v="1"/>
    <x v="14"/>
    <x v="2376"/>
    <x v="0"/>
    <x v="0"/>
    <n v="981"/>
    <x v="20"/>
    <x v="10"/>
    <x v="1"/>
    <s v="8.9"/>
    <s v="Excellent"/>
  </r>
  <r>
    <n v="2378"/>
    <n v="3269687"/>
    <x v="33"/>
    <x v="6"/>
    <s v="Crashes too often, needs improvement in stability."/>
    <x v="0"/>
    <x v="3"/>
    <x v="2377"/>
    <x v="0"/>
    <x v="1"/>
    <n v="610"/>
    <x v="20"/>
    <x v="5"/>
    <x v="4"/>
    <s v="v14.9.39"/>
    <s v="Average"/>
  </r>
  <r>
    <n v="2379"/>
    <n v="8405654"/>
    <x v="12"/>
    <x v="2"/>
    <s v="Some bugs need fixing but generally satisfied with it."/>
    <x v="5"/>
    <x v="5"/>
    <x v="2378"/>
    <x v="0"/>
    <x v="0"/>
    <n v="1233"/>
    <x v="6"/>
    <x v="19"/>
    <x v="4"/>
    <s v="7.7.34.8945"/>
    <s v="Excellent"/>
  </r>
  <r>
    <n v="2380"/>
    <n v="9890908"/>
    <x v="25"/>
    <x v="0"/>
    <s v="Maiores in eaque voluptatem occaecati. Nisi labore harum blanditiis debitis facere reiciendis."/>
    <x v="5"/>
    <x v="7"/>
    <x v="2379"/>
    <x v="0"/>
    <x v="1"/>
    <n v="596"/>
    <x v="11"/>
    <x v="10"/>
    <x v="3"/>
    <s v="9.3.41"/>
    <s v="Very Poor"/>
  </r>
  <r>
    <n v="2381"/>
    <n v="1279102"/>
    <x v="36"/>
    <x v="10"/>
    <s v="User-friendly design and smooth performance throughout."/>
    <x v="3"/>
    <x v="32"/>
    <x v="2380"/>
    <x v="0"/>
    <x v="0"/>
    <n v="567"/>
    <x v="29"/>
    <x v="3"/>
    <x v="2"/>
    <s v="9.6.8.998"/>
    <s v="Very Poor"/>
  </r>
  <r>
    <n v="2382"/>
    <n v="9302146"/>
    <x v="21"/>
    <x v="6"/>
    <s v="Environmental six understand rather daughter through note."/>
    <x v="17"/>
    <x v="10"/>
    <x v="2381"/>
    <x v="0"/>
    <x v="3"/>
    <n v="1247"/>
    <x v="61"/>
    <x v="12"/>
    <x v="1"/>
    <s v="Unknown"/>
    <s v="Poor"/>
  </r>
  <r>
    <n v="2383"/>
    <n v="5764086"/>
    <x v="9"/>
    <x v="13"/>
    <s v="Excellent customer support and regular feature updates."/>
    <x v="3"/>
    <x v="32"/>
    <x v="2382"/>
    <x v="1"/>
    <x v="1"/>
    <n v="806"/>
    <x v="43"/>
    <x v="10"/>
    <x v="4"/>
    <s v="1.1.24.9433"/>
    <s v="Very Poor"/>
  </r>
  <r>
    <n v="2384"/>
    <n v="4750204"/>
    <x v="31"/>
    <x v="1"/>
    <s v="Crashes too often, needs improvement in stability."/>
    <x v="16"/>
    <x v="36"/>
    <x v="2383"/>
    <x v="0"/>
    <x v="0"/>
    <n v="1080"/>
    <x v="60"/>
    <x v="0"/>
    <x v="2"/>
    <s v="2.7.99"/>
    <s v="Poor"/>
  </r>
  <r>
    <n v="2385"/>
    <n v="4137944"/>
    <x v="2"/>
    <x v="1"/>
    <s v="Excellent customer support and regular feature updates."/>
    <x v="6"/>
    <x v="10"/>
    <x v="2384"/>
    <x v="0"/>
    <x v="4"/>
    <n v="1249"/>
    <x v="11"/>
    <x v="1"/>
    <x v="2"/>
    <s v="1.3"/>
    <s v="Poor"/>
  </r>
  <r>
    <n v="2386"/>
    <n v="9673366"/>
    <x v="30"/>
    <x v="2"/>
    <s v="Latest update broke some features, please fix soon."/>
    <x v="22"/>
    <x v="29"/>
    <x v="2385"/>
    <x v="0"/>
    <x v="0"/>
    <n v="778"/>
    <x v="12"/>
    <x v="3"/>
    <x v="4"/>
    <s v="5.4.31.4206"/>
    <s v="Very Poor"/>
  </r>
  <r>
    <n v="2387"/>
    <n v="9371354"/>
    <x v="17"/>
    <x v="14"/>
    <s v="This app is amazing! Really love the new features."/>
    <x v="10"/>
    <x v="35"/>
    <x v="2386"/>
    <x v="0"/>
    <x v="0"/>
    <n v="658"/>
    <x v="0"/>
    <x v="18"/>
    <x v="3"/>
    <s v="3.8.1.387"/>
    <s v="Poor"/>
  </r>
  <r>
    <n v="2388"/>
    <n v="2645152"/>
    <x v="28"/>
    <x v="7"/>
    <s v="Latest update broke some features, please fix soon."/>
    <x v="23"/>
    <x v="21"/>
    <x v="2387"/>
    <x v="0"/>
    <x v="4"/>
    <n v="641"/>
    <x v="19"/>
    <x v="10"/>
    <x v="3"/>
    <s v="v15.3.24"/>
    <s v="Excellent"/>
  </r>
  <r>
    <n v="2389"/>
    <n v="9899907"/>
    <x v="23"/>
    <x v="7"/>
    <s v="Sommer dumm Zahl heute mehr also."/>
    <x v="17"/>
    <x v="10"/>
    <x v="2388"/>
    <x v="0"/>
    <x v="3"/>
    <n v="636"/>
    <x v="29"/>
    <x v="23"/>
    <x v="1"/>
    <s v="8.7"/>
    <s v="Poor"/>
  </r>
  <r>
    <n v="2390"/>
    <n v="9683821"/>
    <x v="23"/>
    <x v="16"/>
    <s v="注意不过单位网络谢谢地址还有联系."/>
    <x v="23"/>
    <x v="20"/>
    <x v="2389"/>
    <x v="0"/>
    <x v="3"/>
    <n v="628"/>
    <x v="39"/>
    <x v="6"/>
    <x v="2"/>
    <s v="14.2.73"/>
    <s v="Very Poor"/>
  </r>
  <r>
    <n v="2391"/>
    <n v="4788740"/>
    <x v="17"/>
    <x v="16"/>
    <s v="This app is amazing! Really love the new features."/>
    <x v="7"/>
    <x v="6"/>
    <x v="2390"/>
    <x v="0"/>
    <x v="3"/>
    <n v="574"/>
    <x v="38"/>
    <x v="15"/>
    <x v="2"/>
    <s v="6.5.36"/>
    <s v="Good"/>
  </r>
  <r>
    <n v="2392"/>
    <n v="4105908"/>
    <x v="35"/>
    <x v="7"/>
    <s v="Great app but too many ads, consider premium version."/>
    <x v="13"/>
    <x v="25"/>
    <x v="2391"/>
    <x v="0"/>
    <x v="1"/>
    <n v="368"/>
    <x v="26"/>
    <x v="6"/>
    <x v="2"/>
    <s v="v12.8.77"/>
    <s v="Poor"/>
  </r>
  <r>
    <n v="2393"/>
    <n v="7401331"/>
    <x v="38"/>
    <x v="10"/>
    <s v="User-friendly design and smooth performance throughout."/>
    <x v="17"/>
    <x v="38"/>
    <x v="2392"/>
    <x v="0"/>
    <x v="2"/>
    <n v="526"/>
    <x v="40"/>
    <x v="3"/>
    <x v="2"/>
    <s v="12.8.10.4065"/>
    <s v="Good"/>
  </r>
  <r>
    <n v="2394"/>
    <n v="6587804"/>
    <x v="10"/>
    <x v="5"/>
    <s v="Distinctio aut aspernatur quae ipsam qui fugit. Quibusdam ad quisquam dignissimos perferendis ipsa soluta exercitationem. Libero nulla saepe."/>
    <x v="10"/>
    <x v="0"/>
    <x v="2393"/>
    <x v="0"/>
    <x v="4"/>
    <n v="822"/>
    <x v="48"/>
    <x v="19"/>
    <x v="2"/>
    <s v="v11.4.6"/>
    <s v="Very Poor"/>
  </r>
  <r>
    <n v="2395"/>
    <n v="6357248"/>
    <x v="24"/>
    <x v="9"/>
    <s v="Some bugs need fixing but generally satisfied with it."/>
    <x v="1"/>
    <x v="33"/>
    <x v="2394"/>
    <x v="1"/>
    <x v="2"/>
    <n v="1220"/>
    <x v="59"/>
    <x v="24"/>
    <x v="3"/>
    <s v="3.5"/>
    <s v="Poor"/>
  </r>
  <r>
    <n v="2396"/>
    <n v="1397834"/>
    <x v="26"/>
    <x v="11"/>
    <s v="This app is amazing! Really love the new features."/>
    <x v="18"/>
    <x v="4"/>
    <x v="2395"/>
    <x v="1"/>
    <x v="2"/>
    <n v="30"/>
    <x v="42"/>
    <x v="11"/>
    <x v="0"/>
    <s v="10.2.99"/>
    <s v="Average"/>
  </r>
  <r>
    <n v="2397"/>
    <n v="6436155"/>
    <x v="0"/>
    <x v="17"/>
    <s v="Great app but too many ads, consider premium version."/>
    <x v="15"/>
    <x v="33"/>
    <x v="2396"/>
    <x v="0"/>
    <x v="1"/>
    <n v="709"/>
    <x v="23"/>
    <x v="7"/>
    <x v="2"/>
    <s v="3.9"/>
    <s v="Poor"/>
  </r>
  <r>
    <n v="2398"/>
    <n v="3575080"/>
    <x v="16"/>
    <x v="9"/>
    <s v="Latest update broke some features, please fix soon."/>
    <x v="13"/>
    <x v="0"/>
    <x v="2397"/>
    <x v="0"/>
    <x v="3"/>
    <n v="719"/>
    <x v="1"/>
    <x v="5"/>
    <x v="4"/>
    <s v="9.3"/>
    <s v="Very Poor"/>
  </r>
  <r>
    <n v="2399"/>
    <n v="6026811"/>
    <x v="6"/>
    <x v="6"/>
    <s v="Kawałek koza diabeł zupełnie bawić się białoruski. Źródło kolano szczególnie ukraiński Azja długość połączenie. 10 ponownie niedziela sportowy przedstawiciel bliski kij."/>
    <x v="7"/>
    <x v="17"/>
    <x v="2398"/>
    <x v="0"/>
    <x v="3"/>
    <n v="406"/>
    <x v="33"/>
    <x v="16"/>
    <x v="1"/>
    <s v="11.9"/>
    <s v="Average"/>
  </r>
  <r>
    <n v="2400"/>
    <n v="2752447"/>
    <x v="6"/>
    <x v="12"/>
    <s v="Danger neuf l'une manier. Sentiment violence façon réclamer beau. Besoin pourtant arracher avenir."/>
    <x v="17"/>
    <x v="13"/>
    <x v="2399"/>
    <x v="0"/>
    <x v="0"/>
    <n v="957"/>
    <x v="33"/>
    <x v="20"/>
    <x v="0"/>
    <s v="v7.0.57"/>
    <s v="Average"/>
  </r>
  <r>
    <n v="2401"/>
    <n v="7701770"/>
    <x v="22"/>
    <x v="4"/>
    <s v="Great app but too many ads, consider premium version."/>
    <x v="15"/>
    <x v="9"/>
    <x v="2400"/>
    <x v="0"/>
    <x v="4"/>
    <n v="516"/>
    <x v="51"/>
    <x v="4"/>
    <x v="4"/>
    <s v="1.9"/>
    <s v="Excellent"/>
  </r>
  <r>
    <n v="2402"/>
    <n v="2476224"/>
    <x v="17"/>
    <x v="8"/>
    <s v="Crashes too often, needs improvement in stability."/>
    <x v="19"/>
    <x v="26"/>
    <x v="2401"/>
    <x v="0"/>
    <x v="1"/>
    <n v="550"/>
    <x v="33"/>
    <x v="16"/>
    <x v="2"/>
    <s v="5.7.63.3116"/>
    <s v="Average"/>
  </r>
  <r>
    <n v="2403"/>
    <n v="4772680"/>
    <x v="38"/>
    <x v="0"/>
    <s v="Crashes too often, needs improvement in stability."/>
    <x v="5"/>
    <x v="13"/>
    <x v="2402"/>
    <x v="0"/>
    <x v="4"/>
    <n v="808"/>
    <x v="48"/>
    <x v="6"/>
    <x v="3"/>
    <s v="2.2.7-beta"/>
    <s v="Average"/>
  </r>
  <r>
    <n v="2404"/>
    <n v="3943470"/>
    <x v="1"/>
    <x v="16"/>
    <s v="Perfect for daily use, highly recommend to everyone."/>
    <x v="10"/>
    <x v="32"/>
    <x v="2403"/>
    <x v="0"/>
    <x v="1"/>
    <n v="860"/>
    <x v="49"/>
    <x v="23"/>
    <x v="1"/>
    <s v="5.7.8-beta"/>
    <s v="Very Poor"/>
  </r>
  <r>
    <n v="2405"/>
    <n v="2895567"/>
    <x v="38"/>
    <x v="6"/>
    <s v="Great app but too many ads, consider premium version."/>
    <x v="12"/>
    <x v="5"/>
    <x v="2404"/>
    <x v="0"/>
    <x v="4"/>
    <n v="121"/>
    <x v="3"/>
    <x v="17"/>
    <x v="3"/>
    <s v="2.6"/>
    <s v="Excellent"/>
  </r>
  <r>
    <n v="2406"/>
    <n v="3989220"/>
    <x v="15"/>
    <x v="8"/>
    <s v="Ob müde Stadt von."/>
    <x v="20"/>
    <x v="34"/>
    <x v="2405"/>
    <x v="1"/>
    <x v="2"/>
    <n v="267"/>
    <x v="2"/>
    <x v="18"/>
    <x v="2"/>
    <s v="7.0.37.2431"/>
    <s v="Average"/>
  </r>
  <r>
    <n v="2407"/>
    <n v="3051849"/>
    <x v="31"/>
    <x v="11"/>
    <s v="Помимо ход дрогнуть коробка демократия. Подробность возмутиться сопровождаться картинка ложиться. Приличный заработать умолять рис тяжелый изредка прелесть."/>
    <x v="5"/>
    <x v="32"/>
    <x v="2406"/>
    <x v="0"/>
    <x v="1"/>
    <n v="250"/>
    <x v="50"/>
    <x v="12"/>
    <x v="1"/>
    <s v="7.7.82-beta"/>
    <s v="Very Poor"/>
  </r>
  <r>
    <n v="2408"/>
    <n v="2982234"/>
    <x v="29"/>
    <x v="8"/>
    <s v="Great app but too many ads, consider premium version."/>
    <x v="20"/>
    <x v="15"/>
    <x v="2407"/>
    <x v="0"/>
    <x v="0"/>
    <n v="677"/>
    <x v="50"/>
    <x v="6"/>
    <x v="3"/>
    <s v="12.0.92"/>
    <s v="Poor"/>
  </r>
  <r>
    <n v="2409"/>
    <n v="8710837"/>
    <x v="30"/>
    <x v="2"/>
    <s v="更新类型电子. 这个支持有限决定."/>
    <x v="5"/>
    <x v="16"/>
    <x v="2408"/>
    <x v="0"/>
    <x v="4"/>
    <n v="1194"/>
    <x v="62"/>
    <x v="21"/>
    <x v="4"/>
    <s v="11.7.93.5247"/>
    <s v="Excellent"/>
  </r>
  <r>
    <n v="2410"/>
    <n v="9727848"/>
    <x v="10"/>
    <x v="2"/>
    <s v="Great app but too many ads, consider premium version."/>
    <x v="13"/>
    <x v="8"/>
    <x v="2409"/>
    <x v="0"/>
    <x v="2"/>
    <n v="50"/>
    <x v="11"/>
    <x v="21"/>
    <x v="4"/>
    <s v="6.2.27.705"/>
    <s v="Very Poor"/>
  </r>
  <r>
    <n v="2411"/>
    <n v="7857872"/>
    <x v="13"/>
    <x v="13"/>
    <s v="Iste quae quae cum non. Architecto fugiat a. Minus laudantium quidem mollitia quas suscipit iure."/>
    <x v="16"/>
    <x v="11"/>
    <x v="2410"/>
    <x v="0"/>
    <x v="4"/>
    <n v="869"/>
    <x v="20"/>
    <x v="13"/>
    <x v="0"/>
    <s v="6.4"/>
    <s v="Good"/>
  </r>
  <r>
    <n v="2412"/>
    <n v="6038052"/>
    <x v="18"/>
    <x v="11"/>
    <s v="Crashes too often, needs improvement in stability."/>
    <x v="20"/>
    <x v="21"/>
    <x v="2411"/>
    <x v="0"/>
    <x v="2"/>
    <n v="59"/>
    <x v="50"/>
    <x v="3"/>
    <x v="3"/>
    <s v="4.5.64"/>
    <s v="Excellent"/>
  </r>
  <r>
    <n v="2413"/>
    <n v="9788370"/>
    <x v="35"/>
    <x v="16"/>
    <s v="Latest update broke some features, please fix soon."/>
    <x v="19"/>
    <x v="3"/>
    <x v="2412"/>
    <x v="1"/>
    <x v="2"/>
    <n v="123"/>
    <x v="51"/>
    <x v="11"/>
    <x v="2"/>
    <s v="v15.1.13"/>
    <s v="Average"/>
  </r>
  <r>
    <n v="2414"/>
    <n v="6898104"/>
    <x v="6"/>
    <x v="0"/>
    <s v="Minima illum magnam libero rem."/>
    <x v="10"/>
    <x v="29"/>
    <x v="2413"/>
    <x v="0"/>
    <x v="1"/>
    <n v="311"/>
    <x v="53"/>
    <x v="15"/>
    <x v="4"/>
    <s v="1.9.67-beta"/>
    <s v="Very Poor"/>
  </r>
  <r>
    <n v="2415"/>
    <n v="6265648"/>
    <x v="31"/>
    <x v="8"/>
    <s v="Latest update broke some features, please fix soon."/>
    <x v="22"/>
    <x v="22"/>
    <x v="2414"/>
    <x v="0"/>
    <x v="2"/>
    <n v="716"/>
    <x v="6"/>
    <x v="21"/>
    <x v="3"/>
    <s v="v7.8.82"/>
    <s v="Poor"/>
  </r>
  <r>
    <n v="2416"/>
    <n v="2038375"/>
    <x v="5"/>
    <x v="7"/>
    <s v="Excellent customer support and regular feature updates."/>
    <x v="3"/>
    <x v="3"/>
    <x v="2415"/>
    <x v="0"/>
    <x v="0"/>
    <n v="452"/>
    <x v="9"/>
    <x v="4"/>
    <x v="3"/>
    <s v="6.7.56.6224"/>
    <s v="Average"/>
  </r>
  <r>
    <n v="2417"/>
    <n v="6518497"/>
    <x v="12"/>
    <x v="10"/>
    <s v="Error ad laborum quibusdam dolor quod. Ipsum nihil quis consequuntur. Id consequuntur tempore temporibus ducimus."/>
    <x v="3"/>
    <x v="16"/>
    <x v="2416"/>
    <x v="0"/>
    <x v="0"/>
    <n v="157"/>
    <x v="34"/>
    <x v="6"/>
    <x v="1"/>
    <s v="12.0.12"/>
    <s v="Excellent"/>
  </r>
  <r>
    <n v="2418"/>
    <n v="7904839"/>
    <x v="30"/>
    <x v="11"/>
    <s v="Excellent customer support and regular feature updates."/>
    <x v="16"/>
    <x v="0"/>
    <x v="2417"/>
    <x v="0"/>
    <x v="4"/>
    <n v="740"/>
    <x v="19"/>
    <x v="6"/>
    <x v="4"/>
    <s v="11.4"/>
    <s v="Very Poor"/>
  </r>
  <r>
    <n v="2419"/>
    <n v="7872872"/>
    <x v="35"/>
    <x v="12"/>
    <s v="Some bugs need fixing but generally satisfied with it."/>
    <x v="4"/>
    <x v="39"/>
    <x v="2418"/>
    <x v="0"/>
    <x v="4"/>
    <n v="657"/>
    <x v="25"/>
    <x v="8"/>
    <x v="2"/>
    <s v="2.6.16"/>
    <s v="Good"/>
  </r>
  <r>
    <n v="2420"/>
    <n v="961447"/>
    <x v="4"/>
    <x v="8"/>
    <s v="Perfect for daily use, highly recommend to everyone."/>
    <x v="1"/>
    <x v="31"/>
    <x v="2419"/>
    <x v="0"/>
    <x v="2"/>
    <n v="834"/>
    <x v="18"/>
    <x v="11"/>
    <x v="2"/>
    <s v="1.5"/>
    <s v="Good"/>
  </r>
  <r>
    <n v="2421"/>
    <n v="1799277"/>
    <x v="12"/>
    <x v="12"/>
    <s v="No Review"/>
    <x v="14"/>
    <x v="27"/>
    <x v="2420"/>
    <x v="0"/>
    <x v="3"/>
    <n v="1005"/>
    <x v="38"/>
    <x v="18"/>
    <x v="0"/>
    <s v="8.2.37"/>
    <s v="Very Poor"/>
  </r>
  <r>
    <n v="2422"/>
    <n v="1236751"/>
    <x v="33"/>
    <x v="2"/>
    <s v="Excellent customer support and regular feature updates."/>
    <x v="4"/>
    <x v="21"/>
    <x v="2421"/>
    <x v="0"/>
    <x v="2"/>
    <n v="1195"/>
    <x v="2"/>
    <x v="11"/>
    <x v="1"/>
    <s v="9.3.93.4946"/>
    <s v="Excellent"/>
  </r>
  <r>
    <n v="2423"/>
    <n v="3346044"/>
    <x v="17"/>
    <x v="14"/>
    <s v="Perfect for daily use, highly recommend to everyone."/>
    <x v="7"/>
    <x v="27"/>
    <x v="2422"/>
    <x v="0"/>
    <x v="2"/>
    <n v="691"/>
    <x v="27"/>
    <x v="12"/>
    <x v="0"/>
    <s v="13.2.48-beta"/>
    <s v="Very Poor"/>
  </r>
  <r>
    <n v="2424"/>
    <n v="2884101"/>
    <x v="30"/>
    <x v="15"/>
    <s v="User-friendly design and smooth performance throughout."/>
    <x v="16"/>
    <x v="25"/>
    <x v="2423"/>
    <x v="0"/>
    <x v="2"/>
    <n v="264"/>
    <x v="52"/>
    <x v="1"/>
    <x v="4"/>
    <s v="v1.4.13"/>
    <s v="Poor"/>
  </r>
  <r>
    <n v="2425"/>
    <n v="2548450"/>
    <x v="40"/>
    <x v="10"/>
    <s v="Crashes too often, needs improvement in stability."/>
    <x v="3"/>
    <x v="4"/>
    <x v="2424"/>
    <x v="1"/>
    <x v="1"/>
    <n v="533"/>
    <x v="15"/>
    <x v="14"/>
    <x v="4"/>
    <s v="6.1"/>
    <s v="Average"/>
  </r>
  <r>
    <n v="2426"/>
    <n v="9521918"/>
    <x v="22"/>
    <x v="15"/>
    <s v="Works perfectly on my device, no complaints at all."/>
    <x v="19"/>
    <x v="18"/>
    <x v="2425"/>
    <x v="0"/>
    <x v="3"/>
    <n v="610"/>
    <x v="56"/>
    <x v="2"/>
    <x v="4"/>
    <s v="11.5.90"/>
    <s v="Average"/>
  </r>
  <r>
    <n v="2427"/>
    <n v="514120"/>
    <x v="12"/>
    <x v="17"/>
    <s v="Crashes too often, needs improvement in stability."/>
    <x v="1"/>
    <x v="25"/>
    <x v="2426"/>
    <x v="0"/>
    <x v="1"/>
    <n v="1108"/>
    <x v="50"/>
    <x v="12"/>
    <x v="2"/>
    <s v="6.9"/>
    <s v="Poor"/>
  </r>
  <r>
    <n v="2428"/>
    <n v="8842456"/>
    <x v="11"/>
    <x v="16"/>
    <s v="Ad illo reiciendis itaque numquam eligendi."/>
    <x v="3"/>
    <x v="39"/>
    <x v="2427"/>
    <x v="0"/>
    <x v="4"/>
    <n v="66"/>
    <x v="15"/>
    <x v="12"/>
    <x v="3"/>
    <s v="12.5.39"/>
    <s v="Good"/>
  </r>
  <r>
    <n v="2429"/>
    <n v="9925092"/>
    <x v="23"/>
    <x v="7"/>
    <s v="Latest update broke some features, please fix soon."/>
    <x v="0"/>
    <x v="16"/>
    <x v="2428"/>
    <x v="0"/>
    <x v="4"/>
    <n v="202"/>
    <x v="32"/>
    <x v="10"/>
    <x v="2"/>
    <s v="v14.9.64"/>
    <s v="Excellent"/>
  </r>
  <r>
    <n v="2430"/>
    <n v="8279175"/>
    <x v="21"/>
    <x v="14"/>
    <s v="User-friendly design and smooth performance throughout."/>
    <x v="19"/>
    <x v="15"/>
    <x v="2429"/>
    <x v="1"/>
    <x v="3"/>
    <n v="516"/>
    <x v="33"/>
    <x v="13"/>
    <x v="1"/>
    <s v="6.3.77.74"/>
    <s v="Poor"/>
  </r>
  <r>
    <n v="2431"/>
    <n v="8723013"/>
    <x v="34"/>
    <x v="7"/>
    <s v="Works perfectly on my device, no complaints at all."/>
    <x v="17"/>
    <x v="4"/>
    <x v="2430"/>
    <x v="1"/>
    <x v="1"/>
    <n v="67"/>
    <x v="36"/>
    <x v="8"/>
    <x v="4"/>
    <s v="10.0.51"/>
    <s v="Average"/>
  </r>
  <r>
    <n v="2432"/>
    <n v="9293742"/>
    <x v="7"/>
    <x v="9"/>
    <s v="Works perfectly on my device, no complaints at all."/>
    <x v="17"/>
    <x v="10"/>
    <x v="2431"/>
    <x v="1"/>
    <x v="0"/>
    <n v="89"/>
    <x v="33"/>
    <x v="5"/>
    <x v="1"/>
    <s v="3.8"/>
    <s v="Poor"/>
  </r>
  <r>
    <n v="2433"/>
    <n v="9601785"/>
    <x v="7"/>
    <x v="14"/>
    <s v="Perfect for daily use, highly recommend to everyone."/>
    <x v="11"/>
    <x v="4"/>
    <x v="2432"/>
    <x v="0"/>
    <x v="3"/>
    <n v="813"/>
    <x v="6"/>
    <x v="13"/>
    <x v="2"/>
    <s v="1.0.89"/>
    <s v="Average"/>
  </r>
  <r>
    <n v="2434"/>
    <n v="2672450"/>
    <x v="18"/>
    <x v="6"/>
    <s v="Ex quae quasi odio corporis quis. At fugit hic aliquam esse. Deserunt necessitatibus in repudiandae."/>
    <x v="4"/>
    <x v="32"/>
    <x v="2433"/>
    <x v="0"/>
    <x v="2"/>
    <n v="419"/>
    <x v="6"/>
    <x v="8"/>
    <x v="4"/>
    <s v="8.1.7"/>
    <s v="Very Poor"/>
  </r>
  <r>
    <n v="2435"/>
    <n v="9278076"/>
    <x v="16"/>
    <x v="3"/>
    <s v="Ducimus totam a architecto similique eaque laboriosam."/>
    <x v="11"/>
    <x v="37"/>
    <x v="2434"/>
    <x v="0"/>
    <x v="3"/>
    <n v="341"/>
    <x v="3"/>
    <x v="8"/>
    <x v="4"/>
    <s v="10.8.7"/>
    <s v="Average"/>
  </r>
  <r>
    <n v="2436"/>
    <n v="7956881"/>
    <x v="10"/>
    <x v="1"/>
    <s v="Some bugs need fixing but generally satisfied with it."/>
    <x v="18"/>
    <x v="2"/>
    <x v="2435"/>
    <x v="0"/>
    <x v="1"/>
    <n v="663"/>
    <x v="34"/>
    <x v="21"/>
    <x v="1"/>
    <s v="5.9"/>
    <s v="Average"/>
  </r>
  <r>
    <n v="2437"/>
    <n v="8379258"/>
    <x v="39"/>
    <x v="14"/>
    <s v="Latest update broke some features, please fix soon."/>
    <x v="20"/>
    <x v="2"/>
    <x v="2436"/>
    <x v="0"/>
    <x v="3"/>
    <n v="1247"/>
    <x v="45"/>
    <x v="15"/>
    <x v="1"/>
    <s v="9.5.58.2434"/>
    <s v="Average"/>
  </r>
  <r>
    <n v="2438"/>
    <n v="7810913"/>
    <x v="24"/>
    <x v="6"/>
    <s v="Excellent customer support and regular feature updates."/>
    <x v="5"/>
    <x v="13"/>
    <x v="2437"/>
    <x v="0"/>
    <x v="4"/>
    <n v="1248"/>
    <x v="52"/>
    <x v="0"/>
    <x v="2"/>
    <s v="12.2.75"/>
    <s v="Average"/>
  </r>
  <r>
    <n v="2439"/>
    <n v="6343076"/>
    <x v="28"/>
    <x v="14"/>
    <s v="Veritatis ducimus nam suscipit repellendus ex pariatur."/>
    <x v="0"/>
    <x v="21"/>
    <x v="2438"/>
    <x v="0"/>
    <x v="4"/>
    <n v="969"/>
    <x v="19"/>
    <x v="9"/>
    <x v="4"/>
    <s v="v10.1.35"/>
    <s v="Excellent"/>
  </r>
  <r>
    <n v="2440"/>
    <n v="9994859"/>
    <x v="17"/>
    <x v="11"/>
    <s v="Some bugs need fixing but generally satisfied with it."/>
    <x v="20"/>
    <x v="25"/>
    <x v="2439"/>
    <x v="1"/>
    <x v="3"/>
    <n v="45"/>
    <x v="5"/>
    <x v="17"/>
    <x v="0"/>
    <s v="14.0.73-beta"/>
    <s v="Poor"/>
  </r>
  <r>
    <n v="2441"/>
    <n v="4780249"/>
    <x v="26"/>
    <x v="3"/>
    <s v="Crashes too often, needs improvement in stability."/>
    <x v="15"/>
    <x v="9"/>
    <x v="2440"/>
    <x v="0"/>
    <x v="2"/>
    <n v="676"/>
    <x v="34"/>
    <x v="8"/>
    <x v="3"/>
    <s v="v10.7.36"/>
    <s v="Excellent"/>
  </r>
  <r>
    <n v="2442"/>
    <n v="4215393"/>
    <x v="28"/>
    <x v="6"/>
    <s v="Perfect for daily use, highly recommend to everyone."/>
    <x v="20"/>
    <x v="38"/>
    <x v="2441"/>
    <x v="0"/>
    <x v="1"/>
    <n v="383"/>
    <x v="55"/>
    <x v="14"/>
    <x v="3"/>
    <s v="1.1.43"/>
    <s v="Good"/>
  </r>
  <r>
    <n v="2443"/>
    <n v="7379187"/>
    <x v="4"/>
    <x v="11"/>
    <s v="Evening vote feel win yard anything option. Blood challenge difference situation thing. Less check better my guy."/>
    <x v="10"/>
    <x v="11"/>
    <x v="2442"/>
    <x v="0"/>
    <x v="0"/>
    <n v="992"/>
    <x v="29"/>
    <x v="9"/>
    <x v="3"/>
    <s v="v7.7.17"/>
    <s v="Good"/>
  </r>
  <r>
    <n v="2444"/>
    <n v="7134544"/>
    <x v="14"/>
    <x v="8"/>
    <s v="Excellent customer support and regular feature updates."/>
    <x v="22"/>
    <x v="38"/>
    <x v="2443"/>
    <x v="0"/>
    <x v="4"/>
    <n v="75"/>
    <x v="13"/>
    <x v="8"/>
    <x v="2"/>
    <s v="4.5.56.2164"/>
    <s v="Good"/>
  </r>
  <r>
    <n v="2445"/>
    <n v="5117805"/>
    <x v="38"/>
    <x v="15"/>
    <s v="Great app but too many ads, consider premium version."/>
    <x v="21"/>
    <x v="19"/>
    <x v="2444"/>
    <x v="0"/>
    <x v="1"/>
    <n v="935"/>
    <x v="18"/>
    <x v="20"/>
    <x v="2"/>
    <s v="15.2"/>
    <s v="Poor"/>
  </r>
  <r>
    <n v="2446"/>
    <n v="2825382"/>
    <x v="21"/>
    <x v="13"/>
    <s v="Some bugs need fixing but generally satisfied with it."/>
    <x v="16"/>
    <x v="4"/>
    <x v="2445"/>
    <x v="0"/>
    <x v="0"/>
    <n v="1107"/>
    <x v="49"/>
    <x v="19"/>
    <x v="2"/>
    <s v="v8.5.93"/>
    <s v="Average"/>
  </r>
  <r>
    <n v="2447"/>
    <n v="1212674"/>
    <x v="31"/>
    <x v="12"/>
    <s v="This app is amazing! Really love the new features."/>
    <x v="12"/>
    <x v="25"/>
    <x v="2446"/>
    <x v="0"/>
    <x v="1"/>
    <n v="829"/>
    <x v="15"/>
    <x v="24"/>
    <x v="3"/>
    <s v="14.8"/>
    <s v="Poor"/>
  </r>
  <r>
    <n v="2448"/>
    <n v="1054674"/>
    <x v="17"/>
    <x v="14"/>
    <s v="Idea intanto importare vicino figura genere. Destino staccare mandare uscire operazione. Insieme desiderio difficile scomparire film oro."/>
    <x v="19"/>
    <x v="33"/>
    <x v="2447"/>
    <x v="0"/>
    <x v="1"/>
    <n v="789"/>
    <x v="20"/>
    <x v="20"/>
    <x v="2"/>
    <s v="v5.4.58"/>
    <s v="Poor"/>
  </r>
  <r>
    <n v="2449"/>
    <n v="1490468"/>
    <x v="27"/>
    <x v="2"/>
    <s v="Aspernatur recusandae ab molestiae. Tempore vel recusandae possimus corrupti amet iusto. Consequatur voluptates facilis."/>
    <x v="5"/>
    <x v="25"/>
    <x v="2448"/>
    <x v="1"/>
    <x v="3"/>
    <n v="572"/>
    <x v="12"/>
    <x v="9"/>
    <x v="4"/>
    <s v="11.1.25-beta"/>
    <s v="Poor"/>
  </r>
  <r>
    <n v="2450"/>
    <n v="6093668"/>
    <x v="20"/>
    <x v="3"/>
    <s v="This app is amazing! Really love the new features."/>
    <x v="22"/>
    <x v="37"/>
    <x v="2449"/>
    <x v="0"/>
    <x v="0"/>
    <n v="904"/>
    <x v="61"/>
    <x v="10"/>
    <x v="3"/>
    <s v="10.9.58"/>
    <s v="Average"/>
  </r>
  <r>
    <n v="2451"/>
    <n v="1568345"/>
    <x v="38"/>
    <x v="14"/>
    <s v="Dort Geld Brief. Bild auch ab werden steigen Wasser treffen leben. Nehmen nächste lustig Tür fünf."/>
    <x v="16"/>
    <x v="30"/>
    <x v="2450"/>
    <x v="0"/>
    <x v="1"/>
    <n v="963"/>
    <x v="11"/>
    <x v="21"/>
    <x v="0"/>
    <s v="6.9.19"/>
    <s v="Average"/>
  </r>
  <r>
    <n v="2452"/>
    <n v="4461777"/>
    <x v="8"/>
    <x v="17"/>
    <s v="The interface could be better but overall good experience."/>
    <x v="8"/>
    <x v="12"/>
    <x v="2451"/>
    <x v="1"/>
    <x v="0"/>
    <n v="940"/>
    <x v="16"/>
    <x v="18"/>
    <x v="3"/>
    <s v="12.8.53-beta"/>
    <s v="Excellent"/>
  </r>
  <r>
    <n v="2453"/>
    <n v="8738445"/>
    <x v="0"/>
    <x v="4"/>
    <s v="Libero dolore eligendi hic."/>
    <x v="17"/>
    <x v="8"/>
    <x v="2452"/>
    <x v="1"/>
    <x v="4"/>
    <n v="274"/>
    <x v="60"/>
    <x v="19"/>
    <x v="3"/>
    <s v="3.1.88.7325"/>
    <s v="Very Poor"/>
  </r>
  <r>
    <n v="2454"/>
    <n v="2831440"/>
    <x v="10"/>
    <x v="12"/>
    <s v="連続オークション出演者コミュニケーションデフォルト状況サワー。 トレーナーバナー敵対的なリフト楽しんで。"/>
    <x v="21"/>
    <x v="28"/>
    <x v="2453"/>
    <x v="0"/>
    <x v="3"/>
    <n v="192"/>
    <x v="19"/>
    <x v="9"/>
    <x v="2"/>
    <s v="15.5.79.6019"/>
    <s v="Poor"/>
  </r>
  <r>
    <n v="2455"/>
    <n v="717362"/>
    <x v="27"/>
    <x v="14"/>
    <s v="Perfect for daily use, highly recommend to everyone."/>
    <x v="4"/>
    <x v="5"/>
    <x v="2454"/>
    <x v="0"/>
    <x v="1"/>
    <n v="1193"/>
    <x v="13"/>
    <x v="9"/>
    <x v="0"/>
    <s v="v12.3.44"/>
    <s v="Excellent"/>
  </r>
  <r>
    <n v="2456"/>
    <n v="9959686"/>
    <x v="16"/>
    <x v="4"/>
    <s v="Corporis voluptatum commodi quam. Quo porro neque quaerat ipsa. Ut pariatur perferendis quas."/>
    <x v="11"/>
    <x v="15"/>
    <x v="2455"/>
    <x v="1"/>
    <x v="2"/>
    <n v="681"/>
    <x v="45"/>
    <x v="18"/>
    <x v="4"/>
    <s v="14.7.9-beta"/>
    <s v="Poor"/>
  </r>
  <r>
    <n v="2457"/>
    <n v="3619388"/>
    <x v="24"/>
    <x v="0"/>
    <s v="The interface could be better but overall good experience."/>
    <x v="2"/>
    <x v="21"/>
    <x v="2456"/>
    <x v="0"/>
    <x v="4"/>
    <n v="992"/>
    <x v="16"/>
    <x v="2"/>
    <x v="4"/>
    <s v="8.4"/>
    <s v="Excellent"/>
  </r>
  <r>
    <n v="2458"/>
    <n v="667676"/>
    <x v="21"/>
    <x v="17"/>
    <s v="Culpa deleniti architecto adipisci sequi dolorum."/>
    <x v="21"/>
    <x v="11"/>
    <x v="2457"/>
    <x v="0"/>
    <x v="0"/>
    <n v="77"/>
    <x v="44"/>
    <x v="9"/>
    <x v="3"/>
    <s v="4.5.50"/>
    <s v="Good"/>
  </r>
  <r>
    <n v="2459"/>
    <n v="7876305"/>
    <x v="30"/>
    <x v="13"/>
    <s v="Some bugs need fixing but generally satisfied with it."/>
    <x v="10"/>
    <x v="7"/>
    <x v="2458"/>
    <x v="0"/>
    <x v="1"/>
    <n v="1097"/>
    <x v="49"/>
    <x v="9"/>
    <x v="2"/>
    <s v="14.1"/>
    <s v="Very Poor"/>
  </r>
  <r>
    <n v="2460"/>
    <n v="5528764"/>
    <x v="20"/>
    <x v="10"/>
    <s v="No Review"/>
    <x v="2"/>
    <x v="39"/>
    <x v="2459"/>
    <x v="0"/>
    <x v="4"/>
    <n v="237"/>
    <x v="35"/>
    <x v="21"/>
    <x v="1"/>
    <s v="v3.2.32"/>
    <s v="Good"/>
  </r>
  <r>
    <n v="2461"/>
    <n v="224800"/>
    <x v="0"/>
    <x v="7"/>
    <s v="Great app but too many ads, consider premium version."/>
    <x v="16"/>
    <x v="4"/>
    <x v="2460"/>
    <x v="0"/>
    <x v="2"/>
    <n v="448"/>
    <x v="26"/>
    <x v="22"/>
    <x v="3"/>
    <s v="4.4.6-beta"/>
    <s v="Average"/>
  </r>
  <r>
    <n v="2462"/>
    <n v="4304376"/>
    <x v="7"/>
    <x v="15"/>
    <s v="Works perfectly on my device, no complaints at all."/>
    <x v="21"/>
    <x v="4"/>
    <x v="2461"/>
    <x v="0"/>
    <x v="4"/>
    <n v="707"/>
    <x v="13"/>
    <x v="22"/>
    <x v="2"/>
    <s v="15.3.78-beta"/>
    <s v="Average"/>
  </r>
  <r>
    <n v="2463"/>
    <n v="8268729"/>
    <x v="13"/>
    <x v="5"/>
    <s v="No Review"/>
    <x v="11"/>
    <x v="14"/>
    <x v="2462"/>
    <x v="0"/>
    <x v="1"/>
    <n v="53"/>
    <x v="45"/>
    <x v="10"/>
    <x v="3"/>
    <s v="v7.6.0"/>
    <s v="Excellent"/>
  </r>
  <r>
    <n v="2464"/>
    <n v="2585842"/>
    <x v="28"/>
    <x v="11"/>
    <s v="大統領普通のブラケット。 舗装改善管理する虐待アクセルペダル。 リハビリ癌コミュニティホイール賞賛する不自然な。"/>
    <x v="8"/>
    <x v="37"/>
    <x v="2463"/>
    <x v="0"/>
    <x v="2"/>
    <n v="413"/>
    <x v="12"/>
    <x v="18"/>
    <x v="0"/>
    <s v="11.6.41-beta"/>
    <s v="Average"/>
  </r>
  <r>
    <n v="2465"/>
    <n v="5678724"/>
    <x v="27"/>
    <x v="11"/>
    <s v="Früh hin mal neben Wetter Ende Spaß. Klasse Schüler merken."/>
    <x v="7"/>
    <x v="25"/>
    <x v="2464"/>
    <x v="1"/>
    <x v="4"/>
    <n v="186"/>
    <x v="2"/>
    <x v="18"/>
    <x v="0"/>
    <s v="14.6.72"/>
    <s v="Poor"/>
  </r>
  <r>
    <n v="2466"/>
    <n v="7757731"/>
    <x v="36"/>
    <x v="17"/>
    <s v="Crashes too often, needs improvement in stability."/>
    <x v="3"/>
    <x v="22"/>
    <x v="2465"/>
    <x v="0"/>
    <x v="1"/>
    <n v="610"/>
    <x v="32"/>
    <x v="23"/>
    <x v="4"/>
    <s v="v3.8.52"/>
    <s v="Poor"/>
  </r>
  <r>
    <n v="2467"/>
    <n v="5680192"/>
    <x v="33"/>
    <x v="11"/>
    <s v="Excellent customer support and regular feature updates."/>
    <x v="12"/>
    <x v="4"/>
    <x v="2466"/>
    <x v="0"/>
    <x v="2"/>
    <n v="542"/>
    <x v="7"/>
    <x v="2"/>
    <x v="3"/>
    <s v="1.0"/>
    <s v="Average"/>
  </r>
  <r>
    <n v="2468"/>
    <n v="9987153"/>
    <x v="5"/>
    <x v="1"/>
    <s v="User-friendly design and smooth performance throughout."/>
    <x v="16"/>
    <x v="32"/>
    <x v="2467"/>
    <x v="0"/>
    <x v="1"/>
    <n v="1063"/>
    <x v="21"/>
    <x v="15"/>
    <x v="2"/>
    <s v="13.2.77-beta"/>
    <s v="Very Poor"/>
  </r>
  <r>
    <n v="2469"/>
    <n v="8061083"/>
    <x v="28"/>
    <x v="9"/>
    <s v="Latest update broke some features, please fix soon."/>
    <x v="23"/>
    <x v="4"/>
    <x v="2468"/>
    <x v="0"/>
    <x v="4"/>
    <n v="952"/>
    <x v="28"/>
    <x v="21"/>
    <x v="1"/>
    <s v="8.9.46-beta"/>
    <s v="Average"/>
  </r>
  <r>
    <n v="2470"/>
    <n v="7876962"/>
    <x v="18"/>
    <x v="0"/>
    <s v="User-friendly design and smooth performance throughout."/>
    <x v="4"/>
    <x v="12"/>
    <x v="2469"/>
    <x v="0"/>
    <x v="2"/>
    <n v="879"/>
    <x v="22"/>
    <x v="4"/>
    <x v="0"/>
    <s v="12.5"/>
    <s v="Excellent"/>
  </r>
  <r>
    <n v="2471"/>
    <n v="9694850"/>
    <x v="13"/>
    <x v="17"/>
    <s v="Toit se d'autres discours suffire."/>
    <x v="1"/>
    <x v="10"/>
    <x v="2470"/>
    <x v="0"/>
    <x v="3"/>
    <n v="327"/>
    <x v="12"/>
    <x v="9"/>
    <x v="0"/>
    <s v="9.2"/>
    <s v="Poor"/>
  </r>
  <r>
    <n v="2472"/>
    <n v="3949916"/>
    <x v="35"/>
    <x v="4"/>
    <s v="Ducimus eaque minus aliquam veritatis ipsum id inventore."/>
    <x v="18"/>
    <x v="13"/>
    <x v="2471"/>
    <x v="0"/>
    <x v="3"/>
    <n v="596"/>
    <x v="30"/>
    <x v="3"/>
    <x v="1"/>
    <s v="3.2.27.5536"/>
    <s v="Average"/>
  </r>
  <r>
    <n v="2473"/>
    <n v="9080132"/>
    <x v="8"/>
    <x v="5"/>
    <s v="Excellent customer support and regular feature updates."/>
    <x v="7"/>
    <x v="30"/>
    <x v="2472"/>
    <x v="0"/>
    <x v="2"/>
    <n v="713"/>
    <x v="28"/>
    <x v="24"/>
    <x v="2"/>
    <s v="5.5.49"/>
    <s v="Average"/>
  </r>
  <r>
    <n v="2474"/>
    <n v="7091989"/>
    <x v="13"/>
    <x v="15"/>
    <s v="Mattino unico salutare."/>
    <x v="13"/>
    <x v="37"/>
    <x v="2473"/>
    <x v="0"/>
    <x v="0"/>
    <n v="1041"/>
    <x v="15"/>
    <x v="4"/>
    <x v="3"/>
    <s v="2.5.25.5604"/>
    <s v="Average"/>
  </r>
  <r>
    <n v="2475"/>
    <n v="958921"/>
    <x v="12"/>
    <x v="11"/>
    <s v="Great app but too many ads, consider premium version."/>
    <x v="2"/>
    <x v="34"/>
    <x v="2474"/>
    <x v="0"/>
    <x v="2"/>
    <n v="707"/>
    <x v="44"/>
    <x v="17"/>
    <x v="4"/>
    <s v="10.4.43-beta"/>
    <s v="Average"/>
  </r>
  <r>
    <n v="2476"/>
    <n v="3680502"/>
    <x v="7"/>
    <x v="16"/>
    <s v="Подземный естественный освободить дьявол носок тесно грудь. Разводить приятель привлекать грудь прелесть выкинуть ленинград."/>
    <x v="20"/>
    <x v="13"/>
    <x v="2475"/>
    <x v="1"/>
    <x v="1"/>
    <n v="955"/>
    <x v="25"/>
    <x v="6"/>
    <x v="3"/>
    <s v="14.1.71.7140"/>
    <s v="Average"/>
  </r>
  <r>
    <n v="2477"/>
    <n v="4431763"/>
    <x v="21"/>
    <x v="13"/>
    <s v="Crashes too often, needs improvement in stability."/>
    <x v="11"/>
    <x v="38"/>
    <x v="2476"/>
    <x v="1"/>
    <x v="4"/>
    <n v="353"/>
    <x v="26"/>
    <x v="23"/>
    <x v="3"/>
    <s v="1.8.81.6243"/>
    <s v="Good"/>
  </r>
  <r>
    <n v="2478"/>
    <n v="5004259"/>
    <x v="2"/>
    <x v="11"/>
    <s v="The interface could be better but overall good experience."/>
    <x v="14"/>
    <x v="10"/>
    <x v="2477"/>
    <x v="0"/>
    <x v="0"/>
    <n v="912"/>
    <x v="60"/>
    <x v="6"/>
    <x v="4"/>
    <s v="15.5"/>
    <s v="Poor"/>
  </r>
  <r>
    <n v="2479"/>
    <n v="7072202"/>
    <x v="37"/>
    <x v="2"/>
    <s v="No Review"/>
    <x v="12"/>
    <x v="38"/>
    <x v="2478"/>
    <x v="0"/>
    <x v="1"/>
    <n v="406"/>
    <x v="5"/>
    <x v="8"/>
    <x v="0"/>
    <s v="5.7"/>
    <s v="Good"/>
  </r>
  <r>
    <n v="2480"/>
    <n v="3524117"/>
    <x v="1"/>
    <x v="3"/>
    <s v="Great app but too many ads, consider premium version."/>
    <x v="14"/>
    <x v="9"/>
    <x v="2479"/>
    <x v="0"/>
    <x v="1"/>
    <n v="389"/>
    <x v="59"/>
    <x v="12"/>
    <x v="1"/>
    <s v="5.3"/>
    <s v="Excellent"/>
  </r>
  <r>
    <n v="2481"/>
    <n v="6163782"/>
    <x v="26"/>
    <x v="13"/>
    <s v="Réel eau vraiment poste. Avant chose cause tranquille. Aujourd'Hui rejeter rayon dix conclure."/>
    <x v="20"/>
    <x v="15"/>
    <x v="2480"/>
    <x v="0"/>
    <x v="0"/>
    <n v="576"/>
    <x v="17"/>
    <x v="5"/>
    <x v="2"/>
    <s v="4.1"/>
    <s v="Poor"/>
  </r>
  <r>
    <n v="2482"/>
    <n v="5762811"/>
    <x v="35"/>
    <x v="16"/>
    <s v="The interface could be better but overall good experience."/>
    <x v="4"/>
    <x v="7"/>
    <x v="2481"/>
    <x v="0"/>
    <x v="4"/>
    <n v="75"/>
    <x v="45"/>
    <x v="23"/>
    <x v="4"/>
    <s v="11.3.4"/>
    <s v="Very Poor"/>
  </r>
  <r>
    <n v="2483"/>
    <n v="9068963"/>
    <x v="0"/>
    <x v="12"/>
    <s v="Excellent customer support and regular feature updates."/>
    <x v="3"/>
    <x v="23"/>
    <x v="2482"/>
    <x v="0"/>
    <x v="1"/>
    <n v="524"/>
    <x v="54"/>
    <x v="0"/>
    <x v="1"/>
    <s v="3.1.14-beta"/>
    <s v="Very Poor"/>
  </r>
  <r>
    <n v="2484"/>
    <n v="2148456"/>
    <x v="40"/>
    <x v="12"/>
    <s v="Perfect for daily use, highly recommend to everyone."/>
    <x v="23"/>
    <x v="37"/>
    <x v="2483"/>
    <x v="1"/>
    <x v="0"/>
    <n v="592"/>
    <x v="10"/>
    <x v="24"/>
    <x v="1"/>
    <s v="v15.9.22"/>
    <s v="Average"/>
  </r>
  <r>
    <n v="2485"/>
    <n v="4769108"/>
    <x v="24"/>
    <x v="3"/>
    <s v="Some bugs need fixing but generally satisfied with it."/>
    <x v="6"/>
    <x v="24"/>
    <x v="2484"/>
    <x v="0"/>
    <x v="1"/>
    <n v="79"/>
    <x v="16"/>
    <x v="15"/>
    <x v="1"/>
    <s v="1.5"/>
    <s v="Poor"/>
  </r>
  <r>
    <n v="2486"/>
    <n v="6077035"/>
    <x v="17"/>
    <x v="14"/>
    <s v="Great app but too many ads, consider premium version."/>
    <x v="22"/>
    <x v="15"/>
    <x v="2485"/>
    <x v="0"/>
    <x v="2"/>
    <n v="937"/>
    <x v="47"/>
    <x v="3"/>
    <x v="0"/>
    <s v="4.5.9-beta"/>
    <s v="Poor"/>
  </r>
  <r>
    <n v="2487"/>
    <n v="6026386"/>
    <x v="2"/>
    <x v="0"/>
    <s v="Great app but too many ads, consider premium version."/>
    <x v="5"/>
    <x v="34"/>
    <x v="2486"/>
    <x v="0"/>
    <x v="4"/>
    <n v="73"/>
    <x v="51"/>
    <x v="12"/>
    <x v="2"/>
    <s v="2.6.22"/>
    <s v="Average"/>
  </r>
  <r>
    <n v="2488"/>
    <n v="3275929"/>
    <x v="37"/>
    <x v="13"/>
    <s v="The interface could be better but overall good experience."/>
    <x v="12"/>
    <x v="1"/>
    <x v="2487"/>
    <x v="0"/>
    <x v="0"/>
    <n v="297"/>
    <x v="24"/>
    <x v="7"/>
    <x v="1"/>
    <s v="4.1.89-beta"/>
    <s v="Very Poor"/>
  </r>
  <r>
    <n v="2489"/>
    <n v="405807"/>
    <x v="26"/>
    <x v="8"/>
    <s v="Excellent customer support and regular feature updates."/>
    <x v="14"/>
    <x v="28"/>
    <x v="2488"/>
    <x v="1"/>
    <x v="2"/>
    <n v="480"/>
    <x v="60"/>
    <x v="3"/>
    <x v="1"/>
    <s v="9.6.92.565"/>
    <s v="Poor"/>
  </r>
  <r>
    <n v="2490"/>
    <n v="1549957"/>
    <x v="40"/>
    <x v="0"/>
    <s v="Cum exercitationem minima porro. Laboriosam unde occaecati adipisci sequi. Aut maiores repellat distinctio deleniti odit."/>
    <x v="6"/>
    <x v="29"/>
    <x v="2489"/>
    <x v="0"/>
    <x v="3"/>
    <n v="925"/>
    <x v="23"/>
    <x v="8"/>
    <x v="1"/>
    <s v="13.4.98"/>
    <s v="Very Poor"/>
  </r>
  <r>
    <n v="2491"/>
    <n v="1222405"/>
    <x v="6"/>
    <x v="14"/>
    <s v="Impreza trzydziesty zwycięstwo delikatny należy. Samica historia nad kupować który ser."/>
    <x v="5"/>
    <x v="1"/>
    <x v="2490"/>
    <x v="0"/>
    <x v="1"/>
    <n v="542"/>
    <x v="19"/>
    <x v="20"/>
    <x v="3"/>
    <s v="v8.4.93"/>
    <s v="Very Poor"/>
  </r>
  <r>
    <n v="2492"/>
    <n v="5782872"/>
    <x v="9"/>
    <x v="1"/>
    <s v="您的时间成为非常公司网络. 的话发表公司今天全部因此资料. 中文责任作为推荐投资回复工作我的."/>
    <x v="9"/>
    <x v="14"/>
    <x v="2491"/>
    <x v="0"/>
    <x v="4"/>
    <n v="684"/>
    <x v="39"/>
    <x v="9"/>
    <x v="4"/>
    <s v="9.6.80-beta"/>
    <s v="Excellent"/>
  </r>
  <r>
    <n v="2493"/>
    <n v="2397127"/>
    <x v="26"/>
    <x v="16"/>
    <s v="User-friendly design and smooth performance throughout."/>
    <x v="11"/>
    <x v="34"/>
    <x v="2492"/>
    <x v="0"/>
    <x v="4"/>
    <n v="1010"/>
    <x v="33"/>
    <x v="13"/>
    <x v="0"/>
    <s v="8.7"/>
    <s v="Average"/>
  </r>
  <r>
    <n v="2494"/>
    <n v="6468315"/>
    <x v="30"/>
    <x v="17"/>
    <s v="Some bugs need fixing but generally satisfied with it."/>
    <x v="12"/>
    <x v="13"/>
    <x v="2493"/>
    <x v="0"/>
    <x v="0"/>
    <n v="789"/>
    <x v="1"/>
    <x v="8"/>
    <x v="2"/>
    <s v="12.1.45.7445"/>
    <s v="Average"/>
  </r>
  <r>
    <n v="2495"/>
    <n v="5803266"/>
    <x v="37"/>
    <x v="0"/>
    <s v="Один указанный аж услать трясти жить. Один сравнение бригада."/>
    <x v="21"/>
    <x v="10"/>
    <x v="2494"/>
    <x v="0"/>
    <x v="4"/>
    <n v="179"/>
    <x v="2"/>
    <x v="19"/>
    <x v="4"/>
    <s v="11.2.48"/>
    <s v="Poor"/>
  </r>
  <r>
    <n v="2496"/>
    <n v="8907272"/>
    <x v="9"/>
    <x v="2"/>
    <s v="Nobis aut beatae voluptate quisquam et commodi nemo."/>
    <x v="13"/>
    <x v="20"/>
    <x v="2495"/>
    <x v="0"/>
    <x v="3"/>
    <n v="1219"/>
    <x v="15"/>
    <x v="22"/>
    <x v="1"/>
    <s v="Unknown"/>
    <s v="Very Poor"/>
  </r>
  <r>
    <n v="2497"/>
    <n v="3984250"/>
    <x v="5"/>
    <x v="13"/>
    <s v="This app is amazing! Really love the new features."/>
    <x v="15"/>
    <x v="17"/>
    <x v="2496"/>
    <x v="0"/>
    <x v="3"/>
    <n v="446"/>
    <x v="28"/>
    <x v="15"/>
    <x v="4"/>
    <s v="1.8.82"/>
    <s v="Average"/>
  </r>
  <r>
    <n v="2498"/>
    <n v="5325910"/>
    <x v="16"/>
    <x v="13"/>
    <s v="Latest update broke some features, please fix soon."/>
    <x v="9"/>
    <x v="34"/>
    <x v="2497"/>
    <x v="1"/>
    <x v="1"/>
    <n v="432"/>
    <x v="60"/>
    <x v="0"/>
    <x v="2"/>
    <s v="15.6.37"/>
    <s v="Average"/>
  </r>
  <r>
    <n v="2499"/>
    <n v="9330964"/>
    <x v="29"/>
    <x v="11"/>
    <s v="Нажать достоинство мелочь понятный роскошный помимо тревога."/>
    <x v="4"/>
    <x v="9"/>
    <x v="2498"/>
    <x v="0"/>
    <x v="1"/>
    <n v="1098"/>
    <x v="20"/>
    <x v="15"/>
    <x v="2"/>
    <s v="8.6.11"/>
    <s v="Excellent"/>
  </r>
  <r>
    <n v="2500"/>
    <n v="1785031"/>
    <x v="22"/>
    <x v="15"/>
    <s v="Great app but too many ads, consider premium version."/>
    <x v="23"/>
    <x v="16"/>
    <x v="2499"/>
    <x v="0"/>
    <x v="4"/>
    <n v="571"/>
    <x v="57"/>
    <x v="17"/>
    <x v="3"/>
    <s v="10.1.15-beta"/>
    <s v="Excellent"/>
  </r>
  <r>
    <n v="2501"/>
    <n v="783460"/>
    <x v="33"/>
    <x v="7"/>
    <s v="Ullam in omnis eaque amet."/>
    <x v="13"/>
    <x v="21"/>
    <x v="2500"/>
    <x v="0"/>
    <x v="4"/>
    <n v="436"/>
    <x v="4"/>
    <x v="17"/>
    <x v="3"/>
    <s v="10.5"/>
    <s v="Excellent"/>
  </r>
  <r>
    <n v="2502"/>
    <n v="9970107"/>
    <x v="24"/>
    <x v="4"/>
    <s v="Excellent customer support and regular feature updates."/>
    <x v="14"/>
    <x v="34"/>
    <x v="2501"/>
    <x v="0"/>
    <x v="3"/>
    <n v="214"/>
    <x v="12"/>
    <x v="3"/>
    <x v="2"/>
    <s v="2.5.31-beta"/>
    <s v="Average"/>
  </r>
  <r>
    <n v="2503"/>
    <n v="8102347"/>
    <x v="38"/>
    <x v="0"/>
    <s v="No Review"/>
    <x v="1"/>
    <x v="9"/>
    <x v="2502"/>
    <x v="0"/>
    <x v="0"/>
    <n v="19"/>
    <x v="41"/>
    <x v="16"/>
    <x v="4"/>
    <s v="1.3.81"/>
    <s v="Excellent"/>
  </r>
  <r>
    <n v="2504"/>
    <n v="6158725"/>
    <x v="16"/>
    <x v="0"/>
    <s v="Works perfectly on my device, no complaints at all."/>
    <x v="1"/>
    <x v="22"/>
    <x v="2503"/>
    <x v="0"/>
    <x v="3"/>
    <n v="98"/>
    <x v="21"/>
    <x v="2"/>
    <x v="4"/>
    <s v="15.6.51.1383"/>
    <s v="Poor"/>
  </r>
  <r>
    <n v="2505"/>
    <n v="1893332"/>
    <x v="36"/>
    <x v="5"/>
    <s v="This app is amazing! Really love the new features."/>
    <x v="17"/>
    <x v="15"/>
    <x v="2504"/>
    <x v="0"/>
    <x v="4"/>
    <n v="346"/>
    <x v="25"/>
    <x v="1"/>
    <x v="1"/>
    <s v="12.2"/>
    <s v="Poor"/>
  </r>
  <r>
    <n v="2506"/>
    <n v="9515213"/>
    <x v="5"/>
    <x v="5"/>
    <s v="Some bugs need fixing but generally satisfied with it."/>
    <x v="6"/>
    <x v="11"/>
    <x v="2505"/>
    <x v="0"/>
    <x v="1"/>
    <n v="1179"/>
    <x v="29"/>
    <x v="20"/>
    <x v="0"/>
    <s v="15.1.90.8691"/>
    <s v="Good"/>
  </r>
  <r>
    <n v="2507"/>
    <n v="1475880"/>
    <x v="40"/>
    <x v="8"/>
    <s v="Works perfectly on my device, no complaints at all."/>
    <x v="9"/>
    <x v="39"/>
    <x v="2506"/>
    <x v="0"/>
    <x v="1"/>
    <n v="621"/>
    <x v="11"/>
    <x v="2"/>
    <x v="0"/>
    <s v="v1.2.29"/>
    <s v="Good"/>
  </r>
  <r>
    <n v="2508"/>
    <n v="3205952"/>
    <x v="15"/>
    <x v="11"/>
    <s v="ノート暖かい学生建築職人ジャム花嫁。 普通のスマッシュ目的トースト埋め込むシュガー符号。 分割極端なリフト敵対的な怒り追放する知覚。"/>
    <x v="19"/>
    <x v="24"/>
    <x v="2507"/>
    <x v="0"/>
    <x v="2"/>
    <n v="214"/>
    <x v="27"/>
    <x v="8"/>
    <x v="4"/>
    <s v="9.5"/>
    <s v="Poor"/>
  </r>
  <r>
    <n v="2509"/>
    <n v="7004546"/>
    <x v="8"/>
    <x v="7"/>
    <s v="功能一些工具因为全国解决以上注意. 然后这么包括女人根据那个."/>
    <x v="4"/>
    <x v="21"/>
    <x v="2508"/>
    <x v="0"/>
    <x v="4"/>
    <n v="649"/>
    <x v="39"/>
    <x v="9"/>
    <x v="4"/>
    <s v="11.7"/>
    <s v="Excellent"/>
  </r>
  <r>
    <n v="2510"/>
    <n v="2322118"/>
    <x v="28"/>
    <x v="16"/>
    <s v="Счастье низкий пастух. Нож неожиданно поезд тревога. Монета крыса эпоха металл командование следовательно правый."/>
    <x v="11"/>
    <x v="34"/>
    <x v="2509"/>
    <x v="1"/>
    <x v="2"/>
    <n v="635"/>
    <x v="32"/>
    <x v="7"/>
    <x v="3"/>
    <s v="1.1.2-beta"/>
    <s v="Average"/>
  </r>
  <r>
    <n v="2511"/>
    <n v="2167693"/>
    <x v="5"/>
    <x v="15"/>
    <s v="This app is amazing! Really love the new features."/>
    <x v="8"/>
    <x v="20"/>
    <x v="2510"/>
    <x v="0"/>
    <x v="3"/>
    <n v="1127"/>
    <x v="51"/>
    <x v="20"/>
    <x v="4"/>
    <s v="v12.0.80"/>
    <s v="Very Poor"/>
  </r>
  <r>
    <n v="2512"/>
    <n v="5554467"/>
    <x v="28"/>
    <x v="6"/>
    <s v="This app is amazing! Really love the new features."/>
    <x v="14"/>
    <x v="17"/>
    <x v="2511"/>
    <x v="0"/>
    <x v="0"/>
    <n v="677"/>
    <x v="35"/>
    <x v="9"/>
    <x v="4"/>
    <s v="9.1.32.4821"/>
    <s v="Average"/>
  </r>
  <r>
    <n v="2513"/>
    <n v="8805125"/>
    <x v="9"/>
    <x v="6"/>
    <s v="Invitare convincere pericoloso corsa fortuna. Mamma uguale internazionale direttore intendere."/>
    <x v="6"/>
    <x v="10"/>
    <x v="2512"/>
    <x v="0"/>
    <x v="4"/>
    <n v="155"/>
    <x v="34"/>
    <x v="3"/>
    <x v="4"/>
    <s v="v8.9.13"/>
    <s v="Poor"/>
  </r>
  <r>
    <n v="2514"/>
    <n v="1099793"/>
    <x v="3"/>
    <x v="4"/>
    <s v="Latest update broke some features, please fix soon."/>
    <x v="10"/>
    <x v="15"/>
    <x v="2513"/>
    <x v="0"/>
    <x v="4"/>
    <n v="1040"/>
    <x v="20"/>
    <x v="20"/>
    <x v="2"/>
    <s v="2.2"/>
    <s v="Poo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6F73CE-D59D-4A87-ACBA-F9406999C160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54:B167" firstHeaderRow="1" firstDataRow="1" firstDataCol="1"/>
  <pivotFields count="19">
    <pivotField dataField="1" showAll="0"/>
    <pivotField numFmtId="1" showAll="0"/>
    <pivotField showAll="0"/>
    <pivotField showAll="0"/>
    <pivotField showAll="0"/>
    <pivotField showAll="0"/>
    <pivotField numFmtId="164" showAll="0">
      <items count="7">
        <item x="0"/>
        <item x="1"/>
        <item x="2"/>
        <item x="3"/>
        <item x="4"/>
        <item x="5"/>
        <item t="default"/>
      </items>
    </pivotField>
    <pivotField numFmtId="22" showAll="0">
      <items count="2515">
        <item x="2075"/>
        <item x="150"/>
        <item x="718"/>
        <item x="1267"/>
        <item x="1252"/>
        <item x="1052"/>
        <item x="2376"/>
        <item x="2501"/>
        <item x="2320"/>
        <item x="646"/>
        <item x="593"/>
        <item x="1654"/>
        <item x="1719"/>
        <item x="1145"/>
        <item x="2347"/>
        <item x="681"/>
        <item x="1992"/>
        <item x="1260"/>
        <item x="670"/>
        <item x="1634"/>
        <item x="51"/>
        <item x="1290"/>
        <item x="2406"/>
        <item x="808"/>
        <item x="789"/>
        <item x="2048"/>
        <item x="747"/>
        <item x="2381"/>
        <item x="1676"/>
        <item x="2331"/>
        <item x="2423"/>
        <item x="687"/>
        <item x="525"/>
        <item x="839"/>
        <item x="1961"/>
        <item x="377"/>
        <item x="500"/>
        <item x="1369"/>
        <item x="460"/>
        <item x="909"/>
        <item x="1285"/>
        <item x="2119"/>
        <item x="1566"/>
        <item x="2085"/>
        <item x="1507"/>
        <item x="1488"/>
        <item x="595"/>
        <item x="121"/>
        <item x="2306"/>
        <item x="1365"/>
        <item x="957"/>
        <item x="1014"/>
        <item x="2217"/>
        <item x="1375"/>
        <item x="1513"/>
        <item x="2466"/>
        <item x="1195"/>
        <item x="2288"/>
        <item x="2191"/>
        <item x="1867"/>
        <item x="531"/>
        <item x="2354"/>
        <item x="2120"/>
        <item x="1189"/>
        <item x="226"/>
        <item x="1305"/>
        <item x="935"/>
        <item x="407"/>
        <item x="859"/>
        <item x="2387"/>
        <item x="294"/>
        <item x="1965"/>
        <item x="2352"/>
        <item x="1581"/>
        <item x="674"/>
        <item x="1881"/>
        <item x="1749"/>
        <item x="1317"/>
        <item x="182"/>
        <item x="2185"/>
        <item x="1407"/>
        <item x="1470"/>
        <item x="205"/>
        <item x="2115"/>
        <item x="1335"/>
        <item x="1949"/>
        <item x="2161"/>
        <item x="1141"/>
        <item x="1158"/>
        <item x="1243"/>
        <item x="206"/>
        <item x="873"/>
        <item x="1403"/>
        <item x="1217"/>
        <item x="2140"/>
        <item x="574"/>
        <item x="815"/>
        <item x="1005"/>
        <item x="347"/>
        <item x="1575"/>
        <item x="1066"/>
        <item x="634"/>
        <item x="2430"/>
        <item x="1258"/>
        <item x="561"/>
        <item x="252"/>
        <item x="675"/>
        <item x="1608"/>
        <item x="1511"/>
        <item x="563"/>
        <item x="1463"/>
        <item x="2357"/>
        <item x="2221"/>
        <item x="1716"/>
        <item x="841"/>
        <item x="1204"/>
        <item x="1065"/>
        <item x="2502"/>
        <item x="985"/>
        <item x="997"/>
        <item x="158"/>
        <item x="265"/>
        <item x="1303"/>
        <item x="1912"/>
        <item x="1372"/>
        <item x="1955"/>
        <item x="2465"/>
        <item x="1356"/>
        <item x="406"/>
        <item x="1809"/>
        <item x="1577"/>
        <item x="2169"/>
        <item x="296"/>
        <item x="1578"/>
        <item x="641"/>
        <item x="628"/>
        <item x="2034"/>
        <item x="349"/>
        <item x="2071"/>
        <item x="2496"/>
        <item x="1135"/>
        <item x="189"/>
        <item x="2202"/>
        <item x="2427"/>
        <item x="128"/>
        <item x="963"/>
        <item x="1508"/>
        <item x="1518"/>
        <item x="1453"/>
        <item x="1057"/>
        <item x="1695"/>
        <item x="1718"/>
        <item x="840"/>
        <item x="749"/>
        <item x="2379"/>
        <item x="123"/>
        <item x="1740"/>
        <item x="472"/>
        <item x="8"/>
        <item x="801"/>
        <item x="2027"/>
        <item x="1292"/>
        <item x="1337"/>
        <item x="1498"/>
        <item x="373"/>
        <item x="2078"/>
        <item x="1006"/>
        <item x="1797"/>
        <item x="1102"/>
        <item x="484"/>
        <item x="1377"/>
        <item x="202"/>
        <item x="1283"/>
        <item x="1087"/>
        <item x="94"/>
        <item x="1612"/>
        <item x="990"/>
        <item x="1871"/>
        <item x="31"/>
        <item x="1804"/>
        <item x="505"/>
        <item x="2237"/>
        <item x="2450"/>
        <item x="1308"/>
        <item x="2147"/>
        <item x="2434"/>
        <item x="2178"/>
        <item x="1055"/>
        <item x="462"/>
        <item x="743"/>
        <item x="191"/>
        <item x="2500"/>
        <item x="2339"/>
        <item x="1673"/>
        <item x="1219"/>
        <item x="2176"/>
        <item x="1385"/>
        <item x="2328"/>
        <item x="1947"/>
        <item x="220"/>
        <item x="740"/>
        <item x="1664"/>
        <item x="2166"/>
        <item x="1357"/>
        <item x="172"/>
        <item x="1776"/>
        <item x="37"/>
        <item x="106"/>
        <item x="2471"/>
        <item x="1650"/>
        <item x="1471"/>
        <item x="1619"/>
        <item x="272"/>
        <item x="463"/>
        <item x="2454"/>
        <item x="881"/>
        <item x="1027"/>
        <item x="1989"/>
        <item x="2444"/>
        <item x="668"/>
        <item x="1360"/>
        <item x="271"/>
        <item x="1682"/>
        <item x="1645"/>
        <item x="959"/>
        <item x="1576"/>
        <item x="845"/>
        <item x="688"/>
        <item x="23"/>
        <item x="389"/>
        <item x="545"/>
        <item x="709"/>
        <item x="1772"/>
        <item x="455"/>
        <item x="551"/>
        <item x="1133"/>
        <item x="1137"/>
        <item x="1593"/>
        <item x="955"/>
        <item x="850"/>
        <item x="1239"/>
        <item x="901"/>
        <item x="1166"/>
        <item x="236"/>
        <item x="896"/>
        <item x="1425"/>
        <item x="950"/>
        <item x="696"/>
        <item x="1071"/>
        <item x="1514"/>
        <item x="537"/>
        <item x="904"/>
        <item x="1572"/>
        <item x="485"/>
        <item x="248"/>
        <item x="1592"/>
        <item x="1154"/>
        <item x="498"/>
        <item x="2336"/>
        <item x="201"/>
        <item x="2136"/>
        <item x="779"/>
        <item x="1886"/>
        <item x="1060"/>
        <item x="1068"/>
        <item x="1394"/>
        <item x="1983"/>
        <item x="1997"/>
        <item x="1589"/>
        <item x="38"/>
        <item x="566"/>
        <item x="2164"/>
        <item x="1240"/>
        <item x="2361"/>
        <item x="1461"/>
        <item x="1626"/>
        <item x="2142"/>
        <item x="1093"/>
        <item x="1580"/>
        <item x="107"/>
        <item x="1449"/>
        <item x="1878"/>
        <item x="125"/>
        <item x="633"/>
        <item x="1659"/>
        <item x="390"/>
        <item x="971"/>
        <item x="482"/>
        <item x="2156"/>
        <item x="532"/>
        <item x="1418"/>
        <item x="403"/>
        <item x="2249"/>
        <item x="1815"/>
        <item x="1432"/>
        <item x="877"/>
        <item x="643"/>
        <item x="1648"/>
        <item x="2390"/>
        <item x="1277"/>
        <item x="1573"/>
        <item x="918"/>
        <item x="1601"/>
        <item x="1544"/>
        <item x="1400"/>
        <item x="1647"/>
        <item x="1261"/>
        <item x="1694"/>
        <item x="1007"/>
        <item x="17"/>
        <item x="1063"/>
        <item x="20"/>
        <item x="1110"/>
        <item x="854"/>
        <item x="1711"/>
        <item x="804"/>
        <item x="897"/>
        <item x="129"/>
        <item x="2436"/>
        <item x="1607"/>
        <item x="1745"/>
        <item x="141"/>
        <item x="1300"/>
        <item x="2177"/>
        <item x="1852"/>
        <item x="1152"/>
        <item x="2350"/>
        <item x="2146"/>
        <item x="425"/>
        <item x="936"/>
        <item x="276"/>
        <item x="424"/>
        <item x="1231"/>
        <item x="1556"/>
        <item x="1641"/>
        <item x="656"/>
        <item x="468"/>
        <item x="2189"/>
        <item x="807"/>
        <item x="115"/>
        <item x="1200"/>
        <item x="30"/>
        <item x="2356"/>
        <item x="770"/>
        <item x="2481"/>
        <item x="1666"/>
        <item x="602"/>
        <item x="2428"/>
        <item x="1434"/>
        <item x="1153"/>
        <item x="2281"/>
        <item x="2054"/>
        <item x="190"/>
        <item x="1287"/>
        <item x="2061"/>
        <item x="122"/>
        <item x="195"/>
        <item x="1528"/>
        <item x="2255"/>
        <item x="1088"/>
        <item x="2280"/>
        <item x="2175"/>
        <item x="244"/>
        <item x="1866"/>
        <item x="1160"/>
        <item x="2418"/>
        <item x="501"/>
        <item x="53"/>
        <item x="1504"/>
        <item x="1982"/>
        <item x="1030"/>
        <item x="461"/>
        <item x="1545"/>
        <item x="2226"/>
        <item x="619"/>
        <item x="2128"/>
        <item x="264"/>
        <item x="882"/>
        <item x="899"/>
        <item x="1358"/>
        <item x="793"/>
        <item x="1905"/>
        <item x="249"/>
        <item x="1954"/>
        <item x="89"/>
        <item x="2351"/>
        <item x="429"/>
        <item x="2079"/>
        <item x="642"/>
        <item x="325"/>
        <item x="2251"/>
        <item x="2283"/>
        <item x="1701"/>
        <item x="2242"/>
        <item x="10"/>
        <item x="1050"/>
        <item x="2394"/>
        <item x="757"/>
        <item x="227"/>
        <item x="2213"/>
        <item x="1808"/>
        <item x="2509"/>
        <item x="1035"/>
        <item x="200"/>
        <item x="1455"/>
        <item x="1167"/>
        <item x="988"/>
        <item x="2400"/>
        <item x="1567"/>
        <item x="480"/>
        <item x="235"/>
        <item x="1843"/>
        <item x="2433"/>
        <item x="2062"/>
        <item x="876"/>
        <item x="1080"/>
        <item x="1746"/>
        <item x="2493"/>
        <item x="833"/>
        <item x="44"/>
        <item x="1724"/>
        <item x="926"/>
        <item x="1506"/>
        <item x="2173"/>
        <item x="1880"/>
        <item x="1207"/>
        <item x="2451"/>
        <item x="1127"/>
        <item x="999"/>
        <item x="18"/>
        <item x="2512"/>
        <item x="1341"/>
        <item x="662"/>
        <item x="2303"/>
        <item x="1419"/>
        <item x="2193"/>
        <item x="2388"/>
        <item x="1015"/>
        <item x="2478"/>
        <item x="775"/>
        <item x="255"/>
        <item x="1931"/>
        <item x="2315"/>
        <item x="1274"/>
        <item x="286"/>
        <item x="435"/>
        <item x="528"/>
        <item x="428"/>
        <item x="473"/>
        <item x="778"/>
        <item x="1205"/>
        <item x="393"/>
        <item x="1705"/>
        <item x="2396"/>
        <item x="2476"/>
        <item x="2218"/>
        <item x="2052"/>
        <item x="533"/>
        <item x="1417"/>
        <item x="711"/>
        <item x="1478"/>
        <item x="2159"/>
        <item x="228"/>
        <item x="2389"/>
        <item x="2344"/>
        <item x="194"/>
        <item x="1761"/>
        <item x="772"/>
        <item x="1197"/>
        <item x="2043"/>
        <item x="1034"/>
        <item x="1265"/>
        <item x="178"/>
        <item x="112"/>
        <item x="2486"/>
        <item x="1397"/>
        <item x="230"/>
        <item x="395"/>
        <item x="1909"/>
        <item x="2017"/>
        <item x="514"/>
        <item x="1844"/>
        <item x="1140"/>
        <item x="1101"/>
        <item x="1075"/>
        <item x="1974"/>
        <item x="623"/>
        <item x="1517"/>
        <item x="2215"/>
        <item x="524"/>
        <item x="1971"/>
        <item x="884"/>
        <item x="1616"/>
        <item x="973"/>
        <item x="1176"/>
        <item x="1074"/>
        <item x="1932"/>
        <item x="2457"/>
        <item x="540"/>
        <item x="1510"/>
        <item x="414"/>
        <item x="1930"/>
        <item x="752"/>
        <item x="152"/>
        <item x="796"/>
        <item x="570"/>
        <item x="792"/>
        <item x="2236"/>
        <item x="291"/>
        <item x="893"/>
        <item x="534"/>
        <item x="1534"/>
        <item x="932"/>
        <item x="852"/>
        <item x="1321"/>
        <item x="1179"/>
        <item x="2036"/>
        <item x="2044"/>
        <item x="1679"/>
        <item x="1255"/>
        <item x="118"/>
        <item x="1310"/>
        <item x="2219"/>
        <item x="1525"/>
        <item x="886"/>
        <item x="2018"/>
        <item x="119"/>
        <item x="1388"/>
        <item x="81"/>
        <item x="2199"/>
        <item x="1821"/>
        <item x="1631"/>
        <item x="846"/>
        <item x="2010"/>
        <item x="415"/>
        <item x="1669"/>
        <item x="2012"/>
        <item x="2104"/>
        <item x="101"/>
        <item x="594"/>
        <item x="1163"/>
        <item x="651"/>
        <item x="2291"/>
        <item x="2298"/>
        <item x="1754"/>
        <item x="1295"/>
        <item x="1402"/>
        <item x="611"/>
        <item x="1094"/>
        <item x="311"/>
        <item x="1004"/>
        <item x="748"/>
        <item x="908"/>
        <item x="1562"/>
        <item x="1813"/>
        <item x="1748"/>
        <item x="1864"/>
        <item x="1464"/>
        <item x="2299"/>
        <item x="2413"/>
        <item x="1536"/>
        <item x="1976"/>
        <item x="192"/>
        <item x="1926"/>
        <item x="2077"/>
        <item x="2292"/>
        <item x="2327"/>
        <item x="1194"/>
        <item x="1331"/>
        <item x="2049"/>
        <item x="55"/>
        <item x="1564"/>
        <item x="1794"/>
        <item x="671"/>
        <item x="2463"/>
        <item x="1984"/>
        <item x="382"/>
        <item x="986"/>
        <item x="26"/>
        <item x="1629"/>
        <item x="1519"/>
        <item x="1606"/>
        <item x="1072"/>
        <item x="1615"/>
        <item x="1227"/>
        <item x="411"/>
        <item x="1859"/>
        <item x="5"/>
        <item x="1364"/>
        <item x="1902"/>
        <item x="362"/>
        <item x="797"/>
        <item x="1495"/>
        <item x="45"/>
        <item x="2397"/>
        <item x="104"/>
        <item x="1446"/>
        <item x="978"/>
        <item x="1849"/>
        <item x="335"/>
        <item x="1009"/>
        <item x="686"/>
        <item x="1367"/>
        <item x="2087"/>
        <item x="61"/>
        <item x="63"/>
        <item x="1835"/>
        <item x="2126"/>
        <item x="279"/>
        <item x="1554"/>
        <item x="1782"/>
        <item x="355"/>
        <item x="2326"/>
        <item x="1077"/>
        <item x="2441"/>
        <item x="1678"/>
        <item x="1324"/>
        <item x="1807"/>
        <item x="167"/>
        <item x="2031"/>
        <item x="1319"/>
        <item x="2241"/>
        <item x="1704"/>
        <item x="476"/>
        <item x="2021"/>
        <item x="1316"/>
        <item x="2384"/>
        <item x="1793"/>
        <item x="1184"/>
        <item x="2233"/>
        <item x="2188"/>
        <item x="1318"/>
        <item x="1257"/>
        <item x="1981"/>
        <item x="1143"/>
        <item x="1796"/>
        <item x="547"/>
        <item x="274"/>
        <item x="1941"/>
        <item x="489"/>
        <item x="753"/>
        <item x="912"/>
        <item x="483"/>
        <item x="102"/>
        <item x="946"/>
        <item x="48"/>
        <item x="21"/>
        <item x="1162"/>
        <item x="1104"/>
        <item x="1457"/>
        <item x="630"/>
        <item x="1416"/>
        <item x="1224"/>
        <item x="1777"/>
        <item x="2086"/>
        <item x="855"/>
        <item x="1823"/>
        <item x="706"/>
        <item x="1887"/>
        <item x="1991"/>
        <item x="1382"/>
        <item x="1456"/>
        <item x="1210"/>
        <item x="2117"/>
        <item x="2419"/>
        <item x="2333"/>
        <item x="1304"/>
        <item x="847"/>
        <item x="1244"/>
        <item x="304"/>
        <item x="11"/>
        <item x="1851"/>
        <item x="459"/>
        <item x="2278"/>
        <item x="526"/>
        <item x="1494"/>
        <item x="2025"/>
        <item x="1320"/>
        <item x="449"/>
        <item x="763"/>
        <item x="1721"/>
        <item x="2372"/>
        <item x="1355"/>
        <item x="2342"/>
        <item x="268"/>
        <item x="974"/>
        <item x="474"/>
        <item x="169"/>
        <item x="2033"/>
        <item x="964"/>
        <item x="2134"/>
        <item x="722"/>
        <item x="1595"/>
        <item x="1805"/>
        <item x="708"/>
        <item x="404"/>
        <item x="1806"/>
        <item x="767"/>
        <item x="2398"/>
        <item x="495"/>
        <item x="371"/>
        <item x="327"/>
        <item x="738"/>
        <item x="1391"/>
        <item x="331"/>
        <item x="1134"/>
        <item x="1649"/>
        <item x="416"/>
        <item x="1903"/>
        <item x="469"/>
        <item x="731"/>
        <item x="541"/>
        <item x="542"/>
        <item x="559"/>
        <item x="2504"/>
        <item x="160"/>
        <item x="41"/>
        <item x="1696"/>
        <item x="848"/>
        <item x="1918"/>
        <item x="1689"/>
        <item x="1978"/>
        <item x="290"/>
        <item x="1546"/>
        <item x="1891"/>
        <item x="1165"/>
        <item x="145"/>
        <item x="2425"/>
        <item x="755"/>
        <item x="1538"/>
        <item x="1059"/>
        <item x="2004"/>
        <item x="795"/>
        <item x="1975"/>
        <item x="1910"/>
        <item x="1361"/>
        <item x="448"/>
        <item x="1913"/>
        <item x="1675"/>
        <item x="2015"/>
        <item x="734"/>
        <item x="2028"/>
        <item x="440"/>
        <item x="2380"/>
        <item x="2005"/>
        <item x="1114"/>
        <item x="1764"/>
        <item x="113"/>
        <item x="1791"/>
        <item x="1520"/>
        <item x="868"/>
        <item x="1476"/>
        <item x="944"/>
        <item x="608"/>
        <item x="1148"/>
        <item x="367"/>
        <item x="216"/>
        <item x="1980"/>
        <item x="2383"/>
        <item x="1155"/>
        <item x="126"/>
        <item x="733"/>
        <item x="269"/>
        <item x="2312"/>
        <item x="652"/>
        <item x="343"/>
        <item x="921"/>
        <item x="313"/>
        <item x="1096"/>
        <item x="203"/>
        <item x="2187"/>
        <item x="136"/>
        <item x="1248"/>
        <item x="1985"/>
        <item x="225"/>
        <item x="2209"/>
        <item x="1755"/>
        <item x="1583"/>
        <item x="307"/>
        <item x="600"/>
        <item x="1858"/>
        <item x="135"/>
        <item x="396"/>
        <item x="479"/>
        <item x="1348"/>
        <item x="864"/>
        <item x="2275"/>
        <item x="250"/>
        <item x="1550"/>
        <item x="1097"/>
        <item x="1460"/>
        <item x="305"/>
        <item x="2030"/>
        <item x="52"/>
        <item x="1751"/>
        <item x="1934"/>
        <item x="587"/>
        <item x="567"/>
        <item x="352"/>
        <item x="1742"/>
        <item x="1037"/>
        <item x="830"/>
        <item x="2349"/>
        <item x="2455"/>
        <item x="1458"/>
        <item x="1963"/>
        <item x="875"/>
        <item x="76"/>
        <item x="1523"/>
        <item x="1707"/>
        <item x="1232"/>
        <item x="858"/>
        <item x="598"/>
        <item x="588"/>
        <item x="1940"/>
        <item x="1043"/>
        <item x="494"/>
        <item x="369"/>
        <item x="245"/>
        <item x="787"/>
        <item x="465"/>
        <item x="2422"/>
        <item x="153"/>
        <item x="1289"/>
        <item x="798"/>
        <item x="1660"/>
        <item x="1076"/>
        <item x="596"/>
        <item x="692"/>
        <item x="2262"/>
        <item x="776"/>
        <item x="1172"/>
        <item x="1220"/>
        <item x="116"/>
        <item x="266"/>
        <item x="631"/>
        <item x="46"/>
        <item x="679"/>
        <item x="1605"/>
        <item x="1842"/>
        <item x="1668"/>
        <item x="492"/>
        <item x="1638"/>
        <item x="1106"/>
        <item x="1853"/>
        <item x="1959"/>
        <item x="1561"/>
        <item x="550"/>
        <item x="2271"/>
        <item x="1610"/>
        <item x="2235"/>
        <item x="1024"/>
        <item x="513"/>
        <item x="2074"/>
        <item x="2037"/>
        <item x="1677"/>
        <item x="444"/>
        <item x="2053"/>
        <item x="1904"/>
        <item x="849"/>
        <item x="1440"/>
        <item x="900"/>
        <item x="2112"/>
        <item x="19"/>
        <item x="805"/>
        <item x="1540"/>
        <item x="1502"/>
        <item x="1159"/>
        <item x="751"/>
        <item x="2321"/>
        <item x="1334"/>
        <item x="70"/>
        <item x="177"/>
        <item x="1945"/>
        <item x="2179"/>
        <item x="949"/>
        <item x="323"/>
        <item x="183"/>
        <item x="329"/>
        <item x="800"/>
        <item x="689"/>
        <item x="408"/>
        <item x="917"/>
        <item x="1579"/>
        <item x="519"/>
        <item x="2132"/>
        <item x="592"/>
        <item x="1917"/>
        <item x="2032"/>
        <item x="2506"/>
        <item x="1270"/>
        <item x="968"/>
        <item x="1298"/>
        <item x="2184"/>
        <item x="1929"/>
        <item x="1829"/>
        <item x="1672"/>
        <item x="2203"/>
        <item x="1969"/>
        <item x="2198"/>
        <item x="923"/>
        <item x="2208"/>
        <item x="2452"/>
        <item x="1763"/>
        <item x="4"/>
        <item x="1773"/>
        <item x="1278"/>
        <item x="869"/>
        <item x="2370"/>
        <item x="1652"/>
        <item x="648"/>
        <item x="1404"/>
        <item x="857"/>
        <item x="1191"/>
        <item x="512"/>
        <item x="769"/>
        <item x="966"/>
        <item x="306"/>
        <item x="215"/>
        <item x="650"/>
        <item x="1781"/>
        <item x="1531"/>
        <item x="1854"/>
        <item x="2040"/>
        <item x="1233"/>
        <item x="1759"/>
        <item x="1599"/>
        <item x="62"/>
        <item x="1787"/>
        <item x="1810"/>
        <item x="1900"/>
        <item x="527"/>
        <item x="1632"/>
        <item x="438"/>
        <item x="2332"/>
        <item x="972"/>
        <item x="2100"/>
        <item x="1762"/>
        <item x="1691"/>
        <item x="420"/>
        <item x="1465"/>
        <item x="1663"/>
        <item x="2095"/>
        <item x="2421"/>
        <item x="746"/>
        <item x="735"/>
        <item x="2386"/>
        <item x="2108"/>
        <item x="391"/>
        <item x="1826"/>
        <item x="1452"/>
        <item x="2269"/>
        <item x="783"/>
        <item x="1196"/>
        <item x="2285"/>
        <item x="1555"/>
        <item x="1045"/>
        <item x="2330"/>
        <item x="1730"/>
        <item x="1299"/>
        <item x="824"/>
        <item x="659"/>
        <item x="1362"/>
        <item x="2151"/>
        <item x="2046"/>
        <item x="1524"/>
        <item x="120"/>
        <item x="282"/>
        <item x="818"/>
        <item x="1405"/>
        <item x="14"/>
        <item x="1448"/>
        <item x="1951"/>
        <item x="2064"/>
        <item x="1574"/>
        <item x="2266"/>
        <item x="240"/>
        <item x="66"/>
        <item x="1103"/>
        <item x="1499"/>
        <item x="2148"/>
        <item x="1073"/>
        <item x="2353"/>
        <item x="2224"/>
        <item x="433"/>
        <item x="334"/>
        <item x="453"/>
        <item x="1131"/>
        <item x="2304"/>
        <item x="1389"/>
        <item x="1410"/>
        <item x="1352"/>
        <item x="1558"/>
        <item x="209"/>
        <item x="1814"/>
        <item x="811"/>
        <item x="2417"/>
        <item x="1665"/>
        <item x="2317"/>
        <item x="502"/>
        <item x="1889"/>
        <item x="345"/>
        <item x="2066"/>
        <item x="1922"/>
        <item x="1333"/>
        <item x="2026"/>
        <item x="603"/>
        <item x="929"/>
        <item x="105"/>
        <item x="1242"/>
        <item x="2091"/>
        <item x="1767"/>
        <item x="1450"/>
        <item x="1543"/>
        <item x="6"/>
        <item x="919"/>
        <item x="40"/>
        <item x="2003"/>
        <item x="163"/>
        <item x="218"/>
        <item x="1384"/>
        <item x="802"/>
        <item x="1968"/>
        <item x="510"/>
        <item x="454"/>
        <item x="157"/>
        <item x="90"/>
        <item x="597"/>
        <item x="1459"/>
        <item x="2263"/>
        <item x="237"/>
        <item x="2162"/>
        <item x="1047"/>
        <item x="1001"/>
        <item x="892"/>
        <item x="241"/>
        <item x="538"/>
        <item x="2181"/>
        <item x="2341"/>
        <item x="359"/>
        <item x="2197"/>
        <item x="861"/>
        <item x="1338"/>
        <item x="95"/>
        <item x="2072"/>
        <item x="2171"/>
        <item x="1760"/>
        <item x="1750"/>
        <item x="2301"/>
        <item x="2366"/>
        <item x="1344"/>
        <item x="1439"/>
        <item x="1156"/>
        <item x="2364"/>
        <item x="684"/>
        <item x="552"/>
        <item x="726"/>
        <item x="535"/>
        <item x="1142"/>
        <item x="2103"/>
        <item x="267"/>
        <item x="1725"/>
        <item x="2416"/>
        <item x="2246"/>
        <item x="1995"/>
        <item x="834"/>
        <item x="1535"/>
        <item x="478"/>
        <item x="1604"/>
        <item x="828"/>
        <item x="1406"/>
        <item x="1368"/>
        <item x="350"/>
        <item x="1670"/>
        <item x="442"/>
        <item x="562"/>
        <item x="1890"/>
        <item x="496"/>
        <item x="224"/>
        <item x="2507"/>
        <item x="1038"/>
        <item x="774"/>
        <item x="736"/>
        <item x="2503"/>
        <item x="75"/>
        <item x="1473"/>
        <item x="2013"/>
        <item x="2225"/>
        <item x="1515"/>
        <item x="677"/>
        <item x="887"/>
        <item x="2022"/>
        <item x="1921"/>
        <item x="2403"/>
        <item x="1662"/>
        <item x="1354"/>
        <item x="914"/>
        <item x="1732"/>
        <item x="1373"/>
        <item x="2511"/>
        <item x="970"/>
        <item x="1241"/>
        <item x="213"/>
        <item x="556"/>
        <item x="92"/>
        <item x="259"/>
        <item x="1345"/>
        <item x="822"/>
        <item x="2212"/>
        <item x="1209"/>
        <item x="2461"/>
        <item x="621"/>
        <item x="1053"/>
        <item x="1012"/>
        <item x="1008"/>
        <item x="606"/>
        <item x="185"/>
        <item x="1"/>
        <item x="1850"/>
        <item x="2243"/>
        <item x="72"/>
        <item x="1936"/>
        <item x="1500"/>
        <item x="1928"/>
        <item x="759"/>
        <item x="1213"/>
        <item x="1294"/>
        <item x="1962"/>
        <item x="1091"/>
        <item x="1970"/>
        <item x="42"/>
        <item x="851"/>
        <item x="1571"/>
        <item x="340"/>
        <item x="1247"/>
        <item x="1113"/>
        <item x="578"/>
        <item x="1800"/>
        <item x="1483"/>
        <item x="212"/>
        <item x="1226"/>
        <item x="1906"/>
        <item x="1894"/>
        <item x="1017"/>
        <item x="2082"/>
        <item x="84"/>
        <item x="1731"/>
        <item x="1169"/>
        <item x="1702"/>
        <item x="1284"/>
        <item x="691"/>
        <item x="13"/>
        <item x="98"/>
        <item x="458"/>
        <item x="1509"/>
        <item x="77"/>
        <item x="1083"/>
        <item x="1833"/>
        <item x="1199"/>
        <item x="217"/>
        <item x="1085"/>
        <item x="1712"/>
        <item x="1521"/>
        <item x="2194"/>
        <item x="1340"/>
        <item x="756"/>
        <item x="2429"/>
        <item x="110"/>
        <item x="1178"/>
        <item x="168"/>
        <item x="2047"/>
        <item x="2247"/>
        <item x="488"/>
        <item x="730"/>
        <item x="1622"/>
        <item x="1657"/>
        <item x="221"/>
        <item x="1639"/>
        <item x="143"/>
        <item x="29"/>
        <item x="2029"/>
        <item x="1933"/>
        <item x="1803"/>
        <item x="1301"/>
        <item x="127"/>
        <item x="2214"/>
        <item x="1820"/>
        <item x="2011"/>
        <item x="1919"/>
        <item x="1802"/>
        <item x="1315"/>
        <item x="2096"/>
        <item x="1541"/>
        <item x="328"/>
        <item x="2257"/>
        <item x="1588"/>
        <item x="1862"/>
        <item x="1188"/>
        <item x="1376"/>
        <item x="1620"/>
        <item x="766"/>
        <item x="86"/>
        <item x="993"/>
        <item x="644"/>
        <item x="133"/>
        <item x="2335"/>
        <item x="1614"/>
        <item x="199"/>
        <item x="2329"/>
        <item x="1708"/>
        <item x="2057"/>
        <item x="1100"/>
        <item x="1840"/>
        <item x="208"/>
        <item x="1686"/>
        <item x="2334"/>
        <item x="187"/>
        <item x="2378"/>
        <item x="471"/>
        <item x="80"/>
        <item x="613"/>
        <item x="1442"/>
        <item x="589"/>
        <item x="1002"/>
        <item x="554"/>
        <item x="2097"/>
        <item x="987"/>
        <item x="1370"/>
        <item x="579"/>
        <item x="1061"/>
        <item x="741"/>
        <item x="945"/>
        <item x="151"/>
        <item x="409"/>
        <item x="1598"/>
        <item x="2374"/>
        <item x="2340"/>
        <item x="895"/>
        <item x="799"/>
        <item x="773"/>
        <item x="231"/>
        <item x="995"/>
        <item x="614"/>
        <item x="695"/>
        <item x="78"/>
        <item x="2482"/>
        <item x="2309"/>
        <item x="1715"/>
        <item x="580"/>
        <item x="933"/>
        <item x="1656"/>
        <item x="784"/>
        <item x="319"/>
        <item x="962"/>
        <item x="1568"/>
        <item x="2023"/>
        <item x="1609"/>
        <item x="2223"/>
        <item x="1150"/>
        <item x="147"/>
        <item x="2016"/>
        <item x="1124"/>
        <item x="1182"/>
        <item x="301"/>
        <item x="758"/>
        <item x="637"/>
        <item x="1613"/>
        <item x="2256"/>
        <item x="2267"/>
        <item x="885"/>
        <item x="685"/>
        <item x="1325"/>
        <item x="1115"/>
        <item x="1999"/>
        <item x="942"/>
        <item x="383"/>
        <item x="1079"/>
        <item x="716"/>
        <item x="197"/>
        <item x="1582"/>
        <item x="719"/>
        <item x="2360"/>
        <item x="1435"/>
        <item x="750"/>
        <item x="943"/>
        <item x="704"/>
        <item x="508"/>
        <item x="398"/>
        <item x="1485"/>
        <item x="511"/>
        <item x="1956"/>
        <item x="1848"/>
        <item x="2483"/>
        <item x="703"/>
        <item x="742"/>
        <item x="2346"/>
        <item x="1415"/>
        <item x="1996"/>
        <item x="626"/>
        <item x="2157"/>
        <item x="1032"/>
        <item x="1359"/>
        <item x="1183"/>
        <item x="1201"/>
        <item x="1399"/>
        <item x="522"/>
        <item x="941"/>
        <item x="837"/>
        <item x="1703"/>
        <item x="575"/>
        <item x="1846"/>
        <item x="2253"/>
        <item x="658"/>
        <item x="1522"/>
        <item x="2293"/>
        <item x="130"/>
        <item x="2216"/>
        <item x="1553"/>
        <item x="2289"/>
        <item x="2014"/>
        <item x="1147"/>
        <item x="392"/>
        <item x="1779"/>
        <item x="2238"/>
        <item x="1825"/>
        <item x="2252"/>
        <item x="1685"/>
        <item x="1789"/>
        <item x="1699"/>
        <item x="2167"/>
        <item x="1013"/>
        <item x="1501"/>
        <item x="1774"/>
        <item x="2474"/>
        <item x="1888"/>
        <item x="609"/>
        <item x="292"/>
        <item x="1378"/>
        <item x="293"/>
        <item x="507"/>
        <item x="1621"/>
        <item x="9"/>
        <item x="219"/>
        <item x="1262"/>
        <item x="865"/>
        <item x="1586"/>
        <item x="960"/>
        <item x="1503"/>
        <item x="1570"/>
        <item x="697"/>
        <item x="843"/>
        <item x="1627"/>
        <item x="645"/>
        <item x="1353"/>
        <item x="295"/>
        <item x="1228"/>
        <item x="2432"/>
        <item x="739"/>
        <item x="1811"/>
        <item x="1960"/>
        <item x="2355"/>
        <item x="69"/>
        <item x="2139"/>
        <item x="1635"/>
        <item x="1192"/>
        <item x="2426"/>
        <item x="15"/>
        <item x="2358"/>
        <item x="1170"/>
        <item x="1812"/>
        <item x="583"/>
        <item x="1753"/>
        <item x="1737"/>
        <item x="370"/>
        <item x="198"/>
        <item x="32"/>
        <item x="1411"/>
        <item x="737"/>
        <item x="285"/>
        <item x="1872"/>
        <item x="890"/>
        <item x="2058"/>
        <item x="1279"/>
        <item x="725"/>
        <item x="1747"/>
        <item x="65"/>
        <item x="2439"/>
        <item x="2220"/>
        <item x="2404"/>
        <item x="934"/>
        <item x="661"/>
        <item x="351"/>
        <item x="640"/>
        <item x="1896"/>
        <item x="2007"/>
        <item x="555"/>
        <item x="239"/>
        <item x="1336"/>
        <item x="2359"/>
        <item x="1395"/>
        <item x="2063"/>
        <item x="1831"/>
        <item x="660"/>
        <item x="1312"/>
        <item x="336"/>
        <item x="262"/>
        <item x="196"/>
        <item x="2438"/>
        <item x="417"/>
        <item x="260"/>
        <item x="1185"/>
        <item x="2137"/>
        <item x="2265"/>
        <item x="2130"/>
        <item x="664"/>
        <item x="180"/>
        <item x="1016"/>
        <item x="1472"/>
        <item x="821"/>
        <item x="1697"/>
        <item x="376"/>
        <item x="2038"/>
        <item x="368"/>
        <item x="761"/>
        <item x="399"/>
        <item x="316"/>
        <item x="1873"/>
        <item x="558"/>
        <item x="928"/>
        <item x="663"/>
        <item x="432"/>
        <item x="1837"/>
        <item x="1433"/>
        <item x="2464"/>
        <item x="12"/>
        <item x="34"/>
        <item x="1379"/>
        <item x="1020"/>
        <item x="994"/>
        <item x="1036"/>
        <item x="385"/>
        <item x="2069"/>
        <item x="341"/>
        <item x="1548"/>
        <item x="93"/>
        <item x="317"/>
        <item x="400"/>
        <item x="1915"/>
        <item x="186"/>
        <item x="2487"/>
        <item x="1709"/>
        <item x="1728"/>
        <item x="1082"/>
        <item x="445"/>
        <item x="947"/>
        <item x="2114"/>
        <item x="844"/>
        <item x="780"/>
        <item x="2322"/>
        <item x="1413"/>
        <item x="1467"/>
        <item x="2290"/>
        <item x="2284"/>
        <item x="905"/>
        <item x="1529"/>
        <item x="1313"/>
        <item x="154"/>
        <item x="1630"/>
        <item x="1263"/>
        <item x="2282"/>
        <item x="1118"/>
        <item x="647"/>
        <item x="238"/>
        <item x="71"/>
        <item x="982"/>
        <item x="114"/>
        <item x="2122"/>
        <item x="832"/>
        <item x="353"/>
        <item x="2135"/>
        <item x="358"/>
        <item x="2099"/>
        <item x="1107"/>
        <item x="2102"/>
        <item x="768"/>
        <item x="2090"/>
        <item x="0"/>
        <item x="2270"/>
        <item x="1860"/>
        <item x="636"/>
        <item x="357"/>
        <item x="2261"/>
        <item x="287"/>
        <item x="2190"/>
        <item x="1897"/>
        <item x="785"/>
        <item x="543"/>
        <item x="842"/>
        <item x="1924"/>
        <item x="907"/>
        <item x="446"/>
        <item x="2443"/>
        <item x="557"/>
        <item x="878"/>
        <item x="1998"/>
        <item x="1785"/>
        <item x="2375"/>
        <item x="2240"/>
        <item x="1236"/>
        <item x="560"/>
        <item x="1914"/>
        <item x="576"/>
        <item x="1863"/>
        <item x="1092"/>
        <item x="2092"/>
        <item x="707"/>
        <item x="2127"/>
        <item x="979"/>
        <item x="175"/>
        <item x="1834"/>
        <item x="1019"/>
        <item x="1480"/>
        <item x="223"/>
        <item x="1126"/>
        <item x="35"/>
        <item x="1186"/>
        <item x="771"/>
        <item x="1235"/>
        <item x="2324"/>
        <item x="1443"/>
        <item x="413"/>
        <item x="1937"/>
        <item x="727"/>
        <item x="724"/>
        <item x="339"/>
        <item x="1282"/>
        <item x="2124"/>
        <item x="372"/>
        <item x="2392"/>
        <item x="1056"/>
        <item x="2495"/>
        <item x="503"/>
        <item x="2228"/>
        <item x="1681"/>
        <item x="582"/>
        <item x="149"/>
        <item x="1326"/>
        <item x="419"/>
        <item x="173"/>
        <item x="1069"/>
        <item x="1756"/>
        <item x="2"/>
        <item x="487"/>
        <item x="1430"/>
        <item x="1275"/>
        <item x="1090"/>
        <item x="1286"/>
        <item x="1067"/>
        <item x="2337"/>
        <item x="2447"/>
        <item x="451"/>
        <item x="853"/>
        <item x="1899"/>
        <item x="989"/>
        <item x="82"/>
        <item x="388"/>
        <item x="879"/>
        <item x="601"/>
        <item x="439"/>
        <item x="299"/>
        <item x="1946"/>
        <item x="418"/>
        <item x="515"/>
        <item x="254"/>
        <item x="1847"/>
        <item x="2313"/>
        <item x="948"/>
        <item x="721"/>
        <item x="1296"/>
        <item x="1136"/>
        <item x="712"/>
        <item x="2395"/>
        <item x="1611"/>
        <item x="915"/>
        <item x="1431"/>
        <item x="700"/>
        <item x="2143"/>
        <item x="965"/>
        <item x="2415"/>
        <item x="2272"/>
        <item x="715"/>
        <item x="931"/>
        <item x="1144"/>
        <item x="710"/>
        <item x="2393"/>
        <item x="288"/>
        <item x="1477"/>
        <item x="1381"/>
        <item x="1920"/>
        <item x="1000"/>
        <item x="1988"/>
        <item x="303"/>
        <item x="2205"/>
        <item x="1251"/>
        <item x="321"/>
        <item x="50"/>
        <item x="1770"/>
        <item x="2230"/>
        <item x="83"/>
        <item x="754"/>
        <item x="1865"/>
        <item x="2111"/>
        <item x="204"/>
        <item x="1653"/>
        <item x="348"/>
        <item x="74"/>
        <item x="2371"/>
        <item x="394"/>
        <item x="165"/>
        <item x="2227"/>
        <item x="1044"/>
        <item x="1146"/>
        <item x="58"/>
        <item x="666"/>
        <item x="1466"/>
        <item x="1187"/>
        <item x="605"/>
        <item x="2445"/>
        <item x="2206"/>
        <item x="2264"/>
        <item x="1744"/>
        <item x="1174"/>
        <item x="817"/>
        <item x="2382"/>
        <item x="1234"/>
        <item x="657"/>
        <item x="866"/>
        <item x="354"/>
        <item x="2362"/>
        <item x="2467"/>
        <item x="470"/>
        <item x="1225"/>
        <item x="1125"/>
        <item x="131"/>
        <item x="410"/>
        <item x="1532"/>
        <item x="678"/>
        <item x="2229"/>
        <item x="166"/>
        <item x="1121"/>
        <item x="2254"/>
        <item x="1003"/>
        <item x="2258"/>
        <item x="2268"/>
        <item x="397"/>
        <item x="1424"/>
        <item x="794"/>
        <item x="635"/>
        <item x="1646"/>
        <item x="1051"/>
        <item x="1119"/>
        <item x="786"/>
        <item x="992"/>
        <item x="2473"/>
        <item x="1474"/>
        <item x="2168"/>
        <item x="1911"/>
        <item x="188"/>
        <item x="2060"/>
        <item x="1600"/>
        <item x="246"/>
        <item x="1597"/>
        <item x="1428"/>
        <item x="1636"/>
        <item x="1029"/>
        <item x="427"/>
        <item x="1117"/>
        <item x="2319"/>
        <item x="925"/>
        <item x="314"/>
        <item x="1925"/>
        <item x="1667"/>
        <item x="1108"/>
        <item x="705"/>
        <item x="2410"/>
        <item x="142"/>
        <item x="981"/>
        <item x="2118"/>
        <item x="790"/>
        <item x="618"/>
        <item x="2131"/>
        <item x="161"/>
        <item x="1454"/>
        <item x="1245"/>
        <item x="1288"/>
        <item x="2200"/>
        <item x="315"/>
        <item x="2019"/>
        <item x="860"/>
        <item x="629"/>
        <item x="1916"/>
        <item x="1882"/>
        <item x="585"/>
        <item x="300"/>
        <item x="477"/>
        <item x="243"/>
        <item x="1987"/>
        <item x="872"/>
        <item x="2323"/>
        <item x="1977"/>
        <item x="1149"/>
        <item x="1752"/>
        <item x="829"/>
        <item x="1291"/>
        <item x="2498"/>
        <item x="816"/>
        <item x="958"/>
        <item x="1371"/>
        <item x="2458"/>
        <item x="1938"/>
        <item x="1819"/>
        <item x="1644"/>
        <item x="2222"/>
        <item x="913"/>
        <item x="1720"/>
        <item x="1798"/>
        <item x="975"/>
        <item x="701"/>
        <item x="140"/>
        <item x="2055"/>
        <item x="43"/>
        <item x="1690"/>
        <item x="2183"/>
        <item x="862"/>
        <item x="1778"/>
        <item x="68"/>
        <item x="2154"/>
        <item x="1112"/>
        <item x="67"/>
        <item x="653"/>
        <item x="450"/>
        <item x="2490"/>
        <item x="1211"/>
        <item x="1723"/>
        <item x="1423"/>
        <item x="2088"/>
        <item x="2248"/>
        <item x="2449"/>
        <item x="56"/>
        <item x="916"/>
        <item x="1757"/>
        <item x="1628"/>
        <item x="33"/>
        <item x="324"/>
        <item x="103"/>
        <item x="47"/>
        <item x="1948"/>
        <item x="247"/>
        <item x="1070"/>
        <item x="2508"/>
        <item x="2391"/>
        <item x="690"/>
        <item x="1253"/>
        <item x="2365"/>
        <item x="28"/>
        <item x="2477"/>
        <item x="2297"/>
        <item x="586"/>
        <item x="423"/>
        <item x="1264"/>
        <item x="2081"/>
        <item x="2000"/>
        <item x="680"/>
        <item x="36"/>
        <item x="181"/>
        <item x="937"/>
        <item x="79"/>
        <item x="1741"/>
        <item x="1390"/>
        <item x="744"/>
        <item x="73"/>
        <item x="171"/>
        <item x="1042"/>
        <item x="927"/>
        <item x="242"/>
        <item x="273"/>
        <item x="1366"/>
        <item x="452"/>
        <item x="2067"/>
        <item x="1266"/>
        <item x="584"/>
        <item x="464"/>
        <item x="233"/>
        <item x="1693"/>
        <item x="1993"/>
        <item x="1584"/>
        <item x="667"/>
        <item x="379"/>
        <item x="1493"/>
        <item x="714"/>
        <item x="1486"/>
        <item x="1907"/>
        <item x="2448"/>
        <item x="870"/>
        <item x="1552"/>
        <item x="1942"/>
        <item x="1857"/>
        <item x="880"/>
        <item x="138"/>
        <item x="2325"/>
        <item x="2024"/>
        <item x="298"/>
        <item x="810"/>
        <item x="1040"/>
        <item x="1272"/>
        <item x="894"/>
        <item x="333"/>
        <item x="174"/>
        <item x="564"/>
        <item x="902"/>
        <item x="977"/>
        <item x="426"/>
        <item x="2065"/>
        <item x="443"/>
        <item x="1684"/>
        <item x="2492"/>
        <item x="1444"/>
        <item x="2174"/>
        <item x="1180"/>
        <item x="991"/>
        <item x="1438"/>
        <item x="1827"/>
        <item x="378"/>
        <item x="124"/>
        <item x="156"/>
        <item x="1487"/>
        <item x="1349"/>
        <item x="1018"/>
        <item x="2343"/>
        <item x="1680"/>
        <item x="2163"/>
        <item x="1409"/>
        <item x="2459"/>
        <item x="1516"/>
        <item x="1343"/>
        <item x="2279"/>
        <item x="491"/>
        <item x="59"/>
        <item x="1783"/>
        <item x="401"/>
        <item x="2294"/>
        <item x="2123"/>
        <item x="825"/>
        <item x="1181"/>
        <item x="207"/>
        <item x="137"/>
        <item x="2453"/>
        <item x="698"/>
        <item x="1398"/>
        <item x="2231"/>
        <item x="1230"/>
        <item x="654"/>
        <item x="1855"/>
        <item x="159"/>
        <item x="302"/>
        <item x="1151"/>
        <item x="2250"/>
        <item x="1084"/>
        <item x="91"/>
        <item x="1479"/>
        <item x="111"/>
        <item x="2259"/>
        <item x="1208"/>
        <item x="2076"/>
        <item x="64"/>
        <item x="723"/>
        <item x="278"/>
        <item x="1640"/>
        <item x="1594"/>
        <item x="1229"/>
        <item x="2105"/>
        <item x="1828"/>
        <item x="883"/>
        <item x="693"/>
        <item x="577"/>
        <item x="1990"/>
        <item x="27"/>
        <item x="1138"/>
        <item x="1128"/>
        <item x="308"/>
        <item x="1490"/>
        <item x="1363"/>
        <item x="1817"/>
        <item x="2107"/>
        <item x="638"/>
        <item x="1046"/>
        <item x="337"/>
        <item x="283"/>
        <item x="521"/>
        <item x="2234"/>
        <item x="1099"/>
        <item x="2412"/>
        <item x="903"/>
        <item x="607"/>
        <item x="346"/>
        <item x="1743"/>
        <item x="1421"/>
        <item x="2300"/>
        <item x="888"/>
        <item x="1527"/>
        <item x="176"/>
        <item x="1221"/>
        <item x="1972"/>
        <item x="1661"/>
        <item x="1327"/>
        <item x="330"/>
        <item x="1830"/>
        <item x="361"/>
        <item x="2307"/>
        <item x="1795"/>
        <item x="1249"/>
        <item x="2080"/>
        <item x="2316"/>
        <item x="1190"/>
        <item x="1383"/>
        <item x="694"/>
        <item x="1768"/>
        <item x="1039"/>
        <item x="1048"/>
        <item x="2431"/>
        <item x="569"/>
        <item x="2479"/>
        <item x="466"/>
        <item x="457"/>
        <item x="1839"/>
        <item x="1602"/>
        <item x="1957"/>
        <item x="1396"/>
        <item x="615"/>
        <item x="1893"/>
        <item x="2006"/>
        <item x="2196"/>
        <item x="835"/>
        <item x="2051"/>
        <item x="891"/>
        <item x="263"/>
        <item x="1447"/>
        <item x="984"/>
        <item x="2276"/>
        <item x="728"/>
        <item x="1412"/>
        <item x="2056"/>
        <item x="1021"/>
        <item x="1966"/>
        <item x="1492"/>
        <item x="2160"/>
        <item x="1078"/>
        <item x="467"/>
        <item x="1655"/>
        <item x="2442"/>
        <item x="1979"/>
        <item x="1885"/>
        <item x="184"/>
        <item x="1481"/>
        <item x="2001"/>
        <item x="2424"/>
        <item x="632"/>
        <item x="565"/>
        <item x="405"/>
        <item x="366"/>
        <item x="1565"/>
        <item x="310"/>
        <item x="1784"/>
        <item x="97"/>
        <item x="729"/>
        <item x="2158"/>
        <item x="497"/>
        <item x="1569"/>
        <item x="2513"/>
        <item x="2367"/>
        <item x="1491"/>
        <item x="777"/>
        <item x="1542"/>
        <item x="1237"/>
        <item x="16"/>
        <item x="1314"/>
        <item x="2385"/>
        <item x="1625"/>
        <item x="2133"/>
        <item x="544"/>
        <item x="412"/>
        <item x="456"/>
        <item x="402"/>
        <item x="1023"/>
        <item x="1212"/>
        <item x="100"/>
        <item x="2101"/>
        <item x="214"/>
        <item x="1892"/>
        <item x="655"/>
        <item x="788"/>
        <item x="386"/>
        <item x="938"/>
        <item x="1735"/>
        <item x="682"/>
        <item x="2287"/>
        <item x="952"/>
        <item x="320"/>
        <item x="1173"/>
        <item x="2084"/>
        <item x="3"/>
        <item x="572"/>
        <item x="232"/>
        <item x="1081"/>
        <item x="229"/>
        <item x="980"/>
        <item x="1526"/>
        <item x="1351"/>
        <item x="117"/>
        <item x="2182"/>
        <item x="2204"/>
        <item x="2286"/>
        <item x="275"/>
        <item x="146"/>
        <item x="1596"/>
        <item x="1935"/>
        <item x="517"/>
        <item x="1281"/>
        <item x="375"/>
        <item x="2480"/>
        <item x="782"/>
        <item x="88"/>
        <item x="823"/>
        <item x="1420"/>
        <item x="1590"/>
        <item x="1427"/>
        <item x="2407"/>
        <item x="1086"/>
        <item x="1734"/>
        <item x="2318"/>
        <item x="1560"/>
        <item x="1950"/>
        <item x="803"/>
        <item x="1603"/>
        <item x="906"/>
        <item x="2098"/>
        <item x="1994"/>
        <item x="344"/>
        <item x="1033"/>
        <item x="1330"/>
        <item x="1218"/>
        <item x="493"/>
        <item x="523"/>
        <item x="251"/>
        <item x="781"/>
        <item x="604"/>
        <item x="2239"/>
        <item x="1374"/>
        <item x="2348"/>
        <item x="669"/>
        <item x="2489"/>
        <item x="568"/>
        <item x="1710"/>
        <item x="2129"/>
        <item x="1064"/>
        <item x="2446"/>
        <item x="1706"/>
        <item x="132"/>
        <item x="1280"/>
        <item x="814"/>
        <item x="261"/>
        <item x="210"/>
        <item x="610"/>
        <item x="961"/>
        <item x="591"/>
        <item x="624"/>
        <item x="2039"/>
        <item x="2020"/>
        <item x="57"/>
        <item x="1869"/>
        <item x="2089"/>
        <item x="99"/>
        <item x="2008"/>
        <item x="2059"/>
        <item x="1246"/>
        <item x="1729"/>
        <item x="1618"/>
        <item x="2409"/>
        <item x="1818"/>
        <item x="809"/>
        <item x="1642"/>
        <item x="436"/>
        <item x="1202"/>
        <item x="762"/>
        <item x="2484"/>
        <item x="1700"/>
        <item x="2411"/>
        <item x="179"/>
        <item x="1736"/>
        <item x="1469"/>
        <item x="139"/>
        <item x="2244"/>
        <item x="940"/>
        <item x="1559"/>
        <item x="2485"/>
        <item x="1031"/>
        <item x="1122"/>
        <item x="155"/>
        <item x="2009"/>
        <item x="281"/>
        <item x="387"/>
        <item x="1879"/>
        <item x="1328"/>
        <item x="2311"/>
        <item x="280"/>
        <item x="1547"/>
        <item x="827"/>
        <item x="1130"/>
        <item x="1505"/>
        <item x="836"/>
        <item x="2150"/>
        <item x="806"/>
        <item x="1223"/>
        <item x="2277"/>
        <item x="530"/>
        <item x="922"/>
        <item x="639"/>
        <item x="745"/>
        <item x="1462"/>
        <item x="256"/>
        <item x="1637"/>
        <item x="1380"/>
        <item x="1161"/>
        <item x="1214"/>
        <item x="1028"/>
        <item x="509"/>
        <item x="622"/>
        <item x="969"/>
        <item x="2210"/>
        <item x="1868"/>
        <item x="1958"/>
        <item x="499"/>
        <item x="297"/>
        <item x="1098"/>
        <item x="360"/>
        <item x="996"/>
        <item x="437"/>
        <item x="356"/>
        <item x="2440"/>
        <item x="520"/>
        <item x="2369"/>
        <item x="1198"/>
        <item x="1643"/>
        <item x="911"/>
        <item x="1271"/>
        <item x="1816"/>
        <item x="546"/>
        <item x="1256"/>
        <item x="791"/>
        <item x="506"/>
        <item x="2050"/>
        <item x="1089"/>
        <item x="2152"/>
        <item x="702"/>
        <item x="2437"/>
        <item x="2377"/>
        <item x="193"/>
        <item x="2260"/>
        <item x="421"/>
        <item x="764"/>
        <item x="1771"/>
        <item x="1401"/>
        <item x="2472"/>
        <item x="2042"/>
        <item x="616"/>
        <item x="24"/>
        <item x="1393"/>
        <item x="338"/>
        <item x="1062"/>
        <item x="2149"/>
        <item x="1883"/>
        <item x="2094"/>
        <item x="1861"/>
        <item x="1293"/>
        <item x="838"/>
        <item x="2314"/>
        <item x="956"/>
        <item x="573"/>
        <item x="1116"/>
        <item x="1468"/>
        <item x="676"/>
        <item x="819"/>
        <item x="109"/>
        <item x="548"/>
        <item x="1617"/>
        <item x="1952"/>
        <item x="820"/>
        <item x="665"/>
        <item x="599"/>
        <item x="1698"/>
        <item x="2273"/>
        <item x="581"/>
        <item x="1717"/>
        <item x="1496"/>
        <item x="2113"/>
        <item x="322"/>
        <item x="2468"/>
        <item x="1392"/>
        <item x="1674"/>
        <item x="1986"/>
        <item x="1944"/>
        <item x="1307"/>
        <item x="2145"/>
        <item x="2116"/>
        <item x="49"/>
        <item x="549"/>
        <item x="1713"/>
        <item x="2408"/>
        <item x="699"/>
        <item x="1049"/>
        <item x="1683"/>
        <item x="673"/>
        <item x="1801"/>
        <item x="39"/>
        <item x="1973"/>
        <item x="1157"/>
        <item x="1624"/>
        <item x="2345"/>
        <item x="2121"/>
        <item x="1874"/>
        <item x="1238"/>
        <item x="765"/>
        <item x="374"/>
        <item x="1739"/>
        <item x="2363"/>
        <item x="87"/>
        <item x="1856"/>
        <item x="1095"/>
        <item x="1276"/>
        <item x="2497"/>
        <item x="1168"/>
        <item x="2414"/>
        <item x="430"/>
        <item x="930"/>
        <item x="1109"/>
        <item x="649"/>
        <item x="2068"/>
        <item x="920"/>
        <item x="2186"/>
        <item x="1105"/>
        <item x="967"/>
        <item x="1269"/>
        <item x="620"/>
        <item x="2110"/>
        <item x="1623"/>
        <item x="1877"/>
        <item x="277"/>
        <item x="1329"/>
        <item x="518"/>
        <item x="1129"/>
        <item x="2153"/>
        <item x="1687"/>
        <item x="481"/>
        <item x="108"/>
        <item x="732"/>
        <item x="617"/>
        <item x="490"/>
        <item x="2002"/>
        <item x="1297"/>
        <item x="2470"/>
        <item x="2106"/>
        <item x="162"/>
        <item x="1216"/>
        <item x="1898"/>
        <item x="1549"/>
        <item x="1332"/>
        <item x="1268"/>
        <item x="1311"/>
        <item x="1322"/>
        <item x="7"/>
        <item x="910"/>
        <item x="1758"/>
        <item x="553"/>
        <item x="2045"/>
        <item x="380"/>
        <item x="2070"/>
        <item x="1203"/>
        <item x="2401"/>
        <item x="1120"/>
        <item x="1875"/>
        <item x="134"/>
        <item x="54"/>
        <item x="434"/>
        <item x="289"/>
        <item x="1139"/>
        <item x="1884"/>
        <item x="590"/>
        <item x="625"/>
        <item x="234"/>
        <item x="863"/>
        <item x="1838"/>
        <item x="672"/>
        <item x="1323"/>
        <item x="431"/>
        <item x="270"/>
        <item x="1441"/>
        <item x="1123"/>
        <item x="2405"/>
        <item x="1591"/>
        <item x="856"/>
        <item x="2510"/>
        <item x="1408"/>
        <item x="2460"/>
        <item x="1927"/>
        <item x="363"/>
        <item x="2494"/>
        <item x="2308"/>
        <item x="2245"/>
        <item x="1964"/>
        <item x="1339"/>
        <item x="1346"/>
        <item x="2041"/>
        <item x="1206"/>
        <item x="2402"/>
        <item x="1022"/>
        <item x="1177"/>
        <item x="1426"/>
        <item x="2310"/>
        <item x="60"/>
        <item x="164"/>
        <item x="25"/>
        <item x="1775"/>
        <item x="1058"/>
        <item x="1786"/>
        <item x="1738"/>
        <item x="1845"/>
        <item x="2462"/>
        <item x="2083"/>
        <item x="1132"/>
        <item x="253"/>
        <item x="1171"/>
        <item x="1923"/>
        <item x="717"/>
        <item x="889"/>
        <item x="22"/>
        <item x="1250"/>
        <item x="1722"/>
        <item x="2138"/>
        <item x="1222"/>
        <item x="441"/>
        <item x="874"/>
        <item x="1895"/>
        <item x="1824"/>
        <item x="1342"/>
        <item x="2295"/>
        <item x="529"/>
        <item x="1832"/>
        <item x="1347"/>
        <item x="1309"/>
        <item x="826"/>
        <item x="813"/>
        <item x="1939"/>
        <item x="1025"/>
        <item x="211"/>
        <item x="1901"/>
        <item x="1537"/>
        <item x="2195"/>
        <item x="258"/>
        <item x="1585"/>
        <item x="983"/>
        <item x="1164"/>
        <item x="539"/>
        <item x="2180"/>
        <item x="1551"/>
        <item x="951"/>
        <item x="627"/>
        <item x="318"/>
        <item x="144"/>
        <item x="867"/>
        <item x="1530"/>
        <item x="96"/>
        <item x="2368"/>
        <item x="1010"/>
        <item x="1026"/>
        <item x="2165"/>
        <item x="1497"/>
        <item x="760"/>
        <item x="2073"/>
        <item x="1688"/>
        <item x="447"/>
        <item x="475"/>
        <item x="536"/>
        <item x="2505"/>
        <item x="332"/>
        <item x="2499"/>
        <item x="1557"/>
        <item x="2456"/>
        <item x="1414"/>
        <item x="85"/>
        <item x="1445"/>
        <item x="486"/>
        <item x="1422"/>
        <item x="1539"/>
        <item x="2296"/>
        <item x="812"/>
        <item x="170"/>
        <item x="1908"/>
        <item x="1041"/>
        <item x="2170"/>
        <item x="1790"/>
        <item x="2211"/>
        <item x="1780"/>
        <item x="1259"/>
        <item x="2207"/>
        <item x="2201"/>
        <item x="612"/>
        <item x="1054"/>
        <item x="1633"/>
        <item x="1350"/>
        <item x="364"/>
        <item x="871"/>
        <item x="1193"/>
        <item x="1475"/>
        <item x="720"/>
        <item x="1429"/>
        <item x="257"/>
        <item x="1306"/>
        <item x="284"/>
        <item x="1533"/>
        <item x="1489"/>
        <item x="2488"/>
        <item x="1822"/>
        <item x="2155"/>
        <item x="1792"/>
        <item x="1870"/>
        <item x="1733"/>
        <item x="1302"/>
        <item x="1651"/>
        <item x="1943"/>
        <item x="1563"/>
        <item x="2035"/>
        <item x="953"/>
        <item x="571"/>
        <item x="1011"/>
        <item x="2469"/>
        <item x="1953"/>
        <item x="2435"/>
        <item x="148"/>
        <item x="1766"/>
        <item x="924"/>
        <item x="1273"/>
        <item x="516"/>
        <item x="939"/>
        <item x="504"/>
        <item x="2125"/>
        <item x="2172"/>
        <item x="2232"/>
        <item x="1215"/>
        <item x="1671"/>
        <item x="1175"/>
        <item x="954"/>
        <item x="422"/>
        <item x="831"/>
        <item x="381"/>
        <item x="1726"/>
        <item x="2302"/>
        <item x="222"/>
        <item x="2109"/>
        <item x="1254"/>
        <item x="1386"/>
        <item x="1658"/>
        <item x="713"/>
        <item x="1769"/>
        <item x="976"/>
        <item x="1437"/>
        <item x="1765"/>
        <item x="2274"/>
        <item x="309"/>
        <item x="384"/>
        <item x="998"/>
        <item x="1451"/>
        <item x="683"/>
        <item x="1692"/>
        <item x="1727"/>
        <item x="1714"/>
        <item x="1512"/>
        <item x="1482"/>
        <item x="1587"/>
        <item x="2475"/>
        <item x="2399"/>
        <item x="2305"/>
        <item x="1387"/>
        <item x="1967"/>
        <item x="1841"/>
        <item x="1484"/>
        <item x="1111"/>
        <item x="312"/>
        <item x="342"/>
        <item x="2420"/>
        <item x="2373"/>
        <item x="1436"/>
        <item x="2141"/>
        <item x="2338"/>
        <item x="326"/>
        <item x="365"/>
        <item x="2192"/>
        <item x="2144"/>
        <item x="898"/>
        <item x="1799"/>
        <item x="1788"/>
        <item x="2491"/>
        <item x="1836"/>
        <item x="1876"/>
        <item x="2093"/>
        <item t="default"/>
      </items>
    </pivotField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Review_id" fld="0" subtotal="count" baseField="16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B50EC0-9D83-4AC3-ABDA-095D7F0EFC6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47:B150" firstHeaderRow="1" firstDataRow="1" firstDataCol="1"/>
  <pivotFields count="19">
    <pivotField dataField="1" showAll="0"/>
    <pivotField numFmtId="1" showAll="0"/>
    <pivotField showAll="0"/>
    <pivotField showAll="0"/>
    <pivotField showAll="0"/>
    <pivotField showAll="0"/>
    <pivotField numFmtId="164" showAll="0">
      <items count="7">
        <item x="0"/>
        <item x="1"/>
        <item x="2"/>
        <item x="3"/>
        <item x="4"/>
        <item x="5"/>
        <item t="default"/>
      </items>
    </pivotField>
    <pivotField numFmtId="22" showAll="0">
      <items count="2515">
        <item x="2075"/>
        <item x="150"/>
        <item x="718"/>
        <item x="1267"/>
        <item x="1252"/>
        <item x="1052"/>
        <item x="2376"/>
        <item x="2501"/>
        <item x="2320"/>
        <item x="646"/>
        <item x="593"/>
        <item x="1654"/>
        <item x="1719"/>
        <item x="1145"/>
        <item x="2347"/>
        <item x="681"/>
        <item x="1992"/>
        <item x="1260"/>
        <item x="670"/>
        <item x="1634"/>
        <item x="51"/>
        <item x="1290"/>
        <item x="2406"/>
        <item x="808"/>
        <item x="789"/>
        <item x="2048"/>
        <item x="747"/>
        <item x="2381"/>
        <item x="1676"/>
        <item x="2331"/>
        <item x="2423"/>
        <item x="687"/>
        <item x="525"/>
        <item x="839"/>
        <item x="1961"/>
        <item x="377"/>
        <item x="500"/>
        <item x="1369"/>
        <item x="460"/>
        <item x="909"/>
        <item x="1285"/>
        <item x="2119"/>
        <item x="1566"/>
        <item x="2085"/>
        <item x="1507"/>
        <item x="1488"/>
        <item x="595"/>
        <item x="121"/>
        <item x="2306"/>
        <item x="1365"/>
        <item x="957"/>
        <item x="1014"/>
        <item x="2217"/>
        <item x="1375"/>
        <item x="1513"/>
        <item x="2466"/>
        <item x="1195"/>
        <item x="2288"/>
        <item x="2191"/>
        <item x="1867"/>
        <item x="531"/>
        <item x="2354"/>
        <item x="2120"/>
        <item x="1189"/>
        <item x="226"/>
        <item x="1305"/>
        <item x="935"/>
        <item x="407"/>
        <item x="859"/>
        <item x="2387"/>
        <item x="294"/>
        <item x="1965"/>
        <item x="2352"/>
        <item x="1581"/>
        <item x="674"/>
        <item x="1881"/>
        <item x="1749"/>
        <item x="1317"/>
        <item x="182"/>
        <item x="2185"/>
        <item x="1407"/>
        <item x="1470"/>
        <item x="205"/>
        <item x="2115"/>
        <item x="1335"/>
        <item x="1949"/>
        <item x="2161"/>
        <item x="1141"/>
        <item x="1158"/>
        <item x="1243"/>
        <item x="206"/>
        <item x="873"/>
        <item x="1403"/>
        <item x="1217"/>
        <item x="2140"/>
        <item x="574"/>
        <item x="815"/>
        <item x="1005"/>
        <item x="347"/>
        <item x="1575"/>
        <item x="1066"/>
        <item x="634"/>
        <item x="2430"/>
        <item x="1258"/>
        <item x="561"/>
        <item x="252"/>
        <item x="675"/>
        <item x="1608"/>
        <item x="1511"/>
        <item x="563"/>
        <item x="1463"/>
        <item x="2357"/>
        <item x="2221"/>
        <item x="1716"/>
        <item x="841"/>
        <item x="1204"/>
        <item x="1065"/>
        <item x="2502"/>
        <item x="985"/>
        <item x="997"/>
        <item x="158"/>
        <item x="265"/>
        <item x="1303"/>
        <item x="1912"/>
        <item x="1372"/>
        <item x="1955"/>
        <item x="2465"/>
        <item x="1356"/>
        <item x="406"/>
        <item x="1809"/>
        <item x="1577"/>
        <item x="2169"/>
        <item x="296"/>
        <item x="1578"/>
        <item x="641"/>
        <item x="628"/>
        <item x="2034"/>
        <item x="349"/>
        <item x="2071"/>
        <item x="2496"/>
        <item x="1135"/>
        <item x="189"/>
        <item x="2202"/>
        <item x="2427"/>
        <item x="128"/>
        <item x="963"/>
        <item x="1508"/>
        <item x="1518"/>
        <item x="1453"/>
        <item x="1057"/>
        <item x="1695"/>
        <item x="1718"/>
        <item x="840"/>
        <item x="749"/>
        <item x="2379"/>
        <item x="123"/>
        <item x="1740"/>
        <item x="472"/>
        <item x="8"/>
        <item x="801"/>
        <item x="2027"/>
        <item x="1292"/>
        <item x="1337"/>
        <item x="1498"/>
        <item x="373"/>
        <item x="2078"/>
        <item x="1006"/>
        <item x="1797"/>
        <item x="1102"/>
        <item x="484"/>
        <item x="1377"/>
        <item x="202"/>
        <item x="1283"/>
        <item x="1087"/>
        <item x="94"/>
        <item x="1612"/>
        <item x="990"/>
        <item x="1871"/>
        <item x="31"/>
        <item x="1804"/>
        <item x="505"/>
        <item x="2237"/>
        <item x="2450"/>
        <item x="1308"/>
        <item x="2147"/>
        <item x="2434"/>
        <item x="2178"/>
        <item x="1055"/>
        <item x="462"/>
        <item x="743"/>
        <item x="191"/>
        <item x="2500"/>
        <item x="2339"/>
        <item x="1673"/>
        <item x="1219"/>
        <item x="2176"/>
        <item x="1385"/>
        <item x="2328"/>
        <item x="1947"/>
        <item x="220"/>
        <item x="740"/>
        <item x="1664"/>
        <item x="2166"/>
        <item x="1357"/>
        <item x="172"/>
        <item x="1776"/>
        <item x="37"/>
        <item x="106"/>
        <item x="2471"/>
        <item x="1650"/>
        <item x="1471"/>
        <item x="1619"/>
        <item x="272"/>
        <item x="463"/>
        <item x="2454"/>
        <item x="881"/>
        <item x="1027"/>
        <item x="1989"/>
        <item x="2444"/>
        <item x="668"/>
        <item x="1360"/>
        <item x="271"/>
        <item x="1682"/>
        <item x="1645"/>
        <item x="959"/>
        <item x="1576"/>
        <item x="845"/>
        <item x="688"/>
        <item x="23"/>
        <item x="389"/>
        <item x="545"/>
        <item x="709"/>
        <item x="1772"/>
        <item x="455"/>
        <item x="551"/>
        <item x="1133"/>
        <item x="1137"/>
        <item x="1593"/>
        <item x="955"/>
        <item x="850"/>
        <item x="1239"/>
        <item x="901"/>
        <item x="1166"/>
        <item x="236"/>
        <item x="896"/>
        <item x="1425"/>
        <item x="950"/>
        <item x="696"/>
        <item x="1071"/>
        <item x="1514"/>
        <item x="537"/>
        <item x="904"/>
        <item x="1572"/>
        <item x="485"/>
        <item x="248"/>
        <item x="1592"/>
        <item x="1154"/>
        <item x="498"/>
        <item x="2336"/>
        <item x="201"/>
        <item x="2136"/>
        <item x="779"/>
        <item x="1886"/>
        <item x="1060"/>
        <item x="1068"/>
        <item x="1394"/>
        <item x="1983"/>
        <item x="1997"/>
        <item x="1589"/>
        <item x="38"/>
        <item x="566"/>
        <item x="2164"/>
        <item x="1240"/>
        <item x="2361"/>
        <item x="1461"/>
        <item x="1626"/>
        <item x="2142"/>
        <item x="1093"/>
        <item x="1580"/>
        <item x="107"/>
        <item x="1449"/>
        <item x="1878"/>
        <item x="125"/>
        <item x="633"/>
        <item x="1659"/>
        <item x="390"/>
        <item x="971"/>
        <item x="482"/>
        <item x="2156"/>
        <item x="532"/>
        <item x="1418"/>
        <item x="403"/>
        <item x="2249"/>
        <item x="1815"/>
        <item x="1432"/>
        <item x="877"/>
        <item x="643"/>
        <item x="1648"/>
        <item x="2390"/>
        <item x="1277"/>
        <item x="1573"/>
        <item x="918"/>
        <item x="1601"/>
        <item x="1544"/>
        <item x="1400"/>
        <item x="1647"/>
        <item x="1261"/>
        <item x="1694"/>
        <item x="1007"/>
        <item x="17"/>
        <item x="1063"/>
        <item x="20"/>
        <item x="1110"/>
        <item x="854"/>
        <item x="1711"/>
        <item x="804"/>
        <item x="897"/>
        <item x="129"/>
        <item x="2436"/>
        <item x="1607"/>
        <item x="1745"/>
        <item x="141"/>
        <item x="1300"/>
        <item x="2177"/>
        <item x="1852"/>
        <item x="1152"/>
        <item x="2350"/>
        <item x="2146"/>
        <item x="425"/>
        <item x="936"/>
        <item x="276"/>
        <item x="424"/>
        <item x="1231"/>
        <item x="1556"/>
        <item x="1641"/>
        <item x="656"/>
        <item x="468"/>
        <item x="2189"/>
        <item x="807"/>
        <item x="115"/>
        <item x="1200"/>
        <item x="30"/>
        <item x="2356"/>
        <item x="770"/>
        <item x="2481"/>
        <item x="1666"/>
        <item x="602"/>
        <item x="2428"/>
        <item x="1434"/>
        <item x="1153"/>
        <item x="2281"/>
        <item x="2054"/>
        <item x="190"/>
        <item x="1287"/>
        <item x="2061"/>
        <item x="122"/>
        <item x="195"/>
        <item x="1528"/>
        <item x="2255"/>
        <item x="1088"/>
        <item x="2280"/>
        <item x="2175"/>
        <item x="244"/>
        <item x="1866"/>
        <item x="1160"/>
        <item x="2418"/>
        <item x="501"/>
        <item x="53"/>
        <item x="1504"/>
        <item x="1982"/>
        <item x="1030"/>
        <item x="461"/>
        <item x="1545"/>
        <item x="2226"/>
        <item x="619"/>
        <item x="2128"/>
        <item x="264"/>
        <item x="882"/>
        <item x="899"/>
        <item x="1358"/>
        <item x="793"/>
        <item x="1905"/>
        <item x="249"/>
        <item x="1954"/>
        <item x="89"/>
        <item x="2351"/>
        <item x="429"/>
        <item x="2079"/>
        <item x="642"/>
        <item x="325"/>
        <item x="2251"/>
        <item x="2283"/>
        <item x="1701"/>
        <item x="2242"/>
        <item x="10"/>
        <item x="1050"/>
        <item x="2394"/>
        <item x="757"/>
        <item x="227"/>
        <item x="2213"/>
        <item x="1808"/>
        <item x="2509"/>
        <item x="1035"/>
        <item x="200"/>
        <item x="1455"/>
        <item x="1167"/>
        <item x="988"/>
        <item x="2400"/>
        <item x="1567"/>
        <item x="480"/>
        <item x="235"/>
        <item x="1843"/>
        <item x="2433"/>
        <item x="2062"/>
        <item x="876"/>
        <item x="1080"/>
        <item x="1746"/>
        <item x="2493"/>
        <item x="833"/>
        <item x="44"/>
        <item x="1724"/>
        <item x="926"/>
        <item x="1506"/>
        <item x="2173"/>
        <item x="1880"/>
        <item x="1207"/>
        <item x="2451"/>
        <item x="1127"/>
        <item x="999"/>
        <item x="18"/>
        <item x="2512"/>
        <item x="1341"/>
        <item x="662"/>
        <item x="2303"/>
        <item x="1419"/>
        <item x="2193"/>
        <item x="2388"/>
        <item x="1015"/>
        <item x="2478"/>
        <item x="775"/>
        <item x="255"/>
        <item x="1931"/>
        <item x="2315"/>
        <item x="1274"/>
        <item x="286"/>
        <item x="435"/>
        <item x="528"/>
        <item x="428"/>
        <item x="473"/>
        <item x="778"/>
        <item x="1205"/>
        <item x="393"/>
        <item x="1705"/>
        <item x="2396"/>
        <item x="2476"/>
        <item x="2218"/>
        <item x="2052"/>
        <item x="533"/>
        <item x="1417"/>
        <item x="711"/>
        <item x="1478"/>
        <item x="2159"/>
        <item x="228"/>
        <item x="2389"/>
        <item x="2344"/>
        <item x="194"/>
        <item x="1761"/>
        <item x="772"/>
        <item x="1197"/>
        <item x="2043"/>
        <item x="1034"/>
        <item x="1265"/>
        <item x="178"/>
        <item x="112"/>
        <item x="2486"/>
        <item x="1397"/>
        <item x="230"/>
        <item x="395"/>
        <item x="1909"/>
        <item x="2017"/>
        <item x="514"/>
        <item x="1844"/>
        <item x="1140"/>
        <item x="1101"/>
        <item x="1075"/>
        <item x="1974"/>
        <item x="623"/>
        <item x="1517"/>
        <item x="2215"/>
        <item x="524"/>
        <item x="1971"/>
        <item x="884"/>
        <item x="1616"/>
        <item x="973"/>
        <item x="1176"/>
        <item x="1074"/>
        <item x="1932"/>
        <item x="2457"/>
        <item x="540"/>
        <item x="1510"/>
        <item x="414"/>
        <item x="1930"/>
        <item x="752"/>
        <item x="152"/>
        <item x="796"/>
        <item x="570"/>
        <item x="792"/>
        <item x="2236"/>
        <item x="291"/>
        <item x="893"/>
        <item x="534"/>
        <item x="1534"/>
        <item x="932"/>
        <item x="852"/>
        <item x="1321"/>
        <item x="1179"/>
        <item x="2036"/>
        <item x="2044"/>
        <item x="1679"/>
        <item x="1255"/>
        <item x="118"/>
        <item x="1310"/>
        <item x="2219"/>
        <item x="1525"/>
        <item x="886"/>
        <item x="2018"/>
        <item x="119"/>
        <item x="1388"/>
        <item x="81"/>
        <item x="2199"/>
        <item x="1821"/>
        <item x="1631"/>
        <item x="846"/>
        <item x="2010"/>
        <item x="415"/>
        <item x="1669"/>
        <item x="2012"/>
        <item x="2104"/>
        <item x="101"/>
        <item x="594"/>
        <item x="1163"/>
        <item x="651"/>
        <item x="2291"/>
        <item x="2298"/>
        <item x="1754"/>
        <item x="1295"/>
        <item x="1402"/>
        <item x="611"/>
        <item x="1094"/>
        <item x="311"/>
        <item x="1004"/>
        <item x="748"/>
        <item x="908"/>
        <item x="1562"/>
        <item x="1813"/>
        <item x="1748"/>
        <item x="1864"/>
        <item x="1464"/>
        <item x="2299"/>
        <item x="2413"/>
        <item x="1536"/>
        <item x="1976"/>
        <item x="192"/>
        <item x="1926"/>
        <item x="2077"/>
        <item x="2292"/>
        <item x="2327"/>
        <item x="1194"/>
        <item x="1331"/>
        <item x="2049"/>
        <item x="55"/>
        <item x="1564"/>
        <item x="1794"/>
        <item x="671"/>
        <item x="2463"/>
        <item x="1984"/>
        <item x="382"/>
        <item x="986"/>
        <item x="26"/>
        <item x="1629"/>
        <item x="1519"/>
        <item x="1606"/>
        <item x="1072"/>
        <item x="1615"/>
        <item x="1227"/>
        <item x="411"/>
        <item x="1859"/>
        <item x="5"/>
        <item x="1364"/>
        <item x="1902"/>
        <item x="362"/>
        <item x="797"/>
        <item x="1495"/>
        <item x="45"/>
        <item x="2397"/>
        <item x="104"/>
        <item x="1446"/>
        <item x="978"/>
        <item x="1849"/>
        <item x="335"/>
        <item x="1009"/>
        <item x="686"/>
        <item x="1367"/>
        <item x="2087"/>
        <item x="61"/>
        <item x="63"/>
        <item x="1835"/>
        <item x="2126"/>
        <item x="279"/>
        <item x="1554"/>
        <item x="1782"/>
        <item x="355"/>
        <item x="2326"/>
        <item x="1077"/>
        <item x="2441"/>
        <item x="1678"/>
        <item x="1324"/>
        <item x="1807"/>
        <item x="167"/>
        <item x="2031"/>
        <item x="1319"/>
        <item x="2241"/>
        <item x="1704"/>
        <item x="476"/>
        <item x="2021"/>
        <item x="1316"/>
        <item x="2384"/>
        <item x="1793"/>
        <item x="1184"/>
        <item x="2233"/>
        <item x="2188"/>
        <item x="1318"/>
        <item x="1257"/>
        <item x="1981"/>
        <item x="1143"/>
        <item x="1796"/>
        <item x="547"/>
        <item x="274"/>
        <item x="1941"/>
        <item x="489"/>
        <item x="753"/>
        <item x="912"/>
        <item x="483"/>
        <item x="102"/>
        <item x="946"/>
        <item x="48"/>
        <item x="21"/>
        <item x="1162"/>
        <item x="1104"/>
        <item x="1457"/>
        <item x="630"/>
        <item x="1416"/>
        <item x="1224"/>
        <item x="1777"/>
        <item x="2086"/>
        <item x="855"/>
        <item x="1823"/>
        <item x="706"/>
        <item x="1887"/>
        <item x="1991"/>
        <item x="1382"/>
        <item x="1456"/>
        <item x="1210"/>
        <item x="2117"/>
        <item x="2419"/>
        <item x="2333"/>
        <item x="1304"/>
        <item x="847"/>
        <item x="1244"/>
        <item x="304"/>
        <item x="11"/>
        <item x="1851"/>
        <item x="459"/>
        <item x="2278"/>
        <item x="526"/>
        <item x="1494"/>
        <item x="2025"/>
        <item x="1320"/>
        <item x="449"/>
        <item x="763"/>
        <item x="1721"/>
        <item x="2372"/>
        <item x="1355"/>
        <item x="2342"/>
        <item x="268"/>
        <item x="974"/>
        <item x="474"/>
        <item x="169"/>
        <item x="2033"/>
        <item x="964"/>
        <item x="2134"/>
        <item x="722"/>
        <item x="1595"/>
        <item x="1805"/>
        <item x="708"/>
        <item x="404"/>
        <item x="1806"/>
        <item x="767"/>
        <item x="2398"/>
        <item x="495"/>
        <item x="371"/>
        <item x="327"/>
        <item x="738"/>
        <item x="1391"/>
        <item x="331"/>
        <item x="1134"/>
        <item x="1649"/>
        <item x="416"/>
        <item x="1903"/>
        <item x="469"/>
        <item x="731"/>
        <item x="541"/>
        <item x="542"/>
        <item x="559"/>
        <item x="2504"/>
        <item x="160"/>
        <item x="41"/>
        <item x="1696"/>
        <item x="848"/>
        <item x="1918"/>
        <item x="1689"/>
        <item x="1978"/>
        <item x="290"/>
        <item x="1546"/>
        <item x="1891"/>
        <item x="1165"/>
        <item x="145"/>
        <item x="2425"/>
        <item x="755"/>
        <item x="1538"/>
        <item x="1059"/>
        <item x="2004"/>
        <item x="795"/>
        <item x="1975"/>
        <item x="1910"/>
        <item x="1361"/>
        <item x="448"/>
        <item x="1913"/>
        <item x="1675"/>
        <item x="2015"/>
        <item x="734"/>
        <item x="2028"/>
        <item x="440"/>
        <item x="2380"/>
        <item x="2005"/>
        <item x="1114"/>
        <item x="1764"/>
        <item x="113"/>
        <item x="1791"/>
        <item x="1520"/>
        <item x="868"/>
        <item x="1476"/>
        <item x="944"/>
        <item x="608"/>
        <item x="1148"/>
        <item x="367"/>
        <item x="216"/>
        <item x="1980"/>
        <item x="2383"/>
        <item x="1155"/>
        <item x="126"/>
        <item x="733"/>
        <item x="269"/>
        <item x="2312"/>
        <item x="652"/>
        <item x="343"/>
        <item x="921"/>
        <item x="313"/>
        <item x="1096"/>
        <item x="203"/>
        <item x="2187"/>
        <item x="136"/>
        <item x="1248"/>
        <item x="1985"/>
        <item x="225"/>
        <item x="2209"/>
        <item x="1755"/>
        <item x="1583"/>
        <item x="307"/>
        <item x="600"/>
        <item x="1858"/>
        <item x="135"/>
        <item x="396"/>
        <item x="479"/>
        <item x="1348"/>
        <item x="864"/>
        <item x="2275"/>
        <item x="250"/>
        <item x="1550"/>
        <item x="1097"/>
        <item x="1460"/>
        <item x="305"/>
        <item x="2030"/>
        <item x="52"/>
        <item x="1751"/>
        <item x="1934"/>
        <item x="587"/>
        <item x="567"/>
        <item x="352"/>
        <item x="1742"/>
        <item x="1037"/>
        <item x="830"/>
        <item x="2349"/>
        <item x="2455"/>
        <item x="1458"/>
        <item x="1963"/>
        <item x="875"/>
        <item x="76"/>
        <item x="1523"/>
        <item x="1707"/>
        <item x="1232"/>
        <item x="858"/>
        <item x="598"/>
        <item x="588"/>
        <item x="1940"/>
        <item x="1043"/>
        <item x="494"/>
        <item x="369"/>
        <item x="245"/>
        <item x="787"/>
        <item x="465"/>
        <item x="2422"/>
        <item x="153"/>
        <item x="1289"/>
        <item x="798"/>
        <item x="1660"/>
        <item x="1076"/>
        <item x="596"/>
        <item x="692"/>
        <item x="2262"/>
        <item x="776"/>
        <item x="1172"/>
        <item x="1220"/>
        <item x="116"/>
        <item x="266"/>
        <item x="631"/>
        <item x="46"/>
        <item x="679"/>
        <item x="1605"/>
        <item x="1842"/>
        <item x="1668"/>
        <item x="492"/>
        <item x="1638"/>
        <item x="1106"/>
        <item x="1853"/>
        <item x="1959"/>
        <item x="1561"/>
        <item x="550"/>
        <item x="2271"/>
        <item x="1610"/>
        <item x="2235"/>
        <item x="1024"/>
        <item x="513"/>
        <item x="2074"/>
        <item x="2037"/>
        <item x="1677"/>
        <item x="444"/>
        <item x="2053"/>
        <item x="1904"/>
        <item x="849"/>
        <item x="1440"/>
        <item x="900"/>
        <item x="2112"/>
        <item x="19"/>
        <item x="805"/>
        <item x="1540"/>
        <item x="1502"/>
        <item x="1159"/>
        <item x="751"/>
        <item x="2321"/>
        <item x="1334"/>
        <item x="70"/>
        <item x="177"/>
        <item x="1945"/>
        <item x="2179"/>
        <item x="949"/>
        <item x="323"/>
        <item x="183"/>
        <item x="329"/>
        <item x="800"/>
        <item x="689"/>
        <item x="408"/>
        <item x="917"/>
        <item x="1579"/>
        <item x="519"/>
        <item x="2132"/>
        <item x="592"/>
        <item x="1917"/>
        <item x="2032"/>
        <item x="2506"/>
        <item x="1270"/>
        <item x="968"/>
        <item x="1298"/>
        <item x="2184"/>
        <item x="1929"/>
        <item x="1829"/>
        <item x="1672"/>
        <item x="2203"/>
        <item x="1969"/>
        <item x="2198"/>
        <item x="923"/>
        <item x="2208"/>
        <item x="2452"/>
        <item x="1763"/>
        <item x="4"/>
        <item x="1773"/>
        <item x="1278"/>
        <item x="869"/>
        <item x="2370"/>
        <item x="1652"/>
        <item x="648"/>
        <item x="1404"/>
        <item x="857"/>
        <item x="1191"/>
        <item x="512"/>
        <item x="769"/>
        <item x="966"/>
        <item x="306"/>
        <item x="215"/>
        <item x="650"/>
        <item x="1781"/>
        <item x="1531"/>
        <item x="1854"/>
        <item x="2040"/>
        <item x="1233"/>
        <item x="1759"/>
        <item x="1599"/>
        <item x="62"/>
        <item x="1787"/>
        <item x="1810"/>
        <item x="1900"/>
        <item x="527"/>
        <item x="1632"/>
        <item x="438"/>
        <item x="2332"/>
        <item x="972"/>
        <item x="2100"/>
        <item x="1762"/>
        <item x="1691"/>
        <item x="420"/>
        <item x="1465"/>
        <item x="1663"/>
        <item x="2095"/>
        <item x="2421"/>
        <item x="746"/>
        <item x="735"/>
        <item x="2386"/>
        <item x="2108"/>
        <item x="391"/>
        <item x="1826"/>
        <item x="1452"/>
        <item x="2269"/>
        <item x="783"/>
        <item x="1196"/>
        <item x="2285"/>
        <item x="1555"/>
        <item x="1045"/>
        <item x="2330"/>
        <item x="1730"/>
        <item x="1299"/>
        <item x="824"/>
        <item x="659"/>
        <item x="1362"/>
        <item x="2151"/>
        <item x="2046"/>
        <item x="1524"/>
        <item x="120"/>
        <item x="282"/>
        <item x="818"/>
        <item x="1405"/>
        <item x="14"/>
        <item x="1448"/>
        <item x="1951"/>
        <item x="2064"/>
        <item x="1574"/>
        <item x="2266"/>
        <item x="240"/>
        <item x="66"/>
        <item x="1103"/>
        <item x="1499"/>
        <item x="2148"/>
        <item x="1073"/>
        <item x="2353"/>
        <item x="2224"/>
        <item x="433"/>
        <item x="334"/>
        <item x="453"/>
        <item x="1131"/>
        <item x="2304"/>
        <item x="1389"/>
        <item x="1410"/>
        <item x="1352"/>
        <item x="1558"/>
        <item x="209"/>
        <item x="1814"/>
        <item x="811"/>
        <item x="2417"/>
        <item x="1665"/>
        <item x="2317"/>
        <item x="502"/>
        <item x="1889"/>
        <item x="345"/>
        <item x="2066"/>
        <item x="1922"/>
        <item x="1333"/>
        <item x="2026"/>
        <item x="603"/>
        <item x="929"/>
        <item x="105"/>
        <item x="1242"/>
        <item x="2091"/>
        <item x="1767"/>
        <item x="1450"/>
        <item x="1543"/>
        <item x="6"/>
        <item x="919"/>
        <item x="40"/>
        <item x="2003"/>
        <item x="163"/>
        <item x="218"/>
        <item x="1384"/>
        <item x="802"/>
        <item x="1968"/>
        <item x="510"/>
        <item x="454"/>
        <item x="157"/>
        <item x="90"/>
        <item x="597"/>
        <item x="1459"/>
        <item x="2263"/>
        <item x="237"/>
        <item x="2162"/>
        <item x="1047"/>
        <item x="1001"/>
        <item x="892"/>
        <item x="241"/>
        <item x="538"/>
        <item x="2181"/>
        <item x="2341"/>
        <item x="359"/>
        <item x="2197"/>
        <item x="861"/>
        <item x="1338"/>
        <item x="95"/>
        <item x="2072"/>
        <item x="2171"/>
        <item x="1760"/>
        <item x="1750"/>
        <item x="2301"/>
        <item x="2366"/>
        <item x="1344"/>
        <item x="1439"/>
        <item x="1156"/>
        <item x="2364"/>
        <item x="684"/>
        <item x="552"/>
        <item x="726"/>
        <item x="535"/>
        <item x="1142"/>
        <item x="2103"/>
        <item x="267"/>
        <item x="1725"/>
        <item x="2416"/>
        <item x="2246"/>
        <item x="1995"/>
        <item x="834"/>
        <item x="1535"/>
        <item x="478"/>
        <item x="1604"/>
        <item x="828"/>
        <item x="1406"/>
        <item x="1368"/>
        <item x="350"/>
        <item x="1670"/>
        <item x="442"/>
        <item x="562"/>
        <item x="1890"/>
        <item x="496"/>
        <item x="224"/>
        <item x="2507"/>
        <item x="1038"/>
        <item x="774"/>
        <item x="736"/>
        <item x="2503"/>
        <item x="75"/>
        <item x="1473"/>
        <item x="2013"/>
        <item x="2225"/>
        <item x="1515"/>
        <item x="677"/>
        <item x="887"/>
        <item x="2022"/>
        <item x="1921"/>
        <item x="2403"/>
        <item x="1662"/>
        <item x="1354"/>
        <item x="914"/>
        <item x="1732"/>
        <item x="1373"/>
        <item x="2511"/>
        <item x="970"/>
        <item x="1241"/>
        <item x="213"/>
        <item x="556"/>
        <item x="92"/>
        <item x="259"/>
        <item x="1345"/>
        <item x="822"/>
        <item x="2212"/>
        <item x="1209"/>
        <item x="2461"/>
        <item x="621"/>
        <item x="1053"/>
        <item x="1012"/>
        <item x="1008"/>
        <item x="606"/>
        <item x="185"/>
        <item x="1"/>
        <item x="1850"/>
        <item x="2243"/>
        <item x="72"/>
        <item x="1936"/>
        <item x="1500"/>
        <item x="1928"/>
        <item x="759"/>
        <item x="1213"/>
        <item x="1294"/>
        <item x="1962"/>
        <item x="1091"/>
        <item x="1970"/>
        <item x="42"/>
        <item x="851"/>
        <item x="1571"/>
        <item x="340"/>
        <item x="1247"/>
        <item x="1113"/>
        <item x="578"/>
        <item x="1800"/>
        <item x="1483"/>
        <item x="212"/>
        <item x="1226"/>
        <item x="1906"/>
        <item x="1894"/>
        <item x="1017"/>
        <item x="2082"/>
        <item x="84"/>
        <item x="1731"/>
        <item x="1169"/>
        <item x="1702"/>
        <item x="1284"/>
        <item x="691"/>
        <item x="13"/>
        <item x="98"/>
        <item x="458"/>
        <item x="1509"/>
        <item x="77"/>
        <item x="1083"/>
        <item x="1833"/>
        <item x="1199"/>
        <item x="217"/>
        <item x="1085"/>
        <item x="1712"/>
        <item x="1521"/>
        <item x="2194"/>
        <item x="1340"/>
        <item x="756"/>
        <item x="2429"/>
        <item x="110"/>
        <item x="1178"/>
        <item x="168"/>
        <item x="2047"/>
        <item x="2247"/>
        <item x="488"/>
        <item x="730"/>
        <item x="1622"/>
        <item x="1657"/>
        <item x="221"/>
        <item x="1639"/>
        <item x="143"/>
        <item x="29"/>
        <item x="2029"/>
        <item x="1933"/>
        <item x="1803"/>
        <item x="1301"/>
        <item x="127"/>
        <item x="2214"/>
        <item x="1820"/>
        <item x="2011"/>
        <item x="1919"/>
        <item x="1802"/>
        <item x="1315"/>
        <item x="2096"/>
        <item x="1541"/>
        <item x="328"/>
        <item x="2257"/>
        <item x="1588"/>
        <item x="1862"/>
        <item x="1188"/>
        <item x="1376"/>
        <item x="1620"/>
        <item x="766"/>
        <item x="86"/>
        <item x="993"/>
        <item x="644"/>
        <item x="133"/>
        <item x="2335"/>
        <item x="1614"/>
        <item x="199"/>
        <item x="2329"/>
        <item x="1708"/>
        <item x="2057"/>
        <item x="1100"/>
        <item x="1840"/>
        <item x="208"/>
        <item x="1686"/>
        <item x="2334"/>
        <item x="187"/>
        <item x="2378"/>
        <item x="471"/>
        <item x="80"/>
        <item x="613"/>
        <item x="1442"/>
        <item x="589"/>
        <item x="1002"/>
        <item x="554"/>
        <item x="2097"/>
        <item x="987"/>
        <item x="1370"/>
        <item x="579"/>
        <item x="1061"/>
        <item x="741"/>
        <item x="945"/>
        <item x="151"/>
        <item x="409"/>
        <item x="1598"/>
        <item x="2374"/>
        <item x="2340"/>
        <item x="895"/>
        <item x="799"/>
        <item x="773"/>
        <item x="231"/>
        <item x="995"/>
        <item x="614"/>
        <item x="695"/>
        <item x="78"/>
        <item x="2482"/>
        <item x="2309"/>
        <item x="1715"/>
        <item x="580"/>
        <item x="933"/>
        <item x="1656"/>
        <item x="784"/>
        <item x="319"/>
        <item x="962"/>
        <item x="1568"/>
        <item x="2023"/>
        <item x="1609"/>
        <item x="2223"/>
        <item x="1150"/>
        <item x="147"/>
        <item x="2016"/>
        <item x="1124"/>
        <item x="1182"/>
        <item x="301"/>
        <item x="758"/>
        <item x="637"/>
        <item x="1613"/>
        <item x="2256"/>
        <item x="2267"/>
        <item x="885"/>
        <item x="685"/>
        <item x="1325"/>
        <item x="1115"/>
        <item x="1999"/>
        <item x="942"/>
        <item x="383"/>
        <item x="1079"/>
        <item x="716"/>
        <item x="197"/>
        <item x="1582"/>
        <item x="719"/>
        <item x="2360"/>
        <item x="1435"/>
        <item x="750"/>
        <item x="943"/>
        <item x="704"/>
        <item x="508"/>
        <item x="398"/>
        <item x="1485"/>
        <item x="511"/>
        <item x="1956"/>
        <item x="1848"/>
        <item x="2483"/>
        <item x="703"/>
        <item x="742"/>
        <item x="2346"/>
        <item x="1415"/>
        <item x="1996"/>
        <item x="626"/>
        <item x="2157"/>
        <item x="1032"/>
        <item x="1359"/>
        <item x="1183"/>
        <item x="1201"/>
        <item x="1399"/>
        <item x="522"/>
        <item x="941"/>
        <item x="837"/>
        <item x="1703"/>
        <item x="575"/>
        <item x="1846"/>
        <item x="2253"/>
        <item x="658"/>
        <item x="1522"/>
        <item x="2293"/>
        <item x="130"/>
        <item x="2216"/>
        <item x="1553"/>
        <item x="2289"/>
        <item x="2014"/>
        <item x="1147"/>
        <item x="392"/>
        <item x="1779"/>
        <item x="2238"/>
        <item x="1825"/>
        <item x="2252"/>
        <item x="1685"/>
        <item x="1789"/>
        <item x="1699"/>
        <item x="2167"/>
        <item x="1013"/>
        <item x="1501"/>
        <item x="1774"/>
        <item x="2474"/>
        <item x="1888"/>
        <item x="609"/>
        <item x="292"/>
        <item x="1378"/>
        <item x="293"/>
        <item x="507"/>
        <item x="1621"/>
        <item x="9"/>
        <item x="219"/>
        <item x="1262"/>
        <item x="865"/>
        <item x="1586"/>
        <item x="960"/>
        <item x="1503"/>
        <item x="1570"/>
        <item x="697"/>
        <item x="843"/>
        <item x="1627"/>
        <item x="645"/>
        <item x="1353"/>
        <item x="295"/>
        <item x="1228"/>
        <item x="2432"/>
        <item x="739"/>
        <item x="1811"/>
        <item x="1960"/>
        <item x="2355"/>
        <item x="69"/>
        <item x="2139"/>
        <item x="1635"/>
        <item x="1192"/>
        <item x="2426"/>
        <item x="15"/>
        <item x="2358"/>
        <item x="1170"/>
        <item x="1812"/>
        <item x="583"/>
        <item x="1753"/>
        <item x="1737"/>
        <item x="370"/>
        <item x="198"/>
        <item x="32"/>
        <item x="1411"/>
        <item x="737"/>
        <item x="285"/>
        <item x="1872"/>
        <item x="890"/>
        <item x="2058"/>
        <item x="1279"/>
        <item x="725"/>
        <item x="1747"/>
        <item x="65"/>
        <item x="2439"/>
        <item x="2220"/>
        <item x="2404"/>
        <item x="934"/>
        <item x="661"/>
        <item x="351"/>
        <item x="640"/>
        <item x="1896"/>
        <item x="2007"/>
        <item x="555"/>
        <item x="239"/>
        <item x="1336"/>
        <item x="2359"/>
        <item x="1395"/>
        <item x="2063"/>
        <item x="1831"/>
        <item x="660"/>
        <item x="1312"/>
        <item x="336"/>
        <item x="262"/>
        <item x="196"/>
        <item x="2438"/>
        <item x="417"/>
        <item x="260"/>
        <item x="1185"/>
        <item x="2137"/>
        <item x="2265"/>
        <item x="2130"/>
        <item x="664"/>
        <item x="180"/>
        <item x="1016"/>
        <item x="1472"/>
        <item x="821"/>
        <item x="1697"/>
        <item x="376"/>
        <item x="2038"/>
        <item x="368"/>
        <item x="761"/>
        <item x="399"/>
        <item x="316"/>
        <item x="1873"/>
        <item x="558"/>
        <item x="928"/>
        <item x="663"/>
        <item x="432"/>
        <item x="1837"/>
        <item x="1433"/>
        <item x="2464"/>
        <item x="12"/>
        <item x="34"/>
        <item x="1379"/>
        <item x="1020"/>
        <item x="994"/>
        <item x="1036"/>
        <item x="385"/>
        <item x="2069"/>
        <item x="341"/>
        <item x="1548"/>
        <item x="93"/>
        <item x="317"/>
        <item x="400"/>
        <item x="1915"/>
        <item x="186"/>
        <item x="2487"/>
        <item x="1709"/>
        <item x="1728"/>
        <item x="1082"/>
        <item x="445"/>
        <item x="947"/>
        <item x="2114"/>
        <item x="844"/>
        <item x="780"/>
        <item x="2322"/>
        <item x="1413"/>
        <item x="1467"/>
        <item x="2290"/>
        <item x="2284"/>
        <item x="905"/>
        <item x="1529"/>
        <item x="1313"/>
        <item x="154"/>
        <item x="1630"/>
        <item x="1263"/>
        <item x="2282"/>
        <item x="1118"/>
        <item x="647"/>
        <item x="238"/>
        <item x="71"/>
        <item x="982"/>
        <item x="114"/>
        <item x="2122"/>
        <item x="832"/>
        <item x="353"/>
        <item x="2135"/>
        <item x="358"/>
        <item x="2099"/>
        <item x="1107"/>
        <item x="2102"/>
        <item x="768"/>
        <item x="2090"/>
        <item x="0"/>
        <item x="2270"/>
        <item x="1860"/>
        <item x="636"/>
        <item x="357"/>
        <item x="2261"/>
        <item x="287"/>
        <item x="2190"/>
        <item x="1897"/>
        <item x="785"/>
        <item x="543"/>
        <item x="842"/>
        <item x="1924"/>
        <item x="907"/>
        <item x="446"/>
        <item x="2443"/>
        <item x="557"/>
        <item x="878"/>
        <item x="1998"/>
        <item x="1785"/>
        <item x="2375"/>
        <item x="2240"/>
        <item x="1236"/>
        <item x="560"/>
        <item x="1914"/>
        <item x="576"/>
        <item x="1863"/>
        <item x="1092"/>
        <item x="2092"/>
        <item x="707"/>
        <item x="2127"/>
        <item x="979"/>
        <item x="175"/>
        <item x="1834"/>
        <item x="1019"/>
        <item x="1480"/>
        <item x="223"/>
        <item x="1126"/>
        <item x="35"/>
        <item x="1186"/>
        <item x="771"/>
        <item x="1235"/>
        <item x="2324"/>
        <item x="1443"/>
        <item x="413"/>
        <item x="1937"/>
        <item x="727"/>
        <item x="724"/>
        <item x="339"/>
        <item x="1282"/>
        <item x="2124"/>
        <item x="372"/>
        <item x="2392"/>
        <item x="1056"/>
        <item x="2495"/>
        <item x="503"/>
        <item x="2228"/>
        <item x="1681"/>
        <item x="582"/>
        <item x="149"/>
        <item x="1326"/>
        <item x="419"/>
        <item x="173"/>
        <item x="1069"/>
        <item x="1756"/>
        <item x="2"/>
        <item x="487"/>
        <item x="1430"/>
        <item x="1275"/>
        <item x="1090"/>
        <item x="1286"/>
        <item x="1067"/>
        <item x="2337"/>
        <item x="2447"/>
        <item x="451"/>
        <item x="853"/>
        <item x="1899"/>
        <item x="989"/>
        <item x="82"/>
        <item x="388"/>
        <item x="879"/>
        <item x="601"/>
        <item x="439"/>
        <item x="299"/>
        <item x="1946"/>
        <item x="418"/>
        <item x="515"/>
        <item x="254"/>
        <item x="1847"/>
        <item x="2313"/>
        <item x="948"/>
        <item x="721"/>
        <item x="1296"/>
        <item x="1136"/>
        <item x="712"/>
        <item x="2395"/>
        <item x="1611"/>
        <item x="915"/>
        <item x="1431"/>
        <item x="700"/>
        <item x="2143"/>
        <item x="965"/>
        <item x="2415"/>
        <item x="2272"/>
        <item x="715"/>
        <item x="931"/>
        <item x="1144"/>
        <item x="710"/>
        <item x="2393"/>
        <item x="288"/>
        <item x="1477"/>
        <item x="1381"/>
        <item x="1920"/>
        <item x="1000"/>
        <item x="1988"/>
        <item x="303"/>
        <item x="2205"/>
        <item x="1251"/>
        <item x="321"/>
        <item x="50"/>
        <item x="1770"/>
        <item x="2230"/>
        <item x="83"/>
        <item x="754"/>
        <item x="1865"/>
        <item x="2111"/>
        <item x="204"/>
        <item x="1653"/>
        <item x="348"/>
        <item x="74"/>
        <item x="2371"/>
        <item x="394"/>
        <item x="165"/>
        <item x="2227"/>
        <item x="1044"/>
        <item x="1146"/>
        <item x="58"/>
        <item x="666"/>
        <item x="1466"/>
        <item x="1187"/>
        <item x="605"/>
        <item x="2445"/>
        <item x="2206"/>
        <item x="2264"/>
        <item x="1744"/>
        <item x="1174"/>
        <item x="817"/>
        <item x="2382"/>
        <item x="1234"/>
        <item x="657"/>
        <item x="866"/>
        <item x="354"/>
        <item x="2362"/>
        <item x="2467"/>
        <item x="470"/>
        <item x="1225"/>
        <item x="1125"/>
        <item x="131"/>
        <item x="410"/>
        <item x="1532"/>
        <item x="678"/>
        <item x="2229"/>
        <item x="166"/>
        <item x="1121"/>
        <item x="2254"/>
        <item x="1003"/>
        <item x="2258"/>
        <item x="2268"/>
        <item x="397"/>
        <item x="1424"/>
        <item x="794"/>
        <item x="635"/>
        <item x="1646"/>
        <item x="1051"/>
        <item x="1119"/>
        <item x="786"/>
        <item x="992"/>
        <item x="2473"/>
        <item x="1474"/>
        <item x="2168"/>
        <item x="1911"/>
        <item x="188"/>
        <item x="2060"/>
        <item x="1600"/>
        <item x="246"/>
        <item x="1597"/>
        <item x="1428"/>
        <item x="1636"/>
        <item x="1029"/>
        <item x="427"/>
        <item x="1117"/>
        <item x="2319"/>
        <item x="925"/>
        <item x="314"/>
        <item x="1925"/>
        <item x="1667"/>
        <item x="1108"/>
        <item x="705"/>
        <item x="2410"/>
        <item x="142"/>
        <item x="981"/>
        <item x="2118"/>
        <item x="790"/>
        <item x="618"/>
        <item x="2131"/>
        <item x="161"/>
        <item x="1454"/>
        <item x="1245"/>
        <item x="1288"/>
        <item x="2200"/>
        <item x="315"/>
        <item x="2019"/>
        <item x="860"/>
        <item x="629"/>
        <item x="1916"/>
        <item x="1882"/>
        <item x="585"/>
        <item x="300"/>
        <item x="477"/>
        <item x="243"/>
        <item x="1987"/>
        <item x="872"/>
        <item x="2323"/>
        <item x="1977"/>
        <item x="1149"/>
        <item x="1752"/>
        <item x="829"/>
        <item x="1291"/>
        <item x="2498"/>
        <item x="816"/>
        <item x="958"/>
        <item x="1371"/>
        <item x="2458"/>
        <item x="1938"/>
        <item x="1819"/>
        <item x="1644"/>
        <item x="2222"/>
        <item x="913"/>
        <item x="1720"/>
        <item x="1798"/>
        <item x="975"/>
        <item x="701"/>
        <item x="140"/>
        <item x="2055"/>
        <item x="43"/>
        <item x="1690"/>
        <item x="2183"/>
        <item x="862"/>
        <item x="1778"/>
        <item x="68"/>
        <item x="2154"/>
        <item x="1112"/>
        <item x="67"/>
        <item x="653"/>
        <item x="450"/>
        <item x="2490"/>
        <item x="1211"/>
        <item x="1723"/>
        <item x="1423"/>
        <item x="2088"/>
        <item x="2248"/>
        <item x="2449"/>
        <item x="56"/>
        <item x="916"/>
        <item x="1757"/>
        <item x="1628"/>
        <item x="33"/>
        <item x="324"/>
        <item x="103"/>
        <item x="47"/>
        <item x="1948"/>
        <item x="247"/>
        <item x="1070"/>
        <item x="2508"/>
        <item x="2391"/>
        <item x="690"/>
        <item x="1253"/>
        <item x="2365"/>
        <item x="28"/>
        <item x="2477"/>
        <item x="2297"/>
        <item x="586"/>
        <item x="423"/>
        <item x="1264"/>
        <item x="2081"/>
        <item x="2000"/>
        <item x="680"/>
        <item x="36"/>
        <item x="181"/>
        <item x="937"/>
        <item x="79"/>
        <item x="1741"/>
        <item x="1390"/>
        <item x="744"/>
        <item x="73"/>
        <item x="171"/>
        <item x="1042"/>
        <item x="927"/>
        <item x="242"/>
        <item x="273"/>
        <item x="1366"/>
        <item x="452"/>
        <item x="2067"/>
        <item x="1266"/>
        <item x="584"/>
        <item x="464"/>
        <item x="233"/>
        <item x="1693"/>
        <item x="1993"/>
        <item x="1584"/>
        <item x="667"/>
        <item x="379"/>
        <item x="1493"/>
        <item x="714"/>
        <item x="1486"/>
        <item x="1907"/>
        <item x="2448"/>
        <item x="870"/>
        <item x="1552"/>
        <item x="1942"/>
        <item x="1857"/>
        <item x="880"/>
        <item x="138"/>
        <item x="2325"/>
        <item x="2024"/>
        <item x="298"/>
        <item x="810"/>
        <item x="1040"/>
        <item x="1272"/>
        <item x="894"/>
        <item x="333"/>
        <item x="174"/>
        <item x="564"/>
        <item x="902"/>
        <item x="977"/>
        <item x="426"/>
        <item x="2065"/>
        <item x="443"/>
        <item x="1684"/>
        <item x="2492"/>
        <item x="1444"/>
        <item x="2174"/>
        <item x="1180"/>
        <item x="991"/>
        <item x="1438"/>
        <item x="1827"/>
        <item x="378"/>
        <item x="124"/>
        <item x="156"/>
        <item x="1487"/>
        <item x="1349"/>
        <item x="1018"/>
        <item x="2343"/>
        <item x="1680"/>
        <item x="2163"/>
        <item x="1409"/>
        <item x="2459"/>
        <item x="1516"/>
        <item x="1343"/>
        <item x="2279"/>
        <item x="491"/>
        <item x="59"/>
        <item x="1783"/>
        <item x="401"/>
        <item x="2294"/>
        <item x="2123"/>
        <item x="825"/>
        <item x="1181"/>
        <item x="207"/>
        <item x="137"/>
        <item x="2453"/>
        <item x="698"/>
        <item x="1398"/>
        <item x="2231"/>
        <item x="1230"/>
        <item x="654"/>
        <item x="1855"/>
        <item x="159"/>
        <item x="302"/>
        <item x="1151"/>
        <item x="2250"/>
        <item x="1084"/>
        <item x="91"/>
        <item x="1479"/>
        <item x="111"/>
        <item x="2259"/>
        <item x="1208"/>
        <item x="2076"/>
        <item x="64"/>
        <item x="723"/>
        <item x="278"/>
        <item x="1640"/>
        <item x="1594"/>
        <item x="1229"/>
        <item x="2105"/>
        <item x="1828"/>
        <item x="883"/>
        <item x="693"/>
        <item x="577"/>
        <item x="1990"/>
        <item x="27"/>
        <item x="1138"/>
        <item x="1128"/>
        <item x="308"/>
        <item x="1490"/>
        <item x="1363"/>
        <item x="1817"/>
        <item x="2107"/>
        <item x="638"/>
        <item x="1046"/>
        <item x="337"/>
        <item x="283"/>
        <item x="521"/>
        <item x="2234"/>
        <item x="1099"/>
        <item x="2412"/>
        <item x="903"/>
        <item x="607"/>
        <item x="346"/>
        <item x="1743"/>
        <item x="1421"/>
        <item x="2300"/>
        <item x="888"/>
        <item x="1527"/>
        <item x="176"/>
        <item x="1221"/>
        <item x="1972"/>
        <item x="1661"/>
        <item x="1327"/>
        <item x="330"/>
        <item x="1830"/>
        <item x="361"/>
        <item x="2307"/>
        <item x="1795"/>
        <item x="1249"/>
        <item x="2080"/>
        <item x="2316"/>
        <item x="1190"/>
        <item x="1383"/>
        <item x="694"/>
        <item x="1768"/>
        <item x="1039"/>
        <item x="1048"/>
        <item x="2431"/>
        <item x="569"/>
        <item x="2479"/>
        <item x="466"/>
        <item x="457"/>
        <item x="1839"/>
        <item x="1602"/>
        <item x="1957"/>
        <item x="1396"/>
        <item x="615"/>
        <item x="1893"/>
        <item x="2006"/>
        <item x="2196"/>
        <item x="835"/>
        <item x="2051"/>
        <item x="891"/>
        <item x="263"/>
        <item x="1447"/>
        <item x="984"/>
        <item x="2276"/>
        <item x="728"/>
        <item x="1412"/>
        <item x="2056"/>
        <item x="1021"/>
        <item x="1966"/>
        <item x="1492"/>
        <item x="2160"/>
        <item x="1078"/>
        <item x="467"/>
        <item x="1655"/>
        <item x="2442"/>
        <item x="1979"/>
        <item x="1885"/>
        <item x="184"/>
        <item x="1481"/>
        <item x="2001"/>
        <item x="2424"/>
        <item x="632"/>
        <item x="565"/>
        <item x="405"/>
        <item x="366"/>
        <item x="1565"/>
        <item x="310"/>
        <item x="1784"/>
        <item x="97"/>
        <item x="729"/>
        <item x="2158"/>
        <item x="497"/>
        <item x="1569"/>
        <item x="2513"/>
        <item x="2367"/>
        <item x="1491"/>
        <item x="777"/>
        <item x="1542"/>
        <item x="1237"/>
        <item x="16"/>
        <item x="1314"/>
        <item x="2385"/>
        <item x="1625"/>
        <item x="2133"/>
        <item x="544"/>
        <item x="412"/>
        <item x="456"/>
        <item x="402"/>
        <item x="1023"/>
        <item x="1212"/>
        <item x="100"/>
        <item x="2101"/>
        <item x="214"/>
        <item x="1892"/>
        <item x="655"/>
        <item x="788"/>
        <item x="386"/>
        <item x="938"/>
        <item x="1735"/>
        <item x="682"/>
        <item x="2287"/>
        <item x="952"/>
        <item x="320"/>
        <item x="1173"/>
        <item x="2084"/>
        <item x="3"/>
        <item x="572"/>
        <item x="232"/>
        <item x="1081"/>
        <item x="229"/>
        <item x="980"/>
        <item x="1526"/>
        <item x="1351"/>
        <item x="117"/>
        <item x="2182"/>
        <item x="2204"/>
        <item x="2286"/>
        <item x="275"/>
        <item x="146"/>
        <item x="1596"/>
        <item x="1935"/>
        <item x="517"/>
        <item x="1281"/>
        <item x="375"/>
        <item x="2480"/>
        <item x="782"/>
        <item x="88"/>
        <item x="823"/>
        <item x="1420"/>
        <item x="1590"/>
        <item x="1427"/>
        <item x="2407"/>
        <item x="1086"/>
        <item x="1734"/>
        <item x="2318"/>
        <item x="1560"/>
        <item x="1950"/>
        <item x="803"/>
        <item x="1603"/>
        <item x="906"/>
        <item x="2098"/>
        <item x="1994"/>
        <item x="344"/>
        <item x="1033"/>
        <item x="1330"/>
        <item x="1218"/>
        <item x="493"/>
        <item x="523"/>
        <item x="251"/>
        <item x="781"/>
        <item x="604"/>
        <item x="2239"/>
        <item x="1374"/>
        <item x="2348"/>
        <item x="669"/>
        <item x="2489"/>
        <item x="568"/>
        <item x="1710"/>
        <item x="2129"/>
        <item x="1064"/>
        <item x="2446"/>
        <item x="1706"/>
        <item x="132"/>
        <item x="1280"/>
        <item x="814"/>
        <item x="261"/>
        <item x="210"/>
        <item x="610"/>
        <item x="961"/>
        <item x="591"/>
        <item x="624"/>
        <item x="2039"/>
        <item x="2020"/>
        <item x="57"/>
        <item x="1869"/>
        <item x="2089"/>
        <item x="99"/>
        <item x="2008"/>
        <item x="2059"/>
        <item x="1246"/>
        <item x="1729"/>
        <item x="1618"/>
        <item x="2409"/>
        <item x="1818"/>
        <item x="809"/>
        <item x="1642"/>
        <item x="436"/>
        <item x="1202"/>
        <item x="762"/>
        <item x="2484"/>
        <item x="1700"/>
        <item x="2411"/>
        <item x="179"/>
        <item x="1736"/>
        <item x="1469"/>
        <item x="139"/>
        <item x="2244"/>
        <item x="940"/>
        <item x="1559"/>
        <item x="2485"/>
        <item x="1031"/>
        <item x="1122"/>
        <item x="155"/>
        <item x="2009"/>
        <item x="281"/>
        <item x="387"/>
        <item x="1879"/>
        <item x="1328"/>
        <item x="2311"/>
        <item x="280"/>
        <item x="1547"/>
        <item x="827"/>
        <item x="1130"/>
        <item x="1505"/>
        <item x="836"/>
        <item x="2150"/>
        <item x="806"/>
        <item x="1223"/>
        <item x="2277"/>
        <item x="530"/>
        <item x="922"/>
        <item x="639"/>
        <item x="745"/>
        <item x="1462"/>
        <item x="256"/>
        <item x="1637"/>
        <item x="1380"/>
        <item x="1161"/>
        <item x="1214"/>
        <item x="1028"/>
        <item x="509"/>
        <item x="622"/>
        <item x="969"/>
        <item x="2210"/>
        <item x="1868"/>
        <item x="1958"/>
        <item x="499"/>
        <item x="297"/>
        <item x="1098"/>
        <item x="360"/>
        <item x="996"/>
        <item x="437"/>
        <item x="356"/>
        <item x="2440"/>
        <item x="520"/>
        <item x="2369"/>
        <item x="1198"/>
        <item x="1643"/>
        <item x="911"/>
        <item x="1271"/>
        <item x="1816"/>
        <item x="546"/>
        <item x="1256"/>
        <item x="791"/>
        <item x="506"/>
        <item x="2050"/>
        <item x="1089"/>
        <item x="2152"/>
        <item x="702"/>
        <item x="2437"/>
        <item x="2377"/>
        <item x="193"/>
        <item x="2260"/>
        <item x="421"/>
        <item x="764"/>
        <item x="1771"/>
        <item x="1401"/>
        <item x="2472"/>
        <item x="2042"/>
        <item x="616"/>
        <item x="24"/>
        <item x="1393"/>
        <item x="338"/>
        <item x="1062"/>
        <item x="2149"/>
        <item x="1883"/>
        <item x="2094"/>
        <item x="1861"/>
        <item x="1293"/>
        <item x="838"/>
        <item x="2314"/>
        <item x="956"/>
        <item x="573"/>
        <item x="1116"/>
        <item x="1468"/>
        <item x="676"/>
        <item x="819"/>
        <item x="109"/>
        <item x="548"/>
        <item x="1617"/>
        <item x="1952"/>
        <item x="820"/>
        <item x="665"/>
        <item x="599"/>
        <item x="1698"/>
        <item x="2273"/>
        <item x="581"/>
        <item x="1717"/>
        <item x="1496"/>
        <item x="2113"/>
        <item x="322"/>
        <item x="2468"/>
        <item x="1392"/>
        <item x="1674"/>
        <item x="1986"/>
        <item x="1944"/>
        <item x="1307"/>
        <item x="2145"/>
        <item x="2116"/>
        <item x="49"/>
        <item x="549"/>
        <item x="1713"/>
        <item x="2408"/>
        <item x="699"/>
        <item x="1049"/>
        <item x="1683"/>
        <item x="673"/>
        <item x="1801"/>
        <item x="39"/>
        <item x="1973"/>
        <item x="1157"/>
        <item x="1624"/>
        <item x="2345"/>
        <item x="2121"/>
        <item x="1874"/>
        <item x="1238"/>
        <item x="765"/>
        <item x="374"/>
        <item x="1739"/>
        <item x="2363"/>
        <item x="87"/>
        <item x="1856"/>
        <item x="1095"/>
        <item x="1276"/>
        <item x="2497"/>
        <item x="1168"/>
        <item x="2414"/>
        <item x="430"/>
        <item x="930"/>
        <item x="1109"/>
        <item x="649"/>
        <item x="2068"/>
        <item x="920"/>
        <item x="2186"/>
        <item x="1105"/>
        <item x="967"/>
        <item x="1269"/>
        <item x="620"/>
        <item x="2110"/>
        <item x="1623"/>
        <item x="1877"/>
        <item x="277"/>
        <item x="1329"/>
        <item x="518"/>
        <item x="1129"/>
        <item x="2153"/>
        <item x="1687"/>
        <item x="481"/>
        <item x="108"/>
        <item x="732"/>
        <item x="617"/>
        <item x="490"/>
        <item x="2002"/>
        <item x="1297"/>
        <item x="2470"/>
        <item x="2106"/>
        <item x="162"/>
        <item x="1216"/>
        <item x="1898"/>
        <item x="1549"/>
        <item x="1332"/>
        <item x="1268"/>
        <item x="1311"/>
        <item x="1322"/>
        <item x="7"/>
        <item x="910"/>
        <item x="1758"/>
        <item x="553"/>
        <item x="2045"/>
        <item x="380"/>
        <item x="2070"/>
        <item x="1203"/>
        <item x="2401"/>
        <item x="1120"/>
        <item x="1875"/>
        <item x="134"/>
        <item x="54"/>
        <item x="434"/>
        <item x="289"/>
        <item x="1139"/>
        <item x="1884"/>
        <item x="590"/>
        <item x="625"/>
        <item x="234"/>
        <item x="863"/>
        <item x="1838"/>
        <item x="672"/>
        <item x="1323"/>
        <item x="431"/>
        <item x="270"/>
        <item x="1441"/>
        <item x="1123"/>
        <item x="2405"/>
        <item x="1591"/>
        <item x="856"/>
        <item x="2510"/>
        <item x="1408"/>
        <item x="2460"/>
        <item x="1927"/>
        <item x="363"/>
        <item x="2494"/>
        <item x="2308"/>
        <item x="2245"/>
        <item x="1964"/>
        <item x="1339"/>
        <item x="1346"/>
        <item x="2041"/>
        <item x="1206"/>
        <item x="2402"/>
        <item x="1022"/>
        <item x="1177"/>
        <item x="1426"/>
        <item x="2310"/>
        <item x="60"/>
        <item x="164"/>
        <item x="25"/>
        <item x="1775"/>
        <item x="1058"/>
        <item x="1786"/>
        <item x="1738"/>
        <item x="1845"/>
        <item x="2462"/>
        <item x="2083"/>
        <item x="1132"/>
        <item x="253"/>
        <item x="1171"/>
        <item x="1923"/>
        <item x="717"/>
        <item x="889"/>
        <item x="22"/>
        <item x="1250"/>
        <item x="1722"/>
        <item x="2138"/>
        <item x="1222"/>
        <item x="441"/>
        <item x="874"/>
        <item x="1895"/>
        <item x="1824"/>
        <item x="1342"/>
        <item x="2295"/>
        <item x="529"/>
        <item x="1832"/>
        <item x="1347"/>
        <item x="1309"/>
        <item x="826"/>
        <item x="813"/>
        <item x="1939"/>
        <item x="1025"/>
        <item x="211"/>
        <item x="1901"/>
        <item x="1537"/>
        <item x="2195"/>
        <item x="258"/>
        <item x="1585"/>
        <item x="983"/>
        <item x="1164"/>
        <item x="539"/>
        <item x="2180"/>
        <item x="1551"/>
        <item x="951"/>
        <item x="627"/>
        <item x="318"/>
        <item x="144"/>
        <item x="867"/>
        <item x="1530"/>
        <item x="96"/>
        <item x="2368"/>
        <item x="1010"/>
        <item x="1026"/>
        <item x="2165"/>
        <item x="1497"/>
        <item x="760"/>
        <item x="2073"/>
        <item x="1688"/>
        <item x="447"/>
        <item x="475"/>
        <item x="536"/>
        <item x="2505"/>
        <item x="332"/>
        <item x="2499"/>
        <item x="1557"/>
        <item x="2456"/>
        <item x="1414"/>
        <item x="85"/>
        <item x="1445"/>
        <item x="486"/>
        <item x="1422"/>
        <item x="1539"/>
        <item x="2296"/>
        <item x="812"/>
        <item x="170"/>
        <item x="1908"/>
        <item x="1041"/>
        <item x="2170"/>
        <item x="1790"/>
        <item x="2211"/>
        <item x="1780"/>
        <item x="1259"/>
        <item x="2207"/>
        <item x="2201"/>
        <item x="612"/>
        <item x="1054"/>
        <item x="1633"/>
        <item x="1350"/>
        <item x="364"/>
        <item x="871"/>
        <item x="1193"/>
        <item x="1475"/>
        <item x="720"/>
        <item x="1429"/>
        <item x="257"/>
        <item x="1306"/>
        <item x="284"/>
        <item x="1533"/>
        <item x="1489"/>
        <item x="2488"/>
        <item x="1822"/>
        <item x="2155"/>
        <item x="1792"/>
        <item x="1870"/>
        <item x="1733"/>
        <item x="1302"/>
        <item x="1651"/>
        <item x="1943"/>
        <item x="1563"/>
        <item x="2035"/>
        <item x="953"/>
        <item x="571"/>
        <item x="1011"/>
        <item x="2469"/>
        <item x="1953"/>
        <item x="2435"/>
        <item x="148"/>
        <item x="1766"/>
        <item x="924"/>
        <item x="1273"/>
        <item x="516"/>
        <item x="939"/>
        <item x="504"/>
        <item x="2125"/>
        <item x="2172"/>
        <item x="2232"/>
        <item x="1215"/>
        <item x="1671"/>
        <item x="1175"/>
        <item x="954"/>
        <item x="422"/>
        <item x="831"/>
        <item x="381"/>
        <item x="1726"/>
        <item x="2302"/>
        <item x="222"/>
        <item x="2109"/>
        <item x="1254"/>
        <item x="1386"/>
        <item x="1658"/>
        <item x="713"/>
        <item x="1769"/>
        <item x="976"/>
        <item x="1437"/>
        <item x="1765"/>
        <item x="2274"/>
        <item x="309"/>
        <item x="384"/>
        <item x="998"/>
        <item x="1451"/>
        <item x="683"/>
        <item x="1692"/>
        <item x="1727"/>
        <item x="1714"/>
        <item x="1512"/>
        <item x="1482"/>
        <item x="1587"/>
        <item x="2475"/>
        <item x="2399"/>
        <item x="2305"/>
        <item x="1387"/>
        <item x="1967"/>
        <item x="1841"/>
        <item x="1484"/>
        <item x="1111"/>
        <item x="312"/>
        <item x="342"/>
        <item x="2420"/>
        <item x="2373"/>
        <item x="1436"/>
        <item x="2141"/>
        <item x="2338"/>
        <item x="326"/>
        <item x="365"/>
        <item x="2192"/>
        <item x="2144"/>
        <item x="898"/>
        <item x="1799"/>
        <item x="1788"/>
        <item x="2491"/>
        <item x="1836"/>
        <item x="1876"/>
        <item x="2093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numFmtId="1" showAll="0"/>
    <pivotField numFmtI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Review_id" fld="0" subtotal="count" baseField="8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DABEE7-D911-4A3A-99BC-63CEB5EF1D35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88:B193" firstHeaderRow="1" firstDataRow="1" firstDataCol="1"/>
  <pivotFields count="19">
    <pivotField dataField="1" showAll="0"/>
    <pivotField numFmtId="1" showAll="0"/>
    <pivotField showAll="0"/>
    <pivotField showAll="0"/>
    <pivotField showAll="0"/>
    <pivotField showAll="0"/>
    <pivotField axis="axisRow" numFmtId="164" showAll="0">
      <items count="7">
        <item x="0"/>
        <item x="1"/>
        <item x="2"/>
        <item x="3"/>
        <item x="4"/>
        <item x="5"/>
        <item t="default"/>
      </items>
    </pivotField>
    <pivotField numFmtId="22" showAll="0">
      <items count="2515">
        <item x="2075"/>
        <item x="150"/>
        <item x="718"/>
        <item x="1267"/>
        <item x="1252"/>
        <item x="1052"/>
        <item x="2376"/>
        <item x="2501"/>
        <item x="2320"/>
        <item x="646"/>
        <item x="593"/>
        <item x="1654"/>
        <item x="1719"/>
        <item x="1145"/>
        <item x="2347"/>
        <item x="681"/>
        <item x="1992"/>
        <item x="1260"/>
        <item x="670"/>
        <item x="1634"/>
        <item x="51"/>
        <item x="1290"/>
        <item x="2406"/>
        <item x="808"/>
        <item x="789"/>
        <item x="2048"/>
        <item x="747"/>
        <item x="2381"/>
        <item x="1676"/>
        <item x="2331"/>
        <item x="2423"/>
        <item x="687"/>
        <item x="525"/>
        <item x="839"/>
        <item x="1961"/>
        <item x="377"/>
        <item x="500"/>
        <item x="1369"/>
        <item x="460"/>
        <item x="909"/>
        <item x="1285"/>
        <item x="2119"/>
        <item x="1566"/>
        <item x="2085"/>
        <item x="1507"/>
        <item x="1488"/>
        <item x="595"/>
        <item x="121"/>
        <item x="2306"/>
        <item x="1365"/>
        <item x="957"/>
        <item x="1014"/>
        <item x="2217"/>
        <item x="1375"/>
        <item x="1513"/>
        <item x="2466"/>
        <item x="1195"/>
        <item x="2288"/>
        <item x="2191"/>
        <item x="1867"/>
        <item x="531"/>
        <item x="2354"/>
        <item x="2120"/>
        <item x="1189"/>
        <item x="226"/>
        <item x="1305"/>
        <item x="935"/>
        <item x="407"/>
        <item x="859"/>
        <item x="2387"/>
        <item x="294"/>
        <item x="1965"/>
        <item x="2352"/>
        <item x="1581"/>
        <item x="674"/>
        <item x="1881"/>
        <item x="1749"/>
        <item x="1317"/>
        <item x="182"/>
        <item x="2185"/>
        <item x="1407"/>
        <item x="1470"/>
        <item x="205"/>
        <item x="2115"/>
        <item x="1335"/>
        <item x="1949"/>
        <item x="2161"/>
        <item x="1141"/>
        <item x="1158"/>
        <item x="1243"/>
        <item x="206"/>
        <item x="873"/>
        <item x="1403"/>
        <item x="1217"/>
        <item x="2140"/>
        <item x="574"/>
        <item x="815"/>
        <item x="1005"/>
        <item x="347"/>
        <item x="1575"/>
        <item x="1066"/>
        <item x="634"/>
        <item x="2430"/>
        <item x="1258"/>
        <item x="561"/>
        <item x="252"/>
        <item x="675"/>
        <item x="1608"/>
        <item x="1511"/>
        <item x="563"/>
        <item x="1463"/>
        <item x="2357"/>
        <item x="2221"/>
        <item x="1716"/>
        <item x="841"/>
        <item x="1204"/>
        <item x="1065"/>
        <item x="2502"/>
        <item x="985"/>
        <item x="997"/>
        <item x="158"/>
        <item x="265"/>
        <item x="1303"/>
        <item x="1912"/>
        <item x="1372"/>
        <item x="1955"/>
        <item x="2465"/>
        <item x="1356"/>
        <item x="406"/>
        <item x="1809"/>
        <item x="1577"/>
        <item x="2169"/>
        <item x="296"/>
        <item x="1578"/>
        <item x="641"/>
        <item x="628"/>
        <item x="2034"/>
        <item x="349"/>
        <item x="2071"/>
        <item x="2496"/>
        <item x="1135"/>
        <item x="189"/>
        <item x="2202"/>
        <item x="2427"/>
        <item x="128"/>
        <item x="963"/>
        <item x="1508"/>
        <item x="1518"/>
        <item x="1453"/>
        <item x="1057"/>
        <item x="1695"/>
        <item x="1718"/>
        <item x="840"/>
        <item x="749"/>
        <item x="2379"/>
        <item x="123"/>
        <item x="1740"/>
        <item x="472"/>
        <item x="8"/>
        <item x="801"/>
        <item x="2027"/>
        <item x="1292"/>
        <item x="1337"/>
        <item x="1498"/>
        <item x="373"/>
        <item x="2078"/>
        <item x="1006"/>
        <item x="1797"/>
        <item x="1102"/>
        <item x="484"/>
        <item x="1377"/>
        <item x="202"/>
        <item x="1283"/>
        <item x="1087"/>
        <item x="94"/>
        <item x="1612"/>
        <item x="990"/>
        <item x="1871"/>
        <item x="31"/>
        <item x="1804"/>
        <item x="505"/>
        <item x="2237"/>
        <item x="2450"/>
        <item x="1308"/>
        <item x="2147"/>
        <item x="2434"/>
        <item x="2178"/>
        <item x="1055"/>
        <item x="462"/>
        <item x="743"/>
        <item x="191"/>
        <item x="2500"/>
        <item x="2339"/>
        <item x="1673"/>
        <item x="1219"/>
        <item x="2176"/>
        <item x="1385"/>
        <item x="2328"/>
        <item x="1947"/>
        <item x="220"/>
        <item x="740"/>
        <item x="1664"/>
        <item x="2166"/>
        <item x="1357"/>
        <item x="172"/>
        <item x="1776"/>
        <item x="37"/>
        <item x="106"/>
        <item x="2471"/>
        <item x="1650"/>
        <item x="1471"/>
        <item x="1619"/>
        <item x="272"/>
        <item x="463"/>
        <item x="2454"/>
        <item x="881"/>
        <item x="1027"/>
        <item x="1989"/>
        <item x="2444"/>
        <item x="668"/>
        <item x="1360"/>
        <item x="271"/>
        <item x="1682"/>
        <item x="1645"/>
        <item x="959"/>
        <item x="1576"/>
        <item x="845"/>
        <item x="688"/>
        <item x="23"/>
        <item x="389"/>
        <item x="545"/>
        <item x="709"/>
        <item x="1772"/>
        <item x="455"/>
        <item x="551"/>
        <item x="1133"/>
        <item x="1137"/>
        <item x="1593"/>
        <item x="955"/>
        <item x="850"/>
        <item x="1239"/>
        <item x="901"/>
        <item x="1166"/>
        <item x="236"/>
        <item x="896"/>
        <item x="1425"/>
        <item x="950"/>
        <item x="696"/>
        <item x="1071"/>
        <item x="1514"/>
        <item x="537"/>
        <item x="904"/>
        <item x="1572"/>
        <item x="485"/>
        <item x="248"/>
        <item x="1592"/>
        <item x="1154"/>
        <item x="498"/>
        <item x="2336"/>
        <item x="201"/>
        <item x="2136"/>
        <item x="779"/>
        <item x="1886"/>
        <item x="1060"/>
        <item x="1068"/>
        <item x="1394"/>
        <item x="1983"/>
        <item x="1997"/>
        <item x="1589"/>
        <item x="38"/>
        <item x="566"/>
        <item x="2164"/>
        <item x="1240"/>
        <item x="2361"/>
        <item x="1461"/>
        <item x="1626"/>
        <item x="2142"/>
        <item x="1093"/>
        <item x="1580"/>
        <item x="107"/>
        <item x="1449"/>
        <item x="1878"/>
        <item x="125"/>
        <item x="633"/>
        <item x="1659"/>
        <item x="390"/>
        <item x="971"/>
        <item x="482"/>
        <item x="2156"/>
        <item x="532"/>
        <item x="1418"/>
        <item x="403"/>
        <item x="2249"/>
        <item x="1815"/>
        <item x="1432"/>
        <item x="877"/>
        <item x="643"/>
        <item x="1648"/>
        <item x="2390"/>
        <item x="1277"/>
        <item x="1573"/>
        <item x="918"/>
        <item x="1601"/>
        <item x="1544"/>
        <item x="1400"/>
        <item x="1647"/>
        <item x="1261"/>
        <item x="1694"/>
        <item x="1007"/>
        <item x="17"/>
        <item x="1063"/>
        <item x="20"/>
        <item x="1110"/>
        <item x="854"/>
        <item x="1711"/>
        <item x="804"/>
        <item x="897"/>
        <item x="129"/>
        <item x="2436"/>
        <item x="1607"/>
        <item x="1745"/>
        <item x="141"/>
        <item x="1300"/>
        <item x="2177"/>
        <item x="1852"/>
        <item x="1152"/>
        <item x="2350"/>
        <item x="2146"/>
        <item x="425"/>
        <item x="936"/>
        <item x="276"/>
        <item x="424"/>
        <item x="1231"/>
        <item x="1556"/>
        <item x="1641"/>
        <item x="656"/>
        <item x="468"/>
        <item x="2189"/>
        <item x="807"/>
        <item x="115"/>
        <item x="1200"/>
        <item x="30"/>
        <item x="2356"/>
        <item x="770"/>
        <item x="2481"/>
        <item x="1666"/>
        <item x="602"/>
        <item x="2428"/>
        <item x="1434"/>
        <item x="1153"/>
        <item x="2281"/>
        <item x="2054"/>
        <item x="190"/>
        <item x="1287"/>
        <item x="2061"/>
        <item x="122"/>
        <item x="195"/>
        <item x="1528"/>
        <item x="2255"/>
        <item x="1088"/>
        <item x="2280"/>
        <item x="2175"/>
        <item x="244"/>
        <item x="1866"/>
        <item x="1160"/>
        <item x="2418"/>
        <item x="501"/>
        <item x="53"/>
        <item x="1504"/>
        <item x="1982"/>
        <item x="1030"/>
        <item x="461"/>
        <item x="1545"/>
        <item x="2226"/>
        <item x="619"/>
        <item x="2128"/>
        <item x="264"/>
        <item x="882"/>
        <item x="899"/>
        <item x="1358"/>
        <item x="793"/>
        <item x="1905"/>
        <item x="249"/>
        <item x="1954"/>
        <item x="89"/>
        <item x="2351"/>
        <item x="429"/>
        <item x="2079"/>
        <item x="642"/>
        <item x="325"/>
        <item x="2251"/>
        <item x="2283"/>
        <item x="1701"/>
        <item x="2242"/>
        <item x="10"/>
        <item x="1050"/>
        <item x="2394"/>
        <item x="757"/>
        <item x="227"/>
        <item x="2213"/>
        <item x="1808"/>
        <item x="2509"/>
        <item x="1035"/>
        <item x="200"/>
        <item x="1455"/>
        <item x="1167"/>
        <item x="988"/>
        <item x="2400"/>
        <item x="1567"/>
        <item x="480"/>
        <item x="235"/>
        <item x="1843"/>
        <item x="2433"/>
        <item x="2062"/>
        <item x="876"/>
        <item x="1080"/>
        <item x="1746"/>
        <item x="2493"/>
        <item x="833"/>
        <item x="44"/>
        <item x="1724"/>
        <item x="926"/>
        <item x="1506"/>
        <item x="2173"/>
        <item x="1880"/>
        <item x="1207"/>
        <item x="2451"/>
        <item x="1127"/>
        <item x="999"/>
        <item x="18"/>
        <item x="2512"/>
        <item x="1341"/>
        <item x="662"/>
        <item x="2303"/>
        <item x="1419"/>
        <item x="2193"/>
        <item x="2388"/>
        <item x="1015"/>
        <item x="2478"/>
        <item x="775"/>
        <item x="255"/>
        <item x="1931"/>
        <item x="2315"/>
        <item x="1274"/>
        <item x="286"/>
        <item x="435"/>
        <item x="528"/>
        <item x="428"/>
        <item x="473"/>
        <item x="778"/>
        <item x="1205"/>
        <item x="393"/>
        <item x="1705"/>
        <item x="2396"/>
        <item x="2476"/>
        <item x="2218"/>
        <item x="2052"/>
        <item x="533"/>
        <item x="1417"/>
        <item x="711"/>
        <item x="1478"/>
        <item x="2159"/>
        <item x="228"/>
        <item x="2389"/>
        <item x="2344"/>
        <item x="194"/>
        <item x="1761"/>
        <item x="772"/>
        <item x="1197"/>
        <item x="2043"/>
        <item x="1034"/>
        <item x="1265"/>
        <item x="178"/>
        <item x="112"/>
        <item x="2486"/>
        <item x="1397"/>
        <item x="230"/>
        <item x="395"/>
        <item x="1909"/>
        <item x="2017"/>
        <item x="514"/>
        <item x="1844"/>
        <item x="1140"/>
        <item x="1101"/>
        <item x="1075"/>
        <item x="1974"/>
        <item x="623"/>
        <item x="1517"/>
        <item x="2215"/>
        <item x="524"/>
        <item x="1971"/>
        <item x="884"/>
        <item x="1616"/>
        <item x="973"/>
        <item x="1176"/>
        <item x="1074"/>
        <item x="1932"/>
        <item x="2457"/>
        <item x="540"/>
        <item x="1510"/>
        <item x="414"/>
        <item x="1930"/>
        <item x="752"/>
        <item x="152"/>
        <item x="796"/>
        <item x="570"/>
        <item x="792"/>
        <item x="2236"/>
        <item x="291"/>
        <item x="893"/>
        <item x="534"/>
        <item x="1534"/>
        <item x="932"/>
        <item x="852"/>
        <item x="1321"/>
        <item x="1179"/>
        <item x="2036"/>
        <item x="2044"/>
        <item x="1679"/>
        <item x="1255"/>
        <item x="118"/>
        <item x="1310"/>
        <item x="2219"/>
        <item x="1525"/>
        <item x="886"/>
        <item x="2018"/>
        <item x="119"/>
        <item x="1388"/>
        <item x="81"/>
        <item x="2199"/>
        <item x="1821"/>
        <item x="1631"/>
        <item x="846"/>
        <item x="2010"/>
        <item x="415"/>
        <item x="1669"/>
        <item x="2012"/>
        <item x="2104"/>
        <item x="101"/>
        <item x="594"/>
        <item x="1163"/>
        <item x="651"/>
        <item x="2291"/>
        <item x="2298"/>
        <item x="1754"/>
        <item x="1295"/>
        <item x="1402"/>
        <item x="611"/>
        <item x="1094"/>
        <item x="311"/>
        <item x="1004"/>
        <item x="748"/>
        <item x="908"/>
        <item x="1562"/>
        <item x="1813"/>
        <item x="1748"/>
        <item x="1864"/>
        <item x="1464"/>
        <item x="2299"/>
        <item x="2413"/>
        <item x="1536"/>
        <item x="1976"/>
        <item x="192"/>
        <item x="1926"/>
        <item x="2077"/>
        <item x="2292"/>
        <item x="2327"/>
        <item x="1194"/>
        <item x="1331"/>
        <item x="2049"/>
        <item x="55"/>
        <item x="1564"/>
        <item x="1794"/>
        <item x="671"/>
        <item x="2463"/>
        <item x="1984"/>
        <item x="382"/>
        <item x="986"/>
        <item x="26"/>
        <item x="1629"/>
        <item x="1519"/>
        <item x="1606"/>
        <item x="1072"/>
        <item x="1615"/>
        <item x="1227"/>
        <item x="411"/>
        <item x="1859"/>
        <item x="5"/>
        <item x="1364"/>
        <item x="1902"/>
        <item x="362"/>
        <item x="797"/>
        <item x="1495"/>
        <item x="45"/>
        <item x="2397"/>
        <item x="104"/>
        <item x="1446"/>
        <item x="978"/>
        <item x="1849"/>
        <item x="335"/>
        <item x="1009"/>
        <item x="686"/>
        <item x="1367"/>
        <item x="2087"/>
        <item x="61"/>
        <item x="63"/>
        <item x="1835"/>
        <item x="2126"/>
        <item x="279"/>
        <item x="1554"/>
        <item x="1782"/>
        <item x="355"/>
        <item x="2326"/>
        <item x="1077"/>
        <item x="2441"/>
        <item x="1678"/>
        <item x="1324"/>
        <item x="1807"/>
        <item x="167"/>
        <item x="2031"/>
        <item x="1319"/>
        <item x="2241"/>
        <item x="1704"/>
        <item x="476"/>
        <item x="2021"/>
        <item x="1316"/>
        <item x="2384"/>
        <item x="1793"/>
        <item x="1184"/>
        <item x="2233"/>
        <item x="2188"/>
        <item x="1318"/>
        <item x="1257"/>
        <item x="1981"/>
        <item x="1143"/>
        <item x="1796"/>
        <item x="547"/>
        <item x="274"/>
        <item x="1941"/>
        <item x="489"/>
        <item x="753"/>
        <item x="912"/>
        <item x="483"/>
        <item x="102"/>
        <item x="946"/>
        <item x="48"/>
        <item x="21"/>
        <item x="1162"/>
        <item x="1104"/>
        <item x="1457"/>
        <item x="630"/>
        <item x="1416"/>
        <item x="1224"/>
        <item x="1777"/>
        <item x="2086"/>
        <item x="855"/>
        <item x="1823"/>
        <item x="706"/>
        <item x="1887"/>
        <item x="1991"/>
        <item x="1382"/>
        <item x="1456"/>
        <item x="1210"/>
        <item x="2117"/>
        <item x="2419"/>
        <item x="2333"/>
        <item x="1304"/>
        <item x="847"/>
        <item x="1244"/>
        <item x="304"/>
        <item x="11"/>
        <item x="1851"/>
        <item x="459"/>
        <item x="2278"/>
        <item x="526"/>
        <item x="1494"/>
        <item x="2025"/>
        <item x="1320"/>
        <item x="449"/>
        <item x="763"/>
        <item x="1721"/>
        <item x="2372"/>
        <item x="1355"/>
        <item x="2342"/>
        <item x="268"/>
        <item x="974"/>
        <item x="474"/>
        <item x="169"/>
        <item x="2033"/>
        <item x="964"/>
        <item x="2134"/>
        <item x="722"/>
        <item x="1595"/>
        <item x="1805"/>
        <item x="708"/>
        <item x="404"/>
        <item x="1806"/>
        <item x="767"/>
        <item x="2398"/>
        <item x="495"/>
        <item x="371"/>
        <item x="327"/>
        <item x="738"/>
        <item x="1391"/>
        <item x="331"/>
        <item x="1134"/>
        <item x="1649"/>
        <item x="416"/>
        <item x="1903"/>
        <item x="469"/>
        <item x="731"/>
        <item x="541"/>
        <item x="542"/>
        <item x="559"/>
        <item x="2504"/>
        <item x="160"/>
        <item x="41"/>
        <item x="1696"/>
        <item x="848"/>
        <item x="1918"/>
        <item x="1689"/>
        <item x="1978"/>
        <item x="290"/>
        <item x="1546"/>
        <item x="1891"/>
        <item x="1165"/>
        <item x="145"/>
        <item x="2425"/>
        <item x="755"/>
        <item x="1538"/>
        <item x="1059"/>
        <item x="2004"/>
        <item x="795"/>
        <item x="1975"/>
        <item x="1910"/>
        <item x="1361"/>
        <item x="448"/>
        <item x="1913"/>
        <item x="1675"/>
        <item x="2015"/>
        <item x="734"/>
        <item x="2028"/>
        <item x="440"/>
        <item x="2380"/>
        <item x="2005"/>
        <item x="1114"/>
        <item x="1764"/>
        <item x="113"/>
        <item x="1791"/>
        <item x="1520"/>
        <item x="868"/>
        <item x="1476"/>
        <item x="944"/>
        <item x="608"/>
        <item x="1148"/>
        <item x="367"/>
        <item x="216"/>
        <item x="1980"/>
        <item x="2383"/>
        <item x="1155"/>
        <item x="126"/>
        <item x="733"/>
        <item x="269"/>
        <item x="2312"/>
        <item x="652"/>
        <item x="343"/>
        <item x="921"/>
        <item x="313"/>
        <item x="1096"/>
        <item x="203"/>
        <item x="2187"/>
        <item x="136"/>
        <item x="1248"/>
        <item x="1985"/>
        <item x="225"/>
        <item x="2209"/>
        <item x="1755"/>
        <item x="1583"/>
        <item x="307"/>
        <item x="600"/>
        <item x="1858"/>
        <item x="135"/>
        <item x="396"/>
        <item x="479"/>
        <item x="1348"/>
        <item x="864"/>
        <item x="2275"/>
        <item x="250"/>
        <item x="1550"/>
        <item x="1097"/>
        <item x="1460"/>
        <item x="305"/>
        <item x="2030"/>
        <item x="52"/>
        <item x="1751"/>
        <item x="1934"/>
        <item x="587"/>
        <item x="567"/>
        <item x="352"/>
        <item x="1742"/>
        <item x="1037"/>
        <item x="830"/>
        <item x="2349"/>
        <item x="2455"/>
        <item x="1458"/>
        <item x="1963"/>
        <item x="875"/>
        <item x="76"/>
        <item x="1523"/>
        <item x="1707"/>
        <item x="1232"/>
        <item x="858"/>
        <item x="598"/>
        <item x="588"/>
        <item x="1940"/>
        <item x="1043"/>
        <item x="494"/>
        <item x="369"/>
        <item x="245"/>
        <item x="787"/>
        <item x="465"/>
        <item x="2422"/>
        <item x="153"/>
        <item x="1289"/>
        <item x="798"/>
        <item x="1660"/>
        <item x="1076"/>
        <item x="596"/>
        <item x="692"/>
        <item x="2262"/>
        <item x="776"/>
        <item x="1172"/>
        <item x="1220"/>
        <item x="116"/>
        <item x="266"/>
        <item x="631"/>
        <item x="46"/>
        <item x="679"/>
        <item x="1605"/>
        <item x="1842"/>
        <item x="1668"/>
        <item x="492"/>
        <item x="1638"/>
        <item x="1106"/>
        <item x="1853"/>
        <item x="1959"/>
        <item x="1561"/>
        <item x="550"/>
        <item x="2271"/>
        <item x="1610"/>
        <item x="2235"/>
        <item x="1024"/>
        <item x="513"/>
        <item x="2074"/>
        <item x="2037"/>
        <item x="1677"/>
        <item x="444"/>
        <item x="2053"/>
        <item x="1904"/>
        <item x="849"/>
        <item x="1440"/>
        <item x="900"/>
        <item x="2112"/>
        <item x="19"/>
        <item x="805"/>
        <item x="1540"/>
        <item x="1502"/>
        <item x="1159"/>
        <item x="751"/>
        <item x="2321"/>
        <item x="1334"/>
        <item x="70"/>
        <item x="177"/>
        <item x="1945"/>
        <item x="2179"/>
        <item x="949"/>
        <item x="323"/>
        <item x="183"/>
        <item x="329"/>
        <item x="800"/>
        <item x="689"/>
        <item x="408"/>
        <item x="917"/>
        <item x="1579"/>
        <item x="519"/>
        <item x="2132"/>
        <item x="592"/>
        <item x="1917"/>
        <item x="2032"/>
        <item x="2506"/>
        <item x="1270"/>
        <item x="968"/>
        <item x="1298"/>
        <item x="2184"/>
        <item x="1929"/>
        <item x="1829"/>
        <item x="1672"/>
        <item x="2203"/>
        <item x="1969"/>
        <item x="2198"/>
        <item x="923"/>
        <item x="2208"/>
        <item x="2452"/>
        <item x="1763"/>
        <item x="4"/>
        <item x="1773"/>
        <item x="1278"/>
        <item x="869"/>
        <item x="2370"/>
        <item x="1652"/>
        <item x="648"/>
        <item x="1404"/>
        <item x="857"/>
        <item x="1191"/>
        <item x="512"/>
        <item x="769"/>
        <item x="966"/>
        <item x="306"/>
        <item x="215"/>
        <item x="650"/>
        <item x="1781"/>
        <item x="1531"/>
        <item x="1854"/>
        <item x="2040"/>
        <item x="1233"/>
        <item x="1759"/>
        <item x="1599"/>
        <item x="62"/>
        <item x="1787"/>
        <item x="1810"/>
        <item x="1900"/>
        <item x="527"/>
        <item x="1632"/>
        <item x="438"/>
        <item x="2332"/>
        <item x="972"/>
        <item x="2100"/>
        <item x="1762"/>
        <item x="1691"/>
        <item x="420"/>
        <item x="1465"/>
        <item x="1663"/>
        <item x="2095"/>
        <item x="2421"/>
        <item x="746"/>
        <item x="735"/>
        <item x="2386"/>
        <item x="2108"/>
        <item x="391"/>
        <item x="1826"/>
        <item x="1452"/>
        <item x="2269"/>
        <item x="783"/>
        <item x="1196"/>
        <item x="2285"/>
        <item x="1555"/>
        <item x="1045"/>
        <item x="2330"/>
        <item x="1730"/>
        <item x="1299"/>
        <item x="824"/>
        <item x="659"/>
        <item x="1362"/>
        <item x="2151"/>
        <item x="2046"/>
        <item x="1524"/>
        <item x="120"/>
        <item x="282"/>
        <item x="818"/>
        <item x="1405"/>
        <item x="14"/>
        <item x="1448"/>
        <item x="1951"/>
        <item x="2064"/>
        <item x="1574"/>
        <item x="2266"/>
        <item x="240"/>
        <item x="66"/>
        <item x="1103"/>
        <item x="1499"/>
        <item x="2148"/>
        <item x="1073"/>
        <item x="2353"/>
        <item x="2224"/>
        <item x="433"/>
        <item x="334"/>
        <item x="453"/>
        <item x="1131"/>
        <item x="2304"/>
        <item x="1389"/>
        <item x="1410"/>
        <item x="1352"/>
        <item x="1558"/>
        <item x="209"/>
        <item x="1814"/>
        <item x="811"/>
        <item x="2417"/>
        <item x="1665"/>
        <item x="2317"/>
        <item x="502"/>
        <item x="1889"/>
        <item x="345"/>
        <item x="2066"/>
        <item x="1922"/>
        <item x="1333"/>
        <item x="2026"/>
        <item x="603"/>
        <item x="929"/>
        <item x="105"/>
        <item x="1242"/>
        <item x="2091"/>
        <item x="1767"/>
        <item x="1450"/>
        <item x="1543"/>
        <item x="6"/>
        <item x="919"/>
        <item x="40"/>
        <item x="2003"/>
        <item x="163"/>
        <item x="218"/>
        <item x="1384"/>
        <item x="802"/>
        <item x="1968"/>
        <item x="510"/>
        <item x="454"/>
        <item x="157"/>
        <item x="90"/>
        <item x="597"/>
        <item x="1459"/>
        <item x="2263"/>
        <item x="237"/>
        <item x="2162"/>
        <item x="1047"/>
        <item x="1001"/>
        <item x="892"/>
        <item x="241"/>
        <item x="538"/>
        <item x="2181"/>
        <item x="2341"/>
        <item x="359"/>
        <item x="2197"/>
        <item x="861"/>
        <item x="1338"/>
        <item x="95"/>
        <item x="2072"/>
        <item x="2171"/>
        <item x="1760"/>
        <item x="1750"/>
        <item x="2301"/>
        <item x="2366"/>
        <item x="1344"/>
        <item x="1439"/>
        <item x="1156"/>
        <item x="2364"/>
        <item x="684"/>
        <item x="552"/>
        <item x="726"/>
        <item x="535"/>
        <item x="1142"/>
        <item x="2103"/>
        <item x="267"/>
        <item x="1725"/>
        <item x="2416"/>
        <item x="2246"/>
        <item x="1995"/>
        <item x="834"/>
        <item x="1535"/>
        <item x="478"/>
        <item x="1604"/>
        <item x="828"/>
        <item x="1406"/>
        <item x="1368"/>
        <item x="350"/>
        <item x="1670"/>
        <item x="442"/>
        <item x="562"/>
        <item x="1890"/>
        <item x="496"/>
        <item x="224"/>
        <item x="2507"/>
        <item x="1038"/>
        <item x="774"/>
        <item x="736"/>
        <item x="2503"/>
        <item x="75"/>
        <item x="1473"/>
        <item x="2013"/>
        <item x="2225"/>
        <item x="1515"/>
        <item x="677"/>
        <item x="887"/>
        <item x="2022"/>
        <item x="1921"/>
        <item x="2403"/>
        <item x="1662"/>
        <item x="1354"/>
        <item x="914"/>
        <item x="1732"/>
        <item x="1373"/>
        <item x="2511"/>
        <item x="970"/>
        <item x="1241"/>
        <item x="213"/>
        <item x="556"/>
        <item x="92"/>
        <item x="259"/>
        <item x="1345"/>
        <item x="822"/>
        <item x="2212"/>
        <item x="1209"/>
        <item x="2461"/>
        <item x="621"/>
        <item x="1053"/>
        <item x="1012"/>
        <item x="1008"/>
        <item x="606"/>
        <item x="185"/>
        <item x="1"/>
        <item x="1850"/>
        <item x="2243"/>
        <item x="72"/>
        <item x="1936"/>
        <item x="1500"/>
        <item x="1928"/>
        <item x="759"/>
        <item x="1213"/>
        <item x="1294"/>
        <item x="1962"/>
        <item x="1091"/>
        <item x="1970"/>
        <item x="42"/>
        <item x="851"/>
        <item x="1571"/>
        <item x="340"/>
        <item x="1247"/>
        <item x="1113"/>
        <item x="578"/>
        <item x="1800"/>
        <item x="1483"/>
        <item x="212"/>
        <item x="1226"/>
        <item x="1906"/>
        <item x="1894"/>
        <item x="1017"/>
        <item x="2082"/>
        <item x="84"/>
        <item x="1731"/>
        <item x="1169"/>
        <item x="1702"/>
        <item x="1284"/>
        <item x="691"/>
        <item x="13"/>
        <item x="98"/>
        <item x="458"/>
        <item x="1509"/>
        <item x="77"/>
        <item x="1083"/>
        <item x="1833"/>
        <item x="1199"/>
        <item x="217"/>
        <item x="1085"/>
        <item x="1712"/>
        <item x="1521"/>
        <item x="2194"/>
        <item x="1340"/>
        <item x="756"/>
        <item x="2429"/>
        <item x="110"/>
        <item x="1178"/>
        <item x="168"/>
        <item x="2047"/>
        <item x="2247"/>
        <item x="488"/>
        <item x="730"/>
        <item x="1622"/>
        <item x="1657"/>
        <item x="221"/>
        <item x="1639"/>
        <item x="143"/>
        <item x="29"/>
        <item x="2029"/>
        <item x="1933"/>
        <item x="1803"/>
        <item x="1301"/>
        <item x="127"/>
        <item x="2214"/>
        <item x="1820"/>
        <item x="2011"/>
        <item x="1919"/>
        <item x="1802"/>
        <item x="1315"/>
        <item x="2096"/>
        <item x="1541"/>
        <item x="328"/>
        <item x="2257"/>
        <item x="1588"/>
        <item x="1862"/>
        <item x="1188"/>
        <item x="1376"/>
        <item x="1620"/>
        <item x="766"/>
        <item x="86"/>
        <item x="993"/>
        <item x="644"/>
        <item x="133"/>
        <item x="2335"/>
        <item x="1614"/>
        <item x="199"/>
        <item x="2329"/>
        <item x="1708"/>
        <item x="2057"/>
        <item x="1100"/>
        <item x="1840"/>
        <item x="208"/>
        <item x="1686"/>
        <item x="2334"/>
        <item x="187"/>
        <item x="2378"/>
        <item x="471"/>
        <item x="80"/>
        <item x="613"/>
        <item x="1442"/>
        <item x="589"/>
        <item x="1002"/>
        <item x="554"/>
        <item x="2097"/>
        <item x="987"/>
        <item x="1370"/>
        <item x="579"/>
        <item x="1061"/>
        <item x="741"/>
        <item x="945"/>
        <item x="151"/>
        <item x="409"/>
        <item x="1598"/>
        <item x="2374"/>
        <item x="2340"/>
        <item x="895"/>
        <item x="799"/>
        <item x="773"/>
        <item x="231"/>
        <item x="995"/>
        <item x="614"/>
        <item x="695"/>
        <item x="78"/>
        <item x="2482"/>
        <item x="2309"/>
        <item x="1715"/>
        <item x="580"/>
        <item x="933"/>
        <item x="1656"/>
        <item x="784"/>
        <item x="319"/>
        <item x="962"/>
        <item x="1568"/>
        <item x="2023"/>
        <item x="1609"/>
        <item x="2223"/>
        <item x="1150"/>
        <item x="147"/>
        <item x="2016"/>
        <item x="1124"/>
        <item x="1182"/>
        <item x="301"/>
        <item x="758"/>
        <item x="637"/>
        <item x="1613"/>
        <item x="2256"/>
        <item x="2267"/>
        <item x="885"/>
        <item x="685"/>
        <item x="1325"/>
        <item x="1115"/>
        <item x="1999"/>
        <item x="942"/>
        <item x="383"/>
        <item x="1079"/>
        <item x="716"/>
        <item x="197"/>
        <item x="1582"/>
        <item x="719"/>
        <item x="2360"/>
        <item x="1435"/>
        <item x="750"/>
        <item x="943"/>
        <item x="704"/>
        <item x="508"/>
        <item x="398"/>
        <item x="1485"/>
        <item x="511"/>
        <item x="1956"/>
        <item x="1848"/>
        <item x="2483"/>
        <item x="703"/>
        <item x="742"/>
        <item x="2346"/>
        <item x="1415"/>
        <item x="1996"/>
        <item x="626"/>
        <item x="2157"/>
        <item x="1032"/>
        <item x="1359"/>
        <item x="1183"/>
        <item x="1201"/>
        <item x="1399"/>
        <item x="522"/>
        <item x="941"/>
        <item x="837"/>
        <item x="1703"/>
        <item x="575"/>
        <item x="1846"/>
        <item x="2253"/>
        <item x="658"/>
        <item x="1522"/>
        <item x="2293"/>
        <item x="130"/>
        <item x="2216"/>
        <item x="1553"/>
        <item x="2289"/>
        <item x="2014"/>
        <item x="1147"/>
        <item x="392"/>
        <item x="1779"/>
        <item x="2238"/>
        <item x="1825"/>
        <item x="2252"/>
        <item x="1685"/>
        <item x="1789"/>
        <item x="1699"/>
        <item x="2167"/>
        <item x="1013"/>
        <item x="1501"/>
        <item x="1774"/>
        <item x="2474"/>
        <item x="1888"/>
        <item x="609"/>
        <item x="292"/>
        <item x="1378"/>
        <item x="293"/>
        <item x="507"/>
        <item x="1621"/>
        <item x="9"/>
        <item x="219"/>
        <item x="1262"/>
        <item x="865"/>
        <item x="1586"/>
        <item x="960"/>
        <item x="1503"/>
        <item x="1570"/>
        <item x="697"/>
        <item x="843"/>
        <item x="1627"/>
        <item x="645"/>
        <item x="1353"/>
        <item x="295"/>
        <item x="1228"/>
        <item x="2432"/>
        <item x="739"/>
        <item x="1811"/>
        <item x="1960"/>
        <item x="2355"/>
        <item x="69"/>
        <item x="2139"/>
        <item x="1635"/>
        <item x="1192"/>
        <item x="2426"/>
        <item x="15"/>
        <item x="2358"/>
        <item x="1170"/>
        <item x="1812"/>
        <item x="583"/>
        <item x="1753"/>
        <item x="1737"/>
        <item x="370"/>
        <item x="198"/>
        <item x="32"/>
        <item x="1411"/>
        <item x="737"/>
        <item x="285"/>
        <item x="1872"/>
        <item x="890"/>
        <item x="2058"/>
        <item x="1279"/>
        <item x="725"/>
        <item x="1747"/>
        <item x="65"/>
        <item x="2439"/>
        <item x="2220"/>
        <item x="2404"/>
        <item x="934"/>
        <item x="661"/>
        <item x="351"/>
        <item x="640"/>
        <item x="1896"/>
        <item x="2007"/>
        <item x="555"/>
        <item x="239"/>
        <item x="1336"/>
        <item x="2359"/>
        <item x="1395"/>
        <item x="2063"/>
        <item x="1831"/>
        <item x="660"/>
        <item x="1312"/>
        <item x="336"/>
        <item x="262"/>
        <item x="196"/>
        <item x="2438"/>
        <item x="417"/>
        <item x="260"/>
        <item x="1185"/>
        <item x="2137"/>
        <item x="2265"/>
        <item x="2130"/>
        <item x="664"/>
        <item x="180"/>
        <item x="1016"/>
        <item x="1472"/>
        <item x="821"/>
        <item x="1697"/>
        <item x="376"/>
        <item x="2038"/>
        <item x="368"/>
        <item x="761"/>
        <item x="399"/>
        <item x="316"/>
        <item x="1873"/>
        <item x="558"/>
        <item x="928"/>
        <item x="663"/>
        <item x="432"/>
        <item x="1837"/>
        <item x="1433"/>
        <item x="2464"/>
        <item x="12"/>
        <item x="34"/>
        <item x="1379"/>
        <item x="1020"/>
        <item x="994"/>
        <item x="1036"/>
        <item x="385"/>
        <item x="2069"/>
        <item x="341"/>
        <item x="1548"/>
        <item x="93"/>
        <item x="317"/>
        <item x="400"/>
        <item x="1915"/>
        <item x="186"/>
        <item x="2487"/>
        <item x="1709"/>
        <item x="1728"/>
        <item x="1082"/>
        <item x="445"/>
        <item x="947"/>
        <item x="2114"/>
        <item x="844"/>
        <item x="780"/>
        <item x="2322"/>
        <item x="1413"/>
        <item x="1467"/>
        <item x="2290"/>
        <item x="2284"/>
        <item x="905"/>
        <item x="1529"/>
        <item x="1313"/>
        <item x="154"/>
        <item x="1630"/>
        <item x="1263"/>
        <item x="2282"/>
        <item x="1118"/>
        <item x="647"/>
        <item x="238"/>
        <item x="71"/>
        <item x="982"/>
        <item x="114"/>
        <item x="2122"/>
        <item x="832"/>
        <item x="353"/>
        <item x="2135"/>
        <item x="358"/>
        <item x="2099"/>
        <item x="1107"/>
        <item x="2102"/>
        <item x="768"/>
        <item x="2090"/>
        <item x="0"/>
        <item x="2270"/>
        <item x="1860"/>
        <item x="636"/>
        <item x="357"/>
        <item x="2261"/>
        <item x="287"/>
        <item x="2190"/>
        <item x="1897"/>
        <item x="785"/>
        <item x="543"/>
        <item x="842"/>
        <item x="1924"/>
        <item x="907"/>
        <item x="446"/>
        <item x="2443"/>
        <item x="557"/>
        <item x="878"/>
        <item x="1998"/>
        <item x="1785"/>
        <item x="2375"/>
        <item x="2240"/>
        <item x="1236"/>
        <item x="560"/>
        <item x="1914"/>
        <item x="576"/>
        <item x="1863"/>
        <item x="1092"/>
        <item x="2092"/>
        <item x="707"/>
        <item x="2127"/>
        <item x="979"/>
        <item x="175"/>
        <item x="1834"/>
        <item x="1019"/>
        <item x="1480"/>
        <item x="223"/>
        <item x="1126"/>
        <item x="35"/>
        <item x="1186"/>
        <item x="771"/>
        <item x="1235"/>
        <item x="2324"/>
        <item x="1443"/>
        <item x="413"/>
        <item x="1937"/>
        <item x="727"/>
        <item x="724"/>
        <item x="339"/>
        <item x="1282"/>
        <item x="2124"/>
        <item x="372"/>
        <item x="2392"/>
        <item x="1056"/>
        <item x="2495"/>
        <item x="503"/>
        <item x="2228"/>
        <item x="1681"/>
        <item x="582"/>
        <item x="149"/>
        <item x="1326"/>
        <item x="419"/>
        <item x="173"/>
        <item x="1069"/>
        <item x="1756"/>
        <item x="2"/>
        <item x="487"/>
        <item x="1430"/>
        <item x="1275"/>
        <item x="1090"/>
        <item x="1286"/>
        <item x="1067"/>
        <item x="2337"/>
        <item x="2447"/>
        <item x="451"/>
        <item x="853"/>
        <item x="1899"/>
        <item x="989"/>
        <item x="82"/>
        <item x="388"/>
        <item x="879"/>
        <item x="601"/>
        <item x="439"/>
        <item x="299"/>
        <item x="1946"/>
        <item x="418"/>
        <item x="515"/>
        <item x="254"/>
        <item x="1847"/>
        <item x="2313"/>
        <item x="948"/>
        <item x="721"/>
        <item x="1296"/>
        <item x="1136"/>
        <item x="712"/>
        <item x="2395"/>
        <item x="1611"/>
        <item x="915"/>
        <item x="1431"/>
        <item x="700"/>
        <item x="2143"/>
        <item x="965"/>
        <item x="2415"/>
        <item x="2272"/>
        <item x="715"/>
        <item x="931"/>
        <item x="1144"/>
        <item x="710"/>
        <item x="2393"/>
        <item x="288"/>
        <item x="1477"/>
        <item x="1381"/>
        <item x="1920"/>
        <item x="1000"/>
        <item x="1988"/>
        <item x="303"/>
        <item x="2205"/>
        <item x="1251"/>
        <item x="321"/>
        <item x="50"/>
        <item x="1770"/>
        <item x="2230"/>
        <item x="83"/>
        <item x="754"/>
        <item x="1865"/>
        <item x="2111"/>
        <item x="204"/>
        <item x="1653"/>
        <item x="348"/>
        <item x="74"/>
        <item x="2371"/>
        <item x="394"/>
        <item x="165"/>
        <item x="2227"/>
        <item x="1044"/>
        <item x="1146"/>
        <item x="58"/>
        <item x="666"/>
        <item x="1466"/>
        <item x="1187"/>
        <item x="605"/>
        <item x="2445"/>
        <item x="2206"/>
        <item x="2264"/>
        <item x="1744"/>
        <item x="1174"/>
        <item x="817"/>
        <item x="2382"/>
        <item x="1234"/>
        <item x="657"/>
        <item x="866"/>
        <item x="354"/>
        <item x="2362"/>
        <item x="2467"/>
        <item x="470"/>
        <item x="1225"/>
        <item x="1125"/>
        <item x="131"/>
        <item x="410"/>
        <item x="1532"/>
        <item x="678"/>
        <item x="2229"/>
        <item x="166"/>
        <item x="1121"/>
        <item x="2254"/>
        <item x="1003"/>
        <item x="2258"/>
        <item x="2268"/>
        <item x="397"/>
        <item x="1424"/>
        <item x="794"/>
        <item x="635"/>
        <item x="1646"/>
        <item x="1051"/>
        <item x="1119"/>
        <item x="786"/>
        <item x="992"/>
        <item x="2473"/>
        <item x="1474"/>
        <item x="2168"/>
        <item x="1911"/>
        <item x="188"/>
        <item x="2060"/>
        <item x="1600"/>
        <item x="246"/>
        <item x="1597"/>
        <item x="1428"/>
        <item x="1636"/>
        <item x="1029"/>
        <item x="427"/>
        <item x="1117"/>
        <item x="2319"/>
        <item x="925"/>
        <item x="314"/>
        <item x="1925"/>
        <item x="1667"/>
        <item x="1108"/>
        <item x="705"/>
        <item x="2410"/>
        <item x="142"/>
        <item x="981"/>
        <item x="2118"/>
        <item x="790"/>
        <item x="618"/>
        <item x="2131"/>
        <item x="161"/>
        <item x="1454"/>
        <item x="1245"/>
        <item x="1288"/>
        <item x="2200"/>
        <item x="315"/>
        <item x="2019"/>
        <item x="860"/>
        <item x="629"/>
        <item x="1916"/>
        <item x="1882"/>
        <item x="585"/>
        <item x="300"/>
        <item x="477"/>
        <item x="243"/>
        <item x="1987"/>
        <item x="872"/>
        <item x="2323"/>
        <item x="1977"/>
        <item x="1149"/>
        <item x="1752"/>
        <item x="829"/>
        <item x="1291"/>
        <item x="2498"/>
        <item x="816"/>
        <item x="958"/>
        <item x="1371"/>
        <item x="2458"/>
        <item x="1938"/>
        <item x="1819"/>
        <item x="1644"/>
        <item x="2222"/>
        <item x="913"/>
        <item x="1720"/>
        <item x="1798"/>
        <item x="975"/>
        <item x="701"/>
        <item x="140"/>
        <item x="2055"/>
        <item x="43"/>
        <item x="1690"/>
        <item x="2183"/>
        <item x="862"/>
        <item x="1778"/>
        <item x="68"/>
        <item x="2154"/>
        <item x="1112"/>
        <item x="67"/>
        <item x="653"/>
        <item x="450"/>
        <item x="2490"/>
        <item x="1211"/>
        <item x="1723"/>
        <item x="1423"/>
        <item x="2088"/>
        <item x="2248"/>
        <item x="2449"/>
        <item x="56"/>
        <item x="916"/>
        <item x="1757"/>
        <item x="1628"/>
        <item x="33"/>
        <item x="324"/>
        <item x="103"/>
        <item x="47"/>
        <item x="1948"/>
        <item x="247"/>
        <item x="1070"/>
        <item x="2508"/>
        <item x="2391"/>
        <item x="690"/>
        <item x="1253"/>
        <item x="2365"/>
        <item x="28"/>
        <item x="2477"/>
        <item x="2297"/>
        <item x="586"/>
        <item x="423"/>
        <item x="1264"/>
        <item x="2081"/>
        <item x="2000"/>
        <item x="680"/>
        <item x="36"/>
        <item x="181"/>
        <item x="937"/>
        <item x="79"/>
        <item x="1741"/>
        <item x="1390"/>
        <item x="744"/>
        <item x="73"/>
        <item x="171"/>
        <item x="1042"/>
        <item x="927"/>
        <item x="242"/>
        <item x="273"/>
        <item x="1366"/>
        <item x="452"/>
        <item x="2067"/>
        <item x="1266"/>
        <item x="584"/>
        <item x="464"/>
        <item x="233"/>
        <item x="1693"/>
        <item x="1993"/>
        <item x="1584"/>
        <item x="667"/>
        <item x="379"/>
        <item x="1493"/>
        <item x="714"/>
        <item x="1486"/>
        <item x="1907"/>
        <item x="2448"/>
        <item x="870"/>
        <item x="1552"/>
        <item x="1942"/>
        <item x="1857"/>
        <item x="880"/>
        <item x="138"/>
        <item x="2325"/>
        <item x="2024"/>
        <item x="298"/>
        <item x="810"/>
        <item x="1040"/>
        <item x="1272"/>
        <item x="894"/>
        <item x="333"/>
        <item x="174"/>
        <item x="564"/>
        <item x="902"/>
        <item x="977"/>
        <item x="426"/>
        <item x="2065"/>
        <item x="443"/>
        <item x="1684"/>
        <item x="2492"/>
        <item x="1444"/>
        <item x="2174"/>
        <item x="1180"/>
        <item x="991"/>
        <item x="1438"/>
        <item x="1827"/>
        <item x="378"/>
        <item x="124"/>
        <item x="156"/>
        <item x="1487"/>
        <item x="1349"/>
        <item x="1018"/>
        <item x="2343"/>
        <item x="1680"/>
        <item x="2163"/>
        <item x="1409"/>
        <item x="2459"/>
        <item x="1516"/>
        <item x="1343"/>
        <item x="2279"/>
        <item x="491"/>
        <item x="59"/>
        <item x="1783"/>
        <item x="401"/>
        <item x="2294"/>
        <item x="2123"/>
        <item x="825"/>
        <item x="1181"/>
        <item x="207"/>
        <item x="137"/>
        <item x="2453"/>
        <item x="698"/>
        <item x="1398"/>
        <item x="2231"/>
        <item x="1230"/>
        <item x="654"/>
        <item x="1855"/>
        <item x="159"/>
        <item x="302"/>
        <item x="1151"/>
        <item x="2250"/>
        <item x="1084"/>
        <item x="91"/>
        <item x="1479"/>
        <item x="111"/>
        <item x="2259"/>
        <item x="1208"/>
        <item x="2076"/>
        <item x="64"/>
        <item x="723"/>
        <item x="278"/>
        <item x="1640"/>
        <item x="1594"/>
        <item x="1229"/>
        <item x="2105"/>
        <item x="1828"/>
        <item x="883"/>
        <item x="693"/>
        <item x="577"/>
        <item x="1990"/>
        <item x="27"/>
        <item x="1138"/>
        <item x="1128"/>
        <item x="308"/>
        <item x="1490"/>
        <item x="1363"/>
        <item x="1817"/>
        <item x="2107"/>
        <item x="638"/>
        <item x="1046"/>
        <item x="337"/>
        <item x="283"/>
        <item x="521"/>
        <item x="2234"/>
        <item x="1099"/>
        <item x="2412"/>
        <item x="903"/>
        <item x="607"/>
        <item x="346"/>
        <item x="1743"/>
        <item x="1421"/>
        <item x="2300"/>
        <item x="888"/>
        <item x="1527"/>
        <item x="176"/>
        <item x="1221"/>
        <item x="1972"/>
        <item x="1661"/>
        <item x="1327"/>
        <item x="330"/>
        <item x="1830"/>
        <item x="361"/>
        <item x="2307"/>
        <item x="1795"/>
        <item x="1249"/>
        <item x="2080"/>
        <item x="2316"/>
        <item x="1190"/>
        <item x="1383"/>
        <item x="694"/>
        <item x="1768"/>
        <item x="1039"/>
        <item x="1048"/>
        <item x="2431"/>
        <item x="569"/>
        <item x="2479"/>
        <item x="466"/>
        <item x="457"/>
        <item x="1839"/>
        <item x="1602"/>
        <item x="1957"/>
        <item x="1396"/>
        <item x="615"/>
        <item x="1893"/>
        <item x="2006"/>
        <item x="2196"/>
        <item x="835"/>
        <item x="2051"/>
        <item x="891"/>
        <item x="263"/>
        <item x="1447"/>
        <item x="984"/>
        <item x="2276"/>
        <item x="728"/>
        <item x="1412"/>
        <item x="2056"/>
        <item x="1021"/>
        <item x="1966"/>
        <item x="1492"/>
        <item x="2160"/>
        <item x="1078"/>
        <item x="467"/>
        <item x="1655"/>
        <item x="2442"/>
        <item x="1979"/>
        <item x="1885"/>
        <item x="184"/>
        <item x="1481"/>
        <item x="2001"/>
        <item x="2424"/>
        <item x="632"/>
        <item x="565"/>
        <item x="405"/>
        <item x="366"/>
        <item x="1565"/>
        <item x="310"/>
        <item x="1784"/>
        <item x="97"/>
        <item x="729"/>
        <item x="2158"/>
        <item x="497"/>
        <item x="1569"/>
        <item x="2513"/>
        <item x="2367"/>
        <item x="1491"/>
        <item x="777"/>
        <item x="1542"/>
        <item x="1237"/>
        <item x="16"/>
        <item x="1314"/>
        <item x="2385"/>
        <item x="1625"/>
        <item x="2133"/>
        <item x="544"/>
        <item x="412"/>
        <item x="456"/>
        <item x="402"/>
        <item x="1023"/>
        <item x="1212"/>
        <item x="100"/>
        <item x="2101"/>
        <item x="214"/>
        <item x="1892"/>
        <item x="655"/>
        <item x="788"/>
        <item x="386"/>
        <item x="938"/>
        <item x="1735"/>
        <item x="682"/>
        <item x="2287"/>
        <item x="952"/>
        <item x="320"/>
        <item x="1173"/>
        <item x="2084"/>
        <item x="3"/>
        <item x="572"/>
        <item x="232"/>
        <item x="1081"/>
        <item x="229"/>
        <item x="980"/>
        <item x="1526"/>
        <item x="1351"/>
        <item x="117"/>
        <item x="2182"/>
        <item x="2204"/>
        <item x="2286"/>
        <item x="275"/>
        <item x="146"/>
        <item x="1596"/>
        <item x="1935"/>
        <item x="517"/>
        <item x="1281"/>
        <item x="375"/>
        <item x="2480"/>
        <item x="782"/>
        <item x="88"/>
        <item x="823"/>
        <item x="1420"/>
        <item x="1590"/>
        <item x="1427"/>
        <item x="2407"/>
        <item x="1086"/>
        <item x="1734"/>
        <item x="2318"/>
        <item x="1560"/>
        <item x="1950"/>
        <item x="803"/>
        <item x="1603"/>
        <item x="906"/>
        <item x="2098"/>
        <item x="1994"/>
        <item x="344"/>
        <item x="1033"/>
        <item x="1330"/>
        <item x="1218"/>
        <item x="493"/>
        <item x="523"/>
        <item x="251"/>
        <item x="781"/>
        <item x="604"/>
        <item x="2239"/>
        <item x="1374"/>
        <item x="2348"/>
        <item x="669"/>
        <item x="2489"/>
        <item x="568"/>
        <item x="1710"/>
        <item x="2129"/>
        <item x="1064"/>
        <item x="2446"/>
        <item x="1706"/>
        <item x="132"/>
        <item x="1280"/>
        <item x="814"/>
        <item x="261"/>
        <item x="210"/>
        <item x="610"/>
        <item x="961"/>
        <item x="591"/>
        <item x="624"/>
        <item x="2039"/>
        <item x="2020"/>
        <item x="57"/>
        <item x="1869"/>
        <item x="2089"/>
        <item x="99"/>
        <item x="2008"/>
        <item x="2059"/>
        <item x="1246"/>
        <item x="1729"/>
        <item x="1618"/>
        <item x="2409"/>
        <item x="1818"/>
        <item x="809"/>
        <item x="1642"/>
        <item x="436"/>
        <item x="1202"/>
        <item x="762"/>
        <item x="2484"/>
        <item x="1700"/>
        <item x="2411"/>
        <item x="179"/>
        <item x="1736"/>
        <item x="1469"/>
        <item x="139"/>
        <item x="2244"/>
        <item x="940"/>
        <item x="1559"/>
        <item x="2485"/>
        <item x="1031"/>
        <item x="1122"/>
        <item x="155"/>
        <item x="2009"/>
        <item x="281"/>
        <item x="387"/>
        <item x="1879"/>
        <item x="1328"/>
        <item x="2311"/>
        <item x="280"/>
        <item x="1547"/>
        <item x="827"/>
        <item x="1130"/>
        <item x="1505"/>
        <item x="836"/>
        <item x="2150"/>
        <item x="806"/>
        <item x="1223"/>
        <item x="2277"/>
        <item x="530"/>
        <item x="922"/>
        <item x="639"/>
        <item x="745"/>
        <item x="1462"/>
        <item x="256"/>
        <item x="1637"/>
        <item x="1380"/>
        <item x="1161"/>
        <item x="1214"/>
        <item x="1028"/>
        <item x="509"/>
        <item x="622"/>
        <item x="969"/>
        <item x="2210"/>
        <item x="1868"/>
        <item x="1958"/>
        <item x="499"/>
        <item x="297"/>
        <item x="1098"/>
        <item x="360"/>
        <item x="996"/>
        <item x="437"/>
        <item x="356"/>
        <item x="2440"/>
        <item x="520"/>
        <item x="2369"/>
        <item x="1198"/>
        <item x="1643"/>
        <item x="911"/>
        <item x="1271"/>
        <item x="1816"/>
        <item x="546"/>
        <item x="1256"/>
        <item x="791"/>
        <item x="506"/>
        <item x="2050"/>
        <item x="1089"/>
        <item x="2152"/>
        <item x="702"/>
        <item x="2437"/>
        <item x="2377"/>
        <item x="193"/>
        <item x="2260"/>
        <item x="421"/>
        <item x="764"/>
        <item x="1771"/>
        <item x="1401"/>
        <item x="2472"/>
        <item x="2042"/>
        <item x="616"/>
        <item x="24"/>
        <item x="1393"/>
        <item x="338"/>
        <item x="1062"/>
        <item x="2149"/>
        <item x="1883"/>
        <item x="2094"/>
        <item x="1861"/>
        <item x="1293"/>
        <item x="838"/>
        <item x="2314"/>
        <item x="956"/>
        <item x="573"/>
        <item x="1116"/>
        <item x="1468"/>
        <item x="676"/>
        <item x="819"/>
        <item x="109"/>
        <item x="548"/>
        <item x="1617"/>
        <item x="1952"/>
        <item x="820"/>
        <item x="665"/>
        <item x="599"/>
        <item x="1698"/>
        <item x="2273"/>
        <item x="581"/>
        <item x="1717"/>
        <item x="1496"/>
        <item x="2113"/>
        <item x="322"/>
        <item x="2468"/>
        <item x="1392"/>
        <item x="1674"/>
        <item x="1986"/>
        <item x="1944"/>
        <item x="1307"/>
        <item x="2145"/>
        <item x="2116"/>
        <item x="49"/>
        <item x="549"/>
        <item x="1713"/>
        <item x="2408"/>
        <item x="699"/>
        <item x="1049"/>
        <item x="1683"/>
        <item x="673"/>
        <item x="1801"/>
        <item x="39"/>
        <item x="1973"/>
        <item x="1157"/>
        <item x="1624"/>
        <item x="2345"/>
        <item x="2121"/>
        <item x="1874"/>
        <item x="1238"/>
        <item x="765"/>
        <item x="374"/>
        <item x="1739"/>
        <item x="2363"/>
        <item x="87"/>
        <item x="1856"/>
        <item x="1095"/>
        <item x="1276"/>
        <item x="2497"/>
        <item x="1168"/>
        <item x="2414"/>
        <item x="430"/>
        <item x="930"/>
        <item x="1109"/>
        <item x="649"/>
        <item x="2068"/>
        <item x="920"/>
        <item x="2186"/>
        <item x="1105"/>
        <item x="967"/>
        <item x="1269"/>
        <item x="620"/>
        <item x="2110"/>
        <item x="1623"/>
        <item x="1877"/>
        <item x="277"/>
        <item x="1329"/>
        <item x="518"/>
        <item x="1129"/>
        <item x="2153"/>
        <item x="1687"/>
        <item x="481"/>
        <item x="108"/>
        <item x="732"/>
        <item x="617"/>
        <item x="490"/>
        <item x="2002"/>
        <item x="1297"/>
        <item x="2470"/>
        <item x="2106"/>
        <item x="162"/>
        <item x="1216"/>
        <item x="1898"/>
        <item x="1549"/>
        <item x="1332"/>
        <item x="1268"/>
        <item x="1311"/>
        <item x="1322"/>
        <item x="7"/>
        <item x="910"/>
        <item x="1758"/>
        <item x="553"/>
        <item x="2045"/>
        <item x="380"/>
        <item x="2070"/>
        <item x="1203"/>
        <item x="2401"/>
        <item x="1120"/>
        <item x="1875"/>
        <item x="134"/>
        <item x="54"/>
        <item x="434"/>
        <item x="289"/>
        <item x="1139"/>
        <item x="1884"/>
        <item x="590"/>
        <item x="625"/>
        <item x="234"/>
        <item x="863"/>
        <item x="1838"/>
        <item x="672"/>
        <item x="1323"/>
        <item x="431"/>
        <item x="270"/>
        <item x="1441"/>
        <item x="1123"/>
        <item x="2405"/>
        <item x="1591"/>
        <item x="856"/>
        <item x="2510"/>
        <item x="1408"/>
        <item x="2460"/>
        <item x="1927"/>
        <item x="363"/>
        <item x="2494"/>
        <item x="2308"/>
        <item x="2245"/>
        <item x="1964"/>
        <item x="1339"/>
        <item x="1346"/>
        <item x="2041"/>
        <item x="1206"/>
        <item x="2402"/>
        <item x="1022"/>
        <item x="1177"/>
        <item x="1426"/>
        <item x="2310"/>
        <item x="60"/>
        <item x="164"/>
        <item x="25"/>
        <item x="1775"/>
        <item x="1058"/>
        <item x="1786"/>
        <item x="1738"/>
        <item x="1845"/>
        <item x="2462"/>
        <item x="2083"/>
        <item x="1132"/>
        <item x="253"/>
        <item x="1171"/>
        <item x="1923"/>
        <item x="717"/>
        <item x="889"/>
        <item x="22"/>
        <item x="1250"/>
        <item x="1722"/>
        <item x="2138"/>
        <item x="1222"/>
        <item x="441"/>
        <item x="874"/>
        <item x="1895"/>
        <item x="1824"/>
        <item x="1342"/>
        <item x="2295"/>
        <item x="529"/>
        <item x="1832"/>
        <item x="1347"/>
        <item x="1309"/>
        <item x="826"/>
        <item x="813"/>
        <item x="1939"/>
        <item x="1025"/>
        <item x="211"/>
        <item x="1901"/>
        <item x="1537"/>
        <item x="2195"/>
        <item x="258"/>
        <item x="1585"/>
        <item x="983"/>
        <item x="1164"/>
        <item x="539"/>
        <item x="2180"/>
        <item x="1551"/>
        <item x="951"/>
        <item x="627"/>
        <item x="318"/>
        <item x="144"/>
        <item x="867"/>
        <item x="1530"/>
        <item x="96"/>
        <item x="2368"/>
        <item x="1010"/>
        <item x="1026"/>
        <item x="2165"/>
        <item x="1497"/>
        <item x="760"/>
        <item x="2073"/>
        <item x="1688"/>
        <item x="447"/>
        <item x="475"/>
        <item x="536"/>
        <item x="2505"/>
        <item x="332"/>
        <item x="2499"/>
        <item x="1557"/>
        <item x="2456"/>
        <item x="1414"/>
        <item x="85"/>
        <item x="1445"/>
        <item x="486"/>
        <item x="1422"/>
        <item x="1539"/>
        <item x="2296"/>
        <item x="812"/>
        <item x="170"/>
        <item x="1908"/>
        <item x="1041"/>
        <item x="2170"/>
        <item x="1790"/>
        <item x="2211"/>
        <item x="1780"/>
        <item x="1259"/>
        <item x="2207"/>
        <item x="2201"/>
        <item x="612"/>
        <item x="1054"/>
        <item x="1633"/>
        <item x="1350"/>
        <item x="364"/>
        <item x="871"/>
        <item x="1193"/>
        <item x="1475"/>
        <item x="720"/>
        <item x="1429"/>
        <item x="257"/>
        <item x="1306"/>
        <item x="284"/>
        <item x="1533"/>
        <item x="1489"/>
        <item x="2488"/>
        <item x="1822"/>
        <item x="2155"/>
        <item x="1792"/>
        <item x="1870"/>
        <item x="1733"/>
        <item x="1302"/>
        <item x="1651"/>
        <item x="1943"/>
        <item x="1563"/>
        <item x="2035"/>
        <item x="953"/>
        <item x="571"/>
        <item x="1011"/>
        <item x="2469"/>
        <item x="1953"/>
        <item x="2435"/>
        <item x="148"/>
        <item x="1766"/>
        <item x="924"/>
        <item x="1273"/>
        <item x="516"/>
        <item x="939"/>
        <item x="504"/>
        <item x="2125"/>
        <item x="2172"/>
        <item x="2232"/>
        <item x="1215"/>
        <item x="1671"/>
        <item x="1175"/>
        <item x="954"/>
        <item x="422"/>
        <item x="831"/>
        <item x="381"/>
        <item x="1726"/>
        <item x="2302"/>
        <item x="222"/>
        <item x="2109"/>
        <item x="1254"/>
        <item x="1386"/>
        <item x="1658"/>
        <item x="713"/>
        <item x="1769"/>
        <item x="976"/>
        <item x="1437"/>
        <item x="1765"/>
        <item x="2274"/>
        <item x="309"/>
        <item x="384"/>
        <item x="998"/>
        <item x="1451"/>
        <item x="683"/>
        <item x="1692"/>
        <item x="1727"/>
        <item x="1714"/>
        <item x="1512"/>
        <item x="1482"/>
        <item x="1587"/>
        <item x="2475"/>
        <item x="2399"/>
        <item x="2305"/>
        <item x="1387"/>
        <item x="1967"/>
        <item x="1841"/>
        <item x="1484"/>
        <item x="1111"/>
        <item x="312"/>
        <item x="342"/>
        <item x="2420"/>
        <item x="2373"/>
        <item x="1436"/>
        <item x="2141"/>
        <item x="2338"/>
        <item x="326"/>
        <item x="365"/>
        <item x="2192"/>
        <item x="2144"/>
        <item x="898"/>
        <item x="1799"/>
        <item x="1788"/>
        <item x="2491"/>
        <item x="1836"/>
        <item x="1876"/>
        <item x="2093"/>
        <item t="default"/>
      </items>
    </pivotField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6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view_id" fld="0" subtotal="count" baseField="16" baseItem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4C9317-89BC-42A0-9BFD-510BC4838EE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36:C142" firstHeaderRow="0" firstDataRow="1" firstDataCol="1"/>
  <pivotFields count="19">
    <pivotField dataField="1" showAll="0"/>
    <pivotField numFmtId="1" showAll="0"/>
    <pivotField showAll="0"/>
    <pivotField showAll="0"/>
    <pivotField showAll="0"/>
    <pivotField showAll="0"/>
    <pivotField dataField="1" numFmtId="164" showAll="0">
      <items count="7">
        <item x="0"/>
        <item x="1"/>
        <item x="2"/>
        <item x="3"/>
        <item x="4"/>
        <item x="5"/>
        <item t="default"/>
      </items>
    </pivotField>
    <pivotField numFmtId="22" showAll="0">
      <items count="2515">
        <item x="2075"/>
        <item x="150"/>
        <item x="718"/>
        <item x="1267"/>
        <item x="1252"/>
        <item x="1052"/>
        <item x="2376"/>
        <item x="2501"/>
        <item x="2320"/>
        <item x="646"/>
        <item x="593"/>
        <item x="1654"/>
        <item x="1719"/>
        <item x="1145"/>
        <item x="2347"/>
        <item x="681"/>
        <item x="1992"/>
        <item x="1260"/>
        <item x="670"/>
        <item x="1634"/>
        <item x="51"/>
        <item x="1290"/>
        <item x="2406"/>
        <item x="808"/>
        <item x="789"/>
        <item x="2048"/>
        <item x="747"/>
        <item x="2381"/>
        <item x="1676"/>
        <item x="2331"/>
        <item x="2423"/>
        <item x="687"/>
        <item x="525"/>
        <item x="839"/>
        <item x="1961"/>
        <item x="377"/>
        <item x="500"/>
        <item x="1369"/>
        <item x="460"/>
        <item x="909"/>
        <item x="1285"/>
        <item x="2119"/>
        <item x="1566"/>
        <item x="2085"/>
        <item x="1507"/>
        <item x="1488"/>
        <item x="595"/>
        <item x="121"/>
        <item x="2306"/>
        <item x="1365"/>
        <item x="957"/>
        <item x="1014"/>
        <item x="2217"/>
        <item x="1375"/>
        <item x="1513"/>
        <item x="2466"/>
        <item x="1195"/>
        <item x="2288"/>
        <item x="2191"/>
        <item x="1867"/>
        <item x="531"/>
        <item x="2354"/>
        <item x="2120"/>
        <item x="1189"/>
        <item x="226"/>
        <item x="1305"/>
        <item x="935"/>
        <item x="407"/>
        <item x="859"/>
        <item x="2387"/>
        <item x="294"/>
        <item x="1965"/>
        <item x="2352"/>
        <item x="1581"/>
        <item x="674"/>
        <item x="1881"/>
        <item x="1749"/>
        <item x="1317"/>
        <item x="182"/>
        <item x="2185"/>
        <item x="1407"/>
        <item x="1470"/>
        <item x="205"/>
        <item x="2115"/>
        <item x="1335"/>
        <item x="1949"/>
        <item x="2161"/>
        <item x="1141"/>
        <item x="1158"/>
        <item x="1243"/>
        <item x="206"/>
        <item x="873"/>
        <item x="1403"/>
        <item x="1217"/>
        <item x="2140"/>
        <item x="574"/>
        <item x="815"/>
        <item x="1005"/>
        <item x="347"/>
        <item x="1575"/>
        <item x="1066"/>
        <item x="634"/>
        <item x="2430"/>
        <item x="1258"/>
        <item x="561"/>
        <item x="252"/>
        <item x="675"/>
        <item x="1608"/>
        <item x="1511"/>
        <item x="563"/>
        <item x="1463"/>
        <item x="2357"/>
        <item x="2221"/>
        <item x="1716"/>
        <item x="841"/>
        <item x="1204"/>
        <item x="1065"/>
        <item x="2502"/>
        <item x="985"/>
        <item x="997"/>
        <item x="158"/>
        <item x="265"/>
        <item x="1303"/>
        <item x="1912"/>
        <item x="1372"/>
        <item x="1955"/>
        <item x="2465"/>
        <item x="1356"/>
        <item x="406"/>
        <item x="1809"/>
        <item x="1577"/>
        <item x="2169"/>
        <item x="296"/>
        <item x="1578"/>
        <item x="641"/>
        <item x="628"/>
        <item x="2034"/>
        <item x="349"/>
        <item x="2071"/>
        <item x="2496"/>
        <item x="1135"/>
        <item x="189"/>
        <item x="2202"/>
        <item x="2427"/>
        <item x="128"/>
        <item x="963"/>
        <item x="1508"/>
        <item x="1518"/>
        <item x="1453"/>
        <item x="1057"/>
        <item x="1695"/>
        <item x="1718"/>
        <item x="840"/>
        <item x="749"/>
        <item x="2379"/>
        <item x="123"/>
        <item x="1740"/>
        <item x="472"/>
        <item x="8"/>
        <item x="801"/>
        <item x="2027"/>
        <item x="1292"/>
        <item x="1337"/>
        <item x="1498"/>
        <item x="373"/>
        <item x="2078"/>
        <item x="1006"/>
        <item x="1797"/>
        <item x="1102"/>
        <item x="484"/>
        <item x="1377"/>
        <item x="202"/>
        <item x="1283"/>
        <item x="1087"/>
        <item x="94"/>
        <item x="1612"/>
        <item x="990"/>
        <item x="1871"/>
        <item x="31"/>
        <item x="1804"/>
        <item x="505"/>
        <item x="2237"/>
        <item x="2450"/>
        <item x="1308"/>
        <item x="2147"/>
        <item x="2434"/>
        <item x="2178"/>
        <item x="1055"/>
        <item x="462"/>
        <item x="743"/>
        <item x="191"/>
        <item x="2500"/>
        <item x="2339"/>
        <item x="1673"/>
        <item x="1219"/>
        <item x="2176"/>
        <item x="1385"/>
        <item x="2328"/>
        <item x="1947"/>
        <item x="220"/>
        <item x="740"/>
        <item x="1664"/>
        <item x="2166"/>
        <item x="1357"/>
        <item x="172"/>
        <item x="1776"/>
        <item x="37"/>
        <item x="106"/>
        <item x="2471"/>
        <item x="1650"/>
        <item x="1471"/>
        <item x="1619"/>
        <item x="272"/>
        <item x="463"/>
        <item x="2454"/>
        <item x="881"/>
        <item x="1027"/>
        <item x="1989"/>
        <item x="2444"/>
        <item x="668"/>
        <item x="1360"/>
        <item x="271"/>
        <item x="1682"/>
        <item x="1645"/>
        <item x="959"/>
        <item x="1576"/>
        <item x="845"/>
        <item x="688"/>
        <item x="23"/>
        <item x="389"/>
        <item x="545"/>
        <item x="709"/>
        <item x="1772"/>
        <item x="455"/>
        <item x="551"/>
        <item x="1133"/>
        <item x="1137"/>
        <item x="1593"/>
        <item x="955"/>
        <item x="850"/>
        <item x="1239"/>
        <item x="901"/>
        <item x="1166"/>
        <item x="236"/>
        <item x="896"/>
        <item x="1425"/>
        <item x="950"/>
        <item x="696"/>
        <item x="1071"/>
        <item x="1514"/>
        <item x="537"/>
        <item x="904"/>
        <item x="1572"/>
        <item x="485"/>
        <item x="248"/>
        <item x="1592"/>
        <item x="1154"/>
        <item x="498"/>
        <item x="2336"/>
        <item x="201"/>
        <item x="2136"/>
        <item x="779"/>
        <item x="1886"/>
        <item x="1060"/>
        <item x="1068"/>
        <item x="1394"/>
        <item x="1983"/>
        <item x="1997"/>
        <item x="1589"/>
        <item x="38"/>
        <item x="566"/>
        <item x="2164"/>
        <item x="1240"/>
        <item x="2361"/>
        <item x="1461"/>
        <item x="1626"/>
        <item x="2142"/>
        <item x="1093"/>
        <item x="1580"/>
        <item x="107"/>
        <item x="1449"/>
        <item x="1878"/>
        <item x="125"/>
        <item x="633"/>
        <item x="1659"/>
        <item x="390"/>
        <item x="971"/>
        <item x="482"/>
        <item x="2156"/>
        <item x="532"/>
        <item x="1418"/>
        <item x="403"/>
        <item x="2249"/>
        <item x="1815"/>
        <item x="1432"/>
        <item x="877"/>
        <item x="643"/>
        <item x="1648"/>
        <item x="2390"/>
        <item x="1277"/>
        <item x="1573"/>
        <item x="918"/>
        <item x="1601"/>
        <item x="1544"/>
        <item x="1400"/>
        <item x="1647"/>
        <item x="1261"/>
        <item x="1694"/>
        <item x="1007"/>
        <item x="17"/>
        <item x="1063"/>
        <item x="20"/>
        <item x="1110"/>
        <item x="854"/>
        <item x="1711"/>
        <item x="804"/>
        <item x="897"/>
        <item x="129"/>
        <item x="2436"/>
        <item x="1607"/>
        <item x="1745"/>
        <item x="141"/>
        <item x="1300"/>
        <item x="2177"/>
        <item x="1852"/>
        <item x="1152"/>
        <item x="2350"/>
        <item x="2146"/>
        <item x="425"/>
        <item x="936"/>
        <item x="276"/>
        <item x="424"/>
        <item x="1231"/>
        <item x="1556"/>
        <item x="1641"/>
        <item x="656"/>
        <item x="468"/>
        <item x="2189"/>
        <item x="807"/>
        <item x="115"/>
        <item x="1200"/>
        <item x="30"/>
        <item x="2356"/>
        <item x="770"/>
        <item x="2481"/>
        <item x="1666"/>
        <item x="602"/>
        <item x="2428"/>
        <item x="1434"/>
        <item x="1153"/>
        <item x="2281"/>
        <item x="2054"/>
        <item x="190"/>
        <item x="1287"/>
        <item x="2061"/>
        <item x="122"/>
        <item x="195"/>
        <item x="1528"/>
        <item x="2255"/>
        <item x="1088"/>
        <item x="2280"/>
        <item x="2175"/>
        <item x="244"/>
        <item x="1866"/>
        <item x="1160"/>
        <item x="2418"/>
        <item x="501"/>
        <item x="53"/>
        <item x="1504"/>
        <item x="1982"/>
        <item x="1030"/>
        <item x="461"/>
        <item x="1545"/>
        <item x="2226"/>
        <item x="619"/>
        <item x="2128"/>
        <item x="264"/>
        <item x="882"/>
        <item x="899"/>
        <item x="1358"/>
        <item x="793"/>
        <item x="1905"/>
        <item x="249"/>
        <item x="1954"/>
        <item x="89"/>
        <item x="2351"/>
        <item x="429"/>
        <item x="2079"/>
        <item x="642"/>
        <item x="325"/>
        <item x="2251"/>
        <item x="2283"/>
        <item x="1701"/>
        <item x="2242"/>
        <item x="10"/>
        <item x="1050"/>
        <item x="2394"/>
        <item x="757"/>
        <item x="227"/>
        <item x="2213"/>
        <item x="1808"/>
        <item x="2509"/>
        <item x="1035"/>
        <item x="200"/>
        <item x="1455"/>
        <item x="1167"/>
        <item x="988"/>
        <item x="2400"/>
        <item x="1567"/>
        <item x="480"/>
        <item x="235"/>
        <item x="1843"/>
        <item x="2433"/>
        <item x="2062"/>
        <item x="876"/>
        <item x="1080"/>
        <item x="1746"/>
        <item x="2493"/>
        <item x="833"/>
        <item x="44"/>
        <item x="1724"/>
        <item x="926"/>
        <item x="1506"/>
        <item x="2173"/>
        <item x="1880"/>
        <item x="1207"/>
        <item x="2451"/>
        <item x="1127"/>
        <item x="999"/>
        <item x="18"/>
        <item x="2512"/>
        <item x="1341"/>
        <item x="662"/>
        <item x="2303"/>
        <item x="1419"/>
        <item x="2193"/>
        <item x="2388"/>
        <item x="1015"/>
        <item x="2478"/>
        <item x="775"/>
        <item x="255"/>
        <item x="1931"/>
        <item x="2315"/>
        <item x="1274"/>
        <item x="286"/>
        <item x="435"/>
        <item x="528"/>
        <item x="428"/>
        <item x="473"/>
        <item x="778"/>
        <item x="1205"/>
        <item x="393"/>
        <item x="1705"/>
        <item x="2396"/>
        <item x="2476"/>
        <item x="2218"/>
        <item x="2052"/>
        <item x="533"/>
        <item x="1417"/>
        <item x="711"/>
        <item x="1478"/>
        <item x="2159"/>
        <item x="228"/>
        <item x="2389"/>
        <item x="2344"/>
        <item x="194"/>
        <item x="1761"/>
        <item x="772"/>
        <item x="1197"/>
        <item x="2043"/>
        <item x="1034"/>
        <item x="1265"/>
        <item x="178"/>
        <item x="112"/>
        <item x="2486"/>
        <item x="1397"/>
        <item x="230"/>
        <item x="395"/>
        <item x="1909"/>
        <item x="2017"/>
        <item x="514"/>
        <item x="1844"/>
        <item x="1140"/>
        <item x="1101"/>
        <item x="1075"/>
        <item x="1974"/>
        <item x="623"/>
        <item x="1517"/>
        <item x="2215"/>
        <item x="524"/>
        <item x="1971"/>
        <item x="884"/>
        <item x="1616"/>
        <item x="973"/>
        <item x="1176"/>
        <item x="1074"/>
        <item x="1932"/>
        <item x="2457"/>
        <item x="540"/>
        <item x="1510"/>
        <item x="414"/>
        <item x="1930"/>
        <item x="752"/>
        <item x="152"/>
        <item x="796"/>
        <item x="570"/>
        <item x="792"/>
        <item x="2236"/>
        <item x="291"/>
        <item x="893"/>
        <item x="534"/>
        <item x="1534"/>
        <item x="932"/>
        <item x="852"/>
        <item x="1321"/>
        <item x="1179"/>
        <item x="2036"/>
        <item x="2044"/>
        <item x="1679"/>
        <item x="1255"/>
        <item x="118"/>
        <item x="1310"/>
        <item x="2219"/>
        <item x="1525"/>
        <item x="886"/>
        <item x="2018"/>
        <item x="119"/>
        <item x="1388"/>
        <item x="81"/>
        <item x="2199"/>
        <item x="1821"/>
        <item x="1631"/>
        <item x="846"/>
        <item x="2010"/>
        <item x="415"/>
        <item x="1669"/>
        <item x="2012"/>
        <item x="2104"/>
        <item x="101"/>
        <item x="594"/>
        <item x="1163"/>
        <item x="651"/>
        <item x="2291"/>
        <item x="2298"/>
        <item x="1754"/>
        <item x="1295"/>
        <item x="1402"/>
        <item x="611"/>
        <item x="1094"/>
        <item x="311"/>
        <item x="1004"/>
        <item x="748"/>
        <item x="908"/>
        <item x="1562"/>
        <item x="1813"/>
        <item x="1748"/>
        <item x="1864"/>
        <item x="1464"/>
        <item x="2299"/>
        <item x="2413"/>
        <item x="1536"/>
        <item x="1976"/>
        <item x="192"/>
        <item x="1926"/>
        <item x="2077"/>
        <item x="2292"/>
        <item x="2327"/>
        <item x="1194"/>
        <item x="1331"/>
        <item x="2049"/>
        <item x="55"/>
        <item x="1564"/>
        <item x="1794"/>
        <item x="671"/>
        <item x="2463"/>
        <item x="1984"/>
        <item x="382"/>
        <item x="986"/>
        <item x="26"/>
        <item x="1629"/>
        <item x="1519"/>
        <item x="1606"/>
        <item x="1072"/>
        <item x="1615"/>
        <item x="1227"/>
        <item x="411"/>
        <item x="1859"/>
        <item x="5"/>
        <item x="1364"/>
        <item x="1902"/>
        <item x="362"/>
        <item x="797"/>
        <item x="1495"/>
        <item x="45"/>
        <item x="2397"/>
        <item x="104"/>
        <item x="1446"/>
        <item x="978"/>
        <item x="1849"/>
        <item x="335"/>
        <item x="1009"/>
        <item x="686"/>
        <item x="1367"/>
        <item x="2087"/>
        <item x="61"/>
        <item x="63"/>
        <item x="1835"/>
        <item x="2126"/>
        <item x="279"/>
        <item x="1554"/>
        <item x="1782"/>
        <item x="355"/>
        <item x="2326"/>
        <item x="1077"/>
        <item x="2441"/>
        <item x="1678"/>
        <item x="1324"/>
        <item x="1807"/>
        <item x="167"/>
        <item x="2031"/>
        <item x="1319"/>
        <item x="2241"/>
        <item x="1704"/>
        <item x="476"/>
        <item x="2021"/>
        <item x="1316"/>
        <item x="2384"/>
        <item x="1793"/>
        <item x="1184"/>
        <item x="2233"/>
        <item x="2188"/>
        <item x="1318"/>
        <item x="1257"/>
        <item x="1981"/>
        <item x="1143"/>
        <item x="1796"/>
        <item x="547"/>
        <item x="274"/>
        <item x="1941"/>
        <item x="489"/>
        <item x="753"/>
        <item x="912"/>
        <item x="483"/>
        <item x="102"/>
        <item x="946"/>
        <item x="48"/>
        <item x="21"/>
        <item x="1162"/>
        <item x="1104"/>
        <item x="1457"/>
        <item x="630"/>
        <item x="1416"/>
        <item x="1224"/>
        <item x="1777"/>
        <item x="2086"/>
        <item x="855"/>
        <item x="1823"/>
        <item x="706"/>
        <item x="1887"/>
        <item x="1991"/>
        <item x="1382"/>
        <item x="1456"/>
        <item x="1210"/>
        <item x="2117"/>
        <item x="2419"/>
        <item x="2333"/>
        <item x="1304"/>
        <item x="847"/>
        <item x="1244"/>
        <item x="304"/>
        <item x="11"/>
        <item x="1851"/>
        <item x="459"/>
        <item x="2278"/>
        <item x="526"/>
        <item x="1494"/>
        <item x="2025"/>
        <item x="1320"/>
        <item x="449"/>
        <item x="763"/>
        <item x="1721"/>
        <item x="2372"/>
        <item x="1355"/>
        <item x="2342"/>
        <item x="268"/>
        <item x="974"/>
        <item x="474"/>
        <item x="169"/>
        <item x="2033"/>
        <item x="964"/>
        <item x="2134"/>
        <item x="722"/>
        <item x="1595"/>
        <item x="1805"/>
        <item x="708"/>
        <item x="404"/>
        <item x="1806"/>
        <item x="767"/>
        <item x="2398"/>
        <item x="495"/>
        <item x="371"/>
        <item x="327"/>
        <item x="738"/>
        <item x="1391"/>
        <item x="331"/>
        <item x="1134"/>
        <item x="1649"/>
        <item x="416"/>
        <item x="1903"/>
        <item x="469"/>
        <item x="731"/>
        <item x="541"/>
        <item x="542"/>
        <item x="559"/>
        <item x="2504"/>
        <item x="160"/>
        <item x="41"/>
        <item x="1696"/>
        <item x="848"/>
        <item x="1918"/>
        <item x="1689"/>
        <item x="1978"/>
        <item x="290"/>
        <item x="1546"/>
        <item x="1891"/>
        <item x="1165"/>
        <item x="145"/>
        <item x="2425"/>
        <item x="755"/>
        <item x="1538"/>
        <item x="1059"/>
        <item x="2004"/>
        <item x="795"/>
        <item x="1975"/>
        <item x="1910"/>
        <item x="1361"/>
        <item x="448"/>
        <item x="1913"/>
        <item x="1675"/>
        <item x="2015"/>
        <item x="734"/>
        <item x="2028"/>
        <item x="440"/>
        <item x="2380"/>
        <item x="2005"/>
        <item x="1114"/>
        <item x="1764"/>
        <item x="113"/>
        <item x="1791"/>
        <item x="1520"/>
        <item x="868"/>
        <item x="1476"/>
        <item x="944"/>
        <item x="608"/>
        <item x="1148"/>
        <item x="367"/>
        <item x="216"/>
        <item x="1980"/>
        <item x="2383"/>
        <item x="1155"/>
        <item x="126"/>
        <item x="733"/>
        <item x="269"/>
        <item x="2312"/>
        <item x="652"/>
        <item x="343"/>
        <item x="921"/>
        <item x="313"/>
        <item x="1096"/>
        <item x="203"/>
        <item x="2187"/>
        <item x="136"/>
        <item x="1248"/>
        <item x="1985"/>
        <item x="225"/>
        <item x="2209"/>
        <item x="1755"/>
        <item x="1583"/>
        <item x="307"/>
        <item x="600"/>
        <item x="1858"/>
        <item x="135"/>
        <item x="396"/>
        <item x="479"/>
        <item x="1348"/>
        <item x="864"/>
        <item x="2275"/>
        <item x="250"/>
        <item x="1550"/>
        <item x="1097"/>
        <item x="1460"/>
        <item x="305"/>
        <item x="2030"/>
        <item x="52"/>
        <item x="1751"/>
        <item x="1934"/>
        <item x="587"/>
        <item x="567"/>
        <item x="352"/>
        <item x="1742"/>
        <item x="1037"/>
        <item x="830"/>
        <item x="2349"/>
        <item x="2455"/>
        <item x="1458"/>
        <item x="1963"/>
        <item x="875"/>
        <item x="76"/>
        <item x="1523"/>
        <item x="1707"/>
        <item x="1232"/>
        <item x="858"/>
        <item x="598"/>
        <item x="588"/>
        <item x="1940"/>
        <item x="1043"/>
        <item x="494"/>
        <item x="369"/>
        <item x="245"/>
        <item x="787"/>
        <item x="465"/>
        <item x="2422"/>
        <item x="153"/>
        <item x="1289"/>
        <item x="798"/>
        <item x="1660"/>
        <item x="1076"/>
        <item x="596"/>
        <item x="692"/>
        <item x="2262"/>
        <item x="776"/>
        <item x="1172"/>
        <item x="1220"/>
        <item x="116"/>
        <item x="266"/>
        <item x="631"/>
        <item x="46"/>
        <item x="679"/>
        <item x="1605"/>
        <item x="1842"/>
        <item x="1668"/>
        <item x="492"/>
        <item x="1638"/>
        <item x="1106"/>
        <item x="1853"/>
        <item x="1959"/>
        <item x="1561"/>
        <item x="550"/>
        <item x="2271"/>
        <item x="1610"/>
        <item x="2235"/>
        <item x="1024"/>
        <item x="513"/>
        <item x="2074"/>
        <item x="2037"/>
        <item x="1677"/>
        <item x="444"/>
        <item x="2053"/>
        <item x="1904"/>
        <item x="849"/>
        <item x="1440"/>
        <item x="900"/>
        <item x="2112"/>
        <item x="19"/>
        <item x="805"/>
        <item x="1540"/>
        <item x="1502"/>
        <item x="1159"/>
        <item x="751"/>
        <item x="2321"/>
        <item x="1334"/>
        <item x="70"/>
        <item x="177"/>
        <item x="1945"/>
        <item x="2179"/>
        <item x="949"/>
        <item x="323"/>
        <item x="183"/>
        <item x="329"/>
        <item x="800"/>
        <item x="689"/>
        <item x="408"/>
        <item x="917"/>
        <item x="1579"/>
        <item x="519"/>
        <item x="2132"/>
        <item x="592"/>
        <item x="1917"/>
        <item x="2032"/>
        <item x="2506"/>
        <item x="1270"/>
        <item x="968"/>
        <item x="1298"/>
        <item x="2184"/>
        <item x="1929"/>
        <item x="1829"/>
        <item x="1672"/>
        <item x="2203"/>
        <item x="1969"/>
        <item x="2198"/>
        <item x="923"/>
        <item x="2208"/>
        <item x="2452"/>
        <item x="1763"/>
        <item x="4"/>
        <item x="1773"/>
        <item x="1278"/>
        <item x="869"/>
        <item x="2370"/>
        <item x="1652"/>
        <item x="648"/>
        <item x="1404"/>
        <item x="857"/>
        <item x="1191"/>
        <item x="512"/>
        <item x="769"/>
        <item x="966"/>
        <item x="306"/>
        <item x="215"/>
        <item x="650"/>
        <item x="1781"/>
        <item x="1531"/>
        <item x="1854"/>
        <item x="2040"/>
        <item x="1233"/>
        <item x="1759"/>
        <item x="1599"/>
        <item x="62"/>
        <item x="1787"/>
        <item x="1810"/>
        <item x="1900"/>
        <item x="527"/>
        <item x="1632"/>
        <item x="438"/>
        <item x="2332"/>
        <item x="972"/>
        <item x="2100"/>
        <item x="1762"/>
        <item x="1691"/>
        <item x="420"/>
        <item x="1465"/>
        <item x="1663"/>
        <item x="2095"/>
        <item x="2421"/>
        <item x="746"/>
        <item x="735"/>
        <item x="2386"/>
        <item x="2108"/>
        <item x="391"/>
        <item x="1826"/>
        <item x="1452"/>
        <item x="2269"/>
        <item x="783"/>
        <item x="1196"/>
        <item x="2285"/>
        <item x="1555"/>
        <item x="1045"/>
        <item x="2330"/>
        <item x="1730"/>
        <item x="1299"/>
        <item x="824"/>
        <item x="659"/>
        <item x="1362"/>
        <item x="2151"/>
        <item x="2046"/>
        <item x="1524"/>
        <item x="120"/>
        <item x="282"/>
        <item x="818"/>
        <item x="1405"/>
        <item x="14"/>
        <item x="1448"/>
        <item x="1951"/>
        <item x="2064"/>
        <item x="1574"/>
        <item x="2266"/>
        <item x="240"/>
        <item x="66"/>
        <item x="1103"/>
        <item x="1499"/>
        <item x="2148"/>
        <item x="1073"/>
        <item x="2353"/>
        <item x="2224"/>
        <item x="433"/>
        <item x="334"/>
        <item x="453"/>
        <item x="1131"/>
        <item x="2304"/>
        <item x="1389"/>
        <item x="1410"/>
        <item x="1352"/>
        <item x="1558"/>
        <item x="209"/>
        <item x="1814"/>
        <item x="811"/>
        <item x="2417"/>
        <item x="1665"/>
        <item x="2317"/>
        <item x="502"/>
        <item x="1889"/>
        <item x="345"/>
        <item x="2066"/>
        <item x="1922"/>
        <item x="1333"/>
        <item x="2026"/>
        <item x="603"/>
        <item x="929"/>
        <item x="105"/>
        <item x="1242"/>
        <item x="2091"/>
        <item x="1767"/>
        <item x="1450"/>
        <item x="1543"/>
        <item x="6"/>
        <item x="919"/>
        <item x="40"/>
        <item x="2003"/>
        <item x="163"/>
        <item x="218"/>
        <item x="1384"/>
        <item x="802"/>
        <item x="1968"/>
        <item x="510"/>
        <item x="454"/>
        <item x="157"/>
        <item x="90"/>
        <item x="597"/>
        <item x="1459"/>
        <item x="2263"/>
        <item x="237"/>
        <item x="2162"/>
        <item x="1047"/>
        <item x="1001"/>
        <item x="892"/>
        <item x="241"/>
        <item x="538"/>
        <item x="2181"/>
        <item x="2341"/>
        <item x="359"/>
        <item x="2197"/>
        <item x="861"/>
        <item x="1338"/>
        <item x="95"/>
        <item x="2072"/>
        <item x="2171"/>
        <item x="1760"/>
        <item x="1750"/>
        <item x="2301"/>
        <item x="2366"/>
        <item x="1344"/>
        <item x="1439"/>
        <item x="1156"/>
        <item x="2364"/>
        <item x="684"/>
        <item x="552"/>
        <item x="726"/>
        <item x="535"/>
        <item x="1142"/>
        <item x="2103"/>
        <item x="267"/>
        <item x="1725"/>
        <item x="2416"/>
        <item x="2246"/>
        <item x="1995"/>
        <item x="834"/>
        <item x="1535"/>
        <item x="478"/>
        <item x="1604"/>
        <item x="828"/>
        <item x="1406"/>
        <item x="1368"/>
        <item x="350"/>
        <item x="1670"/>
        <item x="442"/>
        <item x="562"/>
        <item x="1890"/>
        <item x="496"/>
        <item x="224"/>
        <item x="2507"/>
        <item x="1038"/>
        <item x="774"/>
        <item x="736"/>
        <item x="2503"/>
        <item x="75"/>
        <item x="1473"/>
        <item x="2013"/>
        <item x="2225"/>
        <item x="1515"/>
        <item x="677"/>
        <item x="887"/>
        <item x="2022"/>
        <item x="1921"/>
        <item x="2403"/>
        <item x="1662"/>
        <item x="1354"/>
        <item x="914"/>
        <item x="1732"/>
        <item x="1373"/>
        <item x="2511"/>
        <item x="970"/>
        <item x="1241"/>
        <item x="213"/>
        <item x="556"/>
        <item x="92"/>
        <item x="259"/>
        <item x="1345"/>
        <item x="822"/>
        <item x="2212"/>
        <item x="1209"/>
        <item x="2461"/>
        <item x="621"/>
        <item x="1053"/>
        <item x="1012"/>
        <item x="1008"/>
        <item x="606"/>
        <item x="185"/>
        <item x="1"/>
        <item x="1850"/>
        <item x="2243"/>
        <item x="72"/>
        <item x="1936"/>
        <item x="1500"/>
        <item x="1928"/>
        <item x="759"/>
        <item x="1213"/>
        <item x="1294"/>
        <item x="1962"/>
        <item x="1091"/>
        <item x="1970"/>
        <item x="42"/>
        <item x="851"/>
        <item x="1571"/>
        <item x="340"/>
        <item x="1247"/>
        <item x="1113"/>
        <item x="578"/>
        <item x="1800"/>
        <item x="1483"/>
        <item x="212"/>
        <item x="1226"/>
        <item x="1906"/>
        <item x="1894"/>
        <item x="1017"/>
        <item x="2082"/>
        <item x="84"/>
        <item x="1731"/>
        <item x="1169"/>
        <item x="1702"/>
        <item x="1284"/>
        <item x="691"/>
        <item x="13"/>
        <item x="98"/>
        <item x="458"/>
        <item x="1509"/>
        <item x="77"/>
        <item x="1083"/>
        <item x="1833"/>
        <item x="1199"/>
        <item x="217"/>
        <item x="1085"/>
        <item x="1712"/>
        <item x="1521"/>
        <item x="2194"/>
        <item x="1340"/>
        <item x="756"/>
        <item x="2429"/>
        <item x="110"/>
        <item x="1178"/>
        <item x="168"/>
        <item x="2047"/>
        <item x="2247"/>
        <item x="488"/>
        <item x="730"/>
        <item x="1622"/>
        <item x="1657"/>
        <item x="221"/>
        <item x="1639"/>
        <item x="143"/>
        <item x="29"/>
        <item x="2029"/>
        <item x="1933"/>
        <item x="1803"/>
        <item x="1301"/>
        <item x="127"/>
        <item x="2214"/>
        <item x="1820"/>
        <item x="2011"/>
        <item x="1919"/>
        <item x="1802"/>
        <item x="1315"/>
        <item x="2096"/>
        <item x="1541"/>
        <item x="328"/>
        <item x="2257"/>
        <item x="1588"/>
        <item x="1862"/>
        <item x="1188"/>
        <item x="1376"/>
        <item x="1620"/>
        <item x="766"/>
        <item x="86"/>
        <item x="993"/>
        <item x="644"/>
        <item x="133"/>
        <item x="2335"/>
        <item x="1614"/>
        <item x="199"/>
        <item x="2329"/>
        <item x="1708"/>
        <item x="2057"/>
        <item x="1100"/>
        <item x="1840"/>
        <item x="208"/>
        <item x="1686"/>
        <item x="2334"/>
        <item x="187"/>
        <item x="2378"/>
        <item x="471"/>
        <item x="80"/>
        <item x="613"/>
        <item x="1442"/>
        <item x="589"/>
        <item x="1002"/>
        <item x="554"/>
        <item x="2097"/>
        <item x="987"/>
        <item x="1370"/>
        <item x="579"/>
        <item x="1061"/>
        <item x="741"/>
        <item x="945"/>
        <item x="151"/>
        <item x="409"/>
        <item x="1598"/>
        <item x="2374"/>
        <item x="2340"/>
        <item x="895"/>
        <item x="799"/>
        <item x="773"/>
        <item x="231"/>
        <item x="995"/>
        <item x="614"/>
        <item x="695"/>
        <item x="78"/>
        <item x="2482"/>
        <item x="2309"/>
        <item x="1715"/>
        <item x="580"/>
        <item x="933"/>
        <item x="1656"/>
        <item x="784"/>
        <item x="319"/>
        <item x="962"/>
        <item x="1568"/>
        <item x="2023"/>
        <item x="1609"/>
        <item x="2223"/>
        <item x="1150"/>
        <item x="147"/>
        <item x="2016"/>
        <item x="1124"/>
        <item x="1182"/>
        <item x="301"/>
        <item x="758"/>
        <item x="637"/>
        <item x="1613"/>
        <item x="2256"/>
        <item x="2267"/>
        <item x="885"/>
        <item x="685"/>
        <item x="1325"/>
        <item x="1115"/>
        <item x="1999"/>
        <item x="942"/>
        <item x="383"/>
        <item x="1079"/>
        <item x="716"/>
        <item x="197"/>
        <item x="1582"/>
        <item x="719"/>
        <item x="2360"/>
        <item x="1435"/>
        <item x="750"/>
        <item x="943"/>
        <item x="704"/>
        <item x="508"/>
        <item x="398"/>
        <item x="1485"/>
        <item x="511"/>
        <item x="1956"/>
        <item x="1848"/>
        <item x="2483"/>
        <item x="703"/>
        <item x="742"/>
        <item x="2346"/>
        <item x="1415"/>
        <item x="1996"/>
        <item x="626"/>
        <item x="2157"/>
        <item x="1032"/>
        <item x="1359"/>
        <item x="1183"/>
        <item x="1201"/>
        <item x="1399"/>
        <item x="522"/>
        <item x="941"/>
        <item x="837"/>
        <item x="1703"/>
        <item x="575"/>
        <item x="1846"/>
        <item x="2253"/>
        <item x="658"/>
        <item x="1522"/>
        <item x="2293"/>
        <item x="130"/>
        <item x="2216"/>
        <item x="1553"/>
        <item x="2289"/>
        <item x="2014"/>
        <item x="1147"/>
        <item x="392"/>
        <item x="1779"/>
        <item x="2238"/>
        <item x="1825"/>
        <item x="2252"/>
        <item x="1685"/>
        <item x="1789"/>
        <item x="1699"/>
        <item x="2167"/>
        <item x="1013"/>
        <item x="1501"/>
        <item x="1774"/>
        <item x="2474"/>
        <item x="1888"/>
        <item x="609"/>
        <item x="292"/>
        <item x="1378"/>
        <item x="293"/>
        <item x="507"/>
        <item x="1621"/>
        <item x="9"/>
        <item x="219"/>
        <item x="1262"/>
        <item x="865"/>
        <item x="1586"/>
        <item x="960"/>
        <item x="1503"/>
        <item x="1570"/>
        <item x="697"/>
        <item x="843"/>
        <item x="1627"/>
        <item x="645"/>
        <item x="1353"/>
        <item x="295"/>
        <item x="1228"/>
        <item x="2432"/>
        <item x="739"/>
        <item x="1811"/>
        <item x="1960"/>
        <item x="2355"/>
        <item x="69"/>
        <item x="2139"/>
        <item x="1635"/>
        <item x="1192"/>
        <item x="2426"/>
        <item x="15"/>
        <item x="2358"/>
        <item x="1170"/>
        <item x="1812"/>
        <item x="583"/>
        <item x="1753"/>
        <item x="1737"/>
        <item x="370"/>
        <item x="198"/>
        <item x="32"/>
        <item x="1411"/>
        <item x="737"/>
        <item x="285"/>
        <item x="1872"/>
        <item x="890"/>
        <item x="2058"/>
        <item x="1279"/>
        <item x="725"/>
        <item x="1747"/>
        <item x="65"/>
        <item x="2439"/>
        <item x="2220"/>
        <item x="2404"/>
        <item x="934"/>
        <item x="661"/>
        <item x="351"/>
        <item x="640"/>
        <item x="1896"/>
        <item x="2007"/>
        <item x="555"/>
        <item x="239"/>
        <item x="1336"/>
        <item x="2359"/>
        <item x="1395"/>
        <item x="2063"/>
        <item x="1831"/>
        <item x="660"/>
        <item x="1312"/>
        <item x="336"/>
        <item x="262"/>
        <item x="196"/>
        <item x="2438"/>
        <item x="417"/>
        <item x="260"/>
        <item x="1185"/>
        <item x="2137"/>
        <item x="2265"/>
        <item x="2130"/>
        <item x="664"/>
        <item x="180"/>
        <item x="1016"/>
        <item x="1472"/>
        <item x="821"/>
        <item x="1697"/>
        <item x="376"/>
        <item x="2038"/>
        <item x="368"/>
        <item x="761"/>
        <item x="399"/>
        <item x="316"/>
        <item x="1873"/>
        <item x="558"/>
        <item x="928"/>
        <item x="663"/>
        <item x="432"/>
        <item x="1837"/>
        <item x="1433"/>
        <item x="2464"/>
        <item x="12"/>
        <item x="34"/>
        <item x="1379"/>
        <item x="1020"/>
        <item x="994"/>
        <item x="1036"/>
        <item x="385"/>
        <item x="2069"/>
        <item x="341"/>
        <item x="1548"/>
        <item x="93"/>
        <item x="317"/>
        <item x="400"/>
        <item x="1915"/>
        <item x="186"/>
        <item x="2487"/>
        <item x="1709"/>
        <item x="1728"/>
        <item x="1082"/>
        <item x="445"/>
        <item x="947"/>
        <item x="2114"/>
        <item x="844"/>
        <item x="780"/>
        <item x="2322"/>
        <item x="1413"/>
        <item x="1467"/>
        <item x="2290"/>
        <item x="2284"/>
        <item x="905"/>
        <item x="1529"/>
        <item x="1313"/>
        <item x="154"/>
        <item x="1630"/>
        <item x="1263"/>
        <item x="2282"/>
        <item x="1118"/>
        <item x="647"/>
        <item x="238"/>
        <item x="71"/>
        <item x="982"/>
        <item x="114"/>
        <item x="2122"/>
        <item x="832"/>
        <item x="353"/>
        <item x="2135"/>
        <item x="358"/>
        <item x="2099"/>
        <item x="1107"/>
        <item x="2102"/>
        <item x="768"/>
        <item x="2090"/>
        <item x="0"/>
        <item x="2270"/>
        <item x="1860"/>
        <item x="636"/>
        <item x="357"/>
        <item x="2261"/>
        <item x="287"/>
        <item x="2190"/>
        <item x="1897"/>
        <item x="785"/>
        <item x="543"/>
        <item x="842"/>
        <item x="1924"/>
        <item x="907"/>
        <item x="446"/>
        <item x="2443"/>
        <item x="557"/>
        <item x="878"/>
        <item x="1998"/>
        <item x="1785"/>
        <item x="2375"/>
        <item x="2240"/>
        <item x="1236"/>
        <item x="560"/>
        <item x="1914"/>
        <item x="576"/>
        <item x="1863"/>
        <item x="1092"/>
        <item x="2092"/>
        <item x="707"/>
        <item x="2127"/>
        <item x="979"/>
        <item x="175"/>
        <item x="1834"/>
        <item x="1019"/>
        <item x="1480"/>
        <item x="223"/>
        <item x="1126"/>
        <item x="35"/>
        <item x="1186"/>
        <item x="771"/>
        <item x="1235"/>
        <item x="2324"/>
        <item x="1443"/>
        <item x="413"/>
        <item x="1937"/>
        <item x="727"/>
        <item x="724"/>
        <item x="339"/>
        <item x="1282"/>
        <item x="2124"/>
        <item x="372"/>
        <item x="2392"/>
        <item x="1056"/>
        <item x="2495"/>
        <item x="503"/>
        <item x="2228"/>
        <item x="1681"/>
        <item x="582"/>
        <item x="149"/>
        <item x="1326"/>
        <item x="419"/>
        <item x="173"/>
        <item x="1069"/>
        <item x="1756"/>
        <item x="2"/>
        <item x="487"/>
        <item x="1430"/>
        <item x="1275"/>
        <item x="1090"/>
        <item x="1286"/>
        <item x="1067"/>
        <item x="2337"/>
        <item x="2447"/>
        <item x="451"/>
        <item x="853"/>
        <item x="1899"/>
        <item x="989"/>
        <item x="82"/>
        <item x="388"/>
        <item x="879"/>
        <item x="601"/>
        <item x="439"/>
        <item x="299"/>
        <item x="1946"/>
        <item x="418"/>
        <item x="515"/>
        <item x="254"/>
        <item x="1847"/>
        <item x="2313"/>
        <item x="948"/>
        <item x="721"/>
        <item x="1296"/>
        <item x="1136"/>
        <item x="712"/>
        <item x="2395"/>
        <item x="1611"/>
        <item x="915"/>
        <item x="1431"/>
        <item x="700"/>
        <item x="2143"/>
        <item x="965"/>
        <item x="2415"/>
        <item x="2272"/>
        <item x="715"/>
        <item x="931"/>
        <item x="1144"/>
        <item x="710"/>
        <item x="2393"/>
        <item x="288"/>
        <item x="1477"/>
        <item x="1381"/>
        <item x="1920"/>
        <item x="1000"/>
        <item x="1988"/>
        <item x="303"/>
        <item x="2205"/>
        <item x="1251"/>
        <item x="321"/>
        <item x="50"/>
        <item x="1770"/>
        <item x="2230"/>
        <item x="83"/>
        <item x="754"/>
        <item x="1865"/>
        <item x="2111"/>
        <item x="204"/>
        <item x="1653"/>
        <item x="348"/>
        <item x="74"/>
        <item x="2371"/>
        <item x="394"/>
        <item x="165"/>
        <item x="2227"/>
        <item x="1044"/>
        <item x="1146"/>
        <item x="58"/>
        <item x="666"/>
        <item x="1466"/>
        <item x="1187"/>
        <item x="605"/>
        <item x="2445"/>
        <item x="2206"/>
        <item x="2264"/>
        <item x="1744"/>
        <item x="1174"/>
        <item x="817"/>
        <item x="2382"/>
        <item x="1234"/>
        <item x="657"/>
        <item x="866"/>
        <item x="354"/>
        <item x="2362"/>
        <item x="2467"/>
        <item x="470"/>
        <item x="1225"/>
        <item x="1125"/>
        <item x="131"/>
        <item x="410"/>
        <item x="1532"/>
        <item x="678"/>
        <item x="2229"/>
        <item x="166"/>
        <item x="1121"/>
        <item x="2254"/>
        <item x="1003"/>
        <item x="2258"/>
        <item x="2268"/>
        <item x="397"/>
        <item x="1424"/>
        <item x="794"/>
        <item x="635"/>
        <item x="1646"/>
        <item x="1051"/>
        <item x="1119"/>
        <item x="786"/>
        <item x="992"/>
        <item x="2473"/>
        <item x="1474"/>
        <item x="2168"/>
        <item x="1911"/>
        <item x="188"/>
        <item x="2060"/>
        <item x="1600"/>
        <item x="246"/>
        <item x="1597"/>
        <item x="1428"/>
        <item x="1636"/>
        <item x="1029"/>
        <item x="427"/>
        <item x="1117"/>
        <item x="2319"/>
        <item x="925"/>
        <item x="314"/>
        <item x="1925"/>
        <item x="1667"/>
        <item x="1108"/>
        <item x="705"/>
        <item x="2410"/>
        <item x="142"/>
        <item x="981"/>
        <item x="2118"/>
        <item x="790"/>
        <item x="618"/>
        <item x="2131"/>
        <item x="161"/>
        <item x="1454"/>
        <item x="1245"/>
        <item x="1288"/>
        <item x="2200"/>
        <item x="315"/>
        <item x="2019"/>
        <item x="860"/>
        <item x="629"/>
        <item x="1916"/>
        <item x="1882"/>
        <item x="585"/>
        <item x="300"/>
        <item x="477"/>
        <item x="243"/>
        <item x="1987"/>
        <item x="872"/>
        <item x="2323"/>
        <item x="1977"/>
        <item x="1149"/>
        <item x="1752"/>
        <item x="829"/>
        <item x="1291"/>
        <item x="2498"/>
        <item x="816"/>
        <item x="958"/>
        <item x="1371"/>
        <item x="2458"/>
        <item x="1938"/>
        <item x="1819"/>
        <item x="1644"/>
        <item x="2222"/>
        <item x="913"/>
        <item x="1720"/>
        <item x="1798"/>
        <item x="975"/>
        <item x="701"/>
        <item x="140"/>
        <item x="2055"/>
        <item x="43"/>
        <item x="1690"/>
        <item x="2183"/>
        <item x="862"/>
        <item x="1778"/>
        <item x="68"/>
        <item x="2154"/>
        <item x="1112"/>
        <item x="67"/>
        <item x="653"/>
        <item x="450"/>
        <item x="2490"/>
        <item x="1211"/>
        <item x="1723"/>
        <item x="1423"/>
        <item x="2088"/>
        <item x="2248"/>
        <item x="2449"/>
        <item x="56"/>
        <item x="916"/>
        <item x="1757"/>
        <item x="1628"/>
        <item x="33"/>
        <item x="324"/>
        <item x="103"/>
        <item x="47"/>
        <item x="1948"/>
        <item x="247"/>
        <item x="1070"/>
        <item x="2508"/>
        <item x="2391"/>
        <item x="690"/>
        <item x="1253"/>
        <item x="2365"/>
        <item x="28"/>
        <item x="2477"/>
        <item x="2297"/>
        <item x="586"/>
        <item x="423"/>
        <item x="1264"/>
        <item x="2081"/>
        <item x="2000"/>
        <item x="680"/>
        <item x="36"/>
        <item x="181"/>
        <item x="937"/>
        <item x="79"/>
        <item x="1741"/>
        <item x="1390"/>
        <item x="744"/>
        <item x="73"/>
        <item x="171"/>
        <item x="1042"/>
        <item x="927"/>
        <item x="242"/>
        <item x="273"/>
        <item x="1366"/>
        <item x="452"/>
        <item x="2067"/>
        <item x="1266"/>
        <item x="584"/>
        <item x="464"/>
        <item x="233"/>
        <item x="1693"/>
        <item x="1993"/>
        <item x="1584"/>
        <item x="667"/>
        <item x="379"/>
        <item x="1493"/>
        <item x="714"/>
        <item x="1486"/>
        <item x="1907"/>
        <item x="2448"/>
        <item x="870"/>
        <item x="1552"/>
        <item x="1942"/>
        <item x="1857"/>
        <item x="880"/>
        <item x="138"/>
        <item x="2325"/>
        <item x="2024"/>
        <item x="298"/>
        <item x="810"/>
        <item x="1040"/>
        <item x="1272"/>
        <item x="894"/>
        <item x="333"/>
        <item x="174"/>
        <item x="564"/>
        <item x="902"/>
        <item x="977"/>
        <item x="426"/>
        <item x="2065"/>
        <item x="443"/>
        <item x="1684"/>
        <item x="2492"/>
        <item x="1444"/>
        <item x="2174"/>
        <item x="1180"/>
        <item x="991"/>
        <item x="1438"/>
        <item x="1827"/>
        <item x="378"/>
        <item x="124"/>
        <item x="156"/>
        <item x="1487"/>
        <item x="1349"/>
        <item x="1018"/>
        <item x="2343"/>
        <item x="1680"/>
        <item x="2163"/>
        <item x="1409"/>
        <item x="2459"/>
        <item x="1516"/>
        <item x="1343"/>
        <item x="2279"/>
        <item x="491"/>
        <item x="59"/>
        <item x="1783"/>
        <item x="401"/>
        <item x="2294"/>
        <item x="2123"/>
        <item x="825"/>
        <item x="1181"/>
        <item x="207"/>
        <item x="137"/>
        <item x="2453"/>
        <item x="698"/>
        <item x="1398"/>
        <item x="2231"/>
        <item x="1230"/>
        <item x="654"/>
        <item x="1855"/>
        <item x="159"/>
        <item x="302"/>
        <item x="1151"/>
        <item x="2250"/>
        <item x="1084"/>
        <item x="91"/>
        <item x="1479"/>
        <item x="111"/>
        <item x="2259"/>
        <item x="1208"/>
        <item x="2076"/>
        <item x="64"/>
        <item x="723"/>
        <item x="278"/>
        <item x="1640"/>
        <item x="1594"/>
        <item x="1229"/>
        <item x="2105"/>
        <item x="1828"/>
        <item x="883"/>
        <item x="693"/>
        <item x="577"/>
        <item x="1990"/>
        <item x="27"/>
        <item x="1138"/>
        <item x="1128"/>
        <item x="308"/>
        <item x="1490"/>
        <item x="1363"/>
        <item x="1817"/>
        <item x="2107"/>
        <item x="638"/>
        <item x="1046"/>
        <item x="337"/>
        <item x="283"/>
        <item x="521"/>
        <item x="2234"/>
        <item x="1099"/>
        <item x="2412"/>
        <item x="903"/>
        <item x="607"/>
        <item x="346"/>
        <item x="1743"/>
        <item x="1421"/>
        <item x="2300"/>
        <item x="888"/>
        <item x="1527"/>
        <item x="176"/>
        <item x="1221"/>
        <item x="1972"/>
        <item x="1661"/>
        <item x="1327"/>
        <item x="330"/>
        <item x="1830"/>
        <item x="361"/>
        <item x="2307"/>
        <item x="1795"/>
        <item x="1249"/>
        <item x="2080"/>
        <item x="2316"/>
        <item x="1190"/>
        <item x="1383"/>
        <item x="694"/>
        <item x="1768"/>
        <item x="1039"/>
        <item x="1048"/>
        <item x="2431"/>
        <item x="569"/>
        <item x="2479"/>
        <item x="466"/>
        <item x="457"/>
        <item x="1839"/>
        <item x="1602"/>
        <item x="1957"/>
        <item x="1396"/>
        <item x="615"/>
        <item x="1893"/>
        <item x="2006"/>
        <item x="2196"/>
        <item x="835"/>
        <item x="2051"/>
        <item x="891"/>
        <item x="263"/>
        <item x="1447"/>
        <item x="984"/>
        <item x="2276"/>
        <item x="728"/>
        <item x="1412"/>
        <item x="2056"/>
        <item x="1021"/>
        <item x="1966"/>
        <item x="1492"/>
        <item x="2160"/>
        <item x="1078"/>
        <item x="467"/>
        <item x="1655"/>
        <item x="2442"/>
        <item x="1979"/>
        <item x="1885"/>
        <item x="184"/>
        <item x="1481"/>
        <item x="2001"/>
        <item x="2424"/>
        <item x="632"/>
        <item x="565"/>
        <item x="405"/>
        <item x="366"/>
        <item x="1565"/>
        <item x="310"/>
        <item x="1784"/>
        <item x="97"/>
        <item x="729"/>
        <item x="2158"/>
        <item x="497"/>
        <item x="1569"/>
        <item x="2513"/>
        <item x="2367"/>
        <item x="1491"/>
        <item x="777"/>
        <item x="1542"/>
        <item x="1237"/>
        <item x="16"/>
        <item x="1314"/>
        <item x="2385"/>
        <item x="1625"/>
        <item x="2133"/>
        <item x="544"/>
        <item x="412"/>
        <item x="456"/>
        <item x="402"/>
        <item x="1023"/>
        <item x="1212"/>
        <item x="100"/>
        <item x="2101"/>
        <item x="214"/>
        <item x="1892"/>
        <item x="655"/>
        <item x="788"/>
        <item x="386"/>
        <item x="938"/>
        <item x="1735"/>
        <item x="682"/>
        <item x="2287"/>
        <item x="952"/>
        <item x="320"/>
        <item x="1173"/>
        <item x="2084"/>
        <item x="3"/>
        <item x="572"/>
        <item x="232"/>
        <item x="1081"/>
        <item x="229"/>
        <item x="980"/>
        <item x="1526"/>
        <item x="1351"/>
        <item x="117"/>
        <item x="2182"/>
        <item x="2204"/>
        <item x="2286"/>
        <item x="275"/>
        <item x="146"/>
        <item x="1596"/>
        <item x="1935"/>
        <item x="517"/>
        <item x="1281"/>
        <item x="375"/>
        <item x="2480"/>
        <item x="782"/>
        <item x="88"/>
        <item x="823"/>
        <item x="1420"/>
        <item x="1590"/>
        <item x="1427"/>
        <item x="2407"/>
        <item x="1086"/>
        <item x="1734"/>
        <item x="2318"/>
        <item x="1560"/>
        <item x="1950"/>
        <item x="803"/>
        <item x="1603"/>
        <item x="906"/>
        <item x="2098"/>
        <item x="1994"/>
        <item x="344"/>
        <item x="1033"/>
        <item x="1330"/>
        <item x="1218"/>
        <item x="493"/>
        <item x="523"/>
        <item x="251"/>
        <item x="781"/>
        <item x="604"/>
        <item x="2239"/>
        <item x="1374"/>
        <item x="2348"/>
        <item x="669"/>
        <item x="2489"/>
        <item x="568"/>
        <item x="1710"/>
        <item x="2129"/>
        <item x="1064"/>
        <item x="2446"/>
        <item x="1706"/>
        <item x="132"/>
        <item x="1280"/>
        <item x="814"/>
        <item x="261"/>
        <item x="210"/>
        <item x="610"/>
        <item x="961"/>
        <item x="591"/>
        <item x="624"/>
        <item x="2039"/>
        <item x="2020"/>
        <item x="57"/>
        <item x="1869"/>
        <item x="2089"/>
        <item x="99"/>
        <item x="2008"/>
        <item x="2059"/>
        <item x="1246"/>
        <item x="1729"/>
        <item x="1618"/>
        <item x="2409"/>
        <item x="1818"/>
        <item x="809"/>
        <item x="1642"/>
        <item x="436"/>
        <item x="1202"/>
        <item x="762"/>
        <item x="2484"/>
        <item x="1700"/>
        <item x="2411"/>
        <item x="179"/>
        <item x="1736"/>
        <item x="1469"/>
        <item x="139"/>
        <item x="2244"/>
        <item x="940"/>
        <item x="1559"/>
        <item x="2485"/>
        <item x="1031"/>
        <item x="1122"/>
        <item x="155"/>
        <item x="2009"/>
        <item x="281"/>
        <item x="387"/>
        <item x="1879"/>
        <item x="1328"/>
        <item x="2311"/>
        <item x="280"/>
        <item x="1547"/>
        <item x="827"/>
        <item x="1130"/>
        <item x="1505"/>
        <item x="836"/>
        <item x="2150"/>
        <item x="806"/>
        <item x="1223"/>
        <item x="2277"/>
        <item x="530"/>
        <item x="922"/>
        <item x="639"/>
        <item x="745"/>
        <item x="1462"/>
        <item x="256"/>
        <item x="1637"/>
        <item x="1380"/>
        <item x="1161"/>
        <item x="1214"/>
        <item x="1028"/>
        <item x="509"/>
        <item x="622"/>
        <item x="969"/>
        <item x="2210"/>
        <item x="1868"/>
        <item x="1958"/>
        <item x="499"/>
        <item x="297"/>
        <item x="1098"/>
        <item x="360"/>
        <item x="996"/>
        <item x="437"/>
        <item x="356"/>
        <item x="2440"/>
        <item x="520"/>
        <item x="2369"/>
        <item x="1198"/>
        <item x="1643"/>
        <item x="911"/>
        <item x="1271"/>
        <item x="1816"/>
        <item x="546"/>
        <item x="1256"/>
        <item x="791"/>
        <item x="506"/>
        <item x="2050"/>
        <item x="1089"/>
        <item x="2152"/>
        <item x="702"/>
        <item x="2437"/>
        <item x="2377"/>
        <item x="193"/>
        <item x="2260"/>
        <item x="421"/>
        <item x="764"/>
        <item x="1771"/>
        <item x="1401"/>
        <item x="2472"/>
        <item x="2042"/>
        <item x="616"/>
        <item x="24"/>
        <item x="1393"/>
        <item x="338"/>
        <item x="1062"/>
        <item x="2149"/>
        <item x="1883"/>
        <item x="2094"/>
        <item x="1861"/>
        <item x="1293"/>
        <item x="838"/>
        <item x="2314"/>
        <item x="956"/>
        <item x="573"/>
        <item x="1116"/>
        <item x="1468"/>
        <item x="676"/>
        <item x="819"/>
        <item x="109"/>
        <item x="548"/>
        <item x="1617"/>
        <item x="1952"/>
        <item x="820"/>
        <item x="665"/>
        <item x="599"/>
        <item x="1698"/>
        <item x="2273"/>
        <item x="581"/>
        <item x="1717"/>
        <item x="1496"/>
        <item x="2113"/>
        <item x="322"/>
        <item x="2468"/>
        <item x="1392"/>
        <item x="1674"/>
        <item x="1986"/>
        <item x="1944"/>
        <item x="1307"/>
        <item x="2145"/>
        <item x="2116"/>
        <item x="49"/>
        <item x="549"/>
        <item x="1713"/>
        <item x="2408"/>
        <item x="699"/>
        <item x="1049"/>
        <item x="1683"/>
        <item x="673"/>
        <item x="1801"/>
        <item x="39"/>
        <item x="1973"/>
        <item x="1157"/>
        <item x="1624"/>
        <item x="2345"/>
        <item x="2121"/>
        <item x="1874"/>
        <item x="1238"/>
        <item x="765"/>
        <item x="374"/>
        <item x="1739"/>
        <item x="2363"/>
        <item x="87"/>
        <item x="1856"/>
        <item x="1095"/>
        <item x="1276"/>
        <item x="2497"/>
        <item x="1168"/>
        <item x="2414"/>
        <item x="430"/>
        <item x="930"/>
        <item x="1109"/>
        <item x="649"/>
        <item x="2068"/>
        <item x="920"/>
        <item x="2186"/>
        <item x="1105"/>
        <item x="967"/>
        <item x="1269"/>
        <item x="620"/>
        <item x="2110"/>
        <item x="1623"/>
        <item x="1877"/>
        <item x="277"/>
        <item x="1329"/>
        <item x="518"/>
        <item x="1129"/>
        <item x="2153"/>
        <item x="1687"/>
        <item x="481"/>
        <item x="108"/>
        <item x="732"/>
        <item x="617"/>
        <item x="490"/>
        <item x="2002"/>
        <item x="1297"/>
        <item x="2470"/>
        <item x="2106"/>
        <item x="162"/>
        <item x="1216"/>
        <item x="1898"/>
        <item x="1549"/>
        <item x="1332"/>
        <item x="1268"/>
        <item x="1311"/>
        <item x="1322"/>
        <item x="7"/>
        <item x="910"/>
        <item x="1758"/>
        <item x="553"/>
        <item x="2045"/>
        <item x="380"/>
        <item x="2070"/>
        <item x="1203"/>
        <item x="2401"/>
        <item x="1120"/>
        <item x="1875"/>
        <item x="134"/>
        <item x="54"/>
        <item x="434"/>
        <item x="289"/>
        <item x="1139"/>
        <item x="1884"/>
        <item x="590"/>
        <item x="625"/>
        <item x="234"/>
        <item x="863"/>
        <item x="1838"/>
        <item x="672"/>
        <item x="1323"/>
        <item x="431"/>
        <item x="270"/>
        <item x="1441"/>
        <item x="1123"/>
        <item x="2405"/>
        <item x="1591"/>
        <item x="856"/>
        <item x="2510"/>
        <item x="1408"/>
        <item x="2460"/>
        <item x="1927"/>
        <item x="363"/>
        <item x="2494"/>
        <item x="2308"/>
        <item x="2245"/>
        <item x="1964"/>
        <item x="1339"/>
        <item x="1346"/>
        <item x="2041"/>
        <item x="1206"/>
        <item x="2402"/>
        <item x="1022"/>
        <item x="1177"/>
        <item x="1426"/>
        <item x="2310"/>
        <item x="60"/>
        <item x="164"/>
        <item x="25"/>
        <item x="1775"/>
        <item x="1058"/>
        <item x="1786"/>
        <item x="1738"/>
        <item x="1845"/>
        <item x="2462"/>
        <item x="2083"/>
        <item x="1132"/>
        <item x="253"/>
        <item x="1171"/>
        <item x="1923"/>
        <item x="717"/>
        <item x="889"/>
        <item x="22"/>
        <item x="1250"/>
        <item x="1722"/>
        <item x="2138"/>
        <item x="1222"/>
        <item x="441"/>
        <item x="874"/>
        <item x="1895"/>
        <item x="1824"/>
        <item x="1342"/>
        <item x="2295"/>
        <item x="529"/>
        <item x="1832"/>
        <item x="1347"/>
        <item x="1309"/>
        <item x="826"/>
        <item x="813"/>
        <item x="1939"/>
        <item x="1025"/>
        <item x="211"/>
        <item x="1901"/>
        <item x="1537"/>
        <item x="2195"/>
        <item x="258"/>
        <item x="1585"/>
        <item x="983"/>
        <item x="1164"/>
        <item x="539"/>
        <item x="2180"/>
        <item x="1551"/>
        <item x="951"/>
        <item x="627"/>
        <item x="318"/>
        <item x="144"/>
        <item x="867"/>
        <item x="1530"/>
        <item x="96"/>
        <item x="2368"/>
        <item x="1010"/>
        <item x="1026"/>
        <item x="2165"/>
        <item x="1497"/>
        <item x="760"/>
        <item x="2073"/>
        <item x="1688"/>
        <item x="447"/>
        <item x="475"/>
        <item x="536"/>
        <item x="2505"/>
        <item x="332"/>
        <item x="2499"/>
        <item x="1557"/>
        <item x="2456"/>
        <item x="1414"/>
        <item x="85"/>
        <item x="1445"/>
        <item x="486"/>
        <item x="1422"/>
        <item x="1539"/>
        <item x="2296"/>
        <item x="812"/>
        <item x="170"/>
        <item x="1908"/>
        <item x="1041"/>
        <item x="2170"/>
        <item x="1790"/>
        <item x="2211"/>
        <item x="1780"/>
        <item x="1259"/>
        <item x="2207"/>
        <item x="2201"/>
        <item x="612"/>
        <item x="1054"/>
        <item x="1633"/>
        <item x="1350"/>
        <item x="364"/>
        <item x="871"/>
        <item x="1193"/>
        <item x="1475"/>
        <item x="720"/>
        <item x="1429"/>
        <item x="257"/>
        <item x="1306"/>
        <item x="284"/>
        <item x="1533"/>
        <item x="1489"/>
        <item x="2488"/>
        <item x="1822"/>
        <item x="2155"/>
        <item x="1792"/>
        <item x="1870"/>
        <item x="1733"/>
        <item x="1302"/>
        <item x="1651"/>
        <item x="1943"/>
        <item x="1563"/>
        <item x="2035"/>
        <item x="953"/>
        <item x="571"/>
        <item x="1011"/>
        <item x="2469"/>
        <item x="1953"/>
        <item x="2435"/>
        <item x="148"/>
        <item x="1766"/>
        <item x="924"/>
        <item x="1273"/>
        <item x="516"/>
        <item x="939"/>
        <item x="504"/>
        <item x="2125"/>
        <item x="2172"/>
        <item x="2232"/>
        <item x="1215"/>
        <item x="1671"/>
        <item x="1175"/>
        <item x="954"/>
        <item x="422"/>
        <item x="831"/>
        <item x="381"/>
        <item x="1726"/>
        <item x="2302"/>
        <item x="222"/>
        <item x="2109"/>
        <item x="1254"/>
        <item x="1386"/>
        <item x="1658"/>
        <item x="713"/>
        <item x="1769"/>
        <item x="976"/>
        <item x="1437"/>
        <item x="1765"/>
        <item x="2274"/>
        <item x="309"/>
        <item x="384"/>
        <item x="998"/>
        <item x="1451"/>
        <item x="683"/>
        <item x="1692"/>
        <item x="1727"/>
        <item x="1714"/>
        <item x="1512"/>
        <item x="1482"/>
        <item x="1587"/>
        <item x="2475"/>
        <item x="2399"/>
        <item x="2305"/>
        <item x="1387"/>
        <item x="1967"/>
        <item x="1841"/>
        <item x="1484"/>
        <item x="1111"/>
        <item x="312"/>
        <item x="342"/>
        <item x="2420"/>
        <item x="2373"/>
        <item x="1436"/>
        <item x="2141"/>
        <item x="2338"/>
        <item x="326"/>
        <item x="365"/>
        <item x="2192"/>
        <item x="2144"/>
        <item x="898"/>
        <item x="1799"/>
        <item x="1788"/>
        <item x="2491"/>
        <item x="1836"/>
        <item x="1876"/>
        <item x="2093"/>
        <item t="default"/>
      </items>
    </pivotField>
    <pivotField showAll="0"/>
    <pivotField axis="axisRow" showAll="0">
      <items count="6">
        <item x="4"/>
        <item x="0"/>
        <item x="2"/>
        <item x="1"/>
        <item x="3"/>
        <item t="default"/>
      </items>
    </pivotField>
    <pivotField numFmtId="1" showAll="0"/>
    <pivotField numFmtI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eview_id" fld="0" subtotal="count" baseField="9" baseItem="0"/>
    <dataField name="Average of Rating" fld="6" subtotal="average" baseField="9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9D33E1-62F6-4393-9669-11CD94EDC11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8:C50" firstHeaderRow="0" firstDataRow="1" firstDataCol="1"/>
  <pivotFields count="19">
    <pivotField dataField="1" showAll="0"/>
    <pivotField numFmtId="1" showAll="0"/>
    <pivotField axis="axisRow" showAll="0">
      <items count="42">
        <item x="10"/>
        <item x="34"/>
        <item x="30"/>
        <item x="19"/>
        <item x="32"/>
        <item x="6"/>
        <item x="9"/>
        <item x="25"/>
        <item x="8"/>
        <item x="22"/>
        <item x="12"/>
        <item x="15"/>
        <item x="4"/>
        <item x="18"/>
        <item x="35"/>
        <item x="26"/>
        <item x="13"/>
        <item x="16"/>
        <item x="36"/>
        <item x="7"/>
        <item x="0"/>
        <item x="2"/>
        <item x="28"/>
        <item x="17"/>
        <item x="31"/>
        <item x="21"/>
        <item x="5"/>
        <item x="14"/>
        <item x="27"/>
        <item x="37"/>
        <item x="40"/>
        <item x="1"/>
        <item x="39"/>
        <item x="33"/>
        <item x="11"/>
        <item x="3"/>
        <item x="29"/>
        <item x="24"/>
        <item x="38"/>
        <item x="23"/>
        <item x="20"/>
        <item t="default"/>
      </items>
    </pivotField>
    <pivotField showAll="0"/>
    <pivotField showAll="0"/>
    <pivotField showAll="0">
      <items count="25">
        <item x="13"/>
        <item x="14"/>
        <item x="6"/>
        <item x="11"/>
        <item x="23"/>
        <item x="4"/>
        <item x="21"/>
        <item x="9"/>
        <item x="22"/>
        <item x="12"/>
        <item x="15"/>
        <item x="10"/>
        <item x="7"/>
        <item x="17"/>
        <item x="8"/>
        <item x="0"/>
        <item x="16"/>
        <item x="19"/>
        <item x="1"/>
        <item x="2"/>
        <item x="18"/>
        <item x="5"/>
        <item x="20"/>
        <item x="3"/>
        <item t="default"/>
      </items>
    </pivotField>
    <pivotField dataField="1" numFmtId="164" showAll="0">
      <items count="7">
        <item x="0"/>
        <item x="1"/>
        <item x="2"/>
        <item x="3"/>
        <item x="4"/>
        <item x="5"/>
        <item t="default"/>
      </items>
    </pivotField>
    <pivotField numFmtId="22" showAll="0">
      <items count="2515">
        <item x="2075"/>
        <item x="150"/>
        <item x="718"/>
        <item x="1267"/>
        <item x="1252"/>
        <item x="1052"/>
        <item x="2376"/>
        <item x="2501"/>
        <item x="2320"/>
        <item x="646"/>
        <item x="593"/>
        <item x="1654"/>
        <item x="1719"/>
        <item x="1145"/>
        <item x="2347"/>
        <item x="681"/>
        <item x="1992"/>
        <item x="1260"/>
        <item x="670"/>
        <item x="1634"/>
        <item x="51"/>
        <item x="1290"/>
        <item x="2406"/>
        <item x="808"/>
        <item x="789"/>
        <item x="2048"/>
        <item x="747"/>
        <item x="2381"/>
        <item x="1676"/>
        <item x="2331"/>
        <item x="2423"/>
        <item x="687"/>
        <item x="525"/>
        <item x="839"/>
        <item x="1961"/>
        <item x="377"/>
        <item x="500"/>
        <item x="1369"/>
        <item x="460"/>
        <item x="909"/>
        <item x="1285"/>
        <item x="2119"/>
        <item x="1566"/>
        <item x="2085"/>
        <item x="1507"/>
        <item x="1488"/>
        <item x="595"/>
        <item x="121"/>
        <item x="2306"/>
        <item x="1365"/>
        <item x="957"/>
        <item x="1014"/>
        <item x="2217"/>
        <item x="1375"/>
        <item x="1513"/>
        <item x="2466"/>
        <item x="1195"/>
        <item x="2288"/>
        <item x="2191"/>
        <item x="1867"/>
        <item x="531"/>
        <item x="2354"/>
        <item x="2120"/>
        <item x="1189"/>
        <item x="226"/>
        <item x="1305"/>
        <item x="935"/>
        <item x="407"/>
        <item x="859"/>
        <item x="2387"/>
        <item x="294"/>
        <item x="1965"/>
        <item x="2352"/>
        <item x="1581"/>
        <item x="674"/>
        <item x="1881"/>
        <item x="1749"/>
        <item x="1317"/>
        <item x="182"/>
        <item x="2185"/>
        <item x="1407"/>
        <item x="1470"/>
        <item x="205"/>
        <item x="2115"/>
        <item x="1335"/>
        <item x="1949"/>
        <item x="2161"/>
        <item x="1141"/>
        <item x="1158"/>
        <item x="1243"/>
        <item x="206"/>
        <item x="873"/>
        <item x="1403"/>
        <item x="1217"/>
        <item x="2140"/>
        <item x="574"/>
        <item x="815"/>
        <item x="1005"/>
        <item x="347"/>
        <item x="1575"/>
        <item x="1066"/>
        <item x="634"/>
        <item x="2430"/>
        <item x="1258"/>
        <item x="561"/>
        <item x="252"/>
        <item x="675"/>
        <item x="1608"/>
        <item x="1511"/>
        <item x="563"/>
        <item x="1463"/>
        <item x="2357"/>
        <item x="2221"/>
        <item x="1716"/>
        <item x="841"/>
        <item x="1204"/>
        <item x="1065"/>
        <item x="2502"/>
        <item x="985"/>
        <item x="997"/>
        <item x="158"/>
        <item x="265"/>
        <item x="1303"/>
        <item x="1912"/>
        <item x="1372"/>
        <item x="1955"/>
        <item x="2465"/>
        <item x="1356"/>
        <item x="406"/>
        <item x="1809"/>
        <item x="1577"/>
        <item x="2169"/>
        <item x="296"/>
        <item x="1578"/>
        <item x="641"/>
        <item x="628"/>
        <item x="2034"/>
        <item x="349"/>
        <item x="2071"/>
        <item x="2496"/>
        <item x="1135"/>
        <item x="189"/>
        <item x="2202"/>
        <item x="2427"/>
        <item x="128"/>
        <item x="963"/>
        <item x="1508"/>
        <item x="1518"/>
        <item x="1453"/>
        <item x="1057"/>
        <item x="1695"/>
        <item x="1718"/>
        <item x="840"/>
        <item x="749"/>
        <item x="2379"/>
        <item x="123"/>
        <item x="1740"/>
        <item x="472"/>
        <item x="8"/>
        <item x="801"/>
        <item x="2027"/>
        <item x="1292"/>
        <item x="1337"/>
        <item x="1498"/>
        <item x="373"/>
        <item x="2078"/>
        <item x="1006"/>
        <item x="1797"/>
        <item x="1102"/>
        <item x="484"/>
        <item x="1377"/>
        <item x="202"/>
        <item x="1283"/>
        <item x="1087"/>
        <item x="94"/>
        <item x="1612"/>
        <item x="990"/>
        <item x="1871"/>
        <item x="31"/>
        <item x="1804"/>
        <item x="505"/>
        <item x="2237"/>
        <item x="2450"/>
        <item x="1308"/>
        <item x="2147"/>
        <item x="2434"/>
        <item x="2178"/>
        <item x="1055"/>
        <item x="462"/>
        <item x="743"/>
        <item x="191"/>
        <item x="2500"/>
        <item x="2339"/>
        <item x="1673"/>
        <item x="1219"/>
        <item x="2176"/>
        <item x="1385"/>
        <item x="2328"/>
        <item x="1947"/>
        <item x="220"/>
        <item x="740"/>
        <item x="1664"/>
        <item x="2166"/>
        <item x="1357"/>
        <item x="172"/>
        <item x="1776"/>
        <item x="37"/>
        <item x="106"/>
        <item x="2471"/>
        <item x="1650"/>
        <item x="1471"/>
        <item x="1619"/>
        <item x="272"/>
        <item x="463"/>
        <item x="2454"/>
        <item x="881"/>
        <item x="1027"/>
        <item x="1989"/>
        <item x="2444"/>
        <item x="668"/>
        <item x="1360"/>
        <item x="271"/>
        <item x="1682"/>
        <item x="1645"/>
        <item x="959"/>
        <item x="1576"/>
        <item x="845"/>
        <item x="688"/>
        <item x="23"/>
        <item x="389"/>
        <item x="545"/>
        <item x="709"/>
        <item x="1772"/>
        <item x="455"/>
        <item x="551"/>
        <item x="1133"/>
        <item x="1137"/>
        <item x="1593"/>
        <item x="955"/>
        <item x="850"/>
        <item x="1239"/>
        <item x="901"/>
        <item x="1166"/>
        <item x="236"/>
        <item x="896"/>
        <item x="1425"/>
        <item x="950"/>
        <item x="696"/>
        <item x="1071"/>
        <item x="1514"/>
        <item x="537"/>
        <item x="904"/>
        <item x="1572"/>
        <item x="485"/>
        <item x="248"/>
        <item x="1592"/>
        <item x="1154"/>
        <item x="498"/>
        <item x="2336"/>
        <item x="201"/>
        <item x="2136"/>
        <item x="779"/>
        <item x="1886"/>
        <item x="1060"/>
        <item x="1068"/>
        <item x="1394"/>
        <item x="1983"/>
        <item x="1997"/>
        <item x="1589"/>
        <item x="38"/>
        <item x="566"/>
        <item x="2164"/>
        <item x="1240"/>
        <item x="2361"/>
        <item x="1461"/>
        <item x="1626"/>
        <item x="2142"/>
        <item x="1093"/>
        <item x="1580"/>
        <item x="107"/>
        <item x="1449"/>
        <item x="1878"/>
        <item x="125"/>
        <item x="633"/>
        <item x="1659"/>
        <item x="390"/>
        <item x="971"/>
        <item x="482"/>
        <item x="2156"/>
        <item x="532"/>
        <item x="1418"/>
        <item x="403"/>
        <item x="2249"/>
        <item x="1815"/>
        <item x="1432"/>
        <item x="877"/>
        <item x="643"/>
        <item x="1648"/>
        <item x="2390"/>
        <item x="1277"/>
        <item x="1573"/>
        <item x="918"/>
        <item x="1601"/>
        <item x="1544"/>
        <item x="1400"/>
        <item x="1647"/>
        <item x="1261"/>
        <item x="1694"/>
        <item x="1007"/>
        <item x="17"/>
        <item x="1063"/>
        <item x="20"/>
        <item x="1110"/>
        <item x="854"/>
        <item x="1711"/>
        <item x="804"/>
        <item x="897"/>
        <item x="129"/>
        <item x="2436"/>
        <item x="1607"/>
        <item x="1745"/>
        <item x="141"/>
        <item x="1300"/>
        <item x="2177"/>
        <item x="1852"/>
        <item x="1152"/>
        <item x="2350"/>
        <item x="2146"/>
        <item x="425"/>
        <item x="936"/>
        <item x="276"/>
        <item x="424"/>
        <item x="1231"/>
        <item x="1556"/>
        <item x="1641"/>
        <item x="656"/>
        <item x="468"/>
        <item x="2189"/>
        <item x="807"/>
        <item x="115"/>
        <item x="1200"/>
        <item x="30"/>
        <item x="2356"/>
        <item x="770"/>
        <item x="2481"/>
        <item x="1666"/>
        <item x="602"/>
        <item x="2428"/>
        <item x="1434"/>
        <item x="1153"/>
        <item x="2281"/>
        <item x="2054"/>
        <item x="190"/>
        <item x="1287"/>
        <item x="2061"/>
        <item x="122"/>
        <item x="195"/>
        <item x="1528"/>
        <item x="2255"/>
        <item x="1088"/>
        <item x="2280"/>
        <item x="2175"/>
        <item x="244"/>
        <item x="1866"/>
        <item x="1160"/>
        <item x="2418"/>
        <item x="501"/>
        <item x="53"/>
        <item x="1504"/>
        <item x="1982"/>
        <item x="1030"/>
        <item x="461"/>
        <item x="1545"/>
        <item x="2226"/>
        <item x="619"/>
        <item x="2128"/>
        <item x="264"/>
        <item x="882"/>
        <item x="899"/>
        <item x="1358"/>
        <item x="793"/>
        <item x="1905"/>
        <item x="249"/>
        <item x="1954"/>
        <item x="89"/>
        <item x="2351"/>
        <item x="429"/>
        <item x="2079"/>
        <item x="642"/>
        <item x="325"/>
        <item x="2251"/>
        <item x="2283"/>
        <item x="1701"/>
        <item x="2242"/>
        <item x="10"/>
        <item x="1050"/>
        <item x="2394"/>
        <item x="757"/>
        <item x="227"/>
        <item x="2213"/>
        <item x="1808"/>
        <item x="2509"/>
        <item x="1035"/>
        <item x="200"/>
        <item x="1455"/>
        <item x="1167"/>
        <item x="988"/>
        <item x="2400"/>
        <item x="1567"/>
        <item x="480"/>
        <item x="235"/>
        <item x="1843"/>
        <item x="2433"/>
        <item x="2062"/>
        <item x="876"/>
        <item x="1080"/>
        <item x="1746"/>
        <item x="2493"/>
        <item x="833"/>
        <item x="44"/>
        <item x="1724"/>
        <item x="926"/>
        <item x="1506"/>
        <item x="2173"/>
        <item x="1880"/>
        <item x="1207"/>
        <item x="2451"/>
        <item x="1127"/>
        <item x="999"/>
        <item x="18"/>
        <item x="2512"/>
        <item x="1341"/>
        <item x="662"/>
        <item x="2303"/>
        <item x="1419"/>
        <item x="2193"/>
        <item x="2388"/>
        <item x="1015"/>
        <item x="2478"/>
        <item x="775"/>
        <item x="255"/>
        <item x="1931"/>
        <item x="2315"/>
        <item x="1274"/>
        <item x="286"/>
        <item x="435"/>
        <item x="528"/>
        <item x="428"/>
        <item x="473"/>
        <item x="778"/>
        <item x="1205"/>
        <item x="393"/>
        <item x="1705"/>
        <item x="2396"/>
        <item x="2476"/>
        <item x="2218"/>
        <item x="2052"/>
        <item x="533"/>
        <item x="1417"/>
        <item x="711"/>
        <item x="1478"/>
        <item x="2159"/>
        <item x="228"/>
        <item x="2389"/>
        <item x="2344"/>
        <item x="194"/>
        <item x="1761"/>
        <item x="772"/>
        <item x="1197"/>
        <item x="2043"/>
        <item x="1034"/>
        <item x="1265"/>
        <item x="178"/>
        <item x="112"/>
        <item x="2486"/>
        <item x="1397"/>
        <item x="230"/>
        <item x="395"/>
        <item x="1909"/>
        <item x="2017"/>
        <item x="514"/>
        <item x="1844"/>
        <item x="1140"/>
        <item x="1101"/>
        <item x="1075"/>
        <item x="1974"/>
        <item x="623"/>
        <item x="1517"/>
        <item x="2215"/>
        <item x="524"/>
        <item x="1971"/>
        <item x="884"/>
        <item x="1616"/>
        <item x="973"/>
        <item x="1176"/>
        <item x="1074"/>
        <item x="1932"/>
        <item x="2457"/>
        <item x="540"/>
        <item x="1510"/>
        <item x="414"/>
        <item x="1930"/>
        <item x="752"/>
        <item x="152"/>
        <item x="796"/>
        <item x="570"/>
        <item x="792"/>
        <item x="2236"/>
        <item x="291"/>
        <item x="893"/>
        <item x="534"/>
        <item x="1534"/>
        <item x="932"/>
        <item x="852"/>
        <item x="1321"/>
        <item x="1179"/>
        <item x="2036"/>
        <item x="2044"/>
        <item x="1679"/>
        <item x="1255"/>
        <item x="118"/>
        <item x="1310"/>
        <item x="2219"/>
        <item x="1525"/>
        <item x="886"/>
        <item x="2018"/>
        <item x="119"/>
        <item x="1388"/>
        <item x="81"/>
        <item x="2199"/>
        <item x="1821"/>
        <item x="1631"/>
        <item x="846"/>
        <item x="2010"/>
        <item x="415"/>
        <item x="1669"/>
        <item x="2012"/>
        <item x="2104"/>
        <item x="101"/>
        <item x="594"/>
        <item x="1163"/>
        <item x="651"/>
        <item x="2291"/>
        <item x="2298"/>
        <item x="1754"/>
        <item x="1295"/>
        <item x="1402"/>
        <item x="611"/>
        <item x="1094"/>
        <item x="311"/>
        <item x="1004"/>
        <item x="748"/>
        <item x="908"/>
        <item x="1562"/>
        <item x="1813"/>
        <item x="1748"/>
        <item x="1864"/>
        <item x="1464"/>
        <item x="2299"/>
        <item x="2413"/>
        <item x="1536"/>
        <item x="1976"/>
        <item x="192"/>
        <item x="1926"/>
        <item x="2077"/>
        <item x="2292"/>
        <item x="2327"/>
        <item x="1194"/>
        <item x="1331"/>
        <item x="2049"/>
        <item x="55"/>
        <item x="1564"/>
        <item x="1794"/>
        <item x="671"/>
        <item x="2463"/>
        <item x="1984"/>
        <item x="382"/>
        <item x="986"/>
        <item x="26"/>
        <item x="1629"/>
        <item x="1519"/>
        <item x="1606"/>
        <item x="1072"/>
        <item x="1615"/>
        <item x="1227"/>
        <item x="411"/>
        <item x="1859"/>
        <item x="5"/>
        <item x="1364"/>
        <item x="1902"/>
        <item x="362"/>
        <item x="797"/>
        <item x="1495"/>
        <item x="45"/>
        <item x="2397"/>
        <item x="104"/>
        <item x="1446"/>
        <item x="978"/>
        <item x="1849"/>
        <item x="335"/>
        <item x="1009"/>
        <item x="686"/>
        <item x="1367"/>
        <item x="2087"/>
        <item x="61"/>
        <item x="63"/>
        <item x="1835"/>
        <item x="2126"/>
        <item x="279"/>
        <item x="1554"/>
        <item x="1782"/>
        <item x="355"/>
        <item x="2326"/>
        <item x="1077"/>
        <item x="2441"/>
        <item x="1678"/>
        <item x="1324"/>
        <item x="1807"/>
        <item x="167"/>
        <item x="2031"/>
        <item x="1319"/>
        <item x="2241"/>
        <item x="1704"/>
        <item x="476"/>
        <item x="2021"/>
        <item x="1316"/>
        <item x="2384"/>
        <item x="1793"/>
        <item x="1184"/>
        <item x="2233"/>
        <item x="2188"/>
        <item x="1318"/>
        <item x="1257"/>
        <item x="1981"/>
        <item x="1143"/>
        <item x="1796"/>
        <item x="547"/>
        <item x="274"/>
        <item x="1941"/>
        <item x="489"/>
        <item x="753"/>
        <item x="912"/>
        <item x="483"/>
        <item x="102"/>
        <item x="946"/>
        <item x="48"/>
        <item x="21"/>
        <item x="1162"/>
        <item x="1104"/>
        <item x="1457"/>
        <item x="630"/>
        <item x="1416"/>
        <item x="1224"/>
        <item x="1777"/>
        <item x="2086"/>
        <item x="855"/>
        <item x="1823"/>
        <item x="706"/>
        <item x="1887"/>
        <item x="1991"/>
        <item x="1382"/>
        <item x="1456"/>
        <item x="1210"/>
        <item x="2117"/>
        <item x="2419"/>
        <item x="2333"/>
        <item x="1304"/>
        <item x="847"/>
        <item x="1244"/>
        <item x="304"/>
        <item x="11"/>
        <item x="1851"/>
        <item x="459"/>
        <item x="2278"/>
        <item x="526"/>
        <item x="1494"/>
        <item x="2025"/>
        <item x="1320"/>
        <item x="449"/>
        <item x="763"/>
        <item x="1721"/>
        <item x="2372"/>
        <item x="1355"/>
        <item x="2342"/>
        <item x="268"/>
        <item x="974"/>
        <item x="474"/>
        <item x="169"/>
        <item x="2033"/>
        <item x="964"/>
        <item x="2134"/>
        <item x="722"/>
        <item x="1595"/>
        <item x="1805"/>
        <item x="708"/>
        <item x="404"/>
        <item x="1806"/>
        <item x="767"/>
        <item x="2398"/>
        <item x="495"/>
        <item x="371"/>
        <item x="327"/>
        <item x="738"/>
        <item x="1391"/>
        <item x="331"/>
        <item x="1134"/>
        <item x="1649"/>
        <item x="416"/>
        <item x="1903"/>
        <item x="469"/>
        <item x="731"/>
        <item x="541"/>
        <item x="542"/>
        <item x="559"/>
        <item x="2504"/>
        <item x="160"/>
        <item x="41"/>
        <item x="1696"/>
        <item x="848"/>
        <item x="1918"/>
        <item x="1689"/>
        <item x="1978"/>
        <item x="290"/>
        <item x="1546"/>
        <item x="1891"/>
        <item x="1165"/>
        <item x="145"/>
        <item x="2425"/>
        <item x="755"/>
        <item x="1538"/>
        <item x="1059"/>
        <item x="2004"/>
        <item x="795"/>
        <item x="1975"/>
        <item x="1910"/>
        <item x="1361"/>
        <item x="448"/>
        <item x="1913"/>
        <item x="1675"/>
        <item x="2015"/>
        <item x="734"/>
        <item x="2028"/>
        <item x="440"/>
        <item x="2380"/>
        <item x="2005"/>
        <item x="1114"/>
        <item x="1764"/>
        <item x="113"/>
        <item x="1791"/>
        <item x="1520"/>
        <item x="868"/>
        <item x="1476"/>
        <item x="944"/>
        <item x="608"/>
        <item x="1148"/>
        <item x="367"/>
        <item x="216"/>
        <item x="1980"/>
        <item x="2383"/>
        <item x="1155"/>
        <item x="126"/>
        <item x="733"/>
        <item x="269"/>
        <item x="2312"/>
        <item x="652"/>
        <item x="343"/>
        <item x="921"/>
        <item x="313"/>
        <item x="1096"/>
        <item x="203"/>
        <item x="2187"/>
        <item x="136"/>
        <item x="1248"/>
        <item x="1985"/>
        <item x="225"/>
        <item x="2209"/>
        <item x="1755"/>
        <item x="1583"/>
        <item x="307"/>
        <item x="600"/>
        <item x="1858"/>
        <item x="135"/>
        <item x="396"/>
        <item x="479"/>
        <item x="1348"/>
        <item x="864"/>
        <item x="2275"/>
        <item x="250"/>
        <item x="1550"/>
        <item x="1097"/>
        <item x="1460"/>
        <item x="305"/>
        <item x="2030"/>
        <item x="52"/>
        <item x="1751"/>
        <item x="1934"/>
        <item x="587"/>
        <item x="567"/>
        <item x="352"/>
        <item x="1742"/>
        <item x="1037"/>
        <item x="830"/>
        <item x="2349"/>
        <item x="2455"/>
        <item x="1458"/>
        <item x="1963"/>
        <item x="875"/>
        <item x="76"/>
        <item x="1523"/>
        <item x="1707"/>
        <item x="1232"/>
        <item x="858"/>
        <item x="598"/>
        <item x="588"/>
        <item x="1940"/>
        <item x="1043"/>
        <item x="494"/>
        <item x="369"/>
        <item x="245"/>
        <item x="787"/>
        <item x="465"/>
        <item x="2422"/>
        <item x="153"/>
        <item x="1289"/>
        <item x="798"/>
        <item x="1660"/>
        <item x="1076"/>
        <item x="596"/>
        <item x="692"/>
        <item x="2262"/>
        <item x="776"/>
        <item x="1172"/>
        <item x="1220"/>
        <item x="116"/>
        <item x="266"/>
        <item x="631"/>
        <item x="46"/>
        <item x="679"/>
        <item x="1605"/>
        <item x="1842"/>
        <item x="1668"/>
        <item x="492"/>
        <item x="1638"/>
        <item x="1106"/>
        <item x="1853"/>
        <item x="1959"/>
        <item x="1561"/>
        <item x="550"/>
        <item x="2271"/>
        <item x="1610"/>
        <item x="2235"/>
        <item x="1024"/>
        <item x="513"/>
        <item x="2074"/>
        <item x="2037"/>
        <item x="1677"/>
        <item x="444"/>
        <item x="2053"/>
        <item x="1904"/>
        <item x="849"/>
        <item x="1440"/>
        <item x="900"/>
        <item x="2112"/>
        <item x="19"/>
        <item x="805"/>
        <item x="1540"/>
        <item x="1502"/>
        <item x="1159"/>
        <item x="751"/>
        <item x="2321"/>
        <item x="1334"/>
        <item x="70"/>
        <item x="177"/>
        <item x="1945"/>
        <item x="2179"/>
        <item x="949"/>
        <item x="323"/>
        <item x="183"/>
        <item x="329"/>
        <item x="800"/>
        <item x="689"/>
        <item x="408"/>
        <item x="917"/>
        <item x="1579"/>
        <item x="519"/>
        <item x="2132"/>
        <item x="592"/>
        <item x="1917"/>
        <item x="2032"/>
        <item x="2506"/>
        <item x="1270"/>
        <item x="968"/>
        <item x="1298"/>
        <item x="2184"/>
        <item x="1929"/>
        <item x="1829"/>
        <item x="1672"/>
        <item x="2203"/>
        <item x="1969"/>
        <item x="2198"/>
        <item x="923"/>
        <item x="2208"/>
        <item x="2452"/>
        <item x="1763"/>
        <item x="4"/>
        <item x="1773"/>
        <item x="1278"/>
        <item x="869"/>
        <item x="2370"/>
        <item x="1652"/>
        <item x="648"/>
        <item x="1404"/>
        <item x="857"/>
        <item x="1191"/>
        <item x="512"/>
        <item x="769"/>
        <item x="966"/>
        <item x="306"/>
        <item x="215"/>
        <item x="650"/>
        <item x="1781"/>
        <item x="1531"/>
        <item x="1854"/>
        <item x="2040"/>
        <item x="1233"/>
        <item x="1759"/>
        <item x="1599"/>
        <item x="62"/>
        <item x="1787"/>
        <item x="1810"/>
        <item x="1900"/>
        <item x="527"/>
        <item x="1632"/>
        <item x="438"/>
        <item x="2332"/>
        <item x="972"/>
        <item x="2100"/>
        <item x="1762"/>
        <item x="1691"/>
        <item x="420"/>
        <item x="1465"/>
        <item x="1663"/>
        <item x="2095"/>
        <item x="2421"/>
        <item x="746"/>
        <item x="735"/>
        <item x="2386"/>
        <item x="2108"/>
        <item x="391"/>
        <item x="1826"/>
        <item x="1452"/>
        <item x="2269"/>
        <item x="783"/>
        <item x="1196"/>
        <item x="2285"/>
        <item x="1555"/>
        <item x="1045"/>
        <item x="2330"/>
        <item x="1730"/>
        <item x="1299"/>
        <item x="824"/>
        <item x="659"/>
        <item x="1362"/>
        <item x="2151"/>
        <item x="2046"/>
        <item x="1524"/>
        <item x="120"/>
        <item x="282"/>
        <item x="818"/>
        <item x="1405"/>
        <item x="14"/>
        <item x="1448"/>
        <item x="1951"/>
        <item x="2064"/>
        <item x="1574"/>
        <item x="2266"/>
        <item x="240"/>
        <item x="66"/>
        <item x="1103"/>
        <item x="1499"/>
        <item x="2148"/>
        <item x="1073"/>
        <item x="2353"/>
        <item x="2224"/>
        <item x="433"/>
        <item x="334"/>
        <item x="453"/>
        <item x="1131"/>
        <item x="2304"/>
        <item x="1389"/>
        <item x="1410"/>
        <item x="1352"/>
        <item x="1558"/>
        <item x="209"/>
        <item x="1814"/>
        <item x="811"/>
        <item x="2417"/>
        <item x="1665"/>
        <item x="2317"/>
        <item x="502"/>
        <item x="1889"/>
        <item x="345"/>
        <item x="2066"/>
        <item x="1922"/>
        <item x="1333"/>
        <item x="2026"/>
        <item x="603"/>
        <item x="929"/>
        <item x="105"/>
        <item x="1242"/>
        <item x="2091"/>
        <item x="1767"/>
        <item x="1450"/>
        <item x="1543"/>
        <item x="6"/>
        <item x="919"/>
        <item x="40"/>
        <item x="2003"/>
        <item x="163"/>
        <item x="218"/>
        <item x="1384"/>
        <item x="802"/>
        <item x="1968"/>
        <item x="510"/>
        <item x="454"/>
        <item x="157"/>
        <item x="90"/>
        <item x="597"/>
        <item x="1459"/>
        <item x="2263"/>
        <item x="237"/>
        <item x="2162"/>
        <item x="1047"/>
        <item x="1001"/>
        <item x="892"/>
        <item x="241"/>
        <item x="538"/>
        <item x="2181"/>
        <item x="2341"/>
        <item x="359"/>
        <item x="2197"/>
        <item x="861"/>
        <item x="1338"/>
        <item x="95"/>
        <item x="2072"/>
        <item x="2171"/>
        <item x="1760"/>
        <item x="1750"/>
        <item x="2301"/>
        <item x="2366"/>
        <item x="1344"/>
        <item x="1439"/>
        <item x="1156"/>
        <item x="2364"/>
        <item x="684"/>
        <item x="552"/>
        <item x="726"/>
        <item x="535"/>
        <item x="1142"/>
        <item x="2103"/>
        <item x="267"/>
        <item x="1725"/>
        <item x="2416"/>
        <item x="2246"/>
        <item x="1995"/>
        <item x="834"/>
        <item x="1535"/>
        <item x="478"/>
        <item x="1604"/>
        <item x="828"/>
        <item x="1406"/>
        <item x="1368"/>
        <item x="350"/>
        <item x="1670"/>
        <item x="442"/>
        <item x="562"/>
        <item x="1890"/>
        <item x="496"/>
        <item x="224"/>
        <item x="2507"/>
        <item x="1038"/>
        <item x="774"/>
        <item x="736"/>
        <item x="2503"/>
        <item x="75"/>
        <item x="1473"/>
        <item x="2013"/>
        <item x="2225"/>
        <item x="1515"/>
        <item x="677"/>
        <item x="887"/>
        <item x="2022"/>
        <item x="1921"/>
        <item x="2403"/>
        <item x="1662"/>
        <item x="1354"/>
        <item x="914"/>
        <item x="1732"/>
        <item x="1373"/>
        <item x="2511"/>
        <item x="970"/>
        <item x="1241"/>
        <item x="213"/>
        <item x="556"/>
        <item x="92"/>
        <item x="259"/>
        <item x="1345"/>
        <item x="822"/>
        <item x="2212"/>
        <item x="1209"/>
        <item x="2461"/>
        <item x="621"/>
        <item x="1053"/>
        <item x="1012"/>
        <item x="1008"/>
        <item x="606"/>
        <item x="185"/>
        <item x="1"/>
        <item x="1850"/>
        <item x="2243"/>
        <item x="72"/>
        <item x="1936"/>
        <item x="1500"/>
        <item x="1928"/>
        <item x="759"/>
        <item x="1213"/>
        <item x="1294"/>
        <item x="1962"/>
        <item x="1091"/>
        <item x="1970"/>
        <item x="42"/>
        <item x="851"/>
        <item x="1571"/>
        <item x="340"/>
        <item x="1247"/>
        <item x="1113"/>
        <item x="578"/>
        <item x="1800"/>
        <item x="1483"/>
        <item x="212"/>
        <item x="1226"/>
        <item x="1906"/>
        <item x="1894"/>
        <item x="1017"/>
        <item x="2082"/>
        <item x="84"/>
        <item x="1731"/>
        <item x="1169"/>
        <item x="1702"/>
        <item x="1284"/>
        <item x="691"/>
        <item x="13"/>
        <item x="98"/>
        <item x="458"/>
        <item x="1509"/>
        <item x="77"/>
        <item x="1083"/>
        <item x="1833"/>
        <item x="1199"/>
        <item x="217"/>
        <item x="1085"/>
        <item x="1712"/>
        <item x="1521"/>
        <item x="2194"/>
        <item x="1340"/>
        <item x="756"/>
        <item x="2429"/>
        <item x="110"/>
        <item x="1178"/>
        <item x="168"/>
        <item x="2047"/>
        <item x="2247"/>
        <item x="488"/>
        <item x="730"/>
        <item x="1622"/>
        <item x="1657"/>
        <item x="221"/>
        <item x="1639"/>
        <item x="143"/>
        <item x="29"/>
        <item x="2029"/>
        <item x="1933"/>
        <item x="1803"/>
        <item x="1301"/>
        <item x="127"/>
        <item x="2214"/>
        <item x="1820"/>
        <item x="2011"/>
        <item x="1919"/>
        <item x="1802"/>
        <item x="1315"/>
        <item x="2096"/>
        <item x="1541"/>
        <item x="328"/>
        <item x="2257"/>
        <item x="1588"/>
        <item x="1862"/>
        <item x="1188"/>
        <item x="1376"/>
        <item x="1620"/>
        <item x="766"/>
        <item x="86"/>
        <item x="993"/>
        <item x="644"/>
        <item x="133"/>
        <item x="2335"/>
        <item x="1614"/>
        <item x="199"/>
        <item x="2329"/>
        <item x="1708"/>
        <item x="2057"/>
        <item x="1100"/>
        <item x="1840"/>
        <item x="208"/>
        <item x="1686"/>
        <item x="2334"/>
        <item x="187"/>
        <item x="2378"/>
        <item x="471"/>
        <item x="80"/>
        <item x="613"/>
        <item x="1442"/>
        <item x="589"/>
        <item x="1002"/>
        <item x="554"/>
        <item x="2097"/>
        <item x="987"/>
        <item x="1370"/>
        <item x="579"/>
        <item x="1061"/>
        <item x="741"/>
        <item x="945"/>
        <item x="151"/>
        <item x="409"/>
        <item x="1598"/>
        <item x="2374"/>
        <item x="2340"/>
        <item x="895"/>
        <item x="799"/>
        <item x="773"/>
        <item x="231"/>
        <item x="995"/>
        <item x="614"/>
        <item x="695"/>
        <item x="78"/>
        <item x="2482"/>
        <item x="2309"/>
        <item x="1715"/>
        <item x="580"/>
        <item x="933"/>
        <item x="1656"/>
        <item x="784"/>
        <item x="319"/>
        <item x="962"/>
        <item x="1568"/>
        <item x="2023"/>
        <item x="1609"/>
        <item x="2223"/>
        <item x="1150"/>
        <item x="147"/>
        <item x="2016"/>
        <item x="1124"/>
        <item x="1182"/>
        <item x="301"/>
        <item x="758"/>
        <item x="637"/>
        <item x="1613"/>
        <item x="2256"/>
        <item x="2267"/>
        <item x="885"/>
        <item x="685"/>
        <item x="1325"/>
        <item x="1115"/>
        <item x="1999"/>
        <item x="942"/>
        <item x="383"/>
        <item x="1079"/>
        <item x="716"/>
        <item x="197"/>
        <item x="1582"/>
        <item x="719"/>
        <item x="2360"/>
        <item x="1435"/>
        <item x="750"/>
        <item x="943"/>
        <item x="704"/>
        <item x="508"/>
        <item x="398"/>
        <item x="1485"/>
        <item x="511"/>
        <item x="1956"/>
        <item x="1848"/>
        <item x="2483"/>
        <item x="703"/>
        <item x="742"/>
        <item x="2346"/>
        <item x="1415"/>
        <item x="1996"/>
        <item x="626"/>
        <item x="2157"/>
        <item x="1032"/>
        <item x="1359"/>
        <item x="1183"/>
        <item x="1201"/>
        <item x="1399"/>
        <item x="522"/>
        <item x="941"/>
        <item x="837"/>
        <item x="1703"/>
        <item x="575"/>
        <item x="1846"/>
        <item x="2253"/>
        <item x="658"/>
        <item x="1522"/>
        <item x="2293"/>
        <item x="130"/>
        <item x="2216"/>
        <item x="1553"/>
        <item x="2289"/>
        <item x="2014"/>
        <item x="1147"/>
        <item x="392"/>
        <item x="1779"/>
        <item x="2238"/>
        <item x="1825"/>
        <item x="2252"/>
        <item x="1685"/>
        <item x="1789"/>
        <item x="1699"/>
        <item x="2167"/>
        <item x="1013"/>
        <item x="1501"/>
        <item x="1774"/>
        <item x="2474"/>
        <item x="1888"/>
        <item x="609"/>
        <item x="292"/>
        <item x="1378"/>
        <item x="293"/>
        <item x="507"/>
        <item x="1621"/>
        <item x="9"/>
        <item x="219"/>
        <item x="1262"/>
        <item x="865"/>
        <item x="1586"/>
        <item x="960"/>
        <item x="1503"/>
        <item x="1570"/>
        <item x="697"/>
        <item x="843"/>
        <item x="1627"/>
        <item x="645"/>
        <item x="1353"/>
        <item x="295"/>
        <item x="1228"/>
        <item x="2432"/>
        <item x="739"/>
        <item x="1811"/>
        <item x="1960"/>
        <item x="2355"/>
        <item x="69"/>
        <item x="2139"/>
        <item x="1635"/>
        <item x="1192"/>
        <item x="2426"/>
        <item x="15"/>
        <item x="2358"/>
        <item x="1170"/>
        <item x="1812"/>
        <item x="583"/>
        <item x="1753"/>
        <item x="1737"/>
        <item x="370"/>
        <item x="198"/>
        <item x="32"/>
        <item x="1411"/>
        <item x="737"/>
        <item x="285"/>
        <item x="1872"/>
        <item x="890"/>
        <item x="2058"/>
        <item x="1279"/>
        <item x="725"/>
        <item x="1747"/>
        <item x="65"/>
        <item x="2439"/>
        <item x="2220"/>
        <item x="2404"/>
        <item x="934"/>
        <item x="661"/>
        <item x="351"/>
        <item x="640"/>
        <item x="1896"/>
        <item x="2007"/>
        <item x="555"/>
        <item x="239"/>
        <item x="1336"/>
        <item x="2359"/>
        <item x="1395"/>
        <item x="2063"/>
        <item x="1831"/>
        <item x="660"/>
        <item x="1312"/>
        <item x="336"/>
        <item x="262"/>
        <item x="196"/>
        <item x="2438"/>
        <item x="417"/>
        <item x="260"/>
        <item x="1185"/>
        <item x="2137"/>
        <item x="2265"/>
        <item x="2130"/>
        <item x="664"/>
        <item x="180"/>
        <item x="1016"/>
        <item x="1472"/>
        <item x="821"/>
        <item x="1697"/>
        <item x="376"/>
        <item x="2038"/>
        <item x="368"/>
        <item x="761"/>
        <item x="399"/>
        <item x="316"/>
        <item x="1873"/>
        <item x="558"/>
        <item x="928"/>
        <item x="663"/>
        <item x="432"/>
        <item x="1837"/>
        <item x="1433"/>
        <item x="2464"/>
        <item x="12"/>
        <item x="34"/>
        <item x="1379"/>
        <item x="1020"/>
        <item x="994"/>
        <item x="1036"/>
        <item x="385"/>
        <item x="2069"/>
        <item x="341"/>
        <item x="1548"/>
        <item x="93"/>
        <item x="317"/>
        <item x="400"/>
        <item x="1915"/>
        <item x="186"/>
        <item x="2487"/>
        <item x="1709"/>
        <item x="1728"/>
        <item x="1082"/>
        <item x="445"/>
        <item x="947"/>
        <item x="2114"/>
        <item x="844"/>
        <item x="780"/>
        <item x="2322"/>
        <item x="1413"/>
        <item x="1467"/>
        <item x="2290"/>
        <item x="2284"/>
        <item x="905"/>
        <item x="1529"/>
        <item x="1313"/>
        <item x="154"/>
        <item x="1630"/>
        <item x="1263"/>
        <item x="2282"/>
        <item x="1118"/>
        <item x="647"/>
        <item x="238"/>
        <item x="71"/>
        <item x="982"/>
        <item x="114"/>
        <item x="2122"/>
        <item x="832"/>
        <item x="353"/>
        <item x="2135"/>
        <item x="358"/>
        <item x="2099"/>
        <item x="1107"/>
        <item x="2102"/>
        <item x="768"/>
        <item x="2090"/>
        <item x="0"/>
        <item x="2270"/>
        <item x="1860"/>
        <item x="636"/>
        <item x="357"/>
        <item x="2261"/>
        <item x="287"/>
        <item x="2190"/>
        <item x="1897"/>
        <item x="785"/>
        <item x="543"/>
        <item x="842"/>
        <item x="1924"/>
        <item x="907"/>
        <item x="446"/>
        <item x="2443"/>
        <item x="557"/>
        <item x="878"/>
        <item x="1998"/>
        <item x="1785"/>
        <item x="2375"/>
        <item x="2240"/>
        <item x="1236"/>
        <item x="560"/>
        <item x="1914"/>
        <item x="576"/>
        <item x="1863"/>
        <item x="1092"/>
        <item x="2092"/>
        <item x="707"/>
        <item x="2127"/>
        <item x="979"/>
        <item x="175"/>
        <item x="1834"/>
        <item x="1019"/>
        <item x="1480"/>
        <item x="223"/>
        <item x="1126"/>
        <item x="35"/>
        <item x="1186"/>
        <item x="771"/>
        <item x="1235"/>
        <item x="2324"/>
        <item x="1443"/>
        <item x="413"/>
        <item x="1937"/>
        <item x="727"/>
        <item x="724"/>
        <item x="339"/>
        <item x="1282"/>
        <item x="2124"/>
        <item x="372"/>
        <item x="2392"/>
        <item x="1056"/>
        <item x="2495"/>
        <item x="503"/>
        <item x="2228"/>
        <item x="1681"/>
        <item x="582"/>
        <item x="149"/>
        <item x="1326"/>
        <item x="419"/>
        <item x="173"/>
        <item x="1069"/>
        <item x="1756"/>
        <item x="2"/>
        <item x="487"/>
        <item x="1430"/>
        <item x="1275"/>
        <item x="1090"/>
        <item x="1286"/>
        <item x="1067"/>
        <item x="2337"/>
        <item x="2447"/>
        <item x="451"/>
        <item x="853"/>
        <item x="1899"/>
        <item x="989"/>
        <item x="82"/>
        <item x="388"/>
        <item x="879"/>
        <item x="601"/>
        <item x="439"/>
        <item x="299"/>
        <item x="1946"/>
        <item x="418"/>
        <item x="515"/>
        <item x="254"/>
        <item x="1847"/>
        <item x="2313"/>
        <item x="948"/>
        <item x="721"/>
        <item x="1296"/>
        <item x="1136"/>
        <item x="712"/>
        <item x="2395"/>
        <item x="1611"/>
        <item x="915"/>
        <item x="1431"/>
        <item x="700"/>
        <item x="2143"/>
        <item x="965"/>
        <item x="2415"/>
        <item x="2272"/>
        <item x="715"/>
        <item x="931"/>
        <item x="1144"/>
        <item x="710"/>
        <item x="2393"/>
        <item x="288"/>
        <item x="1477"/>
        <item x="1381"/>
        <item x="1920"/>
        <item x="1000"/>
        <item x="1988"/>
        <item x="303"/>
        <item x="2205"/>
        <item x="1251"/>
        <item x="321"/>
        <item x="50"/>
        <item x="1770"/>
        <item x="2230"/>
        <item x="83"/>
        <item x="754"/>
        <item x="1865"/>
        <item x="2111"/>
        <item x="204"/>
        <item x="1653"/>
        <item x="348"/>
        <item x="74"/>
        <item x="2371"/>
        <item x="394"/>
        <item x="165"/>
        <item x="2227"/>
        <item x="1044"/>
        <item x="1146"/>
        <item x="58"/>
        <item x="666"/>
        <item x="1466"/>
        <item x="1187"/>
        <item x="605"/>
        <item x="2445"/>
        <item x="2206"/>
        <item x="2264"/>
        <item x="1744"/>
        <item x="1174"/>
        <item x="817"/>
        <item x="2382"/>
        <item x="1234"/>
        <item x="657"/>
        <item x="866"/>
        <item x="354"/>
        <item x="2362"/>
        <item x="2467"/>
        <item x="470"/>
        <item x="1225"/>
        <item x="1125"/>
        <item x="131"/>
        <item x="410"/>
        <item x="1532"/>
        <item x="678"/>
        <item x="2229"/>
        <item x="166"/>
        <item x="1121"/>
        <item x="2254"/>
        <item x="1003"/>
        <item x="2258"/>
        <item x="2268"/>
        <item x="397"/>
        <item x="1424"/>
        <item x="794"/>
        <item x="635"/>
        <item x="1646"/>
        <item x="1051"/>
        <item x="1119"/>
        <item x="786"/>
        <item x="992"/>
        <item x="2473"/>
        <item x="1474"/>
        <item x="2168"/>
        <item x="1911"/>
        <item x="188"/>
        <item x="2060"/>
        <item x="1600"/>
        <item x="246"/>
        <item x="1597"/>
        <item x="1428"/>
        <item x="1636"/>
        <item x="1029"/>
        <item x="427"/>
        <item x="1117"/>
        <item x="2319"/>
        <item x="925"/>
        <item x="314"/>
        <item x="1925"/>
        <item x="1667"/>
        <item x="1108"/>
        <item x="705"/>
        <item x="2410"/>
        <item x="142"/>
        <item x="981"/>
        <item x="2118"/>
        <item x="790"/>
        <item x="618"/>
        <item x="2131"/>
        <item x="161"/>
        <item x="1454"/>
        <item x="1245"/>
        <item x="1288"/>
        <item x="2200"/>
        <item x="315"/>
        <item x="2019"/>
        <item x="860"/>
        <item x="629"/>
        <item x="1916"/>
        <item x="1882"/>
        <item x="585"/>
        <item x="300"/>
        <item x="477"/>
        <item x="243"/>
        <item x="1987"/>
        <item x="872"/>
        <item x="2323"/>
        <item x="1977"/>
        <item x="1149"/>
        <item x="1752"/>
        <item x="829"/>
        <item x="1291"/>
        <item x="2498"/>
        <item x="816"/>
        <item x="958"/>
        <item x="1371"/>
        <item x="2458"/>
        <item x="1938"/>
        <item x="1819"/>
        <item x="1644"/>
        <item x="2222"/>
        <item x="913"/>
        <item x="1720"/>
        <item x="1798"/>
        <item x="975"/>
        <item x="701"/>
        <item x="140"/>
        <item x="2055"/>
        <item x="43"/>
        <item x="1690"/>
        <item x="2183"/>
        <item x="862"/>
        <item x="1778"/>
        <item x="68"/>
        <item x="2154"/>
        <item x="1112"/>
        <item x="67"/>
        <item x="653"/>
        <item x="450"/>
        <item x="2490"/>
        <item x="1211"/>
        <item x="1723"/>
        <item x="1423"/>
        <item x="2088"/>
        <item x="2248"/>
        <item x="2449"/>
        <item x="56"/>
        <item x="916"/>
        <item x="1757"/>
        <item x="1628"/>
        <item x="33"/>
        <item x="324"/>
        <item x="103"/>
        <item x="47"/>
        <item x="1948"/>
        <item x="247"/>
        <item x="1070"/>
        <item x="2508"/>
        <item x="2391"/>
        <item x="690"/>
        <item x="1253"/>
        <item x="2365"/>
        <item x="28"/>
        <item x="2477"/>
        <item x="2297"/>
        <item x="586"/>
        <item x="423"/>
        <item x="1264"/>
        <item x="2081"/>
        <item x="2000"/>
        <item x="680"/>
        <item x="36"/>
        <item x="181"/>
        <item x="937"/>
        <item x="79"/>
        <item x="1741"/>
        <item x="1390"/>
        <item x="744"/>
        <item x="73"/>
        <item x="171"/>
        <item x="1042"/>
        <item x="927"/>
        <item x="242"/>
        <item x="273"/>
        <item x="1366"/>
        <item x="452"/>
        <item x="2067"/>
        <item x="1266"/>
        <item x="584"/>
        <item x="464"/>
        <item x="233"/>
        <item x="1693"/>
        <item x="1993"/>
        <item x="1584"/>
        <item x="667"/>
        <item x="379"/>
        <item x="1493"/>
        <item x="714"/>
        <item x="1486"/>
        <item x="1907"/>
        <item x="2448"/>
        <item x="870"/>
        <item x="1552"/>
        <item x="1942"/>
        <item x="1857"/>
        <item x="880"/>
        <item x="138"/>
        <item x="2325"/>
        <item x="2024"/>
        <item x="298"/>
        <item x="810"/>
        <item x="1040"/>
        <item x="1272"/>
        <item x="894"/>
        <item x="333"/>
        <item x="174"/>
        <item x="564"/>
        <item x="902"/>
        <item x="977"/>
        <item x="426"/>
        <item x="2065"/>
        <item x="443"/>
        <item x="1684"/>
        <item x="2492"/>
        <item x="1444"/>
        <item x="2174"/>
        <item x="1180"/>
        <item x="991"/>
        <item x="1438"/>
        <item x="1827"/>
        <item x="378"/>
        <item x="124"/>
        <item x="156"/>
        <item x="1487"/>
        <item x="1349"/>
        <item x="1018"/>
        <item x="2343"/>
        <item x="1680"/>
        <item x="2163"/>
        <item x="1409"/>
        <item x="2459"/>
        <item x="1516"/>
        <item x="1343"/>
        <item x="2279"/>
        <item x="491"/>
        <item x="59"/>
        <item x="1783"/>
        <item x="401"/>
        <item x="2294"/>
        <item x="2123"/>
        <item x="825"/>
        <item x="1181"/>
        <item x="207"/>
        <item x="137"/>
        <item x="2453"/>
        <item x="698"/>
        <item x="1398"/>
        <item x="2231"/>
        <item x="1230"/>
        <item x="654"/>
        <item x="1855"/>
        <item x="159"/>
        <item x="302"/>
        <item x="1151"/>
        <item x="2250"/>
        <item x="1084"/>
        <item x="91"/>
        <item x="1479"/>
        <item x="111"/>
        <item x="2259"/>
        <item x="1208"/>
        <item x="2076"/>
        <item x="64"/>
        <item x="723"/>
        <item x="278"/>
        <item x="1640"/>
        <item x="1594"/>
        <item x="1229"/>
        <item x="2105"/>
        <item x="1828"/>
        <item x="883"/>
        <item x="693"/>
        <item x="577"/>
        <item x="1990"/>
        <item x="27"/>
        <item x="1138"/>
        <item x="1128"/>
        <item x="308"/>
        <item x="1490"/>
        <item x="1363"/>
        <item x="1817"/>
        <item x="2107"/>
        <item x="638"/>
        <item x="1046"/>
        <item x="337"/>
        <item x="283"/>
        <item x="521"/>
        <item x="2234"/>
        <item x="1099"/>
        <item x="2412"/>
        <item x="903"/>
        <item x="607"/>
        <item x="346"/>
        <item x="1743"/>
        <item x="1421"/>
        <item x="2300"/>
        <item x="888"/>
        <item x="1527"/>
        <item x="176"/>
        <item x="1221"/>
        <item x="1972"/>
        <item x="1661"/>
        <item x="1327"/>
        <item x="330"/>
        <item x="1830"/>
        <item x="361"/>
        <item x="2307"/>
        <item x="1795"/>
        <item x="1249"/>
        <item x="2080"/>
        <item x="2316"/>
        <item x="1190"/>
        <item x="1383"/>
        <item x="694"/>
        <item x="1768"/>
        <item x="1039"/>
        <item x="1048"/>
        <item x="2431"/>
        <item x="569"/>
        <item x="2479"/>
        <item x="466"/>
        <item x="457"/>
        <item x="1839"/>
        <item x="1602"/>
        <item x="1957"/>
        <item x="1396"/>
        <item x="615"/>
        <item x="1893"/>
        <item x="2006"/>
        <item x="2196"/>
        <item x="835"/>
        <item x="2051"/>
        <item x="891"/>
        <item x="263"/>
        <item x="1447"/>
        <item x="984"/>
        <item x="2276"/>
        <item x="728"/>
        <item x="1412"/>
        <item x="2056"/>
        <item x="1021"/>
        <item x="1966"/>
        <item x="1492"/>
        <item x="2160"/>
        <item x="1078"/>
        <item x="467"/>
        <item x="1655"/>
        <item x="2442"/>
        <item x="1979"/>
        <item x="1885"/>
        <item x="184"/>
        <item x="1481"/>
        <item x="2001"/>
        <item x="2424"/>
        <item x="632"/>
        <item x="565"/>
        <item x="405"/>
        <item x="366"/>
        <item x="1565"/>
        <item x="310"/>
        <item x="1784"/>
        <item x="97"/>
        <item x="729"/>
        <item x="2158"/>
        <item x="497"/>
        <item x="1569"/>
        <item x="2513"/>
        <item x="2367"/>
        <item x="1491"/>
        <item x="777"/>
        <item x="1542"/>
        <item x="1237"/>
        <item x="16"/>
        <item x="1314"/>
        <item x="2385"/>
        <item x="1625"/>
        <item x="2133"/>
        <item x="544"/>
        <item x="412"/>
        <item x="456"/>
        <item x="402"/>
        <item x="1023"/>
        <item x="1212"/>
        <item x="100"/>
        <item x="2101"/>
        <item x="214"/>
        <item x="1892"/>
        <item x="655"/>
        <item x="788"/>
        <item x="386"/>
        <item x="938"/>
        <item x="1735"/>
        <item x="682"/>
        <item x="2287"/>
        <item x="952"/>
        <item x="320"/>
        <item x="1173"/>
        <item x="2084"/>
        <item x="3"/>
        <item x="572"/>
        <item x="232"/>
        <item x="1081"/>
        <item x="229"/>
        <item x="980"/>
        <item x="1526"/>
        <item x="1351"/>
        <item x="117"/>
        <item x="2182"/>
        <item x="2204"/>
        <item x="2286"/>
        <item x="275"/>
        <item x="146"/>
        <item x="1596"/>
        <item x="1935"/>
        <item x="517"/>
        <item x="1281"/>
        <item x="375"/>
        <item x="2480"/>
        <item x="782"/>
        <item x="88"/>
        <item x="823"/>
        <item x="1420"/>
        <item x="1590"/>
        <item x="1427"/>
        <item x="2407"/>
        <item x="1086"/>
        <item x="1734"/>
        <item x="2318"/>
        <item x="1560"/>
        <item x="1950"/>
        <item x="803"/>
        <item x="1603"/>
        <item x="906"/>
        <item x="2098"/>
        <item x="1994"/>
        <item x="344"/>
        <item x="1033"/>
        <item x="1330"/>
        <item x="1218"/>
        <item x="493"/>
        <item x="523"/>
        <item x="251"/>
        <item x="781"/>
        <item x="604"/>
        <item x="2239"/>
        <item x="1374"/>
        <item x="2348"/>
        <item x="669"/>
        <item x="2489"/>
        <item x="568"/>
        <item x="1710"/>
        <item x="2129"/>
        <item x="1064"/>
        <item x="2446"/>
        <item x="1706"/>
        <item x="132"/>
        <item x="1280"/>
        <item x="814"/>
        <item x="261"/>
        <item x="210"/>
        <item x="610"/>
        <item x="961"/>
        <item x="591"/>
        <item x="624"/>
        <item x="2039"/>
        <item x="2020"/>
        <item x="57"/>
        <item x="1869"/>
        <item x="2089"/>
        <item x="99"/>
        <item x="2008"/>
        <item x="2059"/>
        <item x="1246"/>
        <item x="1729"/>
        <item x="1618"/>
        <item x="2409"/>
        <item x="1818"/>
        <item x="809"/>
        <item x="1642"/>
        <item x="436"/>
        <item x="1202"/>
        <item x="762"/>
        <item x="2484"/>
        <item x="1700"/>
        <item x="2411"/>
        <item x="179"/>
        <item x="1736"/>
        <item x="1469"/>
        <item x="139"/>
        <item x="2244"/>
        <item x="940"/>
        <item x="1559"/>
        <item x="2485"/>
        <item x="1031"/>
        <item x="1122"/>
        <item x="155"/>
        <item x="2009"/>
        <item x="281"/>
        <item x="387"/>
        <item x="1879"/>
        <item x="1328"/>
        <item x="2311"/>
        <item x="280"/>
        <item x="1547"/>
        <item x="827"/>
        <item x="1130"/>
        <item x="1505"/>
        <item x="836"/>
        <item x="2150"/>
        <item x="806"/>
        <item x="1223"/>
        <item x="2277"/>
        <item x="530"/>
        <item x="922"/>
        <item x="639"/>
        <item x="745"/>
        <item x="1462"/>
        <item x="256"/>
        <item x="1637"/>
        <item x="1380"/>
        <item x="1161"/>
        <item x="1214"/>
        <item x="1028"/>
        <item x="509"/>
        <item x="622"/>
        <item x="969"/>
        <item x="2210"/>
        <item x="1868"/>
        <item x="1958"/>
        <item x="499"/>
        <item x="297"/>
        <item x="1098"/>
        <item x="360"/>
        <item x="996"/>
        <item x="437"/>
        <item x="356"/>
        <item x="2440"/>
        <item x="520"/>
        <item x="2369"/>
        <item x="1198"/>
        <item x="1643"/>
        <item x="911"/>
        <item x="1271"/>
        <item x="1816"/>
        <item x="546"/>
        <item x="1256"/>
        <item x="791"/>
        <item x="506"/>
        <item x="2050"/>
        <item x="1089"/>
        <item x="2152"/>
        <item x="702"/>
        <item x="2437"/>
        <item x="2377"/>
        <item x="193"/>
        <item x="2260"/>
        <item x="421"/>
        <item x="764"/>
        <item x="1771"/>
        <item x="1401"/>
        <item x="2472"/>
        <item x="2042"/>
        <item x="616"/>
        <item x="24"/>
        <item x="1393"/>
        <item x="338"/>
        <item x="1062"/>
        <item x="2149"/>
        <item x="1883"/>
        <item x="2094"/>
        <item x="1861"/>
        <item x="1293"/>
        <item x="838"/>
        <item x="2314"/>
        <item x="956"/>
        <item x="573"/>
        <item x="1116"/>
        <item x="1468"/>
        <item x="676"/>
        <item x="819"/>
        <item x="109"/>
        <item x="548"/>
        <item x="1617"/>
        <item x="1952"/>
        <item x="820"/>
        <item x="665"/>
        <item x="599"/>
        <item x="1698"/>
        <item x="2273"/>
        <item x="581"/>
        <item x="1717"/>
        <item x="1496"/>
        <item x="2113"/>
        <item x="322"/>
        <item x="2468"/>
        <item x="1392"/>
        <item x="1674"/>
        <item x="1986"/>
        <item x="1944"/>
        <item x="1307"/>
        <item x="2145"/>
        <item x="2116"/>
        <item x="49"/>
        <item x="549"/>
        <item x="1713"/>
        <item x="2408"/>
        <item x="699"/>
        <item x="1049"/>
        <item x="1683"/>
        <item x="673"/>
        <item x="1801"/>
        <item x="39"/>
        <item x="1973"/>
        <item x="1157"/>
        <item x="1624"/>
        <item x="2345"/>
        <item x="2121"/>
        <item x="1874"/>
        <item x="1238"/>
        <item x="765"/>
        <item x="374"/>
        <item x="1739"/>
        <item x="2363"/>
        <item x="87"/>
        <item x="1856"/>
        <item x="1095"/>
        <item x="1276"/>
        <item x="2497"/>
        <item x="1168"/>
        <item x="2414"/>
        <item x="430"/>
        <item x="930"/>
        <item x="1109"/>
        <item x="649"/>
        <item x="2068"/>
        <item x="920"/>
        <item x="2186"/>
        <item x="1105"/>
        <item x="967"/>
        <item x="1269"/>
        <item x="620"/>
        <item x="2110"/>
        <item x="1623"/>
        <item x="1877"/>
        <item x="277"/>
        <item x="1329"/>
        <item x="518"/>
        <item x="1129"/>
        <item x="2153"/>
        <item x="1687"/>
        <item x="481"/>
        <item x="108"/>
        <item x="732"/>
        <item x="617"/>
        <item x="490"/>
        <item x="2002"/>
        <item x="1297"/>
        <item x="2470"/>
        <item x="2106"/>
        <item x="162"/>
        <item x="1216"/>
        <item x="1898"/>
        <item x="1549"/>
        <item x="1332"/>
        <item x="1268"/>
        <item x="1311"/>
        <item x="1322"/>
        <item x="7"/>
        <item x="910"/>
        <item x="1758"/>
        <item x="553"/>
        <item x="2045"/>
        <item x="380"/>
        <item x="2070"/>
        <item x="1203"/>
        <item x="2401"/>
        <item x="1120"/>
        <item x="1875"/>
        <item x="134"/>
        <item x="54"/>
        <item x="434"/>
        <item x="289"/>
        <item x="1139"/>
        <item x="1884"/>
        <item x="590"/>
        <item x="625"/>
        <item x="234"/>
        <item x="863"/>
        <item x="1838"/>
        <item x="672"/>
        <item x="1323"/>
        <item x="431"/>
        <item x="270"/>
        <item x="1441"/>
        <item x="1123"/>
        <item x="2405"/>
        <item x="1591"/>
        <item x="856"/>
        <item x="2510"/>
        <item x="1408"/>
        <item x="2460"/>
        <item x="1927"/>
        <item x="363"/>
        <item x="2494"/>
        <item x="2308"/>
        <item x="2245"/>
        <item x="1964"/>
        <item x="1339"/>
        <item x="1346"/>
        <item x="2041"/>
        <item x="1206"/>
        <item x="2402"/>
        <item x="1022"/>
        <item x="1177"/>
        <item x="1426"/>
        <item x="2310"/>
        <item x="60"/>
        <item x="164"/>
        <item x="25"/>
        <item x="1775"/>
        <item x="1058"/>
        <item x="1786"/>
        <item x="1738"/>
        <item x="1845"/>
        <item x="2462"/>
        <item x="2083"/>
        <item x="1132"/>
        <item x="253"/>
        <item x="1171"/>
        <item x="1923"/>
        <item x="717"/>
        <item x="889"/>
        <item x="22"/>
        <item x="1250"/>
        <item x="1722"/>
        <item x="2138"/>
        <item x="1222"/>
        <item x="441"/>
        <item x="874"/>
        <item x="1895"/>
        <item x="1824"/>
        <item x="1342"/>
        <item x="2295"/>
        <item x="529"/>
        <item x="1832"/>
        <item x="1347"/>
        <item x="1309"/>
        <item x="826"/>
        <item x="813"/>
        <item x="1939"/>
        <item x="1025"/>
        <item x="211"/>
        <item x="1901"/>
        <item x="1537"/>
        <item x="2195"/>
        <item x="258"/>
        <item x="1585"/>
        <item x="983"/>
        <item x="1164"/>
        <item x="539"/>
        <item x="2180"/>
        <item x="1551"/>
        <item x="951"/>
        <item x="627"/>
        <item x="318"/>
        <item x="144"/>
        <item x="867"/>
        <item x="1530"/>
        <item x="96"/>
        <item x="2368"/>
        <item x="1010"/>
        <item x="1026"/>
        <item x="2165"/>
        <item x="1497"/>
        <item x="760"/>
        <item x="2073"/>
        <item x="1688"/>
        <item x="447"/>
        <item x="475"/>
        <item x="536"/>
        <item x="2505"/>
        <item x="332"/>
        <item x="2499"/>
        <item x="1557"/>
        <item x="2456"/>
        <item x="1414"/>
        <item x="85"/>
        <item x="1445"/>
        <item x="486"/>
        <item x="1422"/>
        <item x="1539"/>
        <item x="2296"/>
        <item x="812"/>
        <item x="170"/>
        <item x="1908"/>
        <item x="1041"/>
        <item x="2170"/>
        <item x="1790"/>
        <item x="2211"/>
        <item x="1780"/>
        <item x="1259"/>
        <item x="2207"/>
        <item x="2201"/>
        <item x="612"/>
        <item x="1054"/>
        <item x="1633"/>
        <item x="1350"/>
        <item x="364"/>
        <item x="871"/>
        <item x="1193"/>
        <item x="1475"/>
        <item x="720"/>
        <item x="1429"/>
        <item x="257"/>
        <item x="1306"/>
        <item x="284"/>
        <item x="1533"/>
        <item x="1489"/>
        <item x="2488"/>
        <item x="1822"/>
        <item x="2155"/>
        <item x="1792"/>
        <item x="1870"/>
        <item x="1733"/>
        <item x="1302"/>
        <item x="1651"/>
        <item x="1943"/>
        <item x="1563"/>
        <item x="2035"/>
        <item x="953"/>
        <item x="571"/>
        <item x="1011"/>
        <item x="2469"/>
        <item x="1953"/>
        <item x="2435"/>
        <item x="148"/>
        <item x="1766"/>
        <item x="924"/>
        <item x="1273"/>
        <item x="516"/>
        <item x="939"/>
        <item x="504"/>
        <item x="2125"/>
        <item x="2172"/>
        <item x="2232"/>
        <item x="1215"/>
        <item x="1671"/>
        <item x="1175"/>
        <item x="954"/>
        <item x="422"/>
        <item x="831"/>
        <item x="381"/>
        <item x="1726"/>
        <item x="2302"/>
        <item x="222"/>
        <item x="2109"/>
        <item x="1254"/>
        <item x="1386"/>
        <item x="1658"/>
        <item x="713"/>
        <item x="1769"/>
        <item x="976"/>
        <item x="1437"/>
        <item x="1765"/>
        <item x="2274"/>
        <item x="309"/>
        <item x="384"/>
        <item x="998"/>
        <item x="1451"/>
        <item x="683"/>
        <item x="1692"/>
        <item x="1727"/>
        <item x="1714"/>
        <item x="1512"/>
        <item x="1482"/>
        <item x="1587"/>
        <item x="2475"/>
        <item x="2399"/>
        <item x="2305"/>
        <item x="1387"/>
        <item x="1967"/>
        <item x="1841"/>
        <item x="1484"/>
        <item x="1111"/>
        <item x="312"/>
        <item x="342"/>
        <item x="2420"/>
        <item x="2373"/>
        <item x="1436"/>
        <item x="2141"/>
        <item x="2338"/>
        <item x="326"/>
        <item x="365"/>
        <item x="2192"/>
        <item x="2144"/>
        <item x="898"/>
        <item x="1799"/>
        <item x="1788"/>
        <item x="2491"/>
        <item x="1836"/>
        <item x="1876"/>
        <item x="2093"/>
        <item t="default"/>
      </items>
    </pivotField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eview_id" fld="0" subtotal="count" baseField="0" baseItem="0"/>
    <dataField name="Average of Rating" fld="6" subtotal="average" baseField="0" baseItem="1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934E3D-4026-44EB-9DEE-057BB2DE127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95:C121" firstHeaderRow="0" firstDataRow="1" firstDataCol="1"/>
  <pivotFields count="19">
    <pivotField dataField="1" showAll="0"/>
    <pivotField numFmtId="1" showAll="0"/>
    <pivotField showAll="0"/>
    <pivotField showAll="0"/>
    <pivotField showAll="0"/>
    <pivotField showAll="0"/>
    <pivotField dataField="1" numFmtId="164" showAll="0">
      <items count="7">
        <item x="0"/>
        <item x="1"/>
        <item x="2"/>
        <item x="3"/>
        <item x="4"/>
        <item x="5"/>
        <item t="default"/>
      </items>
    </pivotField>
    <pivotField numFmtId="22" showAll="0">
      <items count="2515">
        <item x="2075"/>
        <item x="150"/>
        <item x="718"/>
        <item x="1267"/>
        <item x="1252"/>
        <item x="1052"/>
        <item x="2376"/>
        <item x="2501"/>
        <item x="2320"/>
        <item x="646"/>
        <item x="593"/>
        <item x="1654"/>
        <item x="1719"/>
        <item x="1145"/>
        <item x="2347"/>
        <item x="681"/>
        <item x="1992"/>
        <item x="1260"/>
        <item x="670"/>
        <item x="1634"/>
        <item x="51"/>
        <item x="1290"/>
        <item x="2406"/>
        <item x="808"/>
        <item x="789"/>
        <item x="2048"/>
        <item x="747"/>
        <item x="2381"/>
        <item x="1676"/>
        <item x="2331"/>
        <item x="2423"/>
        <item x="687"/>
        <item x="525"/>
        <item x="839"/>
        <item x="1961"/>
        <item x="377"/>
        <item x="500"/>
        <item x="1369"/>
        <item x="460"/>
        <item x="909"/>
        <item x="1285"/>
        <item x="2119"/>
        <item x="1566"/>
        <item x="2085"/>
        <item x="1507"/>
        <item x="1488"/>
        <item x="595"/>
        <item x="121"/>
        <item x="2306"/>
        <item x="1365"/>
        <item x="957"/>
        <item x="1014"/>
        <item x="2217"/>
        <item x="1375"/>
        <item x="1513"/>
        <item x="2466"/>
        <item x="1195"/>
        <item x="2288"/>
        <item x="2191"/>
        <item x="1867"/>
        <item x="531"/>
        <item x="2354"/>
        <item x="2120"/>
        <item x="1189"/>
        <item x="226"/>
        <item x="1305"/>
        <item x="935"/>
        <item x="407"/>
        <item x="859"/>
        <item x="2387"/>
        <item x="294"/>
        <item x="1965"/>
        <item x="2352"/>
        <item x="1581"/>
        <item x="674"/>
        <item x="1881"/>
        <item x="1749"/>
        <item x="1317"/>
        <item x="182"/>
        <item x="2185"/>
        <item x="1407"/>
        <item x="1470"/>
        <item x="205"/>
        <item x="2115"/>
        <item x="1335"/>
        <item x="1949"/>
        <item x="2161"/>
        <item x="1141"/>
        <item x="1158"/>
        <item x="1243"/>
        <item x="206"/>
        <item x="873"/>
        <item x="1403"/>
        <item x="1217"/>
        <item x="2140"/>
        <item x="574"/>
        <item x="815"/>
        <item x="1005"/>
        <item x="347"/>
        <item x="1575"/>
        <item x="1066"/>
        <item x="634"/>
        <item x="2430"/>
        <item x="1258"/>
        <item x="561"/>
        <item x="252"/>
        <item x="675"/>
        <item x="1608"/>
        <item x="1511"/>
        <item x="563"/>
        <item x="1463"/>
        <item x="2357"/>
        <item x="2221"/>
        <item x="1716"/>
        <item x="841"/>
        <item x="1204"/>
        <item x="1065"/>
        <item x="2502"/>
        <item x="985"/>
        <item x="997"/>
        <item x="158"/>
        <item x="265"/>
        <item x="1303"/>
        <item x="1912"/>
        <item x="1372"/>
        <item x="1955"/>
        <item x="2465"/>
        <item x="1356"/>
        <item x="406"/>
        <item x="1809"/>
        <item x="1577"/>
        <item x="2169"/>
        <item x="296"/>
        <item x="1578"/>
        <item x="641"/>
        <item x="628"/>
        <item x="2034"/>
        <item x="349"/>
        <item x="2071"/>
        <item x="2496"/>
        <item x="1135"/>
        <item x="189"/>
        <item x="2202"/>
        <item x="2427"/>
        <item x="128"/>
        <item x="963"/>
        <item x="1508"/>
        <item x="1518"/>
        <item x="1453"/>
        <item x="1057"/>
        <item x="1695"/>
        <item x="1718"/>
        <item x="840"/>
        <item x="749"/>
        <item x="2379"/>
        <item x="123"/>
        <item x="1740"/>
        <item x="472"/>
        <item x="8"/>
        <item x="801"/>
        <item x="2027"/>
        <item x="1292"/>
        <item x="1337"/>
        <item x="1498"/>
        <item x="373"/>
        <item x="2078"/>
        <item x="1006"/>
        <item x="1797"/>
        <item x="1102"/>
        <item x="484"/>
        <item x="1377"/>
        <item x="202"/>
        <item x="1283"/>
        <item x="1087"/>
        <item x="94"/>
        <item x="1612"/>
        <item x="990"/>
        <item x="1871"/>
        <item x="31"/>
        <item x="1804"/>
        <item x="505"/>
        <item x="2237"/>
        <item x="2450"/>
        <item x="1308"/>
        <item x="2147"/>
        <item x="2434"/>
        <item x="2178"/>
        <item x="1055"/>
        <item x="462"/>
        <item x="743"/>
        <item x="191"/>
        <item x="2500"/>
        <item x="2339"/>
        <item x="1673"/>
        <item x="1219"/>
        <item x="2176"/>
        <item x="1385"/>
        <item x="2328"/>
        <item x="1947"/>
        <item x="220"/>
        <item x="740"/>
        <item x="1664"/>
        <item x="2166"/>
        <item x="1357"/>
        <item x="172"/>
        <item x="1776"/>
        <item x="37"/>
        <item x="106"/>
        <item x="2471"/>
        <item x="1650"/>
        <item x="1471"/>
        <item x="1619"/>
        <item x="272"/>
        <item x="463"/>
        <item x="2454"/>
        <item x="881"/>
        <item x="1027"/>
        <item x="1989"/>
        <item x="2444"/>
        <item x="668"/>
        <item x="1360"/>
        <item x="271"/>
        <item x="1682"/>
        <item x="1645"/>
        <item x="959"/>
        <item x="1576"/>
        <item x="845"/>
        <item x="688"/>
        <item x="23"/>
        <item x="389"/>
        <item x="545"/>
        <item x="709"/>
        <item x="1772"/>
        <item x="455"/>
        <item x="551"/>
        <item x="1133"/>
        <item x="1137"/>
        <item x="1593"/>
        <item x="955"/>
        <item x="850"/>
        <item x="1239"/>
        <item x="901"/>
        <item x="1166"/>
        <item x="236"/>
        <item x="896"/>
        <item x="1425"/>
        <item x="950"/>
        <item x="696"/>
        <item x="1071"/>
        <item x="1514"/>
        <item x="537"/>
        <item x="904"/>
        <item x="1572"/>
        <item x="485"/>
        <item x="248"/>
        <item x="1592"/>
        <item x="1154"/>
        <item x="498"/>
        <item x="2336"/>
        <item x="201"/>
        <item x="2136"/>
        <item x="779"/>
        <item x="1886"/>
        <item x="1060"/>
        <item x="1068"/>
        <item x="1394"/>
        <item x="1983"/>
        <item x="1997"/>
        <item x="1589"/>
        <item x="38"/>
        <item x="566"/>
        <item x="2164"/>
        <item x="1240"/>
        <item x="2361"/>
        <item x="1461"/>
        <item x="1626"/>
        <item x="2142"/>
        <item x="1093"/>
        <item x="1580"/>
        <item x="107"/>
        <item x="1449"/>
        <item x="1878"/>
        <item x="125"/>
        <item x="633"/>
        <item x="1659"/>
        <item x="390"/>
        <item x="971"/>
        <item x="482"/>
        <item x="2156"/>
        <item x="532"/>
        <item x="1418"/>
        <item x="403"/>
        <item x="2249"/>
        <item x="1815"/>
        <item x="1432"/>
        <item x="877"/>
        <item x="643"/>
        <item x="1648"/>
        <item x="2390"/>
        <item x="1277"/>
        <item x="1573"/>
        <item x="918"/>
        <item x="1601"/>
        <item x="1544"/>
        <item x="1400"/>
        <item x="1647"/>
        <item x="1261"/>
        <item x="1694"/>
        <item x="1007"/>
        <item x="17"/>
        <item x="1063"/>
        <item x="20"/>
        <item x="1110"/>
        <item x="854"/>
        <item x="1711"/>
        <item x="804"/>
        <item x="897"/>
        <item x="129"/>
        <item x="2436"/>
        <item x="1607"/>
        <item x="1745"/>
        <item x="141"/>
        <item x="1300"/>
        <item x="2177"/>
        <item x="1852"/>
        <item x="1152"/>
        <item x="2350"/>
        <item x="2146"/>
        <item x="425"/>
        <item x="936"/>
        <item x="276"/>
        <item x="424"/>
        <item x="1231"/>
        <item x="1556"/>
        <item x="1641"/>
        <item x="656"/>
        <item x="468"/>
        <item x="2189"/>
        <item x="807"/>
        <item x="115"/>
        <item x="1200"/>
        <item x="30"/>
        <item x="2356"/>
        <item x="770"/>
        <item x="2481"/>
        <item x="1666"/>
        <item x="602"/>
        <item x="2428"/>
        <item x="1434"/>
        <item x="1153"/>
        <item x="2281"/>
        <item x="2054"/>
        <item x="190"/>
        <item x="1287"/>
        <item x="2061"/>
        <item x="122"/>
        <item x="195"/>
        <item x="1528"/>
        <item x="2255"/>
        <item x="1088"/>
        <item x="2280"/>
        <item x="2175"/>
        <item x="244"/>
        <item x="1866"/>
        <item x="1160"/>
        <item x="2418"/>
        <item x="501"/>
        <item x="53"/>
        <item x="1504"/>
        <item x="1982"/>
        <item x="1030"/>
        <item x="461"/>
        <item x="1545"/>
        <item x="2226"/>
        <item x="619"/>
        <item x="2128"/>
        <item x="264"/>
        <item x="882"/>
        <item x="899"/>
        <item x="1358"/>
        <item x="793"/>
        <item x="1905"/>
        <item x="249"/>
        <item x="1954"/>
        <item x="89"/>
        <item x="2351"/>
        <item x="429"/>
        <item x="2079"/>
        <item x="642"/>
        <item x="325"/>
        <item x="2251"/>
        <item x="2283"/>
        <item x="1701"/>
        <item x="2242"/>
        <item x="10"/>
        <item x="1050"/>
        <item x="2394"/>
        <item x="757"/>
        <item x="227"/>
        <item x="2213"/>
        <item x="1808"/>
        <item x="2509"/>
        <item x="1035"/>
        <item x="200"/>
        <item x="1455"/>
        <item x="1167"/>
        <item x="988"/>
        <item x="2400"/>
        <item x="1567"/>
        <item x="480"/>
        <item x="235"/>
        <item x="1843"/>
        <item x="2433"/>
        <item x="2062"/>
        <item x="876"/>
        <item x="1080"/>
        <item x="1746"/>
        <item x="2493"/>
        <item x="833"/>
        <item x="44"/>
        <item x="1724"/>
        <item x="926"/>
        <item x="1506"/>
        <item x="2173"/>
        <item x="1880"/>
        <item x="1207"/>
        <item x="2451"/>
        <item x="1127"/>
        <item x="999"/>
        <item x="18"/>
        <item x="2512"/>
        <item x="1341"/>
        <item x="662"/>
        <item x="2303"/>
        <item x="1419"/>
        <item x="2193"/>
        <item x="2388"/>
        <item x="1015"/>
        <item x="2478"/>
        <item x="775"/>
        <item x="255"/>
        <item x="1931"/>
        <item x="2315"/>
        <item x="1274"/>
        <item x="286"/>
        <item x="435"/>
        <item x="528"/>
        <item x="428"/>
        <item x="473"/>
        <item x="778"/>
        <item x="1205"/>
        <item x="393"/>
        <item x="1705"/>
        <item x="2396"/>
        <item x="2476"/>
        <item x="2218"/>
        <item x="2052"/>
        <item x="533"/>
        <item x="1417"/>
        <item x="711"/>
        <item x="1478"/>
        <item x="2159"/>
        <item x="228"/>
        <item x="2389"/>
        <item x="2344"/>
        <item x="194"/>
        <item x="1761"/>
        <item x="772"/>
        <item x="1197"/>
        <item x="2043"/>
        <item x="1034"/>
        <item x="1265"/>
        <item x="178"/>
        <item x="112"/>
        <item x="2486"/>
        <item x="1397"/>
        <item x="230"/>
        <item x="395"/>
        <item x="1909"/>
        <item x="2017"/>
        <item x="514"/>
        <item x="1844"/>
        <item x="1140"/>
        <item x="1101"/>
        <item x="1075"/>
        <item x="1974"/>
        <item x="623"/>
        <item x="1517"/>
        <item x="2215"/>
        <item x="524"/>
        <item x="1971"/>
        <item x="884"/>
        <item x="1616"/>
        <item x="973"/>
        <item x="1176"/>
        <item x="1074"/>
        <item x="1932"/>
        <item x="2457"/>
        <item x="540"/>
        <item x="1510"/>
        <item x="414"/>
        <item x="1930"/>
        <item x="752"/>
        <item x="152"/>
        <item x="796"/>
        <item x="570"/>
        <item x="792"/>
        <item x="2236"/>
        <item x="291"/>
        <item x="893"/>
        <item x="534"/>
        <item x="1534"/>
        <item x="932"/>
        <item x="852"/>
        <item x="1321"/>
        <item x="1179"/>
        <item x="2036"/>
        <item x="2044"/>
        <item x="1679"/>
        <item x="1255"/>
        <item x="118"/>
        <item x="1310"/>
        <item x="2219"/>
        <item x="1525"/>
        <item x="886"/>
        <item x="2018"/>
        <item x="119"/>
        <item x="1388"/>
        <item x="81"/>
        <item x="2199"/>
        <item x="1821"/>
        <item x="1631"/>
        <item x="846"/>
        <item x="2010"/>
        <item x="415"/>
        <item x="1669"/>
        <item x="2012"/>
        <item x="2104"/>
        <item x="101"/>
        <item x="594"/>
        <item x="1163"/>
        <item x="651"/>
        <item x="2291"/>
        <item x="2298"/>
        <item x="1754"/>
        <item x="1295"/>
        <item x="1402"/>
        <item x="611"/>
        <item x="1094"/>
        <item x="311"/>
        <item x="1004"/>
        <item x="748"/>
        <item x="908"/>
        <item x="1562"/>
        <item x="1813"/>
        <item x="1748"/>
        <item x="1864"/>
        <item x="1464"/>
        <item x="2299"/>
        <item x="2413"/>
        <item x="1536"/>
        <item x="1976"/>
        <item x="192"/>
        <item x="1926"/>
        <item x="2077"/>
        <item x="2292"/>
        <item x="2327"/>
        <item x="1194"/>
        <item x="1331"/>
        <item x="2049"/>
        <item x="55"/>
        <item x="1564"/>
        <item x="1794"/>
        <item x="671"/>
        <item x="2463"/>
        <item x="1984"/>
        <item x="382"/>
        <item x="986"/>
        <item x="26"/>
        <item x="1629"/>
        <item x="1519"/>
        <item x="1606"/>
        <item x="1072"/>
        <item x="1615"/>
        <item x="1227"/>
        <item x="411"/>
        <item x="1859"/>
        <item x="5"/>
        <item x="1364"/>
        <item x="1902"/>
        <item x="362"/>
        <item x="797"/>
        <item x="1495"/>
        <item x="45"/>
        <item x="2397"/>
        <item x="104"/>
        <item x="1446"/>
        <item x="978"/>
        <item x="1849"/>
        <item x="335"/>
        <item x="1009"/>
        <item x="686"/>
        <item x="1367"/>
        <item x="2087"/>
        <item x="61"/>
        <item x="63"/>
        <item x="1835"/>
        <item x="2126"/>
        <item x="279"/>
        <item x="1554"/>
        <item x="1782"/>
        <item x="355"/>
        <item x="2326"/>
        <item x="1077"/>
        <item x="2441"/>
        <item x="1678"/>
        <item x="1324"/>
        <item x="1807"/>
        <item x="167"/>
        <item x="2031"/>
        <item x="1319"/>
        <item x="2241"/>
        <item x="1704"/>
        <item x="476"/>
        <item x="2021"/>
        <item x="1316"/>
        <item x="2384"/>
        <item x="1793"/>
        <item x="1184"/>
        <item x="2233"/>
        <item x="2188"/>
        <item x="1318"/>
        <item x="1257"/>
        <item x="1981"/>
        <item x="1143"/>
        <item x="1796"/>
        <item x="547"/>
        <item x="274"/>
        <item x="1941"/>
        <item x="489"/>
        <item x="753"/>
        <item x="912"/>
        <item x="483"/>
        <item x="102"/>
        <item x="946"/>
        <item x="48"/>
        <item x="21"/>
        <item x="1162"/>
        <item x="1104"/>
        <item x="1457"/>
        <item x="630"/>
        <item x="1416"/>
        <item x="1224"/>
        <item x="1777"/>
        <item x="2086"/>
        <item x="855"/>
        <item x="1823"/>
        <item x="706"/>
        <item x="1887"/>
        <item x="1991"/>
        <item x="1382"/>
        <item x="1456"/>
        <item x="1210"/>
        <item x="2117"/>
        <item x="2419"/>
        <item x="2333"/>
        <item x="1304"/>
        <item x="847"/>
        <item x="1244"/>
        <item x="304"/>
        <item x="11"/>
        <item x="1851"/>
        <item x="459"/>
        <item x="2278"/>
        <item x="526"/>
        <item x="1494"/>
        <item x="2025"/>
        <item x="1320"/>
        <item x="449"/>
        <item x="763"/>
        <item x="1721"/>
        <item x="2372"/>
        <item x="1355"/>
        <item x="2342"/>
        <item x="268"/>
        <item x="974"/>
        <item x="474"/>
        <item x="169"/>
        <item x="2033"/>
        <item x="964"/>
        <item x="2134"/>
        <item x="722"/>
        <item x="1595"/>
        <item x="1805"/>
        <item x="708"/>
        <item x="404"/>
        <item x="1806"/>
        <item x="767"/>
        <item x="2398"/>
        <item x="495"/>
        <item x="371"/>
        <item x="327"/>
        <item x="738"/>
        <item x="1391"/>
        <item x="331"/>
        <item x="1134"/>
        <item x="1649"/>
        <item x="416"/>
        <item x="1903"/>
        <item x="469"/>
        <item x="731"/>
        <item x="541"/>
        <item x="542"/>
        <item x="559"/>
        <item x="2504"/>
        <item x="160"/>
        <item x="41"/>
        <item x="1696"/>
        <item x="848"/>
        <item x="1918"/>
        <item x="1689"/>
        <item x="1978"/>
        <item x="290"/>
        <item x="1546"/>
        <item x="1891"/>
        <item x="1165"/>
        <item x="145"/>
        <item x="2425"/>
        <item x="755"/>
        <item x="1538"/>
        <item x="1059"/>
        <item x="2004"/>
        <item x="795"/>
        <item x="1975"/>
        <item x="1910"/>
        <item x="1361"/>
        <item x="448"/>
        <item x="1913"/>
        <item x="1675"/>
        <item x="2015"/>
        <item x="734"/>
        <item x="2028"/>
        <item x="440"/>
        <item x="2380"/>
        <item x="2005"/>
        <item x="1114"/>
        <item x="1764"/>
        <item x="113"/>
        <item x="1791"/>
        <item x="1520"/>
        <item x="868"/>
        <item x="1476"/>
        <item x="944"/>
        <item x="608"/>
        <item x="1148"/>
        <item x="367"/>
        <item x="216"/>
        <item x="1980"/>
        <item x="2383"/>
        <item x="1155"/>
        <item x="126"/>
        <item x="733"/>
        <item x="269"/>
        <item x="2312"/>
        <item x="652"/>
        <item x="343"/>
        <item x="921"/>
        <item x="313"/>
        <item x="1096"/>
        <item x="203"/>
        <item x="2187"/>
        <item x="136"/>
        <item x="1248"/>
        <item x="1985"/>
        <item x="225"/>
        <item x="2209"/>
        <item x="1755"/>
        <item x="1583"/>
        <item x="307"/>
        <item x="600"/>
        <item x="1858"/>
        <item x="135"/>
        <item x="396"/>
        <item x="479"/>
        <item x="1348"/>
        <item x="864"/>
        <item x="2275"/>
        <item x="250"/>
        <item x="1550"/>
        <item x="1097"/>
        <item x="1460"/>
        <item x="305"/>
        <item x="2030"/>
        <item x="52"/>
        <item x="1751"/>
        <item x="1934"/>
        <item x="587"/>
        <item x="567"/>
        <item x="352"/>
        <item x="1742"/>
        <item x="1037"/>
        <item x="830"/>
        <item x="2349"/>
        <item x="2455"/>
        <item x="1458"/>
        <item x="1963"/>
        <item x="875"/>
        <item x="76"/>
        <item x="1523"/>
        <item x="1707"/>
        <item x="1232"/>
        <item x="858"/>
        <item x="598"/>
        <item x="588"/>
        <item x="1940"/>
        <item x="1043"/>
        <item x="494"/>
        <item x="369"/>
        <item x="245"/>
        <item x="787"/>
        <item x="465"/>
        <item x="2422"/>
        <item x="153"/>
        <item x="1289"/>
        <item x="798"/>
        <item x="1660"/>
        <item x="1076"/>
        <item x="596"/>
        <item x="692"/>
        <item x="2262"/>
        <item x="776"/>
        <item x="1172"/>
        <item x="1220"/>
        <item x="116"/>
        <item x="266"/>
        <item x="631"/>
        <item x="46"/>
        <item x="679"/>
        <item x="1605"/>
        <item x="1842"/>
        <item x="1668"/>
        <item x="492"/>
        <item x="1638"/>
        <item x="1106"/>
        <item x="1853"/>
        <item x="1959"/>
        <item x="1561"/>
        <item x="550"/>
        <item x="2271"/>
        <item x="1610"/>
        <item x="2235"/>
        <item x="1024"/>
        <item x="513"/>
        <item x="2074"/>
        <item x="2037"/>
        <item x="1677"/>
        <item x="444"/>
        <item x="2053"/>
        <item x="1904"/>
        <item x="849"/>
        <item x="1440"/>
        <item x="900"/>
        <item x="2112"/>
        <item x="19"/>
        <item x="805"/>
        <item x="1540"/>
        <item x="1502"/>
        <item x="1159"/>
        <item x="751"/>
        <item x="2321"/>
        <item x="1334"/>
        <item x="70"/>
        <item x="177"/>
        <item x="1945"/>
        <item x="2179"/>
        <item x="949"/>
        <item x="323"/>
        <item x="183"/>
        <item x="329"/>
        <item x="800"/>
        <item x="689"/>
        <item x="408"/>
        <item x="917"/>
        <item x="1579"/>
        <item x="519"/>
        <item x="2132"/>
        <item x="592"/>
        <item x="1917"/>
        <item x="2032"/>
        <item x="2506"/>
        <item x="1270"/>
        <item x="968"/>
        <item x="1298"/>
        <item x="2184"/>
        <item x="1929"/>
        <item x="1829"/>
        <item x="1672"/>
        <item x="2203"/>
        <item x="1969"/>
        <item x="2198"/>
        <item x="923"/>
        <item x="2208"/>
        <item x="2452"/>
        <item x="1763"/>
        <item x="4"/>
        <item x="1773"/>
        <item x="1278"/>
        <item x="869"/>
        <item x="2370"/>
        <item x="1652"/>
        <item x="648"/>
        <item x="1404"/>
        <item x="857"/>
        <item x="1191"/>
        <item x="512"/>
        <item x="769"/>
        <item x="966"/>
        <item x="306"/>
        <item x="215"/>
        <item x="650"/>
        <item x="1781"/>
        <item x="1531"/>
        <item x="1854"/>
        <item x="2040"/>
        <item x="1233"/>
        <item x="1759"/>
        <item x="1599"/>
        <item x="62"/>
        <item x="1787"/>
        <item x="1810"/>
        <item x="1900"/>
        <item x="527"/>
        <item x="1632"/>
        <item x="438"/>
        <item x="2332"/>
        <item x="972"/>
        <item x="2100"/>
        <item x="1762"/>
        <item x="1691"/>
        <item x="420"/>
        <item x="1465"/>
        <item x="1663"/>
        <item x="2095"/>
        <item x="2421"/>
        <item x="746"/>
        <item x="735"/>
        <item x="2386"/>
        <item x="2108"/>
        <item x="391"/>
        <item x="1826"/>
        <item x="1452"/>
        <item x="2269"/>
        <item x="783"/>
        <item x="1196"/>
        <item x="2285"/>
        <item x="1555"/>
        <item x="1045"/>
        <item x="2330"/>
        <item x="1730"/>
        <item x="1299"/>
        <item x="824"/>
        <item x="659"/>
        <item x="1362"/>
        <item x="2151"/>
        <item x="2046"/>
        <item x="1524"/>
        <item x="120"/>
        <item x="282"/>
        <item x="818"/>
        <item x="1405"/>
        <item x="14"/>
        <item x="1448"/>
        <item x="1951"/>
        <item x="2064"/>
        <item x="1574"/>
        <item x="2266"/>
        <item x="240"/>
        <item x="66"/>
        <item x="1103"/>
        <item x="1499"/>
        <item x="2148"/>
        <item x="1073"/>
        <item x="2353"/>
        <item x="2224"/>
        <item x="433"/>
        <item x="334"/>
        <item x="453"/>
        <item x="1131"/>
        <item x="2304"/>
        <item x="1389"/>
        <item x="1410"/>
        <item x="1352"/>
        <item x="1558"/>
        <item x="209"/>
        <item x="1814"/>
        <item x="811"/>
        <item x="2417"/>
        <item x="1665"/>
        <item x="2317"/>
        <item x="502"/>
        <item x="1889"/>
        <item x="345"/>
        <item x="2066"/>
        <item x="1922"/>
        <item x="1333"/>
        <item x="2026"/>
        <item x="603"/>
        <item x="929"/>
        <item x="105"/>
        <item x="1242"/>
        <item x="2091"/>
        <item x="1767"/>
        <item x="1450"/>
        <item x="1543"/>
        <item x="6"/>
        <item x="919"/>
        <item x="40"/>
        <item x="2003"/>
        <item x="163"/>
        <item x="218"/>
        <item x="1384"/>
        <item x="802"/>
        <item x="1968"/>
        <item x="510"/>
        <item x="454"/>
        <item x="157"/>
        <item x="90"/>
        <item x="597"/>
        <item x="1459"/>
        <item x="2263"/>
        <item x="237"/>
        <item x="2162"/>
        <item x="1047"/>
        <item x="1001"/>
        <item x="892"/>
        <item x="241"/>
        <item x="538"/>
        <item x="2181"/>
        <item x="2341"/>
        <item x="359"/>
        <item x="2197"/>
        <item x="861"/>
        <item x="1338"/>
        <item x="95"/>
        <item x="2072"/>
        <item x="2171"/>
        <item x="1760"/>
        <item x="1750"/>
        <item x="2301"/>
        <item x="2366"/>
        <item x="1344"/>
        <item x="1439"/>
        <item x="1156"/>
        <item x="2364"/>
        <item x="684"/>
        <item x="552"/>
        <item x="726"/>
        <item x="535"/>
        <item x="1142"/>
        <item x="2103"/>
        <item x="267"/>
        <item x="1725"/>
        <item x="2416"/>
        <item x="2246"/>
        <item x="1995"/>
        <item x="834"/>
        <item x="1535"/>
        <item x="478"/>
        <item x="1604"/>
        <item x="828"/>
        <item x="1406"/>
        <item x="1368"/>
        <item x="350"/>
        <item x="1670"/>
        <item x="442"/>
        <item x="562"/>
        <item x="1890"/>
        <item x="496"/>
        <item x="224"/>
        <item x="2507"/>
        <item x="1038"/>
        <item x="774"/>
        <item x="736"/>
        <item x="2503"/>
        <item x="75"/>
        <item x="1473"/>
        <item x="2013"/>
        <item x="2225"/>
        <item x="1515"/>
        <item x="677"/>
        <item x="887"/>
        <item x="2022"/>
        <item x="1921"/>
        <item x="2403"/>
        <item x="1662"/>
        <item x="1354"/>
        <item x="914"/>
        <item x="1732"/>
        <item x="1373"/>
        <item x="2511"/>
        <item x="970"/>
        <item x="1241"/>
        <item x="213"/>
        <item x="556"/>
        <item x="92"/>
        <item x="259"/>
        <item x="1345"/>
        <item x="822"/>
        <item x="2212"/>
        <item x="1209"/>
        <item x="2461"/>
        <item x="621"/>
        <item x="1053"/>
        <item x="1012"/>
        <item x="1008"/>
        <item x="606"/>
        <item x="185"/>
        <item x="1"/>
        <item x="1850"/>
        <item x="2243"/>
        <item x="72"/>
        <item x="1936"/>
        <item x="1500"/>
        <item x="1928"/>
        <item x="759"/>
        <item x="1213"/>
        <item x="1294"/>
        <item x="1962"/>
        <item x="1091"/>
        <item x="1970"/>
        <item x="42"/>
        <item x="851"/>
        <item x="1571"/>
        <item x="340"/>
        <item x="1247"/>
        <item x="1113"/>
        <item x="578"/>
        <item x="1800"/>
        <item x="1483"/>
        <item x="212"/>
        <item x="1226"/>
        <item x="1906"/>
        <item x="1894"/>
        <item x="1017"/>
        <item x="2082"/>
        <item x="84"/>
        <item x="1731"/>
        <item x="1169"/>
        <item x="1702"/>
        <item x="1284"/>
        <item x="691"/>
        <item x="13"/>
        <item x="98"/>
        <item x="458"/>
        <item x="1509"/>
        <item x="77"/>
        <item x="1083"/>
        <item x="1833"/>
        <item x="1199"/>
        <item x="217"/>
        <item x="1085"/>
        <item x="1712"/>
        <item x="1521"/>
        <item x="2194"/>
        <item x="1340"/>
        <item x="756"/>
        <item x="2429"/>
        <item x="110"/>
        <item x="1178"/>
        <item x="168"/>
        <item x="2047"/>
        <item x="2247"/>
        <item x="488"/>
        <item x="730"/>
        <item x="1622"/>
        <item x="1657"/>
        <item x="221"/>
        <item x="1639"/>
        <item x="143"/>
        <item x="29"/>
        <item x="2029"/>
        <item x="1933"/>
        <item x="1803"/>
        <item x="1301"/>
        <item x="127"/>
        <item x="2214"/>
        <item x="1820"/>
        <item x="2011"/>
        <item x="1919"/>
        <item x="1802"/>
        <item x="1315"/>
        <item x="2096"/>
        <item x="1541"/>
        <item x="328"/>
        <item x="2257"/>
        <item x="1588"/>
        <item x="1862"/>
        <item x="1188"/>
        <item x="1376"/>
        <item x="1620"/>
        <item x="766"/>
        <item x="86"/>
        <item x="993"/>
        <item x="644"/>
        <item x="133"/>
        <item x="2335"/>
        <item x="1614"/>
        <item x="199"/>
        <item x="2329"/>
        <item x="1708"/>
        <item x="2057"/>
        <item x="1100"/>
        <item x="1840"/>
        <item x="208"/>
        <item x="1686"/>
        <item x="2334"/>
        <item x="187"/>
        <item x="2378"/>
        <item x="471"/>
        <item x="80"/>
        <item x="613"/>
        <item x="1442"/>
        <item x="589"/>
        <item x="1002"/>
        <item x="554"/>
        <item x="2097"/>
        <item x="987"/>
        <item x="1370"/>
        <item x="579"/>
        <item x="1061"/>
        <item x="741"/>
        <item x="945"/>
        <item x="151"/>
        <item x="409"/>
        <item x="1598"/>
        <item x="2374"/>
        <item x="2340"/>
        <item x="895"/>
        <item x="799"/>
        <item x="773"/>
        <item x="231"/>
        <item x="995"/>
        <item x="614"/>
        <item x="695"/>
        <item x="78"/>
        <item x="2482"/>
        <item x="2309"/>
        <item x="1715"/>
        <item x="580"/>
        <item x="933"/>
        <item x="1656"/>
        <item x="784"/>
        <item x="319"/>
        <item x="962"/>
        <item x="1568"/>
        <item x="2023"/>
        <item x="1609"/>
        <item x="2223"/>
        <item x="1150"/>
        <item x="147"/>
        <item x="2016"/>
        <item x="1124"/>
        <item x="1182"/>
        <item x="301"/>
        <item x="758"/>
        <item x="637"/>
        <item x="1613"/>
        <item x="2256"/>
        <item x="2267"/>
        <item x="885"/>
        <item x="685"/>
        <item x="1325"/>
        <item x="1115"/>
        <item x="1999"/>
        <item x="942"/>
        <item x="383"/>
        <item x="1079"/>
        <item x="716"/>
        <item x="197"/>
        <item x="1582"/>
        <item x="719"/>
        <item x="2360"/>
        <item x="1435"/>
        <item x="750"/>
        <item x="943"/>
        <item x="704"/>
        <item x="508"/>
        <item x="398"/>
        <item x="1485"/>
        <item x="511"/>
        <item x="1956"/>
        <item x="1848"/>
        <item x="2483"/>
        <item x="703"/>
        <item x="742"/>
        <item x="2346"/>
        <item x="1415"/>
        <item x="1996"/>
        <item x="626"/>
        <item x="2157"/>
        <item x="1032"/>
        <item x="1359"/>
        <item x="1183"/>
        <item x="1201"/>
        <item x="1399"/>
        <item x="522"/>
        <item x="941"/>
        <item x="837"/>
        <item x="1703"/>
        <item x="575"/>
        <item x="1846"/>
        <item x="2253"/>
        <item x="658"/>
        <item x="1522"/>
        <item x="2293"/>
        <item x="130"/>
        <item x="2216"/>
        <item x="1553"/>
        <item x="2289"/>
        <item x="2014"/>
        <item x="1147"/>
        <item x="392"/>
        <item x="1779"/>
        <item x="2238"/>
        <item x="1825"/>
        <item x="2252"/>
        <item x="1685"/>
        <item x="1789"/>
        <item x="1699"/>
        <item x="2167"/>
        <item x="1013"/>
        <item x="1501"/>
        <item x="1774"/>
        <item x="2474"/>
        <item x="1888"/>
        <item x="609"/>
        <item x="292"/>
        <item x="1378"/>
        <item x="293"/>
        <item x="507"/>
        <item x="1621"/>
        <item x="9"/>
        <item x="219"/>
        <item x="1262"/>
        <item x="865"/>
        <item x="1586"/>
        <item x="960"/>
        <item x="1503"/>
        <item x="1570"/>
        <item x="697"/>
        <item x="843"/>
        <item x="1627"/>
        <item x="645"/>
        <item x="1353"/>
        <item x="295"/>
        <item x="1228"/>
        <item x="2432"/>
        <item x="739"/>
        <item x="1811"/>
        <item x="1960"/>
        <item x="2355"/>
        <item x="69"/>
        <item x="2139"/>
        <item x="1635"/>
        <item x="1192"/>
        <item x="2426"/>
        <item x="15"/>
        <item x="2358"/>
        <item x="1170"/>
        <item x="1812"/>
        <item x="583"/>
        <item x="1753"/>
        <item x="1737"/>
        <item x="370"/>
        <item x="198"/>
        <item x="32"/>
        <item x="1411"/>
        <item x="737"/>
        <item x="285"/>
        <item x="1872"/>
        <item x="890"/>
        <item x="2058"/>
        <item x="1279"/>
        <item x="725"/>
        <item x="1747"/>
        <item x="65"/>
        <item x="2439"/>
        <item x="2220"/>
        <item x="2404"/>
        <item x="934"/>
        <item x="661"/>
        <item x="351"/>
        <item x="640"/>
        <item x="1896"/>
        <item x="2007"/>
        <item x="555"/>
        <item x="239"/>
        <item x="1336"/>
        <item x="2359"/>
        <item x="1395"/>
        <item x="2063"/>
        <item x="1831"/>
        <item x="660"/>
        <item x="1312"/>
        <item x="336"/>
        <item x="262"/>
        <item x="196"/>
        <item x="2438"/>
        <item x="417"/>
        <item x="260"/>
        <item x="1185"/>
        <item x="2137"/>
        <item x="2265"/>
        <item x="2130"/>
        <item x="664"/>
        <item x="180"/>
        <item x="1016"/>
        <item x="1472"/>
        <item x="821"/>
        <item x="1697"/>
        <item x="376"/>
        <item x="2038"/>
        <item x="368"/>
        <item x="761"/>
        <item x="399"/>
        <item x="316"/>
        <item x="1873"/>
        <item x="558"/>
        <item x="928"/>
        <item x="663"/>
        <item x="432"/>
        <item x="1837"/>
        <item x="1433"/>
        <item x="2464"/>
        <item x="12"/>
        <item x="34"/>
        <item x="1379"/>
        <item x="1020"/>
        <item x="994"/>
        <item x="1036"/>
        <item x="385"/>
        <item x="2069"/>
        <item x="341"/>
        <item x="1548"/>
        <item x="93"/>
        <item x="317"/>
        <item x="400"/>
        <item x="1915"/>
        <item x="186"/>
        <item x="2487"/>
        <item x="1709"/>
        <item x="1728"/>
        <item x="1082"/>
        <item x="445"/>
        <item x="947"/>
        <item x="2114"/>
        <item x="844"/>
        <item x="780"/>
        <item x="2322"/>
        <item x="1413"/>
        <item x="1467"/>
        <item x="2290"/>
        <item x="2284"/>
        <item x="905"/>
        <item x="1529"/>
        <item x="1313"/>
        <item x="154"/>
        <item x="1630"/>
        <item x="1263"/>
        <item x="2282"/>
        <item x="1118"/>
        <item x="647"/>
        <item x="238"/>
        <item x="71"/>
        <item x="982"/>
        <item x="114"/>
        <item x="2122"/>
        <item x="832"/>
        <item x="353"/>
        <item x="2135"/>
        <item x="358"/>
        <item x="2099"/>
        <item x="1107"/>
        <item x="2102"/>
        <item x="768"/>
        <item x="2090"/>
        <item x="0"/>
        <item x="2270"/>
        <item x="1860"/>
        <item x="636"/>
        <item x="357"/>
        <item x="2261"/>
        <item x="287"/>
        <item x="2190"/>
        <item x="1897"/>
        <item x="785"/>
        <item x="543"/>
        <item x="842"/>
        <item x="1924"/>
        <item x="907"/>
        <item x="446"/>
        <item x="2443"/>
        <item x="557"/>
        <item x="878"/>
        <item x="1998"/>
        <item x="1785"/>
        <item x="2375"/>
        <item x="2240"/>
        <item x="1236"/>
        <item x="560"/>
        <item x="1914"/>
        <item x="576"/>
        <item x="1863"/>
        <item x="1092"/>
        <item x="2092"/>
        <item x="707"/>
        <item x="2127"/>
        <item x="979"/>
        <item x="175"/>
        <item x="1834"/>
        <item x="1019"/>
        <item x="1480"/>
        <item x="223"/>
        <item x="1126"/>
        <item x="35"/>
        <item x="1186"/>
        <item x="771"/>
        <item x="1235"/>
        <item x="2324"/>
        <item x="1443"/>
        <item x="413"/>
        <item x="1937"/>
        <item x="727"/>
        <item x="724"/>
        <item x="339"/>
        <item x="1282"/>
        <item x="2124"/>
        <item x="372"/>
        <item x="2392"/>
        <item x="1056"/>
        <item x="2495"/>
        <item x="503"/>
        <item x="2228"/>
        <item x="1681"/>
        <item x="582"/>
        <item x="149"/>
        <item x="1326"/>
        <item x="419"/>
        <item x="173"/>
        <item x="1069"/>
        <item x="1756"/>
        <item x="2"/>
        <item x="487"/>
        <item x="1430"/>
        <item x="1275"/>
        <item x="1090"/>
        <item x="1286"/>
        <item x="1067"/>
        <item x="2337"/>
        <item x="2447"/>
        <item x="451"/>
        <item x="853"/>
        <item x="1899"/>
        <item x="989"/>
        <item x="82"/>
        <item x="388"/>
        <item x="879"/>
        <item x="601"/>
        <item x="439"/>
        <item x="299"/>
        <item x="1946"/>
        <item x="418"/>
        <item x="515"/>
        <item x="254"/>
        <item x="1847"/>
        <item x="2313"/>
        <item x="948"/>
        <item x="721"/>
        <item x="1296"/>
        <item x="1136"/>
        <item x="712"/>
        <item x="2395"/>
        <item x="1611"/>
        <item x="915"/>
        <item x="1431"/>
        <item x="700"/>
        <item x="2143"/>
        <item x="965"/>
        <item x="2415"/>
        <item x="2272"/>
        <item x="715"/>
        <item x="931"/>
        <item x="1144"/>
        <item x="710"/>
        <item x="2393"/>
        <item x="288"/>
        <item x="1477"/>
        <item x="1381"/>
        <item x="1920"/>
        <item x="1000"/>
        <item x="1988"/>
        <item x="303"/>
        <item x="2205"/>
        <item x="1251"/>
        <item x="321"/>
        <item x="50"/>
        <item x="1770"/>
        <item x="2230"/>
        <item x="83"/>
        <item x="754"/>
        <item x="1865"/>
        <item x="2111"/>
        <item x="204"/>
        <item x="1653"/>
        <item x="348"/>
        <item x="74"/>
        <item x="2371"/>
        <item x="394"/>
        <item x="165"/>
        <item x="2227"/>
        <item x="1044"/>
        <item x="1146"/>
        <item x="58"/>
        <item x="666"/>
        <item x="1466"/>
        <item x="1187"/>
        <item x="605"/>
        <item x="2445"/>
        <item x="2206"/>
        <item x="2264"/>
        <item x="1744"/>
        <item x="1174"/>
        <item x="817"/>
        <item x="2382"/>
        <item x="1234"/>
        <item x="657"/>
        <item x="866"/>
        <item x="354"/>
        <item x="2362"/>
        <item x="2467"/>
        <item x="470"/>
        <item x="1225"/>
        <item x="1125"/>
        <item x="131"/>
        <item x="410"/>
        <item x="1532"/>
        <item x="678"/>
        <item x="2229"/>
        <item x="166"/>
        <item x="1121"/>
        <item x="2254"/>
        <item x="1003"/>
        <item x="2258"/>
        <item x="2268"/>
        <item x="397"/>
        <item x="1424"/>
        <item x="794"/>
        <item x="635"/>
        <item x="1646"/>
        <item x="1051"/>
        <item x="1119"/>
        <item x="786"/>
        <item x="992"/>
        <item x="2473"/>
        <item x="1474"/>
        <item x="2168"/>
        <item x="1911"/>
        <item x="188"/>
        <item x="2060"/>
        <item x="1600"/>
        <item x="246"/>
        <item x="1597"/>
        <item x="1428"/>
        <item x="1636"/>
        <item x="1029"/>
        <item x="427"/>
        <item x="1117"/>
        <item x="2319"/>
        <item x="925"/>
        <item x="314"/>
        <item x="1925"/>
        <item x="1667"/>
        <item x="1108"/>
        <item x="705"/>
        <item x="2410"/>
        <item x="142"/>
        <item x="981"/>
        <item x="2118"/>
        <item x="790"/>
        <item x="618"/>
        <item x="2131"/>
        <item x="161"/>
        <item x="1454"/>
        <item x="1245"/>
        <item x="1288"/>
        <item x="2200"/>
        <item x="315"/>
        <item x="2019"/>
        <item x="860"/>
        <item x="629"/>
        <item x="1916"/>
        <item x="1882"/>
        <item x="585"/>
        <item x="300"/>
        <item x="477"/>
        <item x="243"/>
        <item x="1987"/>
        <item x="872"/>
        <item x="2323"/>
        <item x="1977"/>
        <item x="1149"/>
        <item x="1752"/>
        <item x="829"/>
        <item x="1291"/>
        <item x="2498"/>
        <item x="816"/>
        <item x="958"/>
        <item x="1371"/>
        <item x="2458"/>
        <item x="1938"/>
        <item x="1819"/>
        <item x="1644"/>
        <item x="2222"/>
        <item x="913"/>
        <item x="1720"/>
        <item x="1798"/>
        <item x="975"/>
        <item x="701"/>
        <item x="140"/>
        <item x="2055"/>
        <item x="43"/>
        <item x="1690"/>
        <item x="2183"/>
        <item x="862"/>
        <item x="1778"/>
        <item x="68"/>
        <item x="2154"/>
        <item x="1112"/>
        <item x="67"/>
        <item x="653"/>
        <item x="450"/>
        <item x="2490"/>
        <item x="1211"/>
        <item x="1723"/>
        <item x="1423"/>
        <item x="2088"/>
        <item x="2248"/>
        <item x="2449"/>
        <item x="56"/>
        <item x="916"/>
        <item x="1757"/>
        <item x="1628"/>
        <item x="33"/>
        <item x="324"/>
        <item x="103"/>
        <item x="47"/>
        <item x="1948"/>
        <item x="247"/>
        <item x="1070"/>
        <item x="2508"/>
        <item x="2391"/>
        <item x="690"/>
        <item x="1253"/>
        <item x="2365"/>
        <item x="28"/>
        <item x="2477"/>
        <item x="2297"/>
        <item x="586"/>
        <item x="423"/>
        <item x="1264"/>
        <item x="2081"/>
        <item x="2000"/>
        <item x="680"/>
        <item x="36"/>
        <item x="181"/>
        <item x="937"/>
        <item x="79"/>
        <item x="1741"/>
        <item x="1390"/>
        <item x="744"/>
        <item x="73"/>
        <item x="171"/>
        <item x="1042"/>
        <item x="927"/>
        <item x="242"/>
        <item x="273"/>
        <item x="1366"/>
        <item x="452"/>
        <item x="2067"/>
        <item x="1266"/>
        <item x="584"/>
        <item x="464"/>
        <item x="233"/>
        <item x="1693"/>
        <item x="1993"/>
        <item x="1584"/>
        <item x="667"/>
        <item x="379"/>
        <item x="1493"/>
        <item x="714"/>
        <item x="1486"/>
        <item x="1907"/>
        <item x="2448"/>
        <item x="870"/>
        <item x="1552"/>
        <item x="1942"/>
        <item x="1857"/>
        <item x="880"/>
        <item x="138"/>
        <item x="2325"/>
        <item x="2024"/>
        <item x="298"/>
        <item x="810"/>
        <item x="1040"/>
        <item x="1272"/>
        <item x="894"/>
        <item x="333"/>
        <item x="174"/>
        <item x="564"/>
        <item x="902"/>
        <item x="977"/>
        <item x="426"/>
        <item x="2065"/>
        <item x="443"/>
        <item x="1684"/>
        <item x="2492"/>
        <item x="1444"/>
        <item x="2174"/>
        <item x="1180"/>
        <item x="991"/>
        <item x="1438"/>
        <item x="1827"/>
        <item x="378"/>
        <item x="124"/>
        <item x="156"/>
        <item x="1487"/>
        <item x="1349"/>
        <item x="1018"/>
        <item x="2343"/>
        <item x="1680"/>
        <item x="2163"/>
        <item x="1409"/>
        <item x="2459"/>
        <item x="1516"/>
        <item x="1343"/>
        <item x="2279"/>
        <item x="491"/>
        <item x="59"/>
        <item x="1783"/>
        <item x="401"/>
        <item x="2294"/>
        <item x="2123"/>
        <item x="825"/>
        <item x="1181"/>
        <item x="207"/>
        <item x="137"/>
        <item x="2453"/>
        <item x="698"/>
        <item x="1398"/>
        <item x="2231"/>
        <item x="1230"/>
        <item x="654"/>
        <item x="1855"/>
        <item x="159"/>
        <item x="302"/>
        <item x="1151"/>
        <item x="2250"/>
        <item x="1084"/>
        <item x="91"/>
        <item x="1479"/>
        <item x="111"/>
        <item x="2259"/>
        <item x="1208"/>
        <item x="2076"/>
        <item x="64"/>
        <item x="723"/>
        <item x="278"/>
        <item x="1640"/>
        <item x="1594"/>
        <item x="1229"/>
        <item x="2105"/>
        <item x="1828"/>
        <item x="883"/>
        <item x="693"/>
        <item x="577"/>
        <item x="1990"/>
        <item x="27"/>
        <item x="1138"/>
        <item x="1128"/>
        <item x="308"/>
        <item x="1490"/>
        <item x="1363"/>
        <item x="1817"/>
        <item x="2107"/>
        <item x="638"/>
        <item x="1046"/>
        <item x="337"/>
        <item x="283"/>
        <item x="521"/>
        <item x="2234"/>
        <item x="1099"/>
        <item x="2412"/>
        <item x="903"/>
        <item x="607"/>
        <item x="346"/>
        <item x="1743"/>
        <item x="1421"/>
        <item x="2300"/>
        <item x="888"/>
        <item x="1527"/>
        <item x="176"/>
        <item x="1221"/>
        <item x="1972"/>
        <item x="1661"/>
        <item x="1327"/>
        <item x="330"/>
        <item x="1830"/>
        <item x="361"/>
        <item x="2307"/>
        <item x="1795"/>
        <item x="1249"/>
        <item x="2080"/>
        <item x="2316"/>
        <item x="1190"/>
        <item x="1383"/>
        <item x="694"/>
        <item x="1768"/>
        <item x="1039"/>
        <item x="1048"/>
        <item x="2431"/>
        <item x="569"/>
        <item x="2479"/>
        <item x="466"/>
        <item x="457"/>
        <item x="1839"/>
        <item x="1602"/>
        <item x="1957"/>
        <item x="1396"/>
        <item x="615"/>
        <item x="1893"/>
        <item x="2006"/>
        <item x="2196"/>
        <item x="835"/>
        <item x="2051"/>
        <item x="891"/>
        <item x="263"/>
        <item x="1447"/>
        <item x="984"/>
        <item x="2276"/>
        <item x="728"/>
        <item x="1412"/>
        <item x="2056"/>
        <item x="1021"/>
        <item x="1966"/>
        <item x="1492"/>
        <item x="2160"/>
        <item x="1078"/>
        <item x="467"/>
        <item x="1655"/>
        <item x="2442"/>
        <item x="1979"/>
        <item x="1885"/>
        <item x="184"/>
        <item x="1481"/>
        <item x="2001"/>
        <item x="2424"/>
        <item x="632"/>
        <item x="565"/>
        <item x="405"/>
        <item x="366"/>
        <item x="1565"/>
        <item x="310"/>
        <item x="1784"/>
        <item x="97"/>
        <item x="729"/>
        <item x="2158"/>
        <item x="497"/>
        <item x="1569"/>
        <item x="2513"/>
        <item x="2367"/>
        <item x="1491"/>
        <item x="777"/>
        <item x="1542"/>
        <item x="1237"/>
        <item x="16"/>
        <item x="1314"/>
        <item x="2385"/>
        <item x="1625"/>
        <item x="2133"/>
        <item x="544"/>
        <item x="412"/>
        <item x="456"/>
        <item x="402"/>
        <item x="1023"/>
        <item x="1212"/>
        <item x="100"/>
        <item x="2101"/>
        <item x="214"/>
        <item x="1892"/>
        <item x="655"/>
        <item x="788"/>
        <item x="386"/>
        <item x="938"/>
        <item x="1735"/>
        <item x="682"/>
        <item x="2287"/>
        <item x="952"/>
        <item x="320"/>
        <item x="1173"/>
        <item x="2084"/>
        <item x="3"/>
        <item x="572"/>
        <item x="232"/>
        <item x="1081"/>
        <item x="229"/>
        <item x="980"/>
        <item x="1526"/>
        <item x="1351"/>
        <item x="117"/>
        <item x="2182"/>
        <item x="2204"/>
        <item x="2286"/>
        <item x="275"/>
        <item x="146"/>
        <item x="1596"/>
        <item x="1935"/>
        <item x="517"/>
        <item x="1281"/>
        <item x="375"/>
        <item x="2480"/>
        <item x="782"/>
        <item x="88"/>
        <item x="823"/>
        <item x="1420"/>
        <item x="1590"/>
        <item x="1427"/>
        <item x="2407"/>
        <item x="1086"/>
        <item x="1734"/>
        <item x="2318"/>
        <item x="1560"/>
        <item x="1950"/>
        <item x="803"/>
        <item x="1603"/>
        <item x="906"/>
        <item x="2098"/>
        <item x="1994"/>
        <item x="344"/>
        <item x="1033"/>
        <item x="1330"/>
        <item x="1218"/>
        <item x="493"/>
        <item x="523"/>
        <item x="251"/>
        <item x="781"/>
        <item x="604"/>
        <item x="2239"/>
        <item x="1374"/>
        <item x="2348"/>
        <item x="669"/>
        <item x="2489"/>
        <item x="568"/>
        <item x="1710"/>
        <item x="2129"/>
        <item x="1064"/>
        <item x="2446"/>
        <item x="1706"/>
        <item x="132"/>
        <item x="1280"/>
        <item x="814"/>
        <item x="261"/>
        <item x="210"/>
        <item x="610"/>
        <item x="961"/>
        <item x="591"/>
        <item x="624"/>
        <item x="2039"/>
        <item x="2020"/>
        <item x="57"/>
        <item x="1869"/>
        <item x="2089"/>
        <item x="99"/>
        <item x="2008"/>
        <item x="2059"/>
        <item x="1246"/>
        <item x="1729"/>
        <item x="1618"/>
        <item x="2409"/>
        <item x="1818"/>
        <item x="809"/>
        <item x="1642"/>
        <item x="436"/>
        <item x="1202"/>
        <item x="762"/>
        <item x="2484"/>
        <item x="1700"/>
        <item x="2411"/>
        <item x="179"/>
        <item x="1736"/>
        <item x="1469"/>
        <item x="139"/>
        <item x="2244"/>
        <item x="940"/>
        <item x="1559"/>
        <item x="2485"/>
        <item x="1031"/>
        <item x="1122"/>
        <item x="155"/>
        <item x="2009"/>
        <item x="281"/>
        <item x="387"/>
        <item x="1879"/>
        <item x="1328"/>
        <item x="2311"/>
        <item x="280"/>
        <item x="1547"/>
        <item x="827"/>
        <item x="1130"/>
        <item x="1505"/>
        <item x="836"/>
        <item x="2150"/>
        <item x="806"/>
        <item x="1223"/>
        <item x="2277"/>
        <item x="530"/>
        <item x="922"/>
        <item x="639"/>
        <item x="745"/>
        <item x="1462"/>
        <item x="256"/>
        <item x="1637"/>
        <item x="1380"/>
        <item x="1161"/>
        <item x="1214"/>
        <item x="1028"/>
        <item x="509"/>
        <item x="622"/>
        <item x="969"/>
        <item x="2210"/>
        <item x="1868"/>
        <item x="1958"/>
        <item x="499"/>
        <item x="297"/>
        <item x="1098"/>
        <item x="360"/>
        <item x="996"/>
        <item x="437"/>
        <item x="356"/>
        <item x="2440"/>
        <item x="520"/>
        <item x="2369"/>
        <item x="1198"/>
        <item x="1643"/>
        <item x="911"/>
        <item x="1271"/>
        <item x="1816"/>
        <item x="546"/>
        <item x="1256"/>
        <item x="791"/>
        <item x="506"/>
        <item x="2050"/>
        <item x="1089"/>
        <item x="2152"/>
        <item x="702"/>
        <item x="2437"/>
        <item x="2377"/>
        <item x="193"/>
        <item x="2260"/>
        <item x="421"/>
        <item x="764"/>
        <item x="1771"/>
        <item x="1401"/>
        <item x="2472"/>
        <item x="2042"/>
        <item x="616"/>
        <item x="24"/>
        <item x="1393"/>
        <item x="338"/>
        <item x="1062"/>
        <item x="2149"/>
        <item x="1883"/>
        <item x="2094"/>
        <item x="1861"/>
        <item x="1293"/>
        <item x="838"/>
        <item x="2314"/>
        <item x="956"/>
        <item x="573"/>
        <item x="1116"/>
        <item x="1468"/>
        <item x="676"/>
        <item x="819"/>
        <item x="109"/>
        <item x="548"/>
        <item x="1617"/>
        <item x="1952"/>
        <item x="820"/>
        <item x="665"/>
        <item x="599"/>
        <item x="1698"/>
        <item x="2273"/>
        <item x="581"/>
        <item x="1717"/>
        <item x="1496"/>
        <item x="2113"/>
        <item x="322"/>
        <item x="2468"/>
        <item x="1392"/>
        <item x="1674"/>
        <item x="1986"/>
        <item x="1944"/>
        <item x="1307"/>
        <item x="2145"/>
        <item x="2116"/>
        <item x="49"/>
        <item x="549"/>
        <item x="1713"/>
        <item x="2408"/>
        <item x="699"/>
        <item x="1049"/>
        <item x="1683"/>
        <item x="673"/>
        <item x="1801"/>
        <item x="39"/>
        <item x="1973"/>
        <item x="1157"/>
        <item x="1624"/>
        <item x="2345"/>
        <item x="2121"/>
        <item x="1874"/>
        <item x="1238"/>
        <item x="765"/>
        <item x="374"/>
        <item x="1739"/>
        <item x="2363"/>
        <item x="87"/>
        <item x="1856"/>
        <item x="1095"/>
        <item x="1276"/>
        <item x="2497"/>
        <item x="1168"/>
        <item x="2414"/>
        <item x="430"/>
        <item x="930"/>
        <item x="1109"/>
        <item x="649"/>
        <item x="2068"/>
        <item x="920"/>
        <item x="2186"/>
        <item x="1105"/>
        <item x="967"/>
        <item x="1269"/>
        <item x="620"/>
        <item x="2110"/>
        <item x="1623"/>
        <item x="1877"/>
        <item x="277"/>
        <item x="1329"/>
        <item x="518"/>
        <item x="1129"/>
        <item x="2153"/>
        <item x="1687"/>
        <item x="481"/>
        <item x="108"/>
        <item x="732"/>
        <item x="617"/>
        <item x="490"/>
        <item x="2002"/>
        <item x="1297"/>
        <item x="2470"/>
        <item x="2106"/>
        <item x="162"/>
        <item x="1216"/>
        <item x="1898"/>
        <item x="1549"/>
        <item x="1332"/>
        <item x="1268"/>
        <item x="1311"/>
        <item x="1322"/>
        <item x="7"/>
        <item x="910"/>
        <item x="1758"/>
        <item x="553"/>
        <item x="2045"/>
        <item x="380"/>
        <item x="2070"/>
        <item x="1203"/>
        <item x="2401"/>
        <item x="1120"/>
        <item x="1875"/>
        <item x="134"/>
        <item x="54"/>
        <item x="434"/>
        <item x="289"/>
        <item x="1139"/>
        <item x="1884"/>
        <item x="590"/>
        <item x="625"/>
        <item x="234"/>
        <item x="863"/>
        <item x="1838"/>
        <item x="672"/>
        <item x="1323"/>
        <item x="431"/>
        <item x="270"/>
        <item x="1441"/>
        <item x="1123"/>
        <item x="2405"/>
        <item x="1591"/>
        <item x="856"/>
        <item x="2510"/>
        <item x="1408"/>
        <item x="2460"/>
        <item x="1927"/>
        <item x="363"/>
        <item x="2494"/>
        <item x="2308"/>
        <item x="2245"/>
        <item x="1964"/>
        <item x="1339"/>
        <item x="1346"/>
        <item x="2041"/>
        <item x="1206"/>
        <item x="2402"/>
        <item x="1022"/>
        <item x="1177"/>
        <item x="1426"/>
        <item x="2310"/>
        <item x="60"/>
        <item x="164"/>
        <item x="25"/>
        <item x="1775"/>
        <item x="1058"/>
        <item x="1786"/>
        <item x="1738"/>
        <item x="1845"/>
        <item x="2462"/>
        <item x="2083"/>
        <item x="1132"/>
        <item x="253"/>
        <item x="1171"/>
        <item x="1923"/>
        <item x="717"/>
        <item x="889"/>
        <item x="22"/>
        <item x="1250"/>
        <item x="1722"/>
        <item x="2138"/>
        <item x="1222"/>
        <item x="441"/>
        <item x="874"/>
        <item x="1895"/>
        <item x="1824"/>
        <item x="1342"/>
        <item x="2295"/>
        <item x="529"/>
        <item x="1832"/>
        <item x="1347"/>
        <item x="1309"/>
        <item x="826"/>
        <item x="813"/>
        <item x="1939"/>
        <item x="1025"/>
        <item x="211"/>
        <item x="1901"/>
        <item x="1537"/>
        <item x="2195"/>
        <item x="258"/>
        <item x="1585"/>
        <item x="983"/>
        <item x="1164"/>
        <item x="539"/>
        <item x="2180"/>
        <item x="1551"/>
        <item x="951"/>
        <item x="627"/>
        <item x="318"/>
        <item x="144"/>
        <item x="867"/>
        <item x="1530"/>
        <item x="96"/>
        <item x="2368"/>
        <item x="1010"/>
        <item x="1026"/>
        <item x="2165"/>
        <item x="1497"/>
        <item x="760"/>
        <item x="2073"/>
        <item x="1688"/>
        <item x="447"/>
        <item x="475"/>
        <item x="536"/>
        <item x="2505"/>
        <item x="332"/>
        <item x="2499"/>
        <item x="1557"/>
        <item x="2456"/>
        <item x="1414"/>
        <item x="85"/>
        <item x="1445"/>
        <item x="486"/>
        <item x="1422"/>
        <item x="1539"/>
        <item x="2296"/>
        <item x="812"/>
        <item x="170"/>
        <item x="1908"/>
        <item x="1041"/>
        <item x="2170"/>
        <item x="1790"/>
        <item x="2211"/>
        <item x="1780"/>
        <item x="1259"/>
        <item x="2207"/>
        <item x="2201"/>
        <item x="612"/>
        <item x="1054"/>
        <item x="1633"/>
        <item x="1350"/>
        <item x="364"/>
        <item x="871"/>
        <item x="1193"/>
        <item x="1475"/>
        <item x="720"/>
        <item x="1429"/>
        <item x="257"/>
        <item x="1306"/>
        <item x="284"/>
        <item x="1533"/>
        <item x="1489"/>
        <item x="2488"/>
        <item x="1822"/>
        <item x="2155"/>
        <item x="1792"/>
        <item x="1870"/>
        <item x="1733"/>
        <item x="1302"/>
        <item x="1651"/>
        <item x="1943"/>
        <item x="1563"/>
        <item x="2035"/>
        <item x="953"/>
        <item x="571"/>
        <item x="1011"/>
        <item x="2469"/>
        <item x="1953"/>
        <item x="2435"/>
        <item x="148"/>
        <item x="1766"/>
        <item x="924"/>
        <item x="1273"/>
        <item x="516"/>
        <item x="939"/>
        <item x="504"/>
        <item x="2125"/>
        <item x="2172"/>
        <item x="2232"/>
        <item x="1215"/>
        <item x="1671"/>
        <item x="1175"/>
        <item x="954"/>
        <item x="422"/>
        <item x="831"/>
        <item x="381"/>
        <item x="1726"/>
        <item x="2302"/>
        <item x="222"/>
        <item x="2109"/>
        <item x="1254"/>
        <item x="1386"/>
        <item x="1658"/>
        <item x="713"/>
        <item x="1769"/>
        <item x="976"/>
        <item x="1437"/>
        <item x="1765"/>
        <item x="2274"/>
        <item x="309"/>
        <item x="384"/>
        <item x="998"/>
        <item x="1451"/>
        <item x="683"/>
        <item x="1692"/>
        <item x="1727"/>
        <item x="1714"/>
        <item x="1512"/>
        <item x="1482"/>
        <item x="1587"/>
        <item x="2475"/>
        <item x="2399"/>
        <item x="2305"/>
        <item x="1387"/>
        <item x="1967"/>
        <item x="1841"/>
        <item x="1484"/>
        <item x="1111"/>
        <item x="312"/>
        <item x="342"/>
        <item x="2420"/>
        <item x="2373"/>
        <item x="1436"/>
        <item x="2141"/>
        <item x="2338"/>
        <item x="326"/>
        <item x="365"/>
        <item x="2192"/>
        <item x="2144"/>
        <item x="898"/>
        <item x="1799"/>
        <item x="1788"/>
        <item x="2491"/>
        <item x="1836"/>
        <item x="1876"/>
        <item x="2093"/>
        <item t="default"/>
      </items>
    </pivotField>
    <pivotField showAll="0"/>
    <pivotField showAll="0"/>
    <pivotField numFmtId="1" showAll="0"/>
    <pivotField numFmtId="1" showAll="0"/>
    <pivotField axis="axisRow" showAll="0">
      <items count="26">
        <item x="6"/>
        <item x="20"/>
        <item x="12"/>
        <item x="21"/>
        <item x="0"/>
        <item x="17"/>
        <item x="1"/>
        <item x="3"/>
        <item x="23"/>
        <item x="13"/>
        <item x="11"/>
        <item x="7"/>
        <item x="18"/>
        <item x="2"/>
        <item x="9"/>
        <item x="22"/>
        <item x="24"/>
        <item x="4"/>
        <item x="5"/>
        <item x="16"/>
        <item x="15"/>
        <item x="10"/>
        <item x="19"/>
        <item x="14"/>
        <item x="8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eview_id" fld="0" subtotal="count" baseField="12" baseItem="0"/>
    <dataField name="Average of Rating" fld="6" subtotal="average" baseField="12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9F5CE-7CEF-49AF-8BA2-0863C8E7A0C5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72:B176" firstHeaderRow="1" firstDataRow="1" firstDataCol="1"/>
  <pivotFields count="19">
    <pivotField dataField="1" showAll="0"/>
    <pivotField numFmtId="1" showAll="0"/>
    <pivotField showAll="0"/>
    <pivotField showAll="0"/>
    <pivotField showAll="0"/>
    <pivotField showAll="0"/>
    <pivotField numFmtId="164" showAll="0">
      <items count="7">
        <item x="0"/>
        <item x="1"/>
        <item x="2"/>
        <item x="3"/>
        <item x="4"/>
        <item x="5"/>
        <item t="default"/>
      </items>
    </pivotField>
    <pivotField numFmtId="22" showAll="0">
      <items count="2515">
        <item x="2075"/>
        <item x="150"/>
        <item x="718"/>
        <item x="1267"/>
        <item x="1252"/>
        <item x="1052"/>
        <item x="2376"/>
        <item x="2501"/>
        <item x="2320"/>
        <item x="646"/>
        <item x="593"/>
        <item x="1654"/>
        <item x="1719"/>
        <item x="1145"/>
        <item x="2347"/>
        <item x="681"/>
        <item x="1992"/>
        <item x="1260"/>
        <item x="670"/>
        <item x="1634"/>
        <item x="51"/>
        <item x="1290"/>
        <item x="2406"/>
        <item x="808"/>
        <item x="789"/>
        <item x="2048"/>
        <item x="747"/>
        <item x="2381"/>
        <item x="1676"/>
        <item x="2331"/>
        <item x="2423"/>
        <item x="687"/>
        <item x="525"/>
        <item x="839"/>
        <item x="1961"/>
        <item x="377"/>
        <item x="500"/>
        <item x="1369"/>
        <item x="460"/>
        <item x="909"/>
        <item x="1285"/>
        <item x="2119"/>
        <item x="1566"/>
        <item x="2085"/>
        <item x="1507"/>
        <item x="1488"/>
        <item x="595"/>
        <item x="121"/>
        <item x="2306"/>
        <item x="1365"/>
        <item x="957"/>
        <item x="1014"/>
        <item x="2217"/>
        <item x="1375"/>
        <item x="1513"/>
        <item x="2466"/>
        <item x="1195"/>
        <item x="2288"/>
        <item x="2191"/>
        <item x="1867"/>
        <item x="531"/>
        <item x="2354"/>
        <item x="2120"/>
        <item x="1189"/>
        <item x="226"/>
        <item x="1305"/>
        <item x="935"/>
        <item x="407"/>
        <item x="859"/>
        <item x="2387"/>
        <item x="294"/>
        <item x="1965"/>
        <item x="2352"/>
        <item x="1581"/>
        <item x="674"/>
        <item x="1881"/>
        <item x="1749"/>
        <item x="1317"/>
        <item x="182"/>
        <item x="2185"/>
        <item x="1407"/>
        <item x="1470"/>
        <item x="205"/>
        <item x="2115"/>
        <item x="1335"/>
        <item x="1949"/>
        <item x="2161"/>
        <item x="1141"/>
        <item x="1158"/>
        <item x="1243"/>
        <item x="206"/>
        <item x="873"/>
        <item x="1403"/>
        <item x="1217"/>
        <item x="2140"/>
        <item x="574"/>
        <item x="815"/>
        <item x="1005"/>
        <item x="347"/>
        <item x="1575"/>
        <item x="1066"/>
        <item x="634"/>
        <item x="2430"/>
        <item x="1258"/>
        <item x="561"/>
        <item x="252"/>
        <item x="675"/>
        <item x="1608"/>
        <item x="1511"/>
        <item x="563"/>
        <item x="1463"/>
        <item x="2357"/>
        <item x="2221"/>
        <item x="1716"/>
        <item x="841"/>
        <item x="1204"/>
        <item x="1065"/>
        <item x="2502"/>
        <item x="985"/>
        <item x="997"/>
        <item x="158"/>
        <item x="265"/>
        <item x="1303"/>
        <item x="1912"/>
        <item x="1372"/>
        <item x="1955"/>
        <item x="2465"/>
        <item x="1356"/>
        <item x="406"/>
        <item x="1809"/>
        <item x="1577"/>
        <item x="2169"/>
        <item x="296"/>
        <item x="1578"/>
        <item x="641"/>
        <item x="628"/>
        <item x="2034"/>
        <item x="349"/>
        <item x="2071"/>
        <item x="2496"/>
        <item x="1135"/>
        <item x="189"/>
        <item x="2202"/>
        <item x="2427"/>
        <item x="128"/>
        <item x="963"/>
        <item x="1508"/>
        <item x="1518"/>
        <item x="1453"/>
        <item x="1057"/>
        <item x="1695"/>
        <item x="1718"/>
        <item x="840"/>
        <item x="749"/>
        <item x="2379"/>
        <item x="123"/>
        <item x="1740"/>
        <item x="472"/>
        <item x="8"/>
        <item x="801"/>
        <item x="2027"/>
        <item x="1292"/>
        <item x="1337"/>
        <item x="1498"/>
        <item x="373"/>
        <item x="2078"/>
        <item x="1006"/>
        <item x="1797"/>
        <item x="1102"/>
        <item x="484"/>
        <item x="1377"/>
        <item x="202"/>
        <item x="1283"/>
        <item x="1087"/>
        <item x="94"/>
        <item x="1612"/>
        <item x="990"/>
        <item x="1871"/>
        <item x="31"/>
        <item x="1804"/>
        <item x="505"/>
        <item x="2237"/>
        <item x="2450"/>
        <item x="1308"/>
        <item x="2147"/>
        <item x="2434"/>
        <item x="2178"/>
        <item x="1055"/>
        <item x="462"/>
        <item x="743"/>
        <item x="191"/>
        <item x="2500"/>
        <item x="2339"/>
        <item x="1673"/>
        <item x="1219"/>
        <item x="2176"/>
        <item x="1385"/>
        <item x="2328"/>
        <item x="1947"/>
        <item x="220"/>
        <item x="740"/>
        <item x="1664"/>
        <item x="2166"/>
        <item x="1357"/>
        <item x="172"/>
        <item x="1776"/>
        <item x="37"/>
        <item x="106"/>
        <item x="2471"/>
        <item x="1650"/>
        <item x="1471"/>
        <item x="1619"/>
        <item x="272"/>
        <item x="463"/>
        <item x="2454"/>
        <item x="881"/>
        <item x="1027"/>
        <item x="1989"/>
        <item x="2444"/>
        <item x="668"/>
        <item x="1360"/>
        <item x="271"/>
        <item x="1682"/>
        <item x="1645"/>
        <item x="959"/>
        <item x="1576"/>
        <item x="845"/>
        <item x="688"/>
        <item x="23"/>
        <item x="389"/>
        <item x="545"/>
        <item x="709"/>
        <item x="1772"/>
        <item x="455"/>
        <item x="551"/>
        <item x="1133"/>
        <item x="1137"/>
        <item x="1593"/>
        <item x="955"/>
        <item x="850"/>
        <item x="1239"/>
        <item x="901"/>
        <item x="1166"/>
        <item x="236"/>
        <item x="896"/>
        <item x="1425"/>
        <item x="950"/>
        <item x="696"/>
        <item x="1071"/>
        <item x="1514"/>
        <item x="537"/>
        <item x="904"/>
        <item x="1572"/>
        <item x="485"/>
        <item x="248"/>
        <item x="1592"/>
        <item x="1154"/>
        <item x="498"/>
        <item x="2336"/>
        <item x="201"/>
        <item x="2136"/>
        <item x="779"/>
        <item x="1886"/>
        <item x="1060"/>
        <item x="1068"/>
        <item x="1394"/>
        <item x="1983"/>
        <item x="1997"/>
        <item x="1589"/>
        <item x="38"/>
        <item x="566"/>
        <item x="2164"/>
        <item x="1240"/>
        <item x="2361"/>
        <item x="1461"/>
        <item x="1626"/>
        <item x="2142"/>
        <item x="1093"/>
        <item x="1580"/>
        <item x="107"/>
        <item x="1449"/>
        <item x="1878"/>
        <item x="125"/>
        <item x="633"/>
        <item x="1659"/>
        <item x="390"/>
        <item x="971"/>
        <item x="482"/>
        <item x="2156"/>
        <item x="532"/>
        <item x="1418"/>
        <item x="403"/>
        <item x="2249"/>
        <item x="1815"/>
        <item x="1432"/>
        <item x="877"/>
        <item x="643"/>
        <item x="1648"/>
        <item x="2390"/>
        <item x="1277"/>
        <item x="1573"/>
        <item x="918"/>
        <item x="1601"/>
        <item x="1544"/>
        <item x="1400"/>
        <item x="1647"/>
        <item x="1261"/>
        <item x="1694"/>
        <item x="1007"/>
        <item x="17"/>
        <item x="1063"/>
        <item x="20"/>
        <item x="1110"/>
        <item x="854"/>
        <item x="1711"/>
        <item x="804"/>
        <item x="897"/>
        <item x="129"/>
        <item x="2436"/>
        <item x="1607"/>
        <item x="1745"/>
        <item x="141"/>
        <item x="1300"/>
        <item x="2177"/>
        <item x="1852"/>
        <item x="1152"/>
        <item x="2350"/>
        <item x="2146"/>
        <item x="425"/>
        <item x="936"/>
        <item x="276"/>
        <item x="424"/>
        <item x="1231"/>
        <item x="1556"/>
        <item x="1641"/>
        <item x="656"/>
        <item x="468"/>
        <item x="2189"/>
        <item x="807"/>
        <item x="115"/>
        <item x="1200"/>
        <item x="30"/>
        <item x="2356"/>
        <item x="770"/>
        <item x="2481"/>
        <item x="1666"/>
        <item x="602"/>
        <item x="2428"/>
        <item x="1434"/>
        <item x="1153"/>
        <item x="2281"/>
        <item x="2054"/>
        <item x="190"/>
        <item x="1287"/>
        <item x="2061"/>
        <item x="122"/>
        <item x="195"/>
        <item x="1528"/>
        <item x="2255"/>
        <item x="1088"/>
        <item x="2280"/>
        <item x="2175"/>
        <item x="244"/>
        <item x="1866"/>
        <item x="1160"/>
        <item x="2418"/>
        <item x="501"/>
        <item x="53"/>
        <item x="1504"/>
        <item x="1982"/>
        <item x="1030"/>
        <item x="461"/>
        <item x="1545"/>
        <item x="2226"/>
        <item x="619"/>
        <item x="2128"/>
        <item x="264"/>
        <item x="882"/>
        <item x="899"/>
        <item x="1358"/>
        <item x="793"/>
        <item x="1905"/>
        <item x="249"/>
        <item x="1954"/>
        <item x="89"/>
        <item x="2351"/>
        <item x="429"/>
        <item x="2079"/>
        <item x="642"/>
        <item x="325"/>
        <item x="2251"/>
        <item x="2283"/>
        <item x="1701"/>
        <item x="2242"/>
        <item x="10"/>
        <item x="1050"/>
        <item x="2394"/>
        <item x="757"/>
        <item x="227"/>
        <item x="2213"/>
        <item x="1808"/>
        <item x="2509"/>
        <item x="1035"/>
        <item x="200"/>
        <item x="1455"/>
        <item x="1167"/>
        <item x="988"/>
        <item x="2400"/>
        <item x="1567"/>
        <item x="480"/>
        <item x="235"/>
        <item x="1843"/>
        <item x="2433"/>
        <item x="2062"/>
        <item x="876"/>
        <item x="1080"/>
        <item x="1746"/>
        <item x="2493"/>
        <item x="833"/>
        <item x="44"/>
        <item x="1724"/>
        <item x="926"/>
        <item x="1506"/>
        <item x="2173"/>
        <item x="1880"/>
        <item x="1207"/>
        <item x="2451"/>
        <item x="1127"/>
        <item x="999"/>
        <item x="18"/>
        <item x="2512"/>
        <item x="1341"/>
        <item x="662"/>
        <item x="2303"/>
        <item x="1419"/>
        <item x="2193"/>
        <item x="2388"/>
        <item x="1015"/>
        <item x="2478"/>
        <item x="775"/>
        <item x="255"/>
        <item x="1931"/>
        <item x="2315"/>
        <item x="1274"/>
        <item x="286"/>
        <item x="435"/>
        <item x="528"/>
        <item x="428"/>
        <item x="473"/>
        <item x="778"/>
        <item x="1205"/>
        <item x="393"/>
        <item x="1705"/>
        <item x="2396"/>
        <item x="2476"/>
        <item x="2218"/>
        <item x="2052"/>
        <item x="533"/>
        <item x="1417"/>
        <item x="711"/>
        <item x="1478"/>
        <item x="2159"/>
        <item x="228"/>
        <item x="2389"/>
        <item x="2344"/>
        <item x="194"/>
        <item x="1761"/>
        <item x="772"/>
        <item x="1197"/>
        <item x="2043"/>
        <item x="1034"/>
        <item x="1265"/>
        <item x="178"/>
        <item x="112"/>
        <item x="2486"/>
        <item x="1397"/>
        <item x="230"/>
        <item x="395"/>
        <item x="1909"/>
        <item x="2017"/>
        <item x="514"/>
        <item x="1844"/>
        <item x="1140"/>
        <item x="1101"/>
        <item x="1075"/>
        <item x="1974"/>
        <item x="623"/>
        <item x="1517"/>
        <item x="2215"/>
        <item x="524"/>
        <item x="1971"/>
        <item x="884"/>
        <item x="1616"/>
        <item x="973"/>
        <item x="1176"/>
        <item x="1074"/>
        <item x="1932"/>
        <item x="2457"/>
        <item x="540"/>
        <item x="1510"/>
        <item x="414"/>
        <item x="1930"/>
        <item x="752"/>
        <item x="152"/>
        <item x="796"/>
        <item x="570"/>
        <item x="792"/>
        <item x="2236"/>
        <item x="291"/>
        <item x="893"/>
        <item x="534"/>
        <item x="1534"/>
        <item x="932"/>
        <item x="852"/>
        <item x="1321"/>
        <item x="1179"/>
        <item x="2036"/>
        <item x="2044"/>
        <item x="1679"/>
        <item x="1255"/>
        <item x="118"/>
        <item x="1310"/>
        <item x="2219"/>
        <item x="1525"/>
        <item x="886"/>
        <item x="2018"/>
        <item x="119"/>
        <item x="1388"/>
        <item x="81"/>
        <item x="2199"/>
        <item x="1821"/>
        <item x="1631"/>
        <item x="846"/>
        <item x="2010"/>
        <item x="415"/>
        <item x="1669"/>
        <item x="2012"/>
        <item x="2104"/>
        <item x="101"/>
        <item x="594"/>
        <item x="1163"/>
        <item x="651"/>
        <item x="2291"/>
        <item x="2298"/>
        <item x="1754"/>
        <item x="1295"/>
        <item x="1402"/>
        <item x="611"/>
        <item x="1094"/>
        <item x="311"/>
        <item x="1004"/>
        <item x="748"/>
        <item x="908"/>
        <item x="1562"/>
        <item x="1813"/>
        <item x="1748"/>
        <item x="1864"/>
        <item x="1464"/>
        <item x="2299"/>
        <item x="2413"/>
        <item x="1536"/>
        <item x="1976"/>
        <item x="192"/>
        <item x="1926"/>
        <item x="2077"/>
        <item x="2292"/>
        <item x="2327"/>
        <item x="1194"/>
        <item x="1331"/>
        <item x="2049"/>
        <item x="55"/>
        <item x="1564"/>
        <item x="1794"/>
        <item x="671"/>
        <item x="2463"/>
        <item x="1984"/>
        <item x="382"/>
        <item x="986"/>
        <item x="26"/>
        <item x="1629"/>
        <item x="1519"/>
        <item x="1606"/>
        <item x="1072"/>
        <item x="1615"/>
        <item x="1227"/>
        <item x="411"/>
        <item x="1859"/>
        <item x="5"/>
        <item x="1364"/>
        <item x="1902"/>
        <item x="362"/>
        <item x="797"/>
        <item x="1495"/>
        <item x="45"/>
        <item x="2397"/>
        <item x="104"/>
        <item x="1446"/>
        <item x="978"/>
        <item x="1849"/>
        <item x="335"/>
        <item x="1009"/>
        <item x="686"/>
        <item x="1367"/>
        <item x="2087"/>
        <item x="61"/>
        <item x="63"/>
        <item x="1835"/>
        <item x="2126"/>
        <item x="279"/>
        <item x="1554"/>
        <item x="1782"/>
        <item x="355"/>
        <item x="2326"/>
        <item x="1077"/>
        <item x="2441"/>
        <item x="1678"/>
        <item x="1324"/>
        <item x="1807"/>
        <item x="167"/>
        <item x="2031"/>
        <item x="1319"/>
        <item x="2241"/>
        <item x="1704"/>
        <item x="476"/>
        <item x="2021"/>
        <item x="1316"/>
        <item x="2384"/>
        <item x="1793"/>
        <item x="1184"/>
        <item x="2233"/>
        <item x="2188"/>
        <item x="1318"/>
        <item x="1257"/>
        <item x="1981"/>
        <item x="1143"/>
        <item x="1796"/>
        <item x="547"/>
        <item x="274"/>
        <item x="1941"/>
        <item x="489"/>
        <item x="753"/>
        <item x="912"/>
        <item x="483"/>
        <item x="102"/>
        <item x="946"/>
        <item x="48"/>
        <item x="21"/>
        <item x="1162"/>
        <item x="1104"/>
        <item x="1457"/>
        <item x="630"/>
        <item x="1416"/>
        <item x="1224"/>
        <item x="1777"/>
        <item x="2086"/>
        <item x="855"/>
        <item x="1823"/>
        <item x="706"/>
        <item x="1887"/>
        <item x="1991"/>
        <item x="1382"/>
        <item x="1456"/>
        <item x="1210"/>
        <item x="2117"/>
        <item x="2419"/>
        <item x="2333"/>
        <item x="1304"/>
        <item x="847"/>
        <item x="1244"/>
        <item x="304"/>
        <item x="11"/>
        <item x="1851"/>
        <item x="459"/>
        <item x="2278"/>
        <item x="526"/>
        <item x="1494"/>
        <item x="2025"/>
        <item x="1320"/>
        <item x="449"/>
        <item x="763"/>
        <item x="1721"/>
        <item x="2372"/>
        <item x="1355"/>
        <item x="2342"/>
        <item x="268"/>
        <item x="974"/>
        <item x="474"/>
        <item x="169"/>
        <item x="2033"/>
        <item x="964"/>
        <item x="2134"/>
        <item x="722"/>
        <item x="1595"/>
        <item x="1805"/>
        <item x="708"/>
        <item x="404"/>
        <item x="1806"/>
        <item x="767"/>
        <item x="2398"/>
        <item x="495"/>
        <item x="371"/>
        <item x="327"/>
        <item x="738"/>
        <item x="1391"/>
        <item x="331"/>
        <item x="1134"/>
        <item x="1649"/>
        <item x="416"/>
        <item x="1903"/>
        <item x="469"/>
        <item x="731"/>
        <item x="541"/>
        <item x="542"/>
        <item x="559"/>
        <item x="2504"/>
        <item x="160"/>
        <item x="41"/>
        <item x="1696"/>
        <item x="848"/>
        <item x="1918"/>
        <item x="1689"/>
        <item x="1978"/>
        <item x="290"/>
        <item x="1546"/>
        <item x="1891"/>
        <item x="1165"/>
        <item x="145"/>
        <item x="2425"/>
        <item x="755"/>
        <item x="1538"/>
        <item x="1059"/>
        <item x="2004"/>
        <item x="795"/>
        <item x="1975"/>
        <item x="1910"/>
        <item x="1361"/>
        <item x="448"/>
        <item x="1913"/>
        <item x="1675"/>
        <item x="2015"/>
        <item x="734"/>
        <item x="2028"/>
        <item x="440"/>
        <item x="2380"/>
        <item x="2005"/>
        <item x="1114"/>
        <item x="1764"/>
        <item x="113"/>
        <item x="1791"/>
        <item x="1520"/>
        <item x="868"/>
        <item x="1476"/>
        <item x="944"/>
        <item x="608"/>
        <item x="1148"/>
        <item x="367"/>
        <item x="216"/>
        <item x="1980"/>
        <item x="2383"/>
        <item x="1155"/>
        <item x="126"/>
        <item x="733"/>
        <item x="269"/>
        <item x="2312"/>
        <item x="652"/>
        <item x="343"/>
        <item x="921"/>
        <item x="313"/>
        <item x="1096"/>
        <item x="203"/>
        <item x="2187"/>
        <item x="136"/>
        <item x="1248"/>
        <item x="1985"/>
        <item x="225"/>
        <item x="2209"/>
        <item x="1755"/>
        <item x="1583"/>
        <item x="307"/>
        <item x="600"/>
        <item x="1858"/>
        <item x="135"/>
        <item x="396"/>
        <item x="479"/>
        <item x="1348"/>
        <item x="864"/>
        <item x="2275"/>
        <item x="250"/>
        <item x="1550"/>
        <item x="1097"/>
        <item x="1460"/>
        <item x="305"/>
        <item x="2030"/>
        <item x="52"/>
        <item x="1751"/>
        <item x="1934"/>
        <item x="587"/>
        <item x="567"/>
        <item x="352"/>
        <item x="1742"/>
        <item x="1037"/>
        <item x="830"/>
        <item x="2349"/>
        <item x="2455"/>
        <item x="1458"/>
        <item x="1963"/>
        <item x="875"/>
        <item x="76"/>
        <item x="1523"/>
        <item x="1707"/>
        <item x="1232"/>
        <item x="858"/>
        <item x="598"/>
        <item x="588"/>
        <item x="1940"/>
        <item x="1043"/>
        <item x="494"/>
        <item x="369"/>
        <item x="245"/>
        <item x="787"/>
        <item x="465"/>
        <item x="2422"/>
        <item x="153"/>
        <item x="1289"/>
        <item x="798"/>
        <item x="1660"/>
        <item x="1076"/>
        <item x="596"/>
        <item x="692"/>
        <item x="2262"/>
        <item x="776"/>
        <item x="1172"/>
        <item x="1220"/>
        <item x="116"/>
        <item x="266"/>
        <item x="631"/>
        <item x="46"/>
        <item x="679"/>
        <item x="1605"/>
        <item x="1842"/>
        <item x="1668"/>
        <item x="492"/>
        <item x="1638"/>
        <item x="1106"/>
        <item x="1853"/>
        <item x="1959"/>
        <item x="1561"/>
        <item x="550"/>
        <item x="2271"/>
        <item x="1610"/>
        <item x="2235"/>
        <item x="1024"/>
        <item x="513"/>
        <item x="2074"/>
        <item x="2037"/>
        <item x="1677"/>
        <item x="444"/>
        <item x="2053"/>
        <item x="1904"/>
        <item x="849"/>
        <item x="1440"/>
        <item x="900"/>
        <item x="2112"/>
        <item x="19"/>
        <item x="805"/>
        <item x="1540"/>
        <item x="1502"/>
        <item x="1159"/>
        <item x="751"/>
        <item x="2321"/>
        <item x="1334"/>
        <item x="70"/>
        <item x="177"/>
        <item x="1945"/>
        <item x="2179"/>
        <item x="949"/>
        <item x="323"/>
        <item x="183"/>
        <item x="329"/>
        <item x="800"/>
        <item x="689"/>
        <item x="408"/>
        <item x="917"/>
        <item x="1579"/>
        <item x="519"/>
        <item x="2132"/>
        <item x="592"/>
        <item x="1917"/>
        <item x="2032"/>
        <item x="2506"/>
        <item x="1270"/>
        <item x="968"/>
        <item x="1298"/>
        <item x="2184"/>
        <item x="1929"/>
        <item x="1829"/>
        <item x="1672"/>
        <item x="2203"/>
        <item x="1969"/>
        <item x="2198"/>
        <item x="923"/>
        <item x="2208"/>
        <item x="2452"/>
        <item x="1763"/>
        <item x="4"/>
        <item x="1773"/>
        <item x="1278"/>
        <item x="869"/>
        <item x="2370"/>
        <item x="1652"/>
        <item x="648"/>
        <item x="1404"/>
        <item x="857"/>
        <item x="1191"/>
        <item x="512"/>
        <item x="769"/>
        <item x="966"/>
        <item x="306"/>
        <item x="215"/>
        <item x="650"/>
        <item x="1781"/>
        <item x="1531"/>
        <item x="1854"/>
        <item x="2040"/>
        <item x="1233"/>
        <item x="1759"/>
        <item x="1599"/>
        <item x="62"/>
        <item x="1787"/>
        <item x="1810"/>
        <item x="1900"/>
        <item x="527"/>
        <item x="1632"/>
        <item x="438"/>
        <item x="2332"/>
        <item x="972"/>
        <item x="2100"/>
        <item x="1762"/>
        <item x="1691"/>
        <item x="420"/>
        <item x="1465"/>
        <item x="1663"/>
        <item x="2095"/>
        <item x="2421"/>
        <item x="746"/>
        <item x="735"/>
        <item x="2386"/>
        <item x="2108"/>
        <item x="391"/>
        <item x="1826"/>
        <item x="1452"/>
        <item x="2269"/>
        <item x="783"/>
        <item x="1196"/>
        <item x="2285"/>
        <item x="1555"/>
        <item x="1045"/>
        <item x="2330"/>
        <item x="1730"/>
        <item x="1299"/>
        <item x="824"/>
        <item x="659"/>
        <item x="1362"/>
        <item x="2151"/>
        <item x="2046"/>
        <item x="1524"/>
        <item x="120"/>
        <item x="282"/>
        <item x="818"/>
        <item x="1405"/>
        <item x="14"/>
        <item x="1448"/>
        <item x="1951"/>
        <item x="2064"/>
        <item x="1574"/>
        <item x="2266"/>
        <item x="240"/>
        <item x="66"/>
        <item x="1103"/>
        <item x="1499"/>
        <item x="2148"/>
        <item x="1073"/>
        <item x="2353"/>
        <item x="2224"/>
        <item x="433"/>
        <item x="334"/>
        <item x="453"/>
        <item x="1131"/>
        <item x="2304"/>
        <item x="1389"/>
        <item x="1410"/>
        <item x="1352"/>
        <item x="1558"/>
        <item x="209"/>
        <item x="1814"/>
        <item x="811"/>
        <item x="2417"/>
        <item x="1665"/>
        <item x="2317"/>
        <item x="502"/>
        <item x="1889"/>
        <item x="345"/>
        <item x="2066"/>
        <item x="1922"/>
        <item x="1333"/>
        <item x="2026"/>
        <item x="603"/>
        <item x="929"/>
        <item x="105"/>
        <item x="1242"/>
        <item x="2091"/>
        <item x="1767"/>
        <item x="1450"/>
        <item x="1543"/>
        <item x="6"/>
        <item x="919"/>
        <item x="40"/>
        <item x="2003"/>
        <item x="163"/>
        <item x="218"/>
        <item x="1384"/>
        <item x="802"/>
        <item x="1968"/>
        <item x="510"/>
        <item x="454"/>
        <item x="157"/>
        <item x="90"/>
        <item x="597"/>
        <item x="1459"/>
        <item x="2263"/>
        <item x="237"/>
        <item x="2162"/>
        <item x="1047"/>
        <item x="1001"/>
        <item x="892"/>
        <item x="241"/>
        <item x="538"/>
        <item x="2181"/>
        <item x="2341"/>
        <item x="359"/>
        <item x="2197"/>
        <item x="861"/>
        <item x="1338"/>
        <item x="95"/>
        <item x="2072"/>
        <item x="2171"/>
        <item x="1760"/>
        <item x="1750"/>
        <item x="2301"/>
        <item x="2366"/>
        <item x="1344"/>
        <item x="1439"/>
        <item x="1156"/>
        <item x="2364"/>
        <item x="684"/>
        <item x="552"/>
        <item x="726"/>
        <item x="535"/>
        <item x="1142"/>
        <item x="2103"/>
        <item x="267"/>
        <item x="1725"/>
        <item x="2416"/>
        <item x="2246"/>
        <item x="1995"/>
        <item x="834"/>
        <item x="1535"/>
        <item x="478"/>
        <item x="1604"/>
        <item x="828"/>
        <item x="1406"/>
        <item x="1368"/>
        <item x="350"/>
        <item x="1670"/>
        <item x="442"/>
        <item x="562"/>
        <item x="1890"/>
        <item x="496"/>
        <item x="224"/>
        <item x="2507"/>
        <item x="1038"/>
        <item x="774"/>
        <item x="736"/>
        <item x="2503"/>
        <item x="75"/>
        <item x="1473"/>
        <item x="2013"/>
        <item x="2225"/>
        <item x="1515"/>
        <item x="677"/>
        <item x="887"/>
        <item x="2022"/>
        <item x="1921"/>
        <item x="2403"/>
        <item x="1662"/>
        <item x="1354"/>
        <item x="914"/>
        <item x="1732"/>
        <item x="1373"/>
        <item x="2511"/>
        <item x="970"/>
        <item x="1241"/>
        <item x="213"/>
        <item x="556"/>
        <item x="92"/>
        <item x="259"/>
        <item x="1345"/>
        <item x="822"/>
        <item x="2212"/>
        <item x="1209"/>
        <item x="2461"/>
        <item x="621"/>
        <item x="1053"/>
        <item x="1012"/>
        <item x="1008"/>
        <item x="606"/>
        <item x="185"/>
        <item x="1"/>
        <item x="1850"/>
        <item x="2243"/>
        <item x="72"/>
        <item x="1936"/>
        <item x="1500"/>
        <item x="1928"/>
        <item x="759"/>
        <item x="1213"/>
        <item x="1294"/>
        <item x="1962"/>
        <item x="1091"/>
        <item x="1970"/>
        <item x="42"/>
        <item x="851"/>
        <item x="1571"/>
        <item x="340"/>
        <item x="1247"/>
        <item x="1113"/>
        <item x="578"/>
        <item x="1800"/>
        <item x="1483"/>
        <item x="212"/>
        <item x="1226"/>
        <item x="1906"/>
        <item x="1894"/>
        <item x="1017"/>
        <item x="2082"/>
        <item x="84"/>
        <item x="1731"/>
        <item x="1169"/>
        <item x="1702"/>
        <item x="1284"/>
        <item x="691"/>
        <item x="13"/>
        <item x="98"/>
        <item x="458"/>
        <item x="1509"/>
        <item x="77"/>
        <item x="1083"/>
        <item x="1833"/>
        <item x="1199"/>
        <item x="217"/>
        <item x="1085"/>
        <item x="1712"/>
        <item x="1521"/>
        <item x="2194"/>
        <item x="1340"/>
        <item x="756"/>
        <item x="2429"/>
        <item x="110"/>
        <item x="1178"/>
        <item x="168"/>
        <item x="2047"/>
        <item x="2247"/>
        <item x="488"/>
        <item x="730"/>
        <item x="1622"/>
        <item x="1657"/>
        <item x="221"/>
        <item x="1639"/>
        <item x="143"/>
        <item x="29"/>
        <item x="2029"/>
        <item x="1933"/>
        <item x="1803"/>
        <item x="1301"/>
        <item x="127"/>
        <item x="2214"/>
        <item x="1820"/>
        <item x="2011"/>
        <item x="1919"/>
        <item x="1802"/>
        <item x="1315"/>
        <item x="2096"/>
        <item x="1541"/>
        <item x="328"/>
        <item x="2257"/>
        <item x="1588"/>
        <item x="1862"/>
        <item x="1188"/>
        <item x="1376"/>
        <item x="1620"/>
        <item x="766"/>
        <item x="86"/>
        <item x="993"/>
        <item x="644"/>
        <item x="133"/>
        <item x="2335"/>
        <item x="1614"/>
        <item x="199"/>
        <item x="2329"/>
        <item x="1708"/>
        <item x="2057"/>
        <item x="1100"/>
        <item x="1840"/>
        <item x="208"/>
        <item x="1686"/>
        <item x="2334"/>
        <item x="187"/>
        <item x="2378"/>
        <item x="471"/>
        <item x="80"/>
        <item x="613"/>
        <item x="1442"/>
        <item x="589"/>
        <item x="1002"/>
        <item x="554"/>
        <item x="2097"/>
        <item x="987"/>
        <item x="1370"/>
        <item x="579"/>
        <item x="1061"/>
        <item x="741"/>
        <item x="945"/>
        <item x="151"/>
        <item x="409"/>
        <item x="1598"/>
        <item x="2374"/>
        <item x="2340"/>
        <item x="895"/>
        <item x="799"/>
        <item x="773"/>
        <item x="231"/>
        <item x="995"/>
        <item x="614"/>
        <item x="695"/>
        <item x="78"/>
        <item x="2482"/>
        <item x="2309"/>
        <item x="1715"/>
        <item x="580"/>
        <item x="933"/>
        <item x="1656"/>
        <item x="784"/>
        <item x="319"/>
        <item x="962"/>
        <item x="1568"/>
        <item x="2023"/>
        <item x="1609"/>
        <item x="2223"/>
        <item x="1150"/>
        <item x="147"/>
        <item x="2016"/>
        <item x="1124"/>
        <item x="1182"/>
        <item x="301"/>
        <item x="758"/>
        <item x="637"/>
        <item x="1613"/>
        <item x="2256"/>
        <item x="2267"/>
        <item x="885"/>
        <item x="685"/>
        <item x="1325"/>
        <item x="1115"/>
        <item x="1999"/>
        <item x="942"/>
        <item x="383"/>
        <item x="1079"/>
        <item x="716"/>
        <item x="197"/>
        <item x="1582"/>
        <item x="719"/>
        <item x="2360"/>
        <item x="1435"/>
        <item x="750"/>
        <item x="943"/>
        <item x="704"/>
        <item x="508"/>
        <item x="398"/>
        <item x="1485"/>
        <item x="511"/>
        <item x="1956"/>
        <item x="1848"/>
        <item x="2483"/>
        <item x="703"/>
        <item x="742"/>
        <item x="2346"/>
        <item x="1415"/>
        <item x="1996"/>
        <item x="626"/>
        <item x="2157"/>
        <item x="1032"/>
        <item x="1359"/>
        <item x="1183"/>
        <item x="1201"/>
        <item x="1399"/>
        <item x="522"/>
        <item x="941"/>
        <item x="837"/>
        <item x="1703"/>
        <item x="575"/>
        <item x="1846"/>
        <item x="2253"/>
        <item x="658"/>
        <item x="1522"/>
        <item x="2293"/>
        <item x="130"/>
        <item x="2216"/>
        <item x="1553"/>
        <item x="2289"/>
        <item x="2014"/>
        <item x="1147"/>
        <item x="392"/>
        <item x="1779"/>
        <item x="2238"/>
        <item x="1825"/>
        <item x="2252"/>
        <item x="1685"/>
        <item x="1789"/>
        <item x="1699"/>
        <item x="2167"/>
        <item x="1013"/>
        <item x="1501"/>
        <item x="1774"/>
        <item x="2474"/>
        <item x="1888"/>
        <item x="609"/>
        <item x="292"/>
        <item x="1378"/>
        <item x="293"/>
        <item x="507"/>
        <item x="1621"/>
        <item x="9"/>
        <item x="219"/>
        <item x="1262"/>
        <item x="865"/>
        <item x="1586"/>
        <item x="960"/>
        <item x="1503"/>
        <item x="1570"/>
        <item x="697"/>
        <item x="843"/>
        <item x="1627"/>
        <item x="645"/>
        <item x="1353"/>
        <item x="295"/>
        <item x="1228"/>
        <item x="2432"/>
        <item x="739"/>
        <item x="1811"/>
        <item x="1960"/>
        <item x="2355"/>
        <item x="69"/>
        <item x="2139"/>
        <item x="1635"/>
        <item x="1192"/>
        <item x="2426"/>
        <item x="15"/>
        <item x="2358"/>
        <item x="1170"/>
        <item x="1812"/>
        <item x="583"/>
        <item x="1753"/>
        <item x="1737"/>
        <item x="370"/>
        <item x="198"/>
        <item x="32"/>
        <item x="1411"/>
        <item x="737"/>
        <item x="285"/>
        <item x="1872"/>
        <item x="890"/>
        <item x="2058"/>
        <item x="1279"/>
        <item x="725"/>
        <item x="1747"/>
        <item x="65"/>
        <item x="2439"/>
        <item x="2220"/>
        <item x="2404"/>
        <item x="934"/>
        <item x="661"/>
        <item x="351"/>
        <item x="640"/>
        <item x="1896"/>
        <item x="2007"/>
        <item x="555"/>
        <item x="239"/>
        <item x="1336"/>
        <item x="2359"/>
        <item x="1395"/>
        <item x="2063"/>
        <item x="1831"/>
        <item x="660"/>
        <item x="1312"/>
        <item x="336"/>
        <item x="262"/>
        <item x="196"/>
        <item x="2438"/>
        <item x="417"/>
        <item x="260"/>
        <item x="1185"/>
        <item x="2137"/>
        <item x="2265"/>
        <item x="2130"/>
        <item x="664"/>
        <item x="180"/>
        <item x="1016"/>
        <item x="1472"/>
        <item x="821"/>
        <item x="1697"/>
        <item x="376"/>
        <item x="2038"/>
        <item x="368"/>
        <item x="761"/>
        <item x="399"/>
        <item x="316"/>
        <item x="1873"/>
        <item x="558"/>
        <item x="928"/>
        <item x="663"/>
        <item x="432"/>
        <item x="1837"/>
        <item x="1433"/>
        <item x="2464"/>
        <item x="12"/>
        <item x="34"/>
        <item x="1379"/>
        <item x="1020"/>
        <item x="994"/>
        <item x="1036"/>
        <item x="385"/>
        <item x="2069"/>
        <item x="341"/>
        <item x="1548"/>
        <item x="93"/>
        <item x="317"/>
        <item x="400"/>
        <item x="1915"/>
        <item x="186"/>
        <item x="2487"/>
        <item x="1709"/>
        <item x="1728"/>
        <item x="1082"/>
        <item x="445"/>
        <item x="947"/>
        <item x="2114"/>
        <item x="844"/>
        <item x="780"/>
        <item x="2322"/>
        <item x="1413"/>
        <item x="1467"/>
        <item x="2290"/>
        <item x="2284"/>
        <item x="905"/>
        <item x="1529"/>
        <item x="1313"/>
        <item x="154"/>
        <item x="1630"/>
        <item x="1263"/>
        <item x="2282"/>
        <item x="1118"/>
        <item x="647"/>
        <item x="238"/>
        <item x="71"/>
        <item x="982"/>
        <item x="114"/>
        <item x="2122"/>
        <item x="832"/>
        <item x="353"/>
        <item x="2135"/>
        <item x="358"/>
        <item x="2099"/>
        <item x="1107"/>
        <item x="2102"/>
        <item x="768"/>
        <item x="2090"/>
        <item x="0"/>
        <item x="2270"/>
        <item x="1860"/>
        <item x="636"/>
        <item x="357"/>
        <item x="2261"/>
        <item x="287"/>
        <item x="2190"/>
        <item x="1897"/>
        <item x="785"/>
        <item x="543"/>
        <item x="842"/>
        <item x="1924"/>
        <item x="907"/>
        <item x="446"/>
        <item x="2443"/>
        <item x="557"/>
        <item x="878"/>
        <item x="1998"/>
        <item x="1785"/>
        <item x="2375"/>
        <item x="2240"/>
        <item x="1236"/>
        <item x="560"/>
        <item x="1914"/>
        <item x="576"/>
        <item x="1863"/>
        <item x="1092"/>
        <item x="2092"/>
        <item x="707"/>
        <item x="2127"/>
        <item x="979"/>
        <item x="175"/>
        <item x="1834"/>
        <item x="1019"/>
        <item x="1480"/>
        <item x="223"/>
        <item x="1126"/>
        <item x="35"/>
        <item x="1186"/>
        <item x="771"/>
        <item x="1235"/>
        <item x="2324"/>
        <item x="1443"/>
        <item x="413"/>
        <item x="1937"/>
        <item x="727"/>
        <item x="724"/>
        <item x="339"/>
        <item x="1282"/>
        <item x="2124"/>
        <item x="372"/>
        <item x="2392"/>
        <item x="1056"/>
        <item x="2495"/>
        <item x="503"/>
        <item x="2228"/>
        <item x="1681"/>
        <item x="582"/>
        <item x="149"/>
        <item x="1326"/>
        <item x="419"/>
        <item x="173"/>
        <item x="1069"/>
        <item x="1756"/>
        <item x="2"/>
        <item x="487"/>
        <item x="1430"/>
        <item x="1275"/>
        <item x="1090"/>
        <item x="1286"/>
        <item x="1067"/>
        <item x="2337"/>
        <item x="2447"/>
        <item x="451"/>
        <item x="853"/>
        <item x="1899"/>
        <item x="989"/>
        <item x="82"/>
        <item x="388"/>
        <item x="879"/>
        <item x="601"/>
        <item x="439"/>
        <item x="299"/>
        <item x="1946"/>
        <item x="418"/>
        <item x="515"/>
        <item x="254"/>
        <item x="1847"/>
        <item x="2313"/>
        <item x="948"/>
        <item x="721"/>
        <item x="1296"/>
        <item x="1136"/>
        <item x="712"/>
        <item x="2395"/>
        <item x="1611"/>
        <item x="915"/>
        <item x="1431"/>
        <item x="700"/>
        <item x="2143"/>
        <item x="965"/>
        <item x="2415"/>
        <item x="2272"/>
        <item x="715"/>
        <item x="931"/>
        <item x="1144"/>
        <item x="710"/>
        <item x="2393"/>
        <item x="288"/>
        <item x="1477"/>
        <item x="1381"/>
        <item x="1920"/>
        <item x="1000"/>
        <item x="1988"/>
        <item x="303"/>
        <item x="2205"/>
        <item x="1251"/>
        <item x="321"/>
        <item x="50"/>
        <item x="1770"/>
        <item x="2230"/>
        <item x="83"/>
        <item x="754"/>
        <item x="1865"/>
        <item x="2111"/>
        <item x="204"/>
        <item x="1653"/>
        <item x="348"/>
        <item x="74"/>
        <item x="2371"/>
        <item x="394"/>
        <item x="165"/>
        <item x="2227"/>
        <item x="1044"/>
        <item x="1146"/>
        <item x="58"/>
        <item x="666"/>
        <item x="1466"/>
        <item x="1187"/>
        <item x="605"/>
        <item x="2445"/>
        <item x="2206"/>
        <item x="2264"/>
        <item x="1744"/>
        <item x="1174"/>
        <item x="817"/>
        <item x="2382"/>
        <item x="1234"/>
        <item x="657"/>
        <item x="866"/>
        <item x="354"/>
        <item x="2362"/>
        <item x="2467"/>
        <item x="470"/>
        <item x="1225"/>
        <item x="1125"/>
        <item x="131"/>
        <item x="410"/>
        <item x="1532"/>
        <item x="678"/>
        <item x="2229"/>
        <item x="166"/>
        <item x="1121"/>
        <item x="2254"/>
        <item x="1003"/>
        <item x="2258"/>
        <item x="2268"/>
        <item x="397"/>
        <item x="1424"/>
        <item x="794"/>
        <item x="635"/>
        <item x="1646"/>
        <item x="1051"/>
        <item x="1119"/>
        <item x="786"/>
        <item x="992"/>
        <item x="2473"/>
        <item x="1474"/>
        <item x="2168"/>
        <item x="1911"/>
        <item x="188"/>
        <item x="2060"/>
        <item x="1600"/>
        <item x="246"/>
        <item x="1597"/>
        <item x="1428"/>
        <item x="1636"/>
        <item x="1029"/>
        <item x="427"/>
        <item x="1117"/>
        <item x="2319"/>
        <item x="925"/>
        <item x="314"/>
        <item x="1925"/>
        <item x="1667"/>
        <item x="1108"/>
        <item x="705"/>
        <item x="2410"/>
        <item x="142"/>
        <item x="981"/>
        <item x="2118"/>
        <item x="790"/>
        <item x="618"/>
        <item x="2131"/>
        <item x="161"/>
        <item x="1454"/>
        <item x="1245"/>
        <item x="1288"/>
        <item x="2200"/>
        <item x="315"/>
        <item x="2019"/>
        <item x="860"/>
        <item x="629"/>
        <item x="1916"/>
        <item x="1882"/>
        <item x="585"/>
        <item x="300"/>
        <item x="477"/>
        <item x="243"/>
        <item x="1987"/>
        <item x="872"/>
        <item x="2323"/>
        <item x="1977"/>
        <item x="1149"/>
        <item x="1752"/>
        <item x="829"/>
        <item x="1291"/>
        <item x="2498"/>
        <item x="816"/>
        <item x="958"/>
        <item x="1371"/>
        <item x="2458"/>
        <item x="1938"/>
        <item x="1819"/>
        <item x="1644"/>
        <item x="2222"/>
        <item x="913"/>
        <item x="1720"/>
        <item x="1798"/>
        <item x="975"/>
        <item x="701"/>
        <item x="140"/>
        <item x="2055"/>
        <item x="43"/>
        <item x="1690"/>
        <item x="2183"/>
        <item x="862"/>
        <item x="1778"/>
        <item x="68"/>
        <item x="2154"/>
        <item x="1112"/>
        <item x="67"/>
        <item x="653"/>
        <item x="450"/>
        <item x="2490"/>
        <item x="1211"/>
        <item x="1723"/>
        <item x="1423"/>
        <item x="2088"/>
        <item x="2248"/>
        <item x="2449"/>
        <item x="56"/>
        <item x="916"/>
        <item x="1757"/>
        <item x="1628"/>
        <item x="33"/>
        <item x="324"/>
        <item x="103"/>
        <item x="47"/>
        <item x="1948"/>
        <item x="247"/>
        <item x="1070"/>
        <item x="2508"/>
        <item x="2391"/>
        <item x="690"/>
        <item x="1253"/>
        <item x="2365"/>
        <item x="28"/>
        <item x="2477"/>
        <item x="2297"/>
        <item x="586"/>
        <item x="423"/>
        <item x="1264"/>
        <item x="2081"/>
        <item x="2000"/>
        <item x="680"/>
        <item x="36"/>
        <item x="181"/>
        <item x="937"/>
        <item x="79"/>
        <item x="1741"/>
        <item x="1390"/>
        <item x="744"/>
        <item x="73"/>
        <item x="171"/>
        <item x="1042"/>
        <item x="927"/>
        <item x="242"/>
        <item x="273"/>
        <item x="1366"/>
        <item x="452"/>
        <item x="2067"/>
        <item x="1266"/>
        <item x="584"/>
        <item x="464"/>
        <item x="233"/>
        <item x="1693"/>
        <item x="1993"/>
        <item x="1584"/>
        <item x="667"/>
        <item x="379"/>
        <item x="1493"/>
        <item x="714"/>
        <item x="1486"/>
        <item x="1907"/>
        <item x="2448"/>
        <item x="870"/>
        <item x="1552"/>
        <item x="1942"/>
        <item x="1857"/>
        <item x="880"/>
        <item x="138"/>
        <item x="2325"/>
        <item x="2024"/>
        <item x="298"/>
        <item x="810"/>
        <item x="1040"/>
        <item x="1272"/>
        <item x="894"/>
        <item x="333"/>
        <item x="174"/>
        <item x="564"/>
        <item x="902"/>
        <item x="977"/>
        <item x="426"/>
        <item x="2065"/>
        <item x="443"/>
        <item x="1684"/>
        <item x="2492"/>
        <item x="1444"/>
        <item x="2174"/>
        <item x="1180"/>
        <item x="991"/>
        <item x="1438"/>
        <item x="1827"/>
        <item x="378"/>
        <item x="124"/>
        <item x="156"/>
        <item x="1487"/>
        <item x="1349"/>
        <item x="1018"/>
        <item x="2343"/>
        <item x="1680"/>
        <item x="2163"/>
        <item x="1409"/>
        <item x="2459"/>
        <item x="1516"/>
        <item x="1343"/>
        <item x="2279"/>
        <item x="491"/>
        <item x="59"/>
        <item x="1783"/>
        <item x="401"/>
        <item x="2294"/>
        <item x="2123"/>
        <item x="825"/>
        <item x="1181"/>
        <item x="207"/>
        <item x="137"/>
        <item x="2453"/>
        <item x="698"/>
        <item x="1398"/>
        <item x="2231"/>
        <item x="1230"/>
        <item x="654"/>
        <item x="1855"/>
        <item x="159"/>
        <item x="302"/>
        <item x="1151"/>
        <item x="2250"/>
        <item x="1084"/>
        <item x="91"/>
        <item x="1479"/>
        <item x="111"/>
        <item x="2259"/>
        <item x="1208"/>
        <item x="2076"/>
        <item x="64"/>
        <item x="723"/>
        <item x="278"/>
        <item x="1640"/>
        <item x="1594"/>
        <item x="1229"/>
        <item x="2105"/>
        <item x="1828"/>
        <item x="883"/>
        <item x="693"/>
        <item x="577"/>
        <item x="1990"/>
        <item x="27"/>
        <item x="1138"/>
        <item x="1128"/>
        <item x="308"/>
        <item x="1490"/>
        <item x="1363"/>
        <item x="1817"/>
        <item x="2107"/>
        <item x="638"/>
        <item x="1046"/>
        <item x="337"/>
        <item x="283"/>
        <item x="521"/>
        <item x="2234"/>
        <item x="1099"/>
        <item x="2412"/>
        <item x="903"/>
        <item x="607"/>
        <item x="346"/>
        <item x="1743"/>
        <item x="1421"/>
        <item x="2300"/>
        <item x="888"/>
        <item x="1527"/>
        <item x="176"/>
        <item x="1221"/>
        <item x="1972"/>
        <item x="1661"/>
        <item x="1327"/>
        <item x="330"/>
        <item x="1830"/>
        <item x="361"/>
        <item x="2307"/>
        <item x="1795"/>
        <item x="1249"/>
        <item x="2080"/>
        <item x="2316"/>
        <item x="1190"/>
        <item x="1383"/>
        <item x="694"/>
        <item x="1768"/>
        <item x="1039"/>
        <item x="1048"/>
        <item x="2431"/>
        <item x="569"/>
        <item x="2479"/>
        <item x="466"/>
        <item x="457"/>
        <item x="1839"/>
        <item x="1602"/>
        <item x="1957"/>
        <item x="1396"/>
        <item x="615"/>
        <item x="1893"/>
        <item x="2006"/>
        <item x="2196"/>
        <item x="835"/>
        <item x="2051"/>
        <item x="891"/>
        <item x="263"/>
        <item x="1447"/>
        <item x="984"/>
        <item x="2276"/>
        <item x="728"/>
        <item x="1412"/>
        <item x="2056"/>
        <item x="1021"/>
        <item x="1966"/>
        <item x="1492"/>
        <item x="2160"/>
        <item x="1078"/>
        <item x="467"/>
        <item x="1655"/>
        <item x="2442"/>
        <item x="1979"/>
        <item x="1885"/>
        <item x="184"/>
        <item x="1481"/>
        <item x="2001"/>
        <item x="2424"/>
        <item x="632"/>
        <item x="565"/>
        <item x="405"/>
        <item x="366"/>
        <item x="1565"/>
        <item x="310"/>
        <item x="1784"/>
        <item x="97"/>
        <item x="729"/>
        <item x="2158"/>
        <item x="497"/>
        <item x="1569"/>
        <item x="2513"/>
        <item x="2367"/>
        <item x="1491"/>
        <item x="777"/>
        <item x="1542"/>
        <item x="1237"/>
        <item x="16"/>
        <item x="1314"/>
        <item x="2385"/>
        <item x="1625"/>
        <item x="2133"/>
        <item x="544"/>
        <item x="412"/>
        <item x="456"/>
        <item x="402"/>
        <item x="1023"/>
        <item x="1212"/>
        <item x="100"/>
        <item x="2101"/>
        <item x="214"/>
        <item x="1892"/>
        <item x="655"/>
        <item x="788"/>
        <item x="386"/>
        <item x="938"/>
        <item x="1735"/>
        <item x="682"/>
        <item x="2287"/>
        <item x="952"/>
        <item x="320"/>
        <item x="1173"/>
        <item x="2084"/>
        <item x="3"/>
        <item x="572"/>
        <item x="232"/>
        <item x="1081"/>
        <item x="229"/>
        <item x="980"/>
        <item x="1526"/>
        <item x="1351"/>
        <item x="117"/>
        <item x="2182"/>
        <item x="2204"/>
        <item x="2286"/>
        <item x="275"/>
        <item x="146"/>
        <item x="1596"/>
        <item x="1935"/>
        <item x="517"/>
        <item x="1281"/>
        <item x="375"/>
        <item x="2480"/>
        <item x="782"/>
        <item x="88"/>
        <item x="823"/>
        <item x="1420"/>
        <item x="1590"/>
        <item x="1427"/>
        <item x="2407"/>
        <item x="1086"/>
        <item x="1734"/>
        <item x="2318"/>
        <item x="1560"/>
        <item x="1950"/>
        <item x="803"/>
        <item x="1603"/>
        <item x="906"/>
        <item x="2098"/>
        <item x="1994"/>
        <item x="344"/>
        <item x="1033"/>
        <item x="1330"/>
        <item x="1218"/>
        <item x="493"/>
        <item x="523"/>
        <item x="251"/>
        <item x="781"/>
        <item x="604"/>
        <item x="2239"/>
        <item x="1374"/>
        <item x="2348"/>
        <item x="669"/>
        <item x="2489"/>
        <item x="568"/>
        <item x="1710"/>
        <item x="2129"/>
        <item x="1064"/>
        <item x="2446"/>
        <item x="1706"/>
        <item x="132"/>
        <item x="1280"/>
        <item x="814"/>
        <item x="261"/>
        <item x="210"/>
        <item x="610"/>
        <item x="961"/>
        <item x="591"/>
        <item x="624"/>
        <item x="2039"/>
        <item x="2020"/>
        <item x="57"/>
        <item x="1869"/>
        <item x="2089"/>
        <item x="99"/>
        <item x="2008"/>
        <item x="2059"/>
        <item x="1246"/>
        <item x="1729"/>
        <item x="1618"/>
        <item x="2409"/>
        <item x="1818"/>
        <item x="809"/>
        <item x="1642"/>
        <item x="436"/>
        <item x="1202"/>
        <item x="762"/>
        <item x="2484"/>
        <item x="1700"/>
        <item x="2411"/>
        <item x="179"/>
        <item x="1736"/>
        <item x="1469"/>
        <item x="139"/>
        <item x="2244"/>
        <item x="940"/>
        <item x="1559"/>
        <item x="2485"/>
        <item x="1031"/>
        <item x="1122"/>
        <item x="155"/>
        <item x="2009"/>
        <item x="281"/>
        <item x="387"/>
        <item x="1879"/>
        <item x="1328"/>
        <item x="2311"/>
        <item x="280"/>
        <item x="1547"/>
        <item x="827"/>
        <item x="1130"/>
        <item x="1505"/>
        <item x="836"/>
        <item x="2150"/>
        <item x="806"/>
        <item x="1223"/>
        <item x="2277"/>
        <item x="530"/>
        <item x="922"/>
        <item x="639"/>
        <item x="745"/>
        <item x="1462"/>
        <item x="256"/>
        <item x="1637"/>
        <item x="1380"/>
        <item x="1161"/>
        <item x="1214"/>
        <item x="1028"/>
        <item x="509"/>
        <item x="622"/>
        <item x="969"/>
        <item x="2210"/>
        <item x="1868"/>
        <item x="1958"/>
        <item x="499"/>
        <item x="297"/>
        <item x="1098"/>
        <item x="360"/>
        <item x="996"/>
        <item x="437"/>
        <item x="356"/>
        <item x="2440"/>
        <item x="520"/>
        <item x="2369"/>
        <item x="1198"/>
        <item x="1643"/>
        <item x="911"/>
        <item x="1271"/>
        <item x="1816"/>
        <item x="546"/>
        <item x="1256"/>
        <item x="791"/>
        <item x="506"/>
        <item x="2050"/>
        <item x="1089"/>
        <item x="2152"/>
        <item x="702"/>
        <item x="2437"/>
        <item x="2377"/>
        <item x="193"/>
        <item x="2260"/>
        <item x="421"/>
        <item x="764"/>
        <item x="1771"/>
        <item x="1401"/>
        <item x="2472"/>
        <item x="2042"/>
        <item x="616"/>
        <item x="24"/>
        <item x="1393"/>
        <item x="338"/>
        <item x="1062"/>
        <item x="2149"/>
        <item x="1883"/>
        <item x="2094"/>
        <item x="1861"/>
        <item x="1293"/>
        <item x="838"/>
        <item x="2314"/>
        <item x="956"/>
        <item x="573"/>
        <item x="1116"/>
        <item x="1468"/>
        <item x="676"/>
        <item x="819"/>
        <item x="109"/>
        <item x="548"/>
        <item x="1617"/>
        <item x="1952"/>
        <item x="820"/>
        <item x="665"/>
        <item x="599"/>
        <item x="1698"/>
        <item x="2273"/>
        <item x="581"/>
        <item x="1717"/>
        <item x="1496"/>
        <item x="2113"/>
        <item x="322"/>
        <item x="2468"/>
        <item x="1392"/>
        <item x="1674"/>
        <item x="1986"/>
        <item x="1944"/>
        <item x="1307"/>
        <item x="2145"/>
        <item x="2116"/>
        <item x="49"/>
        <item x="549"/>
        <item x="1713"/>
        <item x="2408"/>
        <item x="699"/>
        <item x="1049"/>
        <item x="1683"/>
        <item x="673"/>
        <item x="1801"/>
        <item x="39"/>
        <item x="1973"/>
        <item x="1157"/>
        <item x="1624"/>
        <item x="2345"/>
        <item x="2121"/>
        <item x="1874"/>
        <item x="1238"/>
        <item x="765"/>
        <item x="374"/>
        <item x="1739"/>
        <item x="2363"/>
        <item x="87"/>
        <item x="1856"/>
        <item x="1095"/>
        <item x="1276"/>
        <item x="2497"/>
        <item x="1168"/>
        <item x="2414"/>
        <item x="430"/>
        <item x="930"/>
        <item x="1109"/>
        <item x="649"/>
        <item x="2068"/>
        <item x="920"/>
        <item x="2186"/>
        <item x="1105"/>
        <item x="967"/>
        <item x="1269"/>
        <item x="620"/>
        <item x="2110"/>
        <item x="1623"/>
        <item x="1877"/>
        <item x="277"/>
        <item x="1329"/>
        <item x="518"/>
        <item x="1129"/>
        <item x="2153"/>
        <item x="1687"/>
        <item x="481"/>
        <item x="108"/>
        <item x="732"/>
        <item x="617"/>
        <item x="490"/>
        <item x="2002"/>
        <item x="1297"/>
        <item x="2470"/>
        <item x="2106"/>
        <item x="162"/>
        <item x="1216"/>
        <item x="1898"/>
        <item x="1549"/>
        <item x="1332"/>
        <item x="1268"/>
        <item x="1311"/>
        <item x="1322"/>
        <item x="7"/>
        <item x="910"/>
        <item x="1758"/>
        <item x="553"/>
        <item x="2045"/>
        <item x="380"/>
        <item x="2070"/>
        <item x="1203"/>
        <item x="2401"/>
        <item x="1120"/>
        <item x="1875"/>
        <item x="134"/>
        <item x="54"/>
        <item x="434"/>
        <item x="289"/>
        <item x="1139"/>
        <item x="1884"/>
        <item x="590"/>
        <item x="625"/>
        <item x="234"/>
        <item x="863"/>
        <item x="1838"/>
        <item x="672"/>
        <item x="1323"/>
        <item x="431"/>
        <item x="270"/>
        <item x="1441"/>
        <item x="1123"/>
        <item x="2405"/>
        <item x="1591"/>
        <item x="856"/>
        <item x="2510"/>
        <item x="1408"/>
        <item x="2460"/>
        <item x="1927"/>
        <item x="363"/>
        <item x="2494"/>
        <item x="2308"/>
        <item x="2245"/>
        <item x="1964"/>
        <item x="1339"/>
        <item x="1346"/>
        <item x="2041"/>
        <item x="1206"/>
        <item x="2402"/>
        <item x="1022"/>
        <item x="1177"/>
        <item x="1426"/>
        <item x="2310"/>
        <item x="60"/>
        <item x="164"/>
        <item x="25"/>
        <item x="1775"/>
        <item x="1058"/>
        <item x="1786"/>
        <item x="1738"/>
        <item x="1845"/>
        <item x="2462"/>
        <item x="2083"/>
        <item x="1132"/>
        <item x="253"/>
        <item x="1171"/>
        <item x="1923"/>
        <item x="717"/>
        <item x="889"/>
        <item x="22"/>
        <item x="1250"/>
        <item x="1722"/>
        <item x="2138"/>
        <item x="1222"/>
        <item x="441"/>
        <item x="874"/>
        <item x="1895"/>
        <item x="1824"/>
        <item x="1342"/>
        <item x="2295"/>
        <item x="529"/>
        <item x="1832"/>
        <item x="1347"/>
        <item x="1309"/>
        <item x="826"/>
        <item x="813"/>
        <item x="1939"/>
        <item x="1025"/>
        <item x="211"/>
        <item x="1901"/>
        <item x="1537"/>
        <item x="2195"/>
        <item x="258"/>
        <item x="1585"/>
        <item x="983"/>
        <item x="1164"/>
        <item x="539"/>
        <item x="2180"/>
        <item x="1551"/>
        <item x="951"/>
        <item x="627"/>
        <item x="318"/>
        <item x="144"/>
        <item x="867"/>
        <item x="1530"/>
        <item x="96"/>
        <item x="2368"/>
        <item x="1010"/>
        <item x="1026"/>
        <item x="2165"/>
        <item x="1497"/>
        <item x="760"/>
        <item x="2073"/>
        <item x="1688"/>
        <item x="447"/>
        <item x="475"/>
        <item x="536"/>
        <item x="2505"/>
        <item x="332"/>
        <item x="2499"/>
        <item x="1557"/>
        <item x="2456"/>
        <item x="1414"/>
        <item x="85"/>
        <item x="1445"/>
        <item x="486"/>
        <item x="1422"/>
        <item x="1539"/>
        <item x="2296"/>
        <item x="812"/>
        <item x="170"/>
        <item x="1908"/>
        <item x="1041"/>
        <item x="2170"/>
        <item x="1790"/>
        <item x="2211"/>
        <item x="1780"/>
        <item x="1259"/>
        <item x="2207"/>
        <item x="2201"/>
        <item x="612"/>
        <item x="1054"/>
        <item x="1633"/>
        <item x="1350"/>
        <item x="364"/>
        <item x="871"/>
        <item x="1193"/>
        <item x="1475"/>
        <item x="720"/>
        <item x="1429"/>
        <item x="257"/>
        <item x="1306"/>
        <item x="284"/>
        <item x="1533"/>
        <item x="1489"/>
        <item x="2488"/>
        <item x="1822"/>
        <item x="2155"/>
        <item x="1792"/>
        <item x="1870"/>
        <item x="1733"/>
        <item x="1302"/>
        <item x="1651"/>
        <item x="1943"/>
        <item x="1563"/>
        <item x="2035"/>
        <item x="953"/>
        <item x="571"/>
        <item x="1011"/>
        <item x="2469"/>
        <item x="1953"/>
        <item x="2435"/>
        <item x="148"/>
        <item x="1766"/>
        <item x="924"/>
        <item x="1273"/>
        <item x="516"/>
        <item x="939"/>
        <item x="504"/>
        <item x="2125"/>
        <item x="2172"/>
        <item x="2232"/>
        <item x="1215"/>
        <item x="1671"/>
        <item x="1175"/>
        <item x="954"/>
        <item x="422"/>
        <item x="831"/>
        <item x="381"/>
        <item x="1726"/>
        <item x="2302"/>
        <item x="222"/>
        <item x="2109"/>
        <item x="1254"/>
        <item x="1386"/>
        <item x="1658"/>
        <item x="713"/>
        <item x="1769"/>
        <item x="976"/>
        <item x="1437"/>
        <item x="1765"/>
        <item x="2274"/>
        <item x="309"/>
        <item x="384"/>
        <item x="998"/>
        <item x="1451"/>
        <item x="683"/>
        <item x="1692"/>
        <item x="1727"/>
        <item x="1714"/>
        <item x="1512"/>
        <item x="1482"/>
        <item x="1587"/>
        <item x="2475"/>
        <item x="2399"/>
        <item x="2305"/>
        <item x="1387"/>
        <item x="1967"/>
        <item x="1841"/>
        <item x="1484"/>
        <item x="1111"/>
        <item x="312"/>
        <item x="342"/>
        <item x="2420"/>
        <item x="2373"/>
        <item x="1436"/>
        <item x="2141"/>
        <item x="2338"/>
        <item x="326"/>
        <item x="365"/>
        <item x="2192"/>
        <item x="2144"/>
        <item x="898"/>
        <item x="1799"/>
        <item x="1788"/>
        <item x="2491"/>
        <item x="1836"/>
        <item x="1876"/>
        <item x="2093"/>
        <item t="default"/>
      </items>
    </pivotField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8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Review_id" fld="0" subtotal="count" baseField="16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A84E79-CCC0-4E0E-8DB7-0994942F6873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C4" firstHeaderRow="0" firstDataRow="1" firstDataCol="0"/>
  <pivotFields count="19">
    <pivotField dataField="1" showAll="0"/>
    <pivotField numFmtId="1" showAll="0"/>
    <pivotField showAll="0">
      <items count="42">
        <item x="10"/>
        <item x="34"/>
        <item x="30"/>
        <item x="19"/>
        <item x="32"/>
        <item x="6"/>
        <item x="9"/>
        <item x="25"/>
        <item x="8"/>
        <item x="22"/>
        <item x="12"/>
        <item x="15"/>
        <item x="4"/>
        <item x="18"/>
        <item x="35"/>
        <item x="26"/>
        <item x="13"/>
        <item x="16"/>
        <item x="36"/>
        <item x="7"/>
        <item x="0"/>
        <item x="2"/>
        <item x="28"/>
        <item x="17"/>
        <item x="31"/>
        <item x="21"/>
        <item x="5"/>
        <item x="14"/>
        <item x="27"/>
        <item x="37"/>
        <item x="40"/>
        <item x="1"/>
        <item x="39"/>
        <item x="33"/>
        <item x="11"/>
        <item x="3"/>
        <item x="29"/>
        <item x="24"/>
        <item x="38"/>
        <item x="23"/>
        <item x="20"/>
        <item t="default"/>
      </items>
    </pivotField>
    <pivotField showAll="0"/>
    <pivotField showAll="0"/>
    <pivotField showAll="0">
      <items count="25">
        <item x="13"/>
        <item x="14"/>
        <item x="6"/>
        <item x="11"/>
        <item x="23"/>
        <item x="4"/>
        <item x="21"/>
        <item x="9"/>
        <item x="22"/>
        <item x="12"/>
        <item x="15"/>
        <item x="10"/>
        <item x="7"/>
        <item x="17"/>
        <item x="8"/>
        <item x="0"/>
        <item x="16"/>
        <item x="19"/>
        <item x="1"/>
        <item x="2"/>
        <item x="18"/>
        <item x="5"/>
        <item x="20"/>
        <item x="3"/>
        <item t="default"/>
      </items>
    </pivotField>
    <pivotField dataField="1" numFmtId="164" showAll="0">
      <items count="7">
        <item x="0"/>
        <item x="1"/>
        <item x="2"/>
        <item x="3"/>
        <item x="4"/>
        <item x="5"/>
        <item t="default"/>
      </items>
    </pivotField>
    <pivotField numFmtId="22" showAll="0">
      <items count="2515">
        <item x="2075"/>
        <item x="150"/>
        <item x="718"/>
        <item x="1267"/>
        <item x="1252"/>
        <item x="1052"/>
        <item x="2376"/>
        <item x="2501"/>
        <item x="2320"/>
        <item x="646"/>
        <item x="593"/>
        <item x="1654"/>
        <item x="1719"/>
        <item x="1145"/>
        <item x="2347"/>
        <item x="681"/>
        <item x="1992"/>
        <item x="1260"/>
        <item x="670"/>
        <item x="1634"/>
        <item x="51"/>
        <item x="1290"/>
        <item x="2406"/>
        <item x="808"/>
        <item x="789"/>
        <item x="2048"/>
        <item x="747"/>
        <item x="2381"/>
        <item x="1676"/>
        <item x="2331"/>
        <item x="2423"/>
        <item x="687"/>
        <item x="525"/>
        <item x="839"/>
        <item x="1961"/>
        <item x="377"/>
        <item x="500"/>
        <item x="1369"/>
        <item x="460"/>
        <item x="909"/>
        <item x="1285"/>
        <item x="2119"/>
        <item x="1566"/>
        <item x="2085"/>
        <item x="1507"/>
        <item x="1488"/>
        <item x="595"/>
        <item x="121"/>
        <item x="2306"/>
        <item x="1365"/>
        <item x="957"/>
        <item x="1014"/>
        <item x="2217"/>
        <item x="1375"/>
        <item x="1513"/>
        <item x="2466"/>
        <item x="1195"/>
        <item x="2288"/>
        <item x="2191"/>
        <item x="1867"/>
        <item x="531"/>
        <item x="2354"/>
        <item x="2120"/>
        <item x="1189"/>
        <item x="226"/>
        <item x="1305"/>
        <item x="935"/>
        <item x="407"/>
        <item x="859"/>
        <item x="2387"/>
        <item x="294"/>
        <item x="1965"/>
        <item x="2352"/>
        <item x="1581"/>
        <item x="674"/>
        <item x="1881"/>
        <item x="1749"/>
        <item x="1317"/>
        <item x="182"/>
        <item x="2185"/>
        <item x="1407"/>
        <item x="1470"/>
        <item x="205"/>
        <item x="2115"/>
        <item x="1335"/>
        <item x="1949"/>
        <item x="2161"/>
        <item x="1141"/>
        <item x="1158"/>
        <item x="1243"/>
        <item x="206"/>
        <item x="873"/>
        <item x="1403"/>
        <item x="1217"/>
        <item x="2140"/>
        <item x="574"/>
        <item x="815"/>
        <item x="1005"/>
        <item x="347"/>
        <item x="1575"/>
        <item x="1066"/>
        <item x="634"/>
        <item x="2430"/>
        <item x="1258"/>
        <item x="561"/>
        <item x="252"/>
        <item x="675"/>
        <item x="1608"/>
        <item x="1511"/>
        <item x="563"/>
        <item x="1463"/>
        <item x="2357"/>
        <item x="2221"/>
        <item x="1716"/>
        <item x="841"/>
        <item x="1204"/>
        <item x="1065"/>
        <item x="2502"/>
        <item x="985"/>
        <item x="997"/>
        <item x="158"/>
        <item x="265"/>
        <item x="1303"/>
        <item x="1912"/>
        <item x="1372"/>
        <item x="1955"/>
        <item x="2465"/>
        <item x="1356"/>
        <item x="406"/>
        <item x="1809"/>
        <item x="1577"/>
        <item x="2169"/>
        <item x="296"/>
        <item x="1578"/>
        <item x="641"/>
        <item x="628"/>
        <item x="2034"/>
        <item x="349"/>
        <item x="2071"/>
        <item x="2496"/>
        <item x="1135"/>
        <item x="189"/>
        <item x="2202"/>
        <item x="2427"/>
        <item x="128"/>
        <item x="963"/>
        <item x="1508"/>
        <item x="1518"/>
        <item x="1453"/>
        <item x="1057"/>
        <item x="1695"/>
        <item x="1718"/>
        <item x="840"/>
        <item x="749"/>
        <item x="2379"/>
        <item x="123"/>
        <item x="1740"/>
        <item x="472"/>
        <item x="8"/>
        <item x="801"/>
        <item x="2027"/>
        <item x="1292"/>
        <item x="1337"/>
        <item x="1498"/>
        <item x="373"/>
        <item x="2078"/>
        <item x="1006"/>
        <item x="1797"/>
        <item x="1102"/>
        <item x="484"/>
        <item x="1377"/>
        <item x="202"/>
        <item x="1283"/>
        <item x="1087"/>
        <item x="94"/>
        <item x="1612"/>
        <item x="990"/>
        <item x="1871"/>
        <item x="31"/>
        <item x="1804"/>
        <item x="505"/>
        <item x="2237"/>
        <item x="2450"/>
        <item x="1308"/>
        <item x="2147"/>
        <item x="2434"/>
        <item x="2178"/>
        <item x="1055"/>
        <item x="462"/>
        <item x="743"/>
        <item x="191"/>
        <item x="2500"/>
        <item x="2339"/>
        <item x="1673"/>
        <item x="1219"/>
        <item x="2176"/>
        <item x="1385"/>
        <item x="2328"/>
        <item x="1947"/>
        <item x="220"/>
        <item x="740"/>
        <item x="1664"/>
        <item x="2166"/>
        <item x="1357"/>
        <item x="172"/>
        <item x="1776"/>
        <item x="37"/>
        <item x="106"/>
        <item x="2471"/>
        <item x="1650"/>
        <item x="1471"/>
        <item x="1619"/>
        <item x="272"/>
        <item x="463"/>
        <item x="2454"/>
        <item x="881"/>
        <item x="1027"/>
        <item x="1989"/>
        <item x="2444"/>
        <item x="668"/>
        <item x="1360"/>
        <item x="271"/>
        <item x="1682"/>
        <item x="1645"/>
        <item x="959"/>
        <item x="1576"/>
        <item x="845"/>
        <item x="688"/>
        <item x="23"/>
        <item x="389"/>
        <item x="545"/>
        <item x="709"/>
        <item x="1772"/>
        <item x="455"/>
        <item x="551"/>
        <item x="1133"/>
        <item x="1137"/>
        <item x="1593"/>
        <item x="955"/>
        <item x="850"/>
        <item x="1239"/>
        <item x="901"/>
        <item x="1166"/>
        <item x="236"/>
        <item x="896"/>
        <item x="1425"/>
        <item x="950"/>
        <item x="696"/>
        <item x="1071"/>
        <item x="1514"/>
        <item x="537"/>
        <item x="904"/>
        <item x="1572"/>
        <item x="485"/>
        <item x="248"/>
        <item x="1592"/>
        <item x="1154"/>
        <item x="498"/>
        <item x="2336"/>
        <item x="201"/>
        <item x="2136"/>
        <item x="779"/>
        <item x="1886"/>
        <item x="1060"/>
        <item x="1068"/>
        <item x="1394"/>
        <item x="1983"/>
        <item x="1997"/>
        <item x="1589"/>
        <item x="38"/>
        <item x="566"/>
        <item x="2164"/>
        <item x="1240"/>
        <item x="2361"/>
        <item x="1461"/>
        <item x="1626"/>
        <item x="2142"/>
        <item x="1093"/>
        <item x="1580"/>
        <item x="107"/>
        <item x="1449"/>
        <item x="1878"/>
        <item x="125"/>
        <item x="633"/>
        <item x="1659"/>
        <item x="390"/>
        <item x="971"/>
        <item x="482"/>
        <item x="2156"/>
        <item x="532"/>
        <item x="1418"/>
        <item x="403"/>
        <item x="2249"/>
        <item x="1815"/>
        <item x="1432"/>
        <item x="877"/>
        <item x="643"/>
        <item x="1648"/>
        <item x="2390"/>
        <item x="1277"/>
        <item x="1573"/>
        <item x="918"/>
        <item x="1601"/>
        <item x="1544"/>
        <item x="1400"/>
        <item x="1647"/>
        <item x="1261"/>
        <item x="1694"/>
        <item x="1007"/>
        <item x="17"/>
        <item x="1063"/>
        <item x="20"/>
        <item x="1110"/>
        <item x="854"/>
        <item x="1711"/>
        <item x="804"/>
        <item x="897"/>
        <item x="129"/>
        <item x="2436"/>
        <item x="1607"/>
        <item x="1745"/>
        <item x="141"/>
        <item x="1300"/>
        <item x="2177"/>
        <item x="1852"/>
        <item x="1152"/>
        <item x="2350"/>
        <item x="2146"/>
        <item x="425"/>
        <item x="936"/>
        <item x="276"/>
        <item x="424"/>
        <item x="1231"/>
        <item x="1556"/>
        <item x="1641"/>
        <item x="656"/>
        <item x="468"/>
        <item x="2189"/>
        <item x="807"/>
        <item x="115"/>
        <item x="1200"/>
        <item x="30"/>
        <item x="2356"/>
        <item x="770"/>
        <item x="2481"/>
        <item x="1666"/>
        <item x="602"/>
        <item x="2428"/>
        <item x="1434"/>
        <item x="1153"/>
        <item x="2281"/>
        <item x="2054"/>
        <item x="190"/>
        <item x="1287"/>
        <item x="2061"/>
        <item x="122"/>
        <item x="195"/>
        <item x="1528"/>
        <item x="2255"/>
        <item x="1088"/>
        <item x="2280"/>
        <item x="2175"/>
        <item x="244"/>
        <item x="1866"/>
        <item x="1160"/>
        <item x="2418"/>
        <item x="501"/>
        <item x="53"/>
        <item x="1504"/>
        <item x="1982"/>
        <item x="1030"/>
        <item x="461"/>
        <item x="1545"/>
        <item x="2226"/>
        <item x="619"/>
        <item x="2128"/>
        <item x="264"/>
        <item x="882"/>
        <item x="899"/>
        <item x="1358"/>
        <item x="793"/>
        <item x="1905"/>
        <item x="249"/>
        <item x="1954"/>
        <item x="89"/>
        <item x="2351"/>
        <item x="429"/>
        <item x="2079"/>
        <item x="642"/>
        <item x="325"/>
        <item x="2251"/>
        <item x="2283"/>
        <item x="1701"/>
        <item x="2242"/>
        <item x="10"/>
        <item x="1050"/>
        <item x="2394"/>
        <item x="757"/>
        <item x="227"/>
        <item x="2213"/>
        <item x="1808"/>
        <item x="2509"/>
        <item x="1035"/>
        <item x="200"/>
        <item x="1455"/>
        <item x="1167"/>
        <item x="988"/>
        <item x="2400"/>
        <item x="1567"/>
        <item x="480"/>
        <item x="235"/>
        <item x="1843"/>
        <item x="2433"/>
        <item x="2062"/>
        <item x="876"/>
        <item x="1080"/>
        <item x="1746"/>
        <item x="2493"/>
        <item x="833"/>
        <item x="44"/>
        <item x="1724"/>
        <item x="926"/>
        <item x="1506"/>
        <item x="2173"/>
        <item x="1880"/>
        <item x="1207"/>
        <item x="2451"/>
        <item x="1127"/>
        <item x="999"/>
        <item x="18"/>
        <item x="2512"/>
        <item x="1341"/>
        <item x="662"/>
        <item x="2303"/>
        <item x="1419"/>
        <item x="2193"/>
        <item x="2388"/>
        <item x="1015"/>
        <item x="2478"/>
        <item x="775"/>
        <item x="255"/>
        <item x="1931"/>
        <item x="2315"/>
        <item x="1274"/>
        <item x="286"/>
        <item x="435"/>
        <item x="528"/>
        <item x="428"/>
        <item x="473"/>
        <item x="778"/>
        <item x="1205"/>
        <item x="393"/>
        <item x="1705"/>
        <item x="2396"/>
        <item x="2476"/>
        <item x="2218"/>
        <item x="2052"/>
        <item x="533"/>
        <item x="1417"/>
        <item x="711"/>
        <item x="1478"/>
        <item x="2159"/>
        <item x="228"/>
        <item x="2389"/>
        <item x="2344"/>
        <item x="194"/>
        <item x="1761"/>
        <item x="772"/>
        <item x="1197"/>
        <item x="2043"/>
        <item x="1034"/>
        <item x="1265"/>
        <item x="178"/>
        <item x="112"/>
        <item x="2486"/>
        <item x="1397"/>
        <item x="230"/>
        <item x="395"/>
        <item x="1909"/>
        <item x="2017"/>
        <item x="514"/>
        <item x="1844"/>
        <item x="1140"/>
        <item x="1101"/>
        <item x="1075"/>
        <item x="1974"/>
        <item x="623"/>
        <item x="1517"/>
        <item x="2215"/>
        <item x="524"/>
        <item x="1971"/>
        <item x="884"/>
        <item x="1616"/>
        <item x="973"/>
        <item x="1176"/>
        <item x="1074"/>
        <item x="1932"/>
        <item x="2457"/>
        <item x="540"/>
        <item x="1510"/>
        <item x="414"/>
        <item x="1930"/>
        <item x="752"/>
        <item x="152"/>
        <item x="796"/>
        <item x="570"/>
        <item x="792"/>
        <item x="2236"/>
        <item x="291"/>
        <item x="893"/>
        <item x="534"/>
        <item x="1534"/>
        <item x="932"/>
        <item x="852"/>
        <item x="1321"/>
        <item x="1179"/>
        <item x="2036"/>
        <item x="2044"/>
        <item x="1679"/>
        <item x="1255"/>
        <item x="118"/>
        <item x="1310"/>
        <item x="2219"/>
        <item x="1525"/>
        <item x="886"/>
        <item x="2018"/>
        <item x="119"/>
        <item x="1388"/>
        <item x="81"/>
        <item x="2199"/>
        <item x="1821"/>
        <item x="1631"/>
        <item x="846"/>
        <item x="2010"/>
        <item x="415"/>
        <item x="1669"/>
        <item x="2012"/>
        <item x="2104"/>
        <item x="101"/>
        <item x="594"/>
        <item x="1163"/>
        <item x="651"/>
        <item x="2291"/>
        <item x="2298"/>
        <item x="1754"/>
        <item x="1295"/>
        <item x="1402"/>
        <item x="611"/>
        <item x="1094"/>
        <item x="311"/>
        <item x="1004"/>
        <item x="748"/>
        <item x="908"/>
        <item x="1562"/>
        <item x="1813"/>
        <item x="1748"/>
        <item x="1864"/>
        <item x="1464"/>
        <item x="2299"/>
        <item x="2413"/>
        <item x="1536"/>
        <item x="1976"/>
        <item x="192"/>
        <item x="1926"/>
        <item x="2077"/>
        <item x="2292"/>
        <item x="2327"/>
        <item x="1194"/>
        <item x="1331"/>
        <item x="2049"/>
        <item x="55"/>
        <item x="1564"/>
        <item x="1794"/>
        <item x="671"/>
        <item x="2463"/>
        <item x="1984"/>
        <item x="382"/>
        <item x="986"/>
        <item x="26"/>
        <item x="1629"/>
        <item x="1519"/>
        <item x="1606"/>
        <item x="1072"/>
        <item x="1615"/>
        <item x="1227"/>
        <item x="411"/>
        <item x="1859"/>
        <item x="5"/>
        <item x="1364"/>
        <item x="1902"/>
        <item x="362"/>
        <item x="797"/>
        <item x="1495"/>
        <item x="45"/>
        <item x="2397"/>
        <item x="104"/>
        <item x="1446"/>
        <item x="978"/>
        <item x="1849"/>
        <item x="335"/>
        <item x="1009"/>
        <item x="686"/>
        <item x="1367"/>
        <item x="2087"/>
        <item x="61"/>
        <item x="63"/>
        <item x="1835"/>
        <item x="2126"/>
        <item x="279"/>
        <item x="1554"/>
        <item x="1782"/>
        <item x="355"/>
        <item x="2326"/>
        <item x="1077"/>
        <item x="2441"/>
        <item x="1678"/>
        <item x="1324"/>
        <item x="1807"/>
        <item x="167"/>
        <item x="2031"/>
        <item x="1319"/>
        <item x="2241"/>
        <item x="1704"/>
        <item x="476"/>
        <item x="2021"/>
        <item x="1316"/>
        <item x="2384"/>
        <item x="1793"/>
        <item x="1184"/>
        <item x="2233"/>
        <item x="2188"/>
        <item x="1318"/>
        <item x="1257"/>
        <item x="1981"/>
        <item x="1143"/>
        <item x="1796"/>
        <item x="547"/>
        <item x="274"/>
        <item x="1941"/>
        <item x="489"/>
        <item x="753"/>
        <item x="912"/>
        <item x="483"/>
        <item x="102"/>
        <item x="946"/>
        <item x="48"/>
        <item x="21"/>
        <item x="1162"/>
        <item x="1104"/>
        <item x="1457"/>
        <item x="630"/>
        <item x="1416"/>
        <item x="1224"/>
        <item x="1777"/>
        <item x="2086"/>
        <item x="855"/>
        <item x="1823"/>
        <item x="706"/>
        <item x="1887"/>
        <item x="1991"/>
        <item x="1382"/>
        <item x="1456"/>
        <item x="1210"/>
        <item x="2117"/>
        <item x="2419"/>
        <item x="2333"/>
        <item x="1304"/>
        <item x="847"/>
        <item x="1244"/>
        <item x="304"/>
        <item x="11"/>
        <item x="1851"/>
        <item x="459"/>
        <item x="2278"/>
        <item x="526"/>
        <item x="1494"/>
        <item x="2025"/>
        <item x="1320"/>
        <item x="449"/>
        <item x="763"/>
        <item x="1721"/>
        <item x="2372"/>
        <item x="1355"/>
        <item x="2342"/>
        <item x="268"/>
        <item x="974"/>
        <item x="474"/>
        <item x="169"/>
        <item x="2033"/>
        <item x="964"/>
        <item x="2134"/>
        <item x="722"/>
        <item x="1595"/>
        <item x="1805"/>
        <item x="708"/>
        <item x="404"/>
        <item x="1806"/>
        <item x="767"/>
        <item x="2398"/>
        <item x="495"/>
        <item x="371"/>
        <item x="327"/>
        <item x="738"/>
        <item x="1391"/>
        <item x="331"/>
        <item x="1134"/>
        <item x="1649"/>
        <item x="416"/>
        <item x="1903"/>
        <item x="469"/>
        <item x="731"/>
        <item x="541"/>
        <item x="542"/>
        <item x="559"/>
        <item x="2504"/>
        <item x="160"/>
        <item x="41"/>
        <item x="1696"/>
        <item x="848"/>
        <item x="1918"/>
        <item x="1689"/>
        <item x="1978"/>
        <item x="290"/>
        <item x="1546"/>
        <item x="1891"/>
        <item x="1165"/>
        <item x="145"/>
        <item x="2425"/>
        <item x="755"/>
        <item x="1538"/>
        <item x="1059"/>
        <item x="2004"/>
        <item x="795"/>
        <item x="1975"/>
        <item x="1910"/>
        <item x="1361"/>
        <item x="448"/>
        <item x="1913"/>
        <item x="1675"/>
        <item x="2015"/>
        <item x="734"/>
        <item x="2028"/>
        <item x="440"/>
        <item x="2380"/>
        <item x="2005"/>
        <item x="1114"/>
        <item x="1764"/>
        <item x="113"/>
        <item x="1791"/>
        <item x="1520"/>
        <item x="868"/>
        <item x="1476"/>
        <item x="944"/>
        <item x="608"/>
        <item x="1148"/>
        <item x="367"/>
        <item x="216"/>
        <item x="1980"/>
        <item x="2383"/>
        <item x="1155"/>
        <item x="126"/>
        <item x="733"/>
        <item x="269"/>
        <item x="2312"/>
        <item x="652"/>
        <item x="343"/>
        <item x="921"/>
        <item x="313"/>
        <item x="1096"/>
        <item x="203"/>
        <item x="2187"/>
        <item x="136"/>
        <item x="1248"/>
        <item x="1985"/>
        <item x="225"/>
        <item x="2209"/>
        <item x="1755"/>
        <item x="1583"/>
        <item x="307"/>
        <item x="600"/>
        <item x="1858"/>
        <item x="135"/>
        <item x="396"/>
        <item x="479"/>
        <item x="1348"/>
        <item x="864"/>
        <item x="2275"/>
        <item x="250"/>
        <item x="1550"/>
        <item x="1097"/>
        <item x="1460"/>
        <item x="305"/>
        <item x="2030"/>
        <item x="52"/>
        <item x="1751"/>
        <item x="1934"/>
        <item x="587"/>
        <item x="567"/>
        <item x="352"/>
        <item x="1742"/>
        <item x="1037"/>
        <item x="830"/>
        <item x="2349"/>
        <item x="2455"/>
        <item x="1458"/>
        <item x="1963"/>
        <item x="875"/>
        <item x="76"/>
        <item x="1523"/>
        <item x="1707"/>
        <item x="1232"/>
        <item x="858"/>
        <item x="598"/>
        <item x="588"/>
        <item x="1940"/>
        <item x="1043"/>
        <item x="494"/>
        <item x="369"/>
        <item x="245"/>
        <item x="787"/>
        <item x="465"/>
        <item x="2422"/>
        <item x="153"/>
        <item x="1289"/>
        <item x="798"/>
        <item x="1660"/>
        <item x="1076"/>
        <item x="596"/>
        <item x="692"/>
        <item x="2262"/>
        <item x="776"/>
        <item x="1172"/>
        <item x="1220"/>
        <item x="116"/>
        <item x="266"/>
        <item x="631"/>
        <item x="46"/>
        <item x="679"/>
        <item x="1605"/>
        <item x="1842"/>
        <item x="1668"/>
        <item x="492"/>
        <item x="1638"/>
        <item x="1106"/>
        <item x="1853"/>
        <item x="1959"/>
        <item x="1561"/>
        <item x="550"/>
        <item x="2271"/>
        <item x="1610"/>
        <item x="2235"/>
        <item x="1024"/>
        <item x="513"/>
        <item x="2074"/>
        <item x="2037"/>
        <item x="1677"/>
        <item x="444"/>
        <item x="2053"/>
        <item x="1904"/>
        <item x="849"/>
        <item x="1440"/>
        <item x="900"/>
        <item x="2112"/>
        <item x="19"/>
        <item x="805"/>
        <item x="1540"/>
        <item x="1502"/>
        <item x="1159"/>
        <item x="751"/>
        <item x="2321"/>
        <item x="1334"/>
        <item x="70"/>
        <item x="177"/>
        <item x="1945"/>
        <item x="2179"/>
        <item x="949"/>
        <item x="323"/>
        <item x="183"/>
        <item x="329"/>
        <item x="800"/>
        <item x="689"/>
        <item x="408"/>
        <item x="917"/>
        <item x="1579"/>
        <item x="519"/>
        <item x="2132"/>
        <item x="592"/>
        <item x="1917"/>
        <item x="2032"/>
        <item x="2506"/>
        <item x="1270"/>
        <item x="968"/>
        <item x="1298"/>
        <item x="2184"/>
        <item x="1929"/>
        <item x="1829"/>
        <item x="1672"/>
        <item x="2203"/>
        <item x="1969"/>
        <item x="2198"/>
        <item x="923"/>
        <item x="2208"/>
        <item x="2452"/>
        <item x="1763"/>
        <item x="4"/>
        <item x="1773"/>
        <item x="1278"/>
        <item x="869"/>
        <item x="2370"/>
        <item x="1652"/>
        <item x="648"/>
        <item x="1404"/>
        <item x="857"/>
        <item x="1191"/>
        <item x="512"/>
        <item x="769"/>
        <item x="966"/>
        <item x="306"/>
        <item x="215"/>
        <item x="650"/>
        <item x="1781"/>
        <item x="1531"/>
        <item x="1854"/>
        <item x="2040"/>
        <item x="1233"/>
        <item x="1759"/>
        <item x="1599"/>
        <item x="62"/>
        <item x="1787"/>
        <item x="1810"/>
        <item x="1900"/>
        <item x="527"/>
        <item x="1632"/>
        <item x="438"/>
        <item x="2332"/>
        <item x="972"/>
        <item x="2100"/>
        <item x="1762"/>
        <item x="1691"/>
        <item x="420"/>
        <item x="1465"/>
        <item x="1663"/>
        <item x="2095"/>
        <item x="2421"/>
        <item x="746"/>
        <item x="735"/>
        <item x="2386"/>
        <item x="2108"/>
        <item x="391"/>
        <item x="1826"/>
        <item x="1452"/>
        <item x="2269"/>
        <item x="783"/>
        <item x="1196"/>
        <item x="2285"/>
        <item x="1555"/>
        <item x="1045"/>
        <item x="2330"/>
        <item x="1730"/>
        <item x="1299"/>
        <item x="824"/>
        <item x="659"/>
        <item x="1362"/>
        <item x="2151"/>
        <item x="2046"/>
        <item x="1524"/>
        <item x="120"/>
        <item x="282"/>
        <item x="818"/>
        <item x="1405"/>
        <item x="14"/>
        <item x="1448"/>
        <item x="1951"/>
        <item x="2064"/>
        <item x="1574"/>
        <item x="2266"/>
        <item x="240"/>
        <item x="66"/>
        <item x="1103"/>
        <item x="1499"/>
        <item x="2148"/>
        <item x="1073"/>
        <item x="2353"/>
        <item x="2224"/>
        <item x="433"/>
        <item x="334"/>
        <item x="453"/>
        <item x="1131"/>
        <item x="2304"/>
        <item x="1389"/>
        <item x="1410"/>
        <item x="1352"/>
        <item x="1558"/>
        <item x="209"/>
        <item x="1814"/>
        <item x="811"/>
        <item x="2417"/>
        <item x="1665"/>
        <item x="2317"/>
        <item x="502"/>
        <item x="1889"/>
        <item x="345"/>
        <item x="2066"/>
        <item x="1922"/>
        <item x="1333"/>
        <item x="2026"/>
        <item x="603"/>
        <item x="929"/>
        <item x="105"/>
        <item x="1242"/>
        <item x="2091"/>
        <item x="1767"/>
        <item x="1450"/>
        <item x="1543"/>
        <item x="6"/>
        <item x="919"/>
        <item x="40"/>
        <item x="2003"/>
        <item x="163"/>
        <item x="218"/>
        <item x="1384"/>
        <item x="802"/>
        <item x="1968"/>
        <item x="510"/>
        <item x="454"/>
        <item x="157"/>
        <item x="90"/>
        <item x="597"/>
        <item x="1459"/>
        <item x="2263"/>
        <item x="237"/>
        <item x="2162"/>
        <item x="1047"/>
        <item x="1001"/>
        <item x="892"/>
        <item x="241"/>
        <item x="538"/>
        <item x="2181"/>
        <item x="2341"/>
        <item x="359"/>
        <item x="2197"/>
        <item x="861"/>
        <item x="1338"/>
        <item x="95"/>
        <item x="2072"/>
        <item x="2171"/>
        <item x="1760"/>
        <item x="1750"/>
        <item x="2301"/>
        <item x="2366"/>
        <item x="1344"/>
        <item x="1439"/>
        <item x="1156"/>
        <item x="2364"/>
        <item x="684"/>
        <item x="552"/>
        <item x="726"/>
        <item x="535"/>
        <item x="1142"/>
        <item x="2103"/>
        <item x="267"/>
        <item x="1725"/>
        <item x="2416"/>
        <item x="2246"/>
        <item x="1995"/>
        <item x="834"/>
        <item x="1535"/>
        <item x="478"/>
        <item x="1604"/>
        <item x="828"/>
        <item x="1406"/>
        <item x="1368"/>
        <item x="350"/>
        <item x="1670"/>
        <item x="442"/>
        <item x="562"/>
        <item x="1890"/>
        <item x="496"/>
        <item x="224"/>
        <item x="2507"/>
        <item x="1038"/>
        <item x="774"/>
        <item x="736"/>
        <item x="2503"/>
        <item x="75"/>
        <item x="1473"/>
        <item x="2013"/>
        <item x="2225"/>
        <item x="1515"/>
        <item x="677"/>
        <item x="887"/>
        <item x="2022"/>
        <item x="1921"/>
        <item x="2403"/>
        <item x="1662"/>
        <item x="1354"/>
        <item x="914"/>
        <item x="1732"/>
        <item x="1373"/>
        <item x="2511"/>
        <item x="970"/>
        <item x="1241"/>
        <item x="213"/>
        <item x="556"/>
        <item x="92"/>
        <item x="259"/>
        <item x="1345"/>
        <item x="822"/>
        <item x="2212"/>
        <item x="1209"/>
        <item x="2461"/>
        <item x="621"/>
        <item x="1053"/>
        <item x="1012"/>
        <item x="1008"/>
        <item x="606"/>
        <item x="185"/>
        <item x="1"/>
        <item x="1850"/>
        <item x="2243"/>
        <item x="72"/>
        <item x="1936"/>
        <item x="1500"/>
        <item x="1928"/>
        <item x="759"/>
        <item x="1213"/>
        <item x="1294"/>
        <item x="1962"/>
        <item x="1091"/>
        <item x="1970"/>
        <item x="42"/>
        <item x="851"/>
        <item x="1571"/>
        <item x="340"/>
        <item x="1247"/>
        <item x="1113"/>
        <item x="578"/>
        <item x="1800"/>
        <item x="1483"/>
        <item x="212"/>
        <item x="1226"/>
        <item x="1906"/>
        <item x="1894"/>
        <item x="1017"/>
        <item x="2082"/>
        <item x="84"/>
        <item x="1731"/>
        <item x="1169"/>
        <item x="1702"/>
        <item x="1284"/>
        <item x="691"/>
        <item x="13"/>
        <item x="98"/>
        <item x="458"/>
        <item x="1509"/>
        <item x="77"/>
        <item x="1083"/>
        <item x="1833"/>
        <item x="1199"/>
        <item x="217"/>
        <item x="1085"/>
        <item x="1712"/>
        <item x="1521"/>
        <item x="2194"/>
        <item x="1340"/>
        <item x="756"/>
        <item x="2429"/>
        <item x="110"/>
        <item x="1178"/>
        <item x="168"/>
        <item x="2047"/>
        <item x="2247"/>
        <item x="488"/>
        <item x="730"/>
        <item x="1622"/>
        <item x="1657"/>
        <item x="221"/>
        <item x="1639"/>
        <item x="143"/>
        <item x="29"/>
        <item x="2029"/>
        <item x="1933"/>
        <item x="1803"/>
        <item x="1301"/>
        <item x="127"/>
        <item x="2214"/>
        <item x="1820"/>
        <item x="2011"/>
        <item x="1919"/>
        <item x="1802"/>
        <item x="1315"/>
        <item x="2096"/>
        <item x="1541"/>
        <item x="328"/>
        <item x="2257"/>
        <item x="1588"/>
        <item x="1862"/>
        <item x="1188"/>
        <item x="1376"/>
        <item x="1620"/>
        <item x="766"/>
        <item x="86"/>
        <item x="993"/>
        <item x="644"/>
        <item x="133"/>
        <item x="2335"/>
        <item x="1614"/>
        <item x="199"/>
        <item x="2329"/>
        <item x="1708"/>
        <item x="2057"/>
        <item x="1100"/>
        <item x="1840"/>
        <item x="208"/>
        <item x="1686"/>
        <item x="2334"/>
        <item x="187"/>
        <item x="2378"/>
        <item x="471"/>
        <item x="80"/>
        <item x="613"/>
        <item x="1442"/>
        <item x="589"/>
        <item x="1002"/>
        <item x="554"/>
        <item x="2097"/>
        <item x="987"/>
        <item x="1370"/>
        <item x="579"/>
        <item x="1061"/>
        <item x="741"/>
        <item x="945"/>
        <item x="151"/>
        <item x="409"/>
        <item x="1598"/>
        <item x="2374"/>
        <item x="2340"/>
        <item x="895"/>
        <item x="799"/>
        <item x="773"/>
        <item x="231"/>
        <item x="995"/>
        <item x="614"/>
        <item x="695"/>
        <item x="78"/>
        <item x="2482"/>
        <item x="2309"/>
        <item x="1715"/>
        <item x="580"/>
        <item x="933"/>
        <item x="1656"/>
        <item x="784"/>
        <item x="319"/>
        <item x="962"/>
        <item x="1568"/>
        <item x="2023"/>
        <item x="1609"/>
        <item x="2223"/>
        <item x="1150"/>
        <item x="147"/>
        <item x="2016"/>
        <item x="1124"/>
        <item x="1182"/>
        <item x="301"/>
        <item x="758"/>
        <item x="637"/>
        <item x="1613"/>
        <item x="2256"/>
        <item x="2267"/>
        <item x="885"/>
        <item x="685"/>
        <item x="1325"/>
        <item x="1115"/>
        <item x="1999"/>
        <item x="942"/>
        <item x="383"/>
        <item x="1079"/>
        <item x="716"/>
        <item x="197"/>
        <item x="1582"/>
        <item x="719"/>
        <item x="2360"/>
        <item x="1435"/>
        <item x="750"/>
        <item x="943"/>
        <item x="704"/>
        <item x="508"/>
        <item x="398"/>
        <item x="1485"/>
        <item x="511"/>
        <item x="1956"/>
        <item x="1848"/>
        <item x="2483"/>
        <item x="703"/>
        <item x="742"/>
        <item x="2346"/>
        <item x="1415"/>
        <item x="1996"/>
        <item x="626"/>
        <item x="2157"/>
        <item x="1032"/>
        <item x="1359"/>
        <item x="1183"/>
        <item x="1201"/>
        <item x="1399"/>
        <item x="522"/>
        <item x="941"/>
        <item x="837"/>
        <item x="1703"/>
        <item x="575"/>
        <item x="1846"/>
        <item x="2253"/>
        <item x="658"/>
        <item x="1522"/>
        <item x="2293"/>
        <item x="130"/>
        <item x="2216"/>
        <item x="1553"/>
        <item x="2289"/>
        <item x="2014"/>
        <item x="1147"/>
        <item x="392"/>
        <item x="1779"/>
        <item x="2238"/>
        <item x="1825"/>
        <item x="2252"/>
        <item x="1685"/>
        <item x="1789"/>
        <item x="1699"/>
        <item x="2167"/>
        <item x="1013"/>
        <item x="1501"/>
        <item x="1774"/>
        <item x="2474"/>
        <item x="1888"/>
        <item x="609"/>
        <item x="292"/>
        <item x="1378"/>
        <item x="293"/>
        <item x="507"/>
        <item x="1621"/>
        <item x="9"/>
        <item x="219"/>
        <item x="1262"/>
        <item x="865"/>
        <item x="1586"/>
        <item x="960"/>
        <item x="1503"/>
        <item x="1570"/>
        <item x="697"/>
        <item x="843"/>
        <item x="1627"/>
        <item x="645"/>
        <item x="1353"/>
        <item x="295"/>
        <item x="1228"/>
        <item x="2432"/>
        <item x="739"/>
        <item x="1811"/>
        <item x="1960"/>
        <item x="2355"/>
        <item x="69"/>
        <item x="2139"/>
        <item x="1635"/>
        <item x="1192"/>
        <item x="2426"/>
        <item x="15"/>
        <item x="2358"/>
        <item x="1170"/>
        <item x="1812"/>
        <item x="583"/>
        <item x="1753"/>
        <item x="1737"/>
        <item x="370"/>
        <item x="198"/>
        <item x="32"/>
        <item x="1411"/>
        <item x="737"/>
        <item x="285"/>
        <item x="1872"/>
        <item x="890"/>
        <item x="2058"/>
        <item x="1279"/>
        <item x="725"/>
        <item x="1747"/>
        <item x="65"/>
        <item x="2439"/>
        <item x="2220"/>
        <item x="2404"/>
        <item x="934"/>
        <item x="661"/>
        <item x="351"/>
        <item x="640"/>
        <item x="1896"/>
        <item x="2007"/>
        <item x="555"/>
        <item x="239"/>
        <item x="1336"/>
        <item x="2359"/>
        <item x="1395"/>
        <item x="2063"/>
        <item x="1831"/>
        <item x="660"/>
        <item x="1312"/>
        <item x="336"/>
        <item x="262"/>
        <item x="196"/>
        <item x="2438"/>
        <item x="417"/>
        <item x="260"/>
        <item x="1185"/>
        <item x="2137"/>
        <item x="2265"/>
        <item x="2130"/>
        <item x="664"/>
        <item x="180"/>
        <item x="1016"/>
        <item x="1472"/>
        <item x="821"/>
        <item x="1697"/>
        <item x="376"/>
        <item x="2038"/>
        <item x="368"/>
        <item x="761"/>
        <item x="399"/>
        <item x="316"/>
        <item x="1873"/>
        <item x="558"/>
        <item x="928"/>
        <item x="663"/>
        <item x="432"/>
        <item x="1837"/>
        <item x="1433"/>
        <item x="2464"/>
        <item x="12"/>
        <item x="34"/>
        <item x="1379"/>
        <item x="1020"/>
        <item x="994"/>
        <item x="1036"/>
        <item x="385"/>
        <item x="2069"/>
        <item x="341"/>
        <item x="1548"/>
        <item x="93"/>
        <item x="317"/>
        <item x="400"/>
        <item x="1915"/>
        <item x="186"/>
        <item x="2487"/>
        <item x="1709"/>
        <item x="1728"/>
        <item x="1082"/>
        <item x="445"/>
        <item x="947"/>
        <item x="2114"/>
        <item x="844"/>
        <item x="780"/>
        <item x="2322"/>
        <item x="1413"/>
        <item x="1467"/>
        <item x="2290"/>
        <item x="2284"/>
        <item x="905"/>
        <item x="1529"/>
        <item x="1313"/>
        <item x="154"/>
        <item x="1630"/>
        <item x="1263"/>
        <item x="2282"/>
        <item x="1118"/>
        <item x="647"/>
        <item x="238"/>
        <item x="71"/>
        <item x="982"/>
        <item x="114"/>
        <item x="2122"/>
        <item x="832"/>
        <item x="353"/>
        <item x="2135"/>
        <item x="358"/>
        <item x="2099"/>
        <item x="1107"/>
        <item x="2102"/>
        <item x="768"/>
        <item x="2090"/>
        <item x="0"/>
        <item x="2270"/>
        <item x="1860"/>
        <item x="636"/>
        <item x="357"/>
        <item x="2261"/>
        <item x="287"/>
        <item x="2190"/>
        <item x="1897"/>
        <item x="785"/>
        <item x="543"/>
        <item x="842"/>
        <item x="1924"/>
        <item x="907"/>
        <item x="446"/>
        <item x="2443"/>
        <item x="557"/>
        <item x="878"/>
        <item x="1998"/>
        <item x="1785"/>
        <item x="2375"/>
        <item x="2240"/>
        <item x="1236"/>
        <item x="560"/>
        <item x="1914"/>
        <item x="576"/>
        <item x="1863"/>
        <item x="1092"/>
        <item x="2092"/>
        <item x="707"/>
        <item x="2127"/>
        <item x="979"/>
        <item x="175"/>
        <item x="1834"/>
        <item x="1019"/>
        <item x="1480"/>
        <item x="223"/>
        <item x="1126"/>
        <item x="35"/>
        <item x="1186"/>
        <item x="771"/>
        <item x="1235"/>
        <item x="2324"/>
        <item x="1443"/>
        <item x="413"/>
        <item x="1937"/>
        <item x="727"/>
        <item x="724"/>
        <item x="339"/>
        <item x="1282"/>
        <item x="2124"/>
        <item x="372"/>
        <item x="2392"/>
        <item x="1056"/>
        <item x="2495"/>
        <item x="503"/>
        <item x="2228"/>
        <item x="1681"/>
        <item x="582"/>
        <item x="149"/>
        <item x="1326"/>
        <item x="419"/>
        <item x="173"/>
        <item x="1069"/>
        <item x="1756"/>
        <item x="2"/>
        <item x="487"/>
        <item x="1430"/>
        <item x="1275"/>
        <item x="1090"/>
        <item x="1286"/>
        <item x="1067"/>
        <item x="2337"/>
        <item x="2447"/>
        <item x="451"/>
        <item x="853"/>
        <item x="1899"/>
        <item x="989"/>
        <item x="82"/>
        <item x="388"/>
        <item x="879"/>
        <item x="601"/>
        <item x="439"/>
        <item x="299"/>
        <item x="1946"/>
        <item x="418"/>
        <item x="515"/>
        <item x="254"/>
        <item x="1847"/>
        <item x="2313"/>
        <item x="948"/>
        <item x="721"/>
        <item x="1296"/>
        <item x="1136"/>
        <item x="712"/>
        <item x="2395"/>
        <item x="1611"/>
        <item x="915"/>
        <item x="1431"/>
        <item x="700"/>
        <item x="2143"/>
        <item x="965"/>
        <item x="2415"/>
        <item x="2272"/>
        <item x="715"/>
        <item x="931"/>
        <item x="1144"/>
        <item x="710"/>
        <item x="2393"/>
        <item x="288"/>
        <item x="1477"/>
        <item x="1381"/>
        <item x="1920"/>
        <item x="1000"/>
        <item x="1988"/>
        <item x="303"/>
        <item x="2205"/>
        <item x="1251"/>
        <item x="321"/>
        <item x="50"/>
        <item x="1770"/>
        <item x="2230"/>
        <item x="83"/>
        <item x="754"/>
        <item x="1865"/>
        <item x="2111"/>
        <item x="204"/>
        <item x="1653"/>
        <item x="348"/>
        <item x="74"/>
        <item x="2371"/>
        <item x="394"/>
        <item x="165"/>
        <item x="2227"/>
        <item x="1044"/>
        <item x="1146"/>
        <item x="58"/>
        <item x="666"/>
        <item x="1466"/>
        <item x="1187"/>
        <item x="605"/>
        <item x="2445"/>
        <item x="2206"/>
        <item x="2264"/>
        <item x="1744"/>
        <item x="1174"/>
        <item x="817"/>
        <item x="2382"/>
        <item x="1234"/>
        <item x="657"/>
        <item x="866"/>
        <item x="354"/>
        <item x="2362"/>
        <item x="2467"/>
        <item x="470"/>
        <item x="1225"/>
        <item x="1125"/>
        <item x="131"/>
        <item x="410"/>
        <item x="1532"/>
        <item x="678"/>
        <item x="2229"/>
        <item x="166"/>
        <item x="1121"/>
        <item x="2254"/>
        <item x="1003"/>
        <item x="2258"/>
        <item x="2268"/>
        <item x="397"/>
        <item x="1424"/>
        <item x="794"/>
        <item x="635"/>
        <item x="1646"/>
        <item x="1051"/>
        <item x="1119"/>
        <item x="786"/>
        <item x="992"/>
        <item x="2473"/>
        <item x="1474"/>
        <item x="2168"/>
        <item x="1911"/>
        <item x="188"/>
        <item x="2060"/>
        <item x="1600"/>
        <item x="246"/>
        <item x="1597"/>
        <item x="1428"/>
        <item x="1636"/>
        <item x="1029"/>
        <item x="427"/>
        <item x="1117"/>
        <item x="2319"/>
        <item x="925"/>
        <item x="314"/>
        <item x="1925"/>
        <item x="1667"/>
        <item x="1108"/>
        <item x="705"/>
        <item x="2410"/>
        <item x="142"/>
        <item x="981"/>
        <item x="2118"/>
        <item x="790"/>
        <item x="618"/>
        <item x="2131"/>
        <item x="161"/>
        <item x="1454"/>
        <item x="1245"/>
        <item x="1288"/>
        <item x="2200"/>
        <item x="315"/>
        <item x="2019"/>
        <item x="860"/>
        <item x="629"/>
        <item x="1916"/>
        <item x="1882"/>
        <item x="585"/>
        <item x="300"/>
        <item x="477"/>
        <item x="243"/>
        <item x="1987"/>
        <item x="872"/>
        <item x="2323"/>
        <item x="1977"/>
        <item x="1149"/>
        <item x="1752"/>
        <item x="829"/>
        <item x="1291"/>
        <item x="2498"/>
        <item x="816"/>
        <item x="958"/>
        <item x="1371"/>
        <item x="2458"/>
        <item x="1938"/>
        <item x="1819"/>
        <item x="1644"/>
        <item x="2222"/>
        <item x="913"/>
        <item x="1720"/>
        <item x="1798"/>
        <item x="975"/>
        <item x="701"/>
        <item x="140"/>
        <item x="2055"/>
        <item x="43"/>
        <item x="1690"/>
        <item x="2183"/>
        <item x="862"/>
        <item x="1778"/>
        <item x="68"/>
        <item x="2154"/>
        <item x="1112"/>
        <item x="67"/>
        <item x="653"/>
        <item x="450"/>
        <item x="2490"/>
        <item x="1211"/>
        <item x="1723"/>
        <item x="1423"/>
        <item x="2088"/>
        <item x="2248"/>
        <item x="2449"/>
        <item x="56"/>
        <item x="916"/>
        <item x="1757"/>
        <item x="1628"/>
        <item x="33"/>
        <item x="324"/>
        <item x="103"/>
        <item x="47"/>
        <item x="1948"/>
        <item x="247"/>
        <item x="1070"/>
        <item x="2508"/>
        <item x="2391"/>
        <item x="690"/>
        <item x="1253"/>
        <item x="2365"/>
        <item x="28"/>
        <item x="2477"/>
        <item x="2297"/>
        <item x="586"/>
        <item x="423"/>
        <item x="1264"/>
        <item x="2081"/>
        <item x="2000"/>
        <item x="680"/>
        <item x="36"/>
        <item x="181"/>
        <item x="937"/>
        <item x="79"/>
        <item x="1741"/>
        <item x="1390"/>
        <item x="744"/>
        <item x="73"/>
        <item x="171"/>
        <item x="1042"/>
        <item x="927"/>
        <item x="242"/>
        <item x="273"/>
        <item x="1366"/>
        <item x="452"/>
        <item x="2067"/>
        <item x="1266"/>
        <item x="584"/>
        <item x="464"/>
        <item x="233"/>
        <item x="1693"/>
        <item x="1993"/>
        <item x="1584"/>
        <item x="667"/>
        <item x="379"/>
        <item x="1493"/>
        <item x="714"/>
        <item x="1486"/>
        <item x="1907"/>
        <item x="2448"/>
        <item x="870"/>
        <item x="1552"/>
        <item x="1942"/>
        <item x="1857"/>
        <item x="880"/>
        <item x="138"/>
        <item x="2325"/>
        <item x="2024"/>
        <item x="298"/>
        <item x="810"/>
        <item x="1040"/>
        <item x="1272"/>
        <item x="894"/>
        <item x="333"/>
        <item x="174"/>
        <item x="564"/>
        <item x="902"/>
        <item x="977"/>
        <item x="426"/>
        <item x="2065"/>
        <item x="443"/>
        <item x="1684"/>
        <item x="2492"/>
        <item x="1444"/>
        <item x="2174"/>
        <item x="1180"/>
        <item x="991"/>
        <item x="1438"/>
        <item x="1827"/>
        <item x="378"/>
        <item x="124"/>
        <item x="156"/>
        <item x="1487"/>
        <item x="1349"/>
        <item x="1018"/>
        <item x="2343"/>
        <item x="1680"/>
        <item x="2163"/>
        <item x="1409"/>
        <item x="2459"/>
        <item x="1516"/>
        <item x="1343"/>
        <item x="2279"/>
        <item x="491"/>
        <item x="59"/>
        <item x="1783"/>
        <item x="401"/>
        <item x="2294"/>
        <item x="2123"/>
        <item x="825"/>
        <item x="1181"/>
        <item x="207"/>
        <item x="137"/>
        <item x="2453"/>
        <item x="698"/>
        <item x="1398"/>
        <item x="2231"/>
        <item x="1230"/>
        <item x="654"/>
        <item x="1855"/>
        <item x="159"/>
        <item x="302"/>
        <item x="1151"/>
        <item x="2250"/>
        <item x="1084"/>
        <item x="91"/>
        <item x="1479"/>
        <item x="111"/>
        <item x="2259"/>
        <item x="1208"/>
        <item x="2076"/>
        <item x="64"/>
        <item x="723"/>
        <item x="278"/>
        <item x="1640"/>
        <item x="1594"/>
        <item x="1229"/>
        <item x="2105"/>
        <item x="1828"/>
        <item x="883"/>
        <item x="693"/>
        <item x="577"/>
        <item x="1990"/>
        <item x="27"/>
        <item x="1138"/>
        <item x="1128"/>
        <item x="308"/>
        <item x="1490"/>
        <item x="1363"/>
        <item x="1817"/>
        <item x="2107"/>
        <item x="638"/>
        <item x="1046"/>
        <item x="337"/>
        <item x="283"/>
        <item x="521"/>
        <item x="2234"/>
        <item x="1099"/>
        <item x="2412"/>
        <item x="903"/>
        <item x="607"/>
        <item x="346"/>
        <item x="1743"/>
        <item x="1421"/>
        <item x="2300"/>
        <item x="888"/>
        <item x="1527"/>
        <item x="176"/>
        <item x="1221"/>
        <item x="1972"/>
        <item x="1661"/>
        <item x="1327"/>
        <item x="330"/>
        <item x="1830"/>
        <item x="361"/>
        <item x="2307"/>
        <item x="1795"/>
        <item x="1249"/>
        <item x="2080"/>
        <item x="2316"/>
        <item x="1190"/>
        <item x="1383"/>
        <item x="694"/>
        <item x="1768"/>
        <item x="1039"/>
        <item x="1048"/>
        <item x="2431"/>
        <item x="569"/>
        <item x="2479"/>
        <item x="466"/>
        <item x="457"/>
        <item x="1839"/>
        <item x="1602"/>
        <item x="1957"/>
        <item x="1396"/>
        <item x="615"/>
        <item x="1893"/>
        <item x="2006"/>
        <item x="2196"/>
        <item x="835"/>
        <item x="2051"/>
        <item x="891"/>
        <item x="263"/>
        <item x="1447"/>
        <item x="984"/>
        <item x="2276"/>
        <item x="728"/>
        <item x="1412"/>
        <item x="2056"/>
        <item x="1021"/>
        <item x="1966"/>
        <item x="1492"/>
        <item x="2160"/>
        <item x="1078"/>
        <item x="467"/>
        <item x="1655"/>
        <item x="2442"/>
        <item x="1979"/>
        <item x="1885"/>
        <item x="184"/>
        <item x="1481"/>
        <item x="2001"/>
        <item x="2424"/>
        <item x="632"/>
        <item x="565"/>
        <item x="405"/>
        <item x="366"/>
        <item x="1565"/>
        <item x="310"/>
        <item x="1784"/>
        <item x="97"/>
        <item x="729"/>
        <item x="2158"/>
        <item x="497"/>
        <item x="1569"/>
        <item x="2513"/>
        <item x="2367"/>
        <item x="1491"/>
        <item x="777"/>
        <item x="1542"/>
        <item x="1237"/>
        <item x="16"/>
        <item x="1314"/>
        <item x="2385"/>
        <item x="1625"/>
        <item x="2133"/>
        <item x="544"/>
        <item x="412"/>
        <item x="456"/>
        <item x="402"/>
        <item x="1023"/>
        <item x="1212"/>
        <item x="100"/>
        <item x="2101"/>
        <item x="214"/>
        <item x="1892"/>
        <item x="655"/>
        <item x="788"/>
        <item x="386"/>
        <item x="938"/>
        <item x="1735"/>
        <item x="682"/>
        <item x="2287"/>
        <item x="952"/>
        <item x="320"/>
        <item x="1173"/>
        <item x="2084"/>
        <item x="3"/>
        <item x="572"/>
        <item x="232"/>
        <item x="1081"/>
        <item x="229"/>
        <item x="980"/>
        <item x="1526"/>
        <item x="1351"/>
        <item x="117"/>
        <item x="2182"/>
        <item x="2204"/>
        <item x="2286"/>
        <item x="275"/>
        <item x="146"/>
        <item x="1596"/>
        <item x="1935"/>
        <item x="517"/>
        <item x="1281"/>
        <item x="375"/>
        <item x="2480"/>
        <item x="782"/>
        <item x="88"/>
        <item x="823"/>
        <item x="1420"/>
        <item x="1590"/>
        <item x="1427"/>
        <item x="2407"/>
        <item x="1086"/>
        <item x="1734"/>
        <item x="2318"/>
        <item x="1560"/>
        <item x="1950"/>
        <item x="803"/>
        <item x="1603"/>
        <item x="906"/>
        <item x="2098"/>
        <item x="1994"/>
        <item x="344"/>
        <item x="1033"/>
        <item x="1330"/>
        <item x="1218"/>
        <item x="493"/>
        <item x="523"/>
        <item x="251"/>
        <item x="781"/>
        <item x="604"/>
        <item x="2239"/>
        <item x="1374"/>
        <item x="2348"/>
        <item x="669"/>
        <item x="2489"/>
        <item x="568"/>
        <item x="1710"/>
        <item x="2129"/>
        <item x="1064"/>
        <item x="2446"/>
        <item x="1706"/>
        <item x="132"/>
        <item x="1280"/>
        <item x="814"/>
        <item x="261"/>
        <item x="210"/>
        <item x="610"/>
        <item x="961"/>
        <item x="591"/>
        <item x="624"/>
        <item x="2039"/>
        <item x="2020"/>
        <item x="57"/>
        <item x="1869"/>
        <item x="2089"/>
        <item x="99"/>
        <item x="2008"/>
        <item x="2059"/>
        <item x="1246"/>
        <item x="1729"/>
        <item x="1618"/>
        <item x="2409"/>
        <item x="1818"/>
        <item x="809"/>
        <item x="1642"/>
        <item x="436"/>
        <item x="1202"/>
        <item x="762"/>
        <item x="2484"/>
        <item x="1700"/>
        <item x="2411"/>
        <item x="179"/>
        <item x="1736"/>
        <item x="1469"/>
        <item x="139"/>
        <item x="2244"/>
        <item x="940"/>
        <item x="1559"/>
        <item x="2485"/>
        <item x="1031"/>
        <item x="1122"/>
        <item x="155"/>
        <item x="2009"/>
        <item x="281"/>
        <item x="387"/>
        <item x="1879"/>
        <item x="1328"/>
        <item x="2311"/>
        <item x="280"/>
        <item x="1547"/>
        <item x="827"/>
        <item x="1130"/>
        <item x="1505"/>
        <item x="836"/>
        <item x="2150"/>
        <item x="806"/>
        <item x="1223"/>
        <item x="2277"/>
        <item x="530"/>
        <item x="922"/>
        <item x="639"/>
        <item x="745"/>
        <item x="1462"/>
        <item x="256"/>
        <item x="1637"/>
        <item x="1380"/>
        <item x="1161"/>
        <item x="1214"/>
        <item x="1028"/>
        <item x="509"/>
        <item x="622"/>
        <item x="969"/>
        <item x="2210"/>
        <item x="1868"/>
        <item x="1958"/>
        <item x="499"/>
        <item x="297"/>
        <item x="1098"/>
        <item x="360"/>
        <item x="996"/>
        <item x="437"/>
        <item x="356"/>
        <item x="2440"/>
        <item x="520"/>
        <item x="2369"/>
        <item x="1198"/>
        <item x="1643"/>
        <item x="911"/>
        <item x="1271"/>
        <item x="1816"/>
        <item x="546"/>
        <item x="1256"/>
        <item x="791"/>
        <item x="506"/>
        <item x="2050"/>
        <item x="1089"/>
        <item x="2152"/>
        <item x="702"/>
        <item x="2437"/>
        <item x="2377"/>
        <item x="193"/>
        <item x="2260"/>
        <item x="421"/>
        <item x="764"/>
        <item x="1771"/>
        <item x="1401"/>
        <item x="2472"/>
        <item x="2042"/>
        <item x="616"/>
        <item x="24"/>
        <item x="1393"/>
        <item x="338"/>
        <item x="1062"/>
        <item x="2149"/>
        <item x="1883"/>
        <item x="2094"/>
        <item x="1861"/>
        <item x="1293"/>
        <item x="838"/>
        <item x="2314"/>
        <item x="956"/>
        <item x="573"/>
        <item x="1116"/>
        <item x="1468"/>
        <item x="676"/>
        <item x="819"/>
        <item x="109"/>
        <item x="548"/>
        <item x="1617"/>
        <item x="1952"/>
        <item x="820"/>
        <item x="665"/>
        <item x="599"/>
        <item x="1698"/>
        <item x="2273"/>
        <item x="581"/>
        <item x="1717"/>
        <item x="1496"/>
        <item x="2113"/>
        <item x="322"/>
        <item x="2468"/>
        <item x="1392"/>
        <item x="1674"/>
        <item x="1986"/>
        <item x="1944"/>
        <item x="1307"/>
        <item x="2145"/>
        <item x="2116"/>
        <item x="49"/>
        <item x="549"/>
        <item x="1713"/>
        <item x="2408"/>
        <item x="699"/>
        <item x="1049"/>
        <item x="1683"/>
        <item x="673"/>
        <item x="1801"/>
        <item x="39"/>
        <item x="1973"/>
        <item x="1157"/>
        <item x="1624"/>
        <item x="2345"/>
        <item x="2121"/>
        <item x="1874"/>
        <item x="1238"/>
        <item x="765"/>
        <item x="374"/>
        <item x="1739"/>
        <item x="2363"/>
        <item x="87"/>
        <item x="1856"/>
        <item x="1095"/>
        <item x="1276"/>
        <item x="2497"/>
        <item x="1168"/>
        <item x="2414"/>
        <item x="430"/>
        <item x="930"/>
        <item x="1109"/>
        <item x="649"/>
        <item x="2068"/>
        <item x="920"/>
        <item x="2186"/>
        <item x="1105"/>
        <item x="967"/>
        <item x="1269"/>
        <item x="620"/>
        <item x="2110"/>
        <item x="1623"/>
        <item x="1877"/>
        <item x="277"/>
        <item x="1329"/>
        <item x="518"/>
        <item x="1129"/>
        <item x="2153"/>
        <item x="1687"/>
        <item x="481"/>
        <item x="108"/>
        <item x="732"/>
        <item x="617"/>
        <item x="490"/>
        <item x="2002"/>
        <item x="1297"/>
        <item x="2470"/>
        <item x="2106"/>
        <item x="162"/>
        <item x="1216"/>
        <item x="1898"/>
        <item x="1549"/>
        <item x="1332"/>
        <item x="1268"/>
        <item x="1311"/>
        <item x="1322"/>
        <item x="7"/>
        <item x="910"/>
        <item x="1758"/>
        <item x="553"/>
        <item x="2045"/>
        <item x="380"/>
        <item x="2070"/>
        <item x="1203"/>
        <item x="2401"/>
        <item x="1120"/>
        <item x="1875"/>
        <item x="134"/>
        <item x="54"/>
        <item x="434"/>
        <item x="289"/>
        <item x="1139"/>
        <item x="1884"/>
        <item x="590"/>
        <item x="625"/>
        <item x="234"/>
        <item x="863"/>
        <item x="1838"/>
        <item x="672"/>
        <item x="1323"/>
        <item x="431"/>
        <item x="270"/>
        <item x="1441"/>
        <item x="1123"/>
        <item x="2405"/>
        <item x="1591"/>
        <item x="856"/>
        <item x="2510"/>
        <item x="1408"/>
        <item x="2460"/>
        <item x="1927"/>
        <item x="363"/>
        <item x="2494"/>
        <item x="2308"/>
        <item x="2245"/>
        <item x="1964"/>
        <item x="1339"/>
        <item x="1346"/>
        <item x="2041"/>
        <item x="1206"/>
        <item x="2402"/>
        <item x="1022"/>
        <item x="1177"/>
        <item x="1426"/>
        <item x="2310"/>
        <item x="60"/>
        <item x="164"/>
        <item x="25"/>
        <item x="1775"/>
        <item x="1058"/>
        <item x="1786"/>
        <item x="1738"/>
        <item x="1845"/>
        <item x="2462"/>
        <item x="2083"/>
        <item x="1132"/>
        <item x="253"/>
        <item x="1171"/>
        <item x="1923"/>
        <item x="717"/>
        <item x="889"/>
        <item x="22"/>
        <item x="1250"/>
        <item x="1722"/>
        <item x="2138"/>
        <item x="1222"/>
        <item x="441"/>
        <item x="874"/>
        <item x="1895"/>
        <item x="1824"/>
        <item x="1342"/>
        <item x="2295"/>
        <item x="529"/>
        <item x="1832"/>
        <item x="1347"/>
        <item x="1309"/>
        <item x="826"/>
        <item x="813"/>
        <item x="1939"/>
        <item x="1025"/>
        <item x="211"/>
        <item x="1901"/>
        <item x="1537"/>
        <item x="2195"/>
        <item x="258"/>
        <item x="1585"/>
        <item x="983"/>
        <item x="1164"/>
        <item x="539"/>
        <item x="2180"/>
        <item x="1551"/>
        <item x="951"/>
        <item x="627"/>
        <item x="318"/>
        <item x="144"/>
        <item x="867"/>
        <item x="1530"/>
        <item x="96"/>
        <item x="2368"/>
        <item x="1010"/>
        <item x="1026"/>
        <item x="2165"/>
        <item x="1497"/>
        <item x="760"/>
        <item x="2073"/>
        <item x="1688"/>
        <item x="447"/>
        <item x="475"/>
        <item x="536"/>
        <item x="2505"/>
        <item x="332"/>
        <item x="2499"/>
        <item x="1557"/>
        <item x="2456"/>
        <item x="1414"/>
        <item x="85"/>
        <item x="1445"/>
        <item x="486"/>
        <item x="1422"/>
        <item x="1539"/>
        <item x="2296"/>
        <item x="812"/>
        <item x="170"/>
        <item x="1908"/>
        <item x="1041"/>
        <item x="2170"/>
        <item x="1790"/>
        <item x="2211"/>
        <item x="1780"/>
        <item x="1259"/>
        <item x="2207"/>
        <item x="2201"/>
        <item x="612"/>
        <item x="1054"/>
        <item x="1633"/>
        <item x="1350"/>
        <item x="364"/>
        <item x="871"/>
        <item x="1193"/>
        <item x="1475"/>
        <item x="720"/>
        <item x="1429"/>
        <item x="257"/>
        <item x="1306"/>
        <item x="284"/>
        <item x="1533"/>
        <item x="1489"/>
        <item x="2488"/>
        <item x="1822"/>
        <item x="2155"/>
        <item x="1792"/>
        <item x="1870"/>
        <item x="1733"/>
        <item x="1302"/>
        <item x="1651"/>
        <item x="1943"/>
        <item x="1563"/>
        <item x="2035"/>
        <item x="953"/>
        <item x="571"/>
        <item x="1011"/>
        <item x="2469"/>
        <item x="1953"/>
        <item x="2435"/>
        <item x="148"/>
        <item x="1766"/>
        <item x="924"/>
        <item x="1273"/>
        <item x="516"/>
        <item x="939"/>
        <item x="504"/>
        <item x="2125"/>
        <item x="2172"/>
        <item x="2232"/>
        <item x="1215"/>
        <item x="1671"/>
        <item x="1175"/>
        <item x="954"/>
        <item x="422"/>
        <item x="831"/>
        <item x="381"/>
        <item x="1726"/>
        <item x="2302"/>
        <item x="222"/>
        <item x="2109"/>
        <item x="1254"/>
        <item x="1386"/>
        <item x="1658"/>
        <item x="713"/>
        <item x="1769"/>
        <item x="976"/>
        <item x="1437"/>
        <item x="1765"/>
        <item x="2274"/>
        <item x="309"/>
        <item x="384"/>
        <item x="998"/>
        <item x="1451"/>
        <item x="683"/>
        <item x="1692"/>
        <item x="1727"/>
        <item x="1714"/>
        <item x="1512"/>
        <item x="1482"/>
        <item x="1587"/>
        <item x="2475"/>
        <item x="2399"/>
        <item x="2305"/>
        <item x="1387"/>
        <item x="1967"/>
        <item x="1841"/>
        <item x="1484"/>
        <item x="1111"/>
        <item x="312"/>
        <item x="342"/>
        <item x="2420"/>
        <item x="2373"/>
        <item x="1436"/>
        <item x="2141"/>
        <item x="2338"/>
        <item x="326"/>
        <item x="365"/>
        <item x="2192"/>
        <item x="2144"/>
        <item x="898"/>
        <item x="1799"/>
        <item x="1788"/>
        <item x="2491"/>
        <item x="1836"/>
        <item x="1876"/>
        <item x="2093"/>
        <item t="default"/>
      </items>
    </pivotField>
    <pivotField showAll="0"/>
    <pivotField showAll="0"/>
    <pivotField dataField="1" numFmtId="1" showAll="0"/>
    <pivotField numFmtId="1" showAll="0">
      <items count="64">
        <item x="33"/>
        <item x="0"/>
        <item x="28"/>
        <item x="10"/>
        <item x="39"/>
        <item x="1"/>
        <item x="45"/>
        <item x="56"/>
        <item x="32"/>
        <item x="36"/>
        <item x="12"/>
        <item x="22"/>
        <item x="57"/>
        <item x="20"/>
        <item x="35"/>
        <item x="18"/>
        <item x="11"/>
        <item x="21"/>
        <item x="55"/>
        <item x="52"/>
        <item x="24"/>
        <item x="26"/>
        <item x="34"/>
        <item x="49"/>
        <item x="16"/>
        <item x="51"/>
        <item x="60"/>
        <item x="4"/>
        <item x="17"/>
        <item x="46"/>
        <item x="47"/>
        <item x="31"/>
        <item x="8"/>
        <item x="27"/>
        <item x="50"/>
        <item x="14"/>
        <item x="37"/>
        <item x="54"/>
        <item x="41"/>
        <item x="48"/>
        <item x="19"/>
        <item x="15"/>
        <item x="7"/>
        <item x="9"/>
        <item x="61"/>
        <item x="13"/>
        <item x="25"/>
        <item x="38"/>
        <item x="62"/>
        <item x="40"/>
        <item x="59"/>
        <item x="44"/>
        <item x="58"/>
        <item x="3"/>
        <item x="2"/>
        <item x="6"/>
        <item x="42"/>
        <item x="29"/>
        <item x="30"/>
        <item x="53"/>
        <item x="23"/>
        <item x="43"/>
        <item x="5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Total Reviews" fld="0" subtotal="count" baseField="0" baseItem="1"/>
    <dataField name="Average Rating" fld="6" subtotal="average" baseField="0" baseItem="1" numFmtId="2"/>
    <dataField name="Sum of helpful_votes" fld="10" baseField="0" baseItem="2" numFmtId="1"/>
  </dataFields>
  <formats count="11">
    <format dxfId="1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A27E11-9CFC-4E25-941F-C0ABF6FADC2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25:C131" firstHeaderRow="0" firstDataRow="1" firstDataCol="1"/>
  <pivotFields count="19">
    <pivotField dataField="1" showAll="0"/>
    <pivotField numFmtId="1" showAll="0"/>
    <pivotField showAll="0"/>
    <pivotField showAll="0"/>
    <pivotField showAll="0"/>
    <pivotField showAll="0"/>
    <pivotField dataField="1" numFmtId="164" showAll="0">
      <items count="7">
        <item x="0"/>
        <item x="1"/>
        <item x="2"/>
        <item x="3"/>
        <item x="4"/>
        <item x="5"/>
        <item t="default"/>
      </items>
    </pivotField>
    <pivotField numFmtId="22" showAll="0">
      <items count="2515">
        <item x="2075"/>
        <item x="150"/>
        <item x="718"/>
        <item x="1267"/>
        <item x="1252"/>
        <item x="1052"/>
        <item x="2376"/>
        <item x="2501"/>
        <item x="2320"/>
        <item x="646"/>
        <item x="593"/>
        <item x="1654"/>
        <item x="1719"/>
        <item x="1145"/>
        <item x="2347"/>
        <item x="681"/>
        <item x="1992"/>
        <item x="1260"/>
        <item x="670"/>
        <item x="1634"/>
        <item x="51"/>
        <item x="1290"/>
        <item x="2406"/>
        <item x="808"/>
        <item x="789"/>
        <item x="2048"/>
        <item x="747"/>
        <item x="2381"/>
        <item x="1676"/>
        <item x="2331"/>
        <item x="2423"/>
        <item x="687"/>
        <item x="525"/>
        <item x="839"/>
        <item x="1961"/>
        <item x="377"/>
        <item x="500"/>
        <item x="1369"/>
        <item x="460"/>
        <item x="909"/>
        <item x="1285"/>
        <item x="2119"/>
        <item x="1566"/>
        <item x="2085"/>
        <item x="1507"/>
        <item x="1488"/>
        <item x="595"/>
        <item x="121"/>
        <item x="2306"/>
        <item x="1365"/>
        <item x="957"/>
        <item x="1014"/>
        <item x="2217"/>
        <item x="1375"/>
        <item x="1513"/>
        <item x="2466"/>
        <item x="1195"/>
        <item x="2288"/>
        <item x="2191"/>
        <item x="1867"/>
        <item x="531"/>
        <item x="2354"/>
        <item x="2120"/>
        <item x="1189"/>
        <item x="226"/>
        <item x="1305"/>
        <item x="935"/>
        <item x="407"/>
        <item x="859"/>
        <item x="2387"/>
        <item x="294"/>
        <item x="1965"/>
        <item x="2352"/>
        <item x="1581"/>
        <item x="674"/>
        <item x="1881"/>
        <item x="1749"/>
        <item x="1317"/>
        <item x="182"/>
        <item x="2185"/>
        <item x="1407"/>
        <item x="1470"/>
        <item x="205"/>
        <item x="2115"/>
        <item x="1335"/>
        <item x="1949"/>
        <item x="2161"/>
        <item x="1141"/>
        <item x="1158"/>
        <item x="1243"/>
        <item x="206"/>
        <item x="873"/>
        <item x="1403"/>
        <item x="1217"/>
        <item x="2140"/>
        <item x="574"/>
        <item x="815"/>
        <item x="1005"/>
        <item x="347"/>
        <item x="1575"/>
        <item x="1066"/>
        <item x="634"/>
        <item x="2430"/>
        <item x="1258"/>
        <item x="561"/>
        <item x="252"/>
        <item x="675"/>
        <item x="1608"/>
        <item x="1511"/>
        <item x="563"/>
        <item x="1463"/>
        <item x="2357"/>
        <item x="2221"/>
        <item x="1716"/>
        <item x="841"/>
        <item x="1204"/>
        <item x="1065"/>
        <item x="2502"/>
        <item x="985"/>
        <item x="997"/>
        <item x="158"/>
        <item x="265"/>
        <item x="1303"/>
        <item x="1912"/>
        <item x="1372"/>
        <item x="1955"/>
        <item x="2465"/>
        <item x="1356"/>
        <item x="406"/>
        <item x="1809"/>
        <item x="1577"/>
        <item x="2169"/>
        <item x="296"/>
        <item x="1578"/>
        <item x="641"/>
        <item x="628"/>
        <item x="2034"/>
        <item x="349"/>
        <item x="2071"/>
        <item x="2496"/>
        <item x="1135"/>
        <item x="189"/>
        <item x="2202"/>
        <item x="2427"/>
        <item x="128"/>
        <item x="963"/>
        <item x="1508"/>
        <item x="1518"/>
        <item x="1453"/>
        <item x="1057"/>
        <item x="1695"/>
        <item x="1718"/>
        <item x="840"/>
        <item x="749"/>
        <item x="2379"/>
        <item x="123"/>
        <item x="1740"/>
        <item x="472"/>
        <item x="8"/>
        <item x="801"/>
        <item x="2027"/>
        <item x="1292"/>
        <item x="1337"/>
        <item x="1498"/>
        <item x="373"/>
        <item x="2078"/>
        <item x="1006"/>
        <item x="1797"/>
        <item x="1102"/>
        <item x="484"/>
        <item x="1377"/>
        <item x="202"/>
        <item x="1283"/>
        <item x="1087"/>
        <item x="94"/>
        <item x="1612"/>
        <item x="990"/>
        <item x="1871"/>
        <item x="31"/>
        <item x="1804"/>
        <item x="505"/>
        <item x="2237"/>
        <item x="2450"/>
        <item x="1308"/>
        <item x="2147"/>
        <item x="2434"/>
        <item x="2178"/>
        <item x="1055"/>
        <item x="462"/>
        <item x="743"/>
        <item x="191"/>
        <item x="2500"/>
        <item x="2339"/>
        <item x="1673"/>
        <item x="1219"/>
        <item x="2176"/>
        <item x="1385"/>
        <item x="2328"/>
        <item x="1947"/>
        <item x="220"/>
        <item x="740"/>
        <item x="1664"/>
        <item x="2166"/>
        <item x="1357"/>
        <item x="172"/>
        <item x="1776"/>
        <item x="37"/>
        <item x="106"/>
        <item x="2471"/>
        <item x="1650"/>
        <item x="1471"/>
        <item x="1619"/>
        <item x="272"/>
        <item x="463"/>
        <item x="2454"/>
        <item x="881"/>
        <item x="1027"/>
        <item x="1989"/>
        <item x="2444"/>
        <item x="668"/>
        <item x="1360"/>
        <item x="271"/>
        <item x="1682"/>
        <item x="1645"/>
        <item x="959"/>
        <item x="1576"/>
        <item x="845"/>
        <item x="688"/>
        <item x="23"/>
        <item x="389"/>
        <item x="545"/>
        <item x="709"/>
        <item x="1772"/>
        <item x="455"/>
        <item x="551"/>
        <item x="1133"/>
        <item x="1137"/>
        <item x="1593"/>
        <item x="955"/>
        <item x="850"/>
        <item x="1239"/>
        <item x="901"/>
        <item x="1166"/>
        <item x="236"/>
        <item x="896"/>
        <item x="1425"/>
        <item x="950"/>
        <item x="696"/>
        <item x="1071"/>
        <item x="1514"/>
        <item x="537"/>
        <item x="904"/>
        <item x="1572"/>
        <item x="485"/>
        <item x="248"/>
        <item x="1592"/>
        <item x="1154"/>
        <item x="498"/>
        <item x="2336"/>
        <item x="201"/>
        <item x="2136"/>
        <item x="779"/>
        <item x="1886"/>
        <item x="1060"/>
        <item x="1068"/>
        <item x="1394"/>
        <item x="1983"/>
        <item x="1997"/>
        <item x="1589"/>
        <item x="38"/>
        <item x="566"/>
        <item x="2164"/>
        <item x="1240"/>
        <item x="2361"/>
        <item x="1461"/>
        <item x="1626"/>
        <item x="2142"/>
        <item x="1093"/>
        <item x="1580"/>
        <item x="107"/>
        <item x="1449"/>
        <item x="1878"/>
        <item x="125"/>
        <item x="633"/>
        <item x="1659"/>
        <item x="390"/>
        <item x="971"/>
        <item x="482"/>
        <item x="2156"/>
        <item x="532"/>
        <item x="1418"/>
        <item x="403"/>
        <item x="2249"/>
        <item x="1815"/>
        <item x="1432"/>
        <item x="877"/>
        <item x="643"/>
        <item x="1648"/>
        <item x="2390"/>
        <item x="1277"/>
        <item x="1573"/>
        <item x="918"/>
        <item x="1601"/>
        <item x="1544"/>
        <item x="1400"/>
        <item x="1647"/>
        <item x="1261"/>
        <item x="1694"/>
        <item x="1007"/>
        <item x="17"/>
        <item x="1063"/>
        <item x="20"/>
        <item x="1110"/>
        <item x="854"/>
        <item x="1711"/>
        <item x="804"/>
        <item x="897"/>
        <item x="129"/>
        <item x="2436"/>
        <item x="1607"/>
        <item x="1745"/>
        <item x="141"/>
        <item x="1300"/>
        <item x="2177"/>
        <item x="1852"/>
        <item x="1152"/>
        <item x="2350"/>
        <item x="2146"/>
        <item x="425"/>
        <item x="936"/>
        <item x="276"/>
        <item x="424"/>
        <item x="1231"/>
        <item x="1556"/>
        <item x="1641"/>
        <item x="656"/>
        <item x="468"/>
        <item x="2189"/>
        <item x="807"/>
        <item x="115"/>
        <item x="1200"/>
        <item x="30"/>
        <item x="2356"/>
        <item x="770"/>
        <item x="2481"/>
        <item x="1666"/>
        <item x="602"/>
        <item x="2428"/>
        <item x="1434"/>
        <item x="1153"/>
        <item x="2281"/>
        <item x="2054"/>
        <item x="190"/>
        <item x="1287"/>
        <item x="2061"/>
        <item x="122"/>
        <item x="195"/>
        <item x="1528"/>
        <item x="2255"/>
        <item x="1088"/>
        <item x="2280"/>
        <item x="2175"/>
        <item x="244"/>
        <item x="1866"/>
        <item x="1160"/>
        <item x="2418"/>
        <item x="501"/>
        <item x="53"/>
        <item x="1504"/>
        <item x="1982"/>
        <item x="1030"/>
        <item x="461"/>
        <item x="1545"/>
        <item x="2226"/>
        <item x="619"/>
        <item x="2128"/>
        <item x="264"/>
        <item x="882"/>
        <item x="899"/>
        <item x="1358"/>
        <item x="793"/>
        <item x="1905"/>
        <item x="249"/>
        <item x="1954"/>
        <item x="89"/>
        <item x="2351"/>
        <item x="429"/>
        <item x="2079"/>
        <item x="642"/>
        <item x="325"/>
        <item x="2251"/>
        <item x="2283"/>
        <item x="1701"/>
        <item x="2242"/>
        <item x="10"/>
        <item x="1050"/>
        <item x="2394"/>
        <item x="757"/>
        <item x="227"/>
        <item x="2213"/>
        <item x="1808"/>
        <item x="2509"/>
        <item x="1035"/>
        <item x="200"/>
        <item x="1455"/>
        <item x="1167"/>
        <item x="988"/>
        <item x="2400"/>
        <item x="1567"/>
        <item x="480"/>
        <item x="235"/>
        <item x="1843"/>
        <item x="2433"/>
        <item x="2062"/>
        <item x="876"/>
        <item x="1080"/>
        <item x="1746"/>
        <item x="2493"/>
        <item x="833"/>
        <item x="44"/>
        <item x="1724"/>
        <item x="926"/>
        <item x="1506"/>
        <item x="2173"/>
        <item x="1880"/>
        <item x="1207"/>
        <item x="2451"/>
        <item x="1127"/>
        <item x="999"/>
        <item x="18"/>
        <item x="2512"/>
        <item x="1341"/>
        <item x="662"/>
        <item x="2303"/>
        <item x="1419"/>
        <item x="2193"/>
        <item x="2388"/>
        <item x="1015"/>
        <item x="2478"/>
        <item x="775"/>
        <item x="255"/>
        <item x="1931"/>
        <item x="2315"/>
        <item x="1274"/>
        <item x="286"/>
        <item x="435"/>
        <item x="528"/>
        <item x="428"/>
        <item x="473"/>
        <item x="778"/>
        <item x="1205"/>
        <item x="393"/>
        <item x="1705"/>
        <item x="2396"/>
        <item x="2476"/>
        <item x="2218"/>
        <item x="2052"/>
        <item x="533"/>
        <item x="1417"/>
        <item x="711"/>
        <item x="1478"/>
        <item x="2159"/>
        <item x="228"/>
        <item x="2389"/>
        <item x="2344"/>
        <item x="194"/>
        <item x="1761"/>
        <item x="772"/>
        <item x="1197"/>
        <item x="2043"/>
        <item x="1034"/>
        <item x="1265"/>
        <item x="178"/>
        <item x="112"/>
        <item x="2486"/>
        <item x="1397"/>
        <item x="230"/>
        <item x="395"/>
        <item x="1909"/>
        <item x="2017"/>
        <item x="514"/>
        <item x="1844"/>
        <item x="1140"/>
        <item x="1101"/>
        <item x="1075"/>
        <item x="1974"/>
        <item x="623"/>
        <item x="1517"/>
        <item x="2215"/>
        <item x="524"/>
        <item x="1971"/>
        <item x="884"/>
        <item x="1616"/>
        <item x="973"/>
        <item x="1176"/>
        <item x="1074"/>
        <item x="1932"/>
        <item x="2457"/>
        <item x="540"/>
        <item x="1510"/>
        <item x="414"/>
        <item x="1930"/>
        <item x="752"/>
        <item x="152"/>
        <item x="796"/>
        <item x="570"/>
        <item x="792"/>
        <item x="2236"/>
        <item x="291"/>
        <item x="893"/>
        <item x="534"/>
        <item x="1534"/>
        <item x="932"/>
        <item x="852"/>
        <item x="1321"/>
        <item x="1179"/>
        <item x="2036"/>
        <item x="2044"/>
        <item x="1679"/>
        <item x="1255"/>
        <item x="118"/>
        <item x="1310"/>
        <item x="2219"/>
        <item x="1525"/>
        <item x="886"/>
        <item x="2018"/>
        <item x="119"/>
        <item x="1388"/>
        <item x="81"/>
        <item x="2199"/>
        <item x="1821"/>
        <item x="1631"/>
        <item x="846"/>
        <item x="2010"/>
        <item x="415"/>
        <item x="1669"/>
        <item x="2012"/>
        <item x="2104"/>
        <item x="101"/>
        <item x="594"/>
        <item x="1163"/>
        <item x="651"/>
        <item x="2291"/>
        <item x="2298"/>
        <item x="1754"/>
        <item x="1295"/>
        <item x="1402"/>
        <item x="611"/>
        <item x="1094"/>
        <item x="311"/>
        <item x="1004"/>
        <item x="748"/>
        <item x="908"/>
        <item x="1562"/>
        <item x="1813"/>
        <item x="1748"/>
        <item x="1864"/>
        <item x="1464"/>
        <item x="2299"/>
        <item x="2413"/>
        <item x="1536"/>
        <item x="1976"/>
        <item x="192"/>
        <item x="1926"/>
        <item x="2077"/>
        <item x="2292"/>
        <item x="2327"/>
        <item x="1194"/>
        <item x="1331"/>
        <item x="2049"/>
        <item x="55"/>
        <item x="1564"/>
        <item x="1794"/>
        <item x="671"/>
        <item x="2463"/>
        <item x="1984"/>
        <item x="382"/>
        <item x="986"/>
        <item x="26"/>
        <item x="1629"/>
        <item x="1519"/>
        <item x="1606"/>
        <item x="1072"/>
        <item x="1615"/>
        <item x="1227"/>
        <item x="411"/>
        <item x="1859"/>
        <item x="5"/>
        <item x="1364"/>
        <item x="1902"/>
        <item x="362"/>
        <item x="797"/>
        <item x="1495"/>
        <item x="45"/>
        <item x="2397"/>
        <item x="104"/>
        <item x="1446"/>
        <item x="978"/>
        <item x="1849"/>
        <item x="335"/>
        <item x="1009"/>
        <item x="686"/>
        <item x="1367"/>
        <item x="2087"/>
        <item x="61"/>
        <item x="63"/>
        <item x="1835"/>
        <item x="2126"/>
        <item x="279"/>
        <item x="1554"/>
        <item x="1782"/>
        <item x="355"/>
        <item x="2326"/>
        <item x="1077"/>
        <item x="2441"/>
        <item x="1678"/>
        <item x="1324"/>
        <item x="1807"/>
        <item x="167"/>
        <item x="2031"/>
        <item x="1319"/>
        <item x="2241"/>
        <item x="1704"/>
        <item x="476"/>
        <item x="2021"/>
        <item x="1316"/>
        <item x="2384"/>
        <item x="1793"/>
        <item x="1184"/>
        <item x="2233"/>
        <item x="2188"/>
        <item x="1318"/>
        <item x="1257"/>
        <item x="1981"/>
        <item x="1143"/>
        <item x="1796"/>
        <item x="547"/>
        <item x="274"/>
        <item x="1941"/>
        <item x="489"/>
        <item x="753"/>
        <item x="912"/>
        <item x="483"/>
        <item x="102"/>
        <item x="946"/>
        <item x="48"/>
        <item x="21"/>
        <item x="1162"/>
        <item x="1104"/>
        <item x="1457"/>
        <item x="630"/>
        <item x="1416"/>
        <item x="1224"/>
        <item x="1777"/>
        <item x="2086"/>
        <item x="855"/>
        <item x="1823"/>
        <item x="706"/>
        <item x="1887"/>
        <item x="1991"/>
        <item x="1382"/>
        <item x="1456"/>
        <item x="1210"/>
        <item x="2117"/>
        <item x="2419"/>
        <item x="2333"/>
        <item x="1304"/>
        <item x="847"/>
        <item x="1244"/>
        <item x="304"/>
        <item x="11"/>
        <item x="1851"/>
        <item x="459"/>
        <item x="2278"/>
        <item x="526"/>
        <item x="1494"/>
        <item x="2025"/>
        <item x="1320"/>
        <item x="449"/>
        <item x="763"/>
        <item x="1721"/>
        <item x="2372"/>
        <item x="1355"/>
        <item x="2342"/>
        <item x="268"/>
        <item x="974"/>
        <item x="474"/>
        <item x="169"/>
        <item x="2033"/>
        <item x="964"/>
        <item x="2134"/>
        <item x="722"/>
        <item x="1595"/>
        <item x="1805"/>
        <item x="708"/>
        <item x="404"/>
        <item x="1806"/>
        <item x="767"/>
        <item x="2398"/>
        <item x="495"/>
        <item x="371"/>
        <item x="327"/>
        <item x="738"/>
        <item x="1391"/>
        <item x="331"/>
        <item x="1134"/>
        <item x="1649"/>
        <item x="416"/>
        <item x="1903"/>
        <item x="469"/>
        <item x="731"/>
        <item x="541"/>
        <item x="542"/>
        <item x="559"/>
        <item x="2504"/>
        <item x="160"/>
        <item x="41"/>
        <item x="1696"/>
        <item x="848"/>
        <item x="1918"/>
        <item x="1689"/>
        <item x="1978"/>
        <item x="290"/>
        <item x="1546"/>
        <item x="1891"/>
        <item x="1165"/>
        <item x="145"/>
        <item x="2425"/>
        <item x="755"/>
        <item x="1538"/>
        <item x="1059"/>
        <item x="2004"/>
        <item x="795"/>
        <item x="1975"/>
        <item x="1910"/>
        <item x="1361"/>
        <item x="448"/>
        <item x="1913"/>
        <item x="1675"/>
        <item x="2015"/>
        <item x="734"/>
        <item x="2028"/>
        <item x="440"/>
        <item x="2380"/>
        <item x="2005"/>
        <item x="1114"/>
        <item x="1764"/>
        <item x="113"/>
        <item x="1791"/>
        <item x="1520"/>
        <item x="868"/>
        <item x="1476"/>
        <item x="944"/>
        <item x="608"/>
        <item x="1148"/>
        <item x="367"/>
        <item x="216"/>
        <item x="1980"/>
        <item x="2383"/>
        <item x="1155"/>
        <item x="126"/>
        <item x="733"/>
        <item x="269"/>
        <item x="2312"/>
        <item x="652"/>
        <item x="343"/>
        <item x="921"/>
        <item x="313"/>
        <item x="1096"/>
        <item x="203"/>
        <item x="2187"/>
        <item x="136"/>
        <item x="1248"/>
        <item x="1985"/>
        <item x="225"/>
        <item x="2209"/>
        <item x="1755"/>
        <item x="1583"/>
        <item x="307"/>
        <item x="600"/>
        <item x="1858"/>
        <item x="135"/>
        <item x="396"/>
        <item x="479"/>
        <item x="1348"/>
        <item x="864"/>
        <item x="2275"/>
        <item x="250"/>
        <item x="1550"/>
        <item x="1097"/>
        <item x="1460"/>
        <item x="305"/>
        <item x="2030"/>
        <item x="52"/>
        <item x="1751"/>
        <item x="1934"/>
        <item x="587"/>
        <item x="567"/>
        <item x="352"/>
        <item x="1742"/>
        <item x="1037"/>
        <item x="830"/>
        <item x="2349"/>
        <item x="2455"/>
        <item x="1458"/>
        <item x="1963"/>
        <item x="875"/>
        <item x="76"/>
        <item x="1523"/>
        <item x="1707"/>
        <item x="1232"/>
        <item x="858"/>
        <item x="598"/>
        <item x="588"/>
        <item x="1940"/>
        <item x="1043"/>
        <item x="494"/>
        <item x="369"/>
        <item x="245"/>
        <item x="787"/>
        <item x="465"/>
        <item x="2422"/>
        <item x="153"/>
        <item x="1289"/>
        <item x="798"/>
        <item x="1660"/>
        <item x="1076"/>
        <item x="596"/>
        <item x="692"/>
        <item x="2262"/>
        <item x="776"/>
        <item x="1172"/>
        <item x="1220"/>
        <item x="116"/>
        <item x="266"/>
        <item x="631"/>
        <item x="46"/>
        <item x="679"/>
        <item x="1605"/>
        <item x="1842"/>
        <item x="1668"/>
        <item x="492"/>
        <item x="1638"/>
        <item x="1106"/>
        <item x="1853"/>
        <item x="1959"/>
        <item x="1561"/>
        <item x="550"/>
        <item x="2271"/>
        <item x="1610"/>
        <item x="2235"/>
        <item x="1024"/>
        <item x="513"/>
        <item x="2074"/>
        <item x="2037"/>
        <item x="1677"/>
        <item x="444"/>
        <item x="2053"/>
        <item x="1904"/>
        <item x="849"/>
        <item x="1440"/>
        <item x="900"/>
        <item x="2112"/>
        <item x="19"/>
        <item x="805"/>
        <item x="1540"/>
        <item x="1502"/>
        <item x="1159"/>
        <item x="751"/>
        <item x="2321"/>
        <item x="1334"/>
        <item x="70"/>
        <item x="177"/>
        <item x="1945"/>
        <item x="2179"/>
        <item x="949"/>
        <item x="323"/>
        <item x="183"/>
        <item x="329"/>
        <item x="800"/>
        <item x="689"/>
        <item x="408"/>
        <item x="917"/>
        <item x="1579"/>
        <item x="519"/>
        <item x="2132"/>
        <item x="592"/>
        <item x="1917"/>
        <item x="2032"/>
        <item x="2506"/>
        <item x="1270"/>
        <item x="968"/>
        <item x="1298"/>
        <item x="2184"/>
        <item x="1929"/>
        <item x="1829"/>
        <item x="1672"/>
        <item x="2203"/>
        <item x="1969"/>
        <item x="2198"/>
        <item x="923"/>
        <item x="2208"/>
        <item x="2452"/>
        <item x="1763"/>
        <item x="4"/>
        <item x="1773"/>
        <item x="1278"/>
        <item x="869"/>
        <item x="2370"/>
        <item x="1652"/>
        <item x="648"/>
        <item x="1404"/>
        <item x="857"/>
        <item x="1191"/>
        <item x="512"/>
        <item x="769"/>
        <item x="966"/>
        <item x="306"/>
        <item x="215"/>
        <item x="650"/>
        <item x="1781"/>
        <item x="1531"/>
        <item x="1854"/>
        <item x="2040"/>
        <item x="1233"/>
        <item x="1759"/>
        <item x="1599"/>
        <item x="62"/>
        <item x="1787"/>
        <item x="1810"/>
        <item x="1900"/>
        <item x="527"/>
        <item x="1632"/>
        <item x="438"/>
        <item x="2332"/>
        <item x="972"/>
        <item x="2100"/>
        <item x="1762"/>
        <item x="1691"/>
        <item x="420"/>
        <item x="1465"/>
        <item x="1663"/>
        <item x="2095"/>
        <item x="2421"/>
        <item x="746"/>
        <item x="735"/>
        <item x="2386"/>
        <item x="2108"/>
        <item x="391"/>
        <item x="1826"/>
        <item x="1452"/>
        <item x="2269"/>
        <item x="783"/>
        <item x="1196"/>
        <item x="2285"/>
        <item x="1555"/>
        <item x="1045"/>
        <item x="2330"/>
        <item x="1730"/>
        <item x="1299"/>
        <item x="824"/>
        <item x="659"/>
        <item x="1362"/>
        <item x="2151"/>
        <item x="2046"/>
        <item x="1524"/>
        <item x="120"/>
        <item x="282"/>
        <item x="818"/>
        <item x="1405"/>
        <item x="14"/>
        <item x="1448"/>
        <item x="1951"/>
        <item x="2064"/>
        <item x="1574"/>
        <item x="2266"/>
        <item x="240"/>
        <item x="66"/>
        <item x="1103"/>
        <item x="1499"/>
        <item x="2148"/>
        <item x="1073"/>
        <item x="2353"/>
        <item x="2224"/>
        <item x="433"/>
        <item x="334"/>
        <item x="453"/>
        <item x="1131"/>
        <item x="2304"/>
        <item x="1389"/>
        <item x="1410"/>
        <item x="1352"/>
        <item x="1558"/>
        <item x="209"/>
        <item x="1814"/>
        <item x="811"/>
        <item x="2417"/>
        <item x="1665"/>
        <item x="2317"/>
        <item x="502"/>
        <item x="1889"/>
        <item x="345"/>
        <item x="2066"/>
        <item x="1922"/>
        <item x="1333"/>
        <item x="2026"/>
        <item x="603"/>
        <item x="929"/>
        <item x="105"/>
        <item x="1242"/>
        <item x="2091"/>
        <item x="1767"/>
        <item x="1450"/>
        <item x="1543"/>
        <item x="6"/>
        <item x="919"/>
        <item x="40"/>
        <item x="2003"/>
        <item x="163"/>
        <item x="218"/>
        <item x="1384"/>
        <item x="802"/>
        <item x="1968"/>
        <item x="510"/>
        <item x="454"/>
        <item x="157"/>
        <item x="90"/>
        <item x="597"/>
        <item x="1459"/>
        <item x="2263"/>
        <item x="237"/>
        <item x="2162"/>
        <item x="1047"/>
        <item x="1001"/>
        <item x="892"/>
        <item x="241"/>
        <item x="538"/>
        <item x="2181"/>
        <item x="2341"/>
        <item x="359"/>
        <item x="2197"/>
        <item x="861"/>
        <item x="1338"/>
        <item x="95"/>
        <item x="2072"/>
        <item x="2171"/>
        <item x="1760"/>
        <item x="1750"/>
        <item x="2301"/>
        <item x="2366"/>
        <item x="1344"/>
        <item x="1439"/>
        <item x="1156"/>
        <item x="2364"/>
        <item x="684"/>
        <item x="552"/>
        <item x="726"/>
        <item x="535"/>
        <item x="1142"/>
        <item x="2103"/>
        <item x="267"/>
        <item x="1725"/>
        <item x="2416"/>
        <item x="2246"/>
        <item x="1995"/>
        <item x="834"/>
        <item x="1535"/>
        <item x="478"/>
        <item x="1604"/>
        <item x="828"/>
        <item x="1406"/>
        <item x="1368"/>
        <item x="350"/>
        <item x="1670"/>
        <item x="442"/>
        <item x="562"/>
        <item x="1890"/>
        <item x="496"/>
        <item x="224"/>
        <item x="2507"/>
        <item x="1038"/>
        <item x="774"/>
        <item x="736"/>
        <item x="2503"/>
        <item x="75"/>
        <item x="1473"/>
        <item x="2013"/>
        <item x="2225"/>
        <item x="1515"/>
        <item x="677"/>
        <item x="887"/>
        <item x="2022"/>
        <item x="1921"/>
        <item x="2403"/>
        <item x="1662"/>
        <item x="1354"/>
        <item x="914"/>
        <item x="1732"/>
        <item x="1373"/>
        <item x="2511"/>
        <item x="970"/>
        <item x="1241"/>
        <item x="213"/>
        <item x="556"/>
        <item x="92"/>
        <item x="259"/>
        <item x="1345"/>
        <item x="822"/>
        <item x="2212"/>
        <item x="1209"/>
        <item x="2461"/>
        <item x="621"/>
        <item x="1053"/>
        <item x="1012"/>
        <item x="1008"/>
        <item x="606"/>
        <item x="185"/>
        <item x="1"/>
        <item x="1850"/>
        <item x="2243"/>
        <item x="72"/>
        <item x="1936"/>
        <item x="1500"/>
        <item x="1928"/>
        <item x="759"/>
        <item x="1213"/>
        <item x="1294"/>
        <item x="1962"/>
        <item x="1091"/>
        <item x="1970"/>
        <item x="42"/>
        <item x="851"/>
        <item x="1571"/>
        <item x="340"/>
        <item x="1247"/>
        <item x="1113"/>
        <item x="578"/>
        <item x="1800"/>
        <item x="1483"/>
        <item x="212"/>
        <item x="1226"/>
        <item x="1906"/>
        <item x="1894"/>
        <item x="1017"/>
        <item x="2082"/>
        <item x="84"/>
        <item x="1731"/>
        <item x="1169"/>
        <item x="1702"/>
        <item x="1284"/>
        <item x="691"/>
        <item x="13"/>
        <item x="98"/>
        <item x="458"/>
        <item x="1509"/>
        <item x="77"/>
        <item x="1083"/>
        <item x="1833"/>
        <item x="1199"/>
        <item x="217"/>
        <item x="1085"/>
        <item x="1712"/>
        <item x="1521"/>
        <item x="2194"/>
        <item x="1340"/>
        <item x="756"/>
        <item x="2429"/>
        <item x="110"/>
        <item x="1178"/>
        <item x="168"/>
        <item x="2047"/>
        <item x="2247"/>
        <item x="488"/>
        <item x="730"/>
        <item x="1622"/>
        <item x="1657"/>
        <item x="221"/>
        <item x="1639"/>
        <item x="143"/>
        <item x="29"/>
        <item x="2029"/>
        <item x="1933"/>
        <item x="1803"/>
        <item x="1301"/>
        <item x="127"/>
        <item x="2214"/>
        <item x="1820"/>
        <item x="2011"/>
        <item x="1919"/>
        <item x="1802"/>
        <item x="1315"/>
        <item x="2096"/>
        <item x="1541"/>
        <item x="328"/>
        <item x="2257"/>
        <item x="1588"/>
        <item x="1862"/>
        <item x="1188"/>
        <item x="1376"/>
        <item x="1620"/>
        <item x="766"/>
        <item x="86"/>
        <item x="993"/>
        <item x="644"/>
        <item x="133"/>
        <item x="2335"/>
        <item x="1614"/>
        <item x="199"/>
        <item x="2329"/>
        <item x="1708"/>
        <item x="2057"/>
        <item x="1100"/>
        <item x="1840"/>
        <item x="208"/>
        <item x="1686"/>
        <item x="2334"/>
        <item x="187"/>
        <item x="2378"/>
        <item x="471"/>
        <item x="80"/>
        <item x="613"/>
        <item x="1442"/>
        <item x="589"/>
        <item x="1002"/>
        <item x="554"/>
        <item x="2097"/>
        <item x="987"/>
        <item x="1370"/>
        <item x="579"/>
        <item x="1061"/>
        <item x="741"/>
        <item x="945"/>
        <item x="151"/>
        <item x="409"/>
        <item x="1598"/>
        <item x="2374"/>
        <item x="2340"/>
        <item x="895"/>
        <item x="799"/>
        <item x="773"/>
        <item x="231"/>
        <item x="995"/>
        <item x="614"/>
        <item x="695"/>
        <item x="78"/>
        <item x="2482"/>
        <item x="2309"/>
        <item x="1715"/>
        <item x="580"/>
        <item x="933"/>
        <item x="1656"/>
        <item x="784"/>
        <item x="319"/>
        <item x="962"/>
        <item x="1568"/>
        <item x="2023"/>
        <item x="1609"/>
        <item x="2223"/>
        <item x="1150"/>
        <item x="147"/>
        <item x="2016"/>
        <item x="1124"/>
        <item x="1182"/>
        <item x="301"/>
        <item x="758"/>
        <item x="637"/>
        <item x="1613"/>
        <item x="2256"/>
        <item x="2267"/>
        <item x="885"/>
        <item x="685"/>
        <item x="1325"/>
        <item x="1115"/>
        <item x="1999"/>
        <item x="942"/>
        <item x="383"/>
        <item x="1079"/>
        <item x="716"/>
        <item x="197"/>
        <item x="1582"/>
        <item x="719"/>
        <item x="2360"/>
        <item x="1435"/>
        <item x="750"/>
        <item x="943"/>
        <item x="704"/>
        <item x="508"/>
        <item x="398"/>
        <item x="1485"/>
        <item x="511"/>
        <item x="1956"/>
        <item x="1848"/>
        <item x="2483"/>
        <item x="703"/>
        <item x="742"/>
        <item x="2346"/>
        <item x="1415"/>
        <item x="1996"/>
        <item x="626"/>
        <item x="2157"/>
        <item x="1032"/>
        <item x="1359"/>
        <item x="1183"/>
        <item x="1201"/>
        <item x="1399"/>
        <item x="522"/>
        <item x="941"/>
        <item x="837"/>
        <item x="1703"/>
        <item x="575"/>
        <item x="1846"/>
        <item x="2253"/>
        <item x="658"/>
        <item x="1522"/>
        <item x="2293"/>
        <item x="130"/>
        <item x="2216"/>
        <item x="1553"/>
        <item x="2289"/>
        <item x="2014"/>
        <item x="1147"/>
        <item x="392"/>
        <item x="1779"/>
        <item x="2238"/>
        <item x="1825"/>
        <item x="2252"/>
        <item x="1685"/>
        <item x="1789"/>
        <item x="1699"/>
        <item x="2167"/>
        <item x="1013"/>
        <item x="1501"/>
        <item x="1774"/>
        <item x="2474"/>
        <item x="1888"/>
        <item x="609"/>
        <item x="292"/>
        <item x="1378"/>
        <item x="293"/>
        <item x="507"/>
        <item x="1621"/>
        <item x="9"/>
        <item x="219"/>
        <item x="1262"/>
        <item x="865"/>
        <item x="1586"/>
        <item x="960"/>
        <item x="1503"/>
        <item x="1570"/>
        <item x="697"/>
        <item x="843"/>
        <item x="1627"/>
        <item x="645"/>
        <item x="1353"/>
        <item x="295"/>
        <item x="1228"/>
        <item x="2432"/>
        <item x="739"/>
        <item x="1811"/>
        <item x="1960"/>
        <item x="2355"/>
        <item x="69"/>
        <item x="2139"/>
        <item x="1635"/>
        <item x="1192"/>
        <item x="2426"/>
        <item x="15"/>
        <item x="2358"/>
        <item x="1170"/>
        <item x="1812"/>
        <item x="583"/>
        <item x="1753"/>
        <item x="1737"/>
        <item x="370"/>
        <item x="198"/>
        <item x="32"/>
        <item x="1411"/>
        <item x="737"/>
        <item x="285"/>
        <item x="1872"/>
        <item x="890"/>
        <item x="2058"/>
        <item x="1279"/>
        <item x="725"/>
        <item x="1747"/>
        <item x="65"/>
        <item x="2439"/>
        <item x="2220"/>
        <item x="2404"/>
        <item x="934"/>
        <item x="661"/>
        <item x="351"/>
        <item x="640"/>
        <item x="1896"/>
        <item x="2007"/>
        <item x="555"/>
        <item x="239"/>
        <item x="1336"/>
        <item x="2359"/>
        <item x="1395"/>
        <item x="2063"/>
        <item x="1831"/>
        <item x="660"/>
        <item x="1312"/>
        <item x="336"/>
        <item x="262"/>
        <item x="196"/>
        <item x="2438"/>
        <item x="417"/>
        <item x="260"/>
        <item x="1185"/>
        <item x="2137"/>
        <item x="2265"/>
        <item x="2130"/>
        <item x="664"/>
        <item x="180"/>
        <item x="1016"/>
        <item x="1472"/>
        <item x="821"/>
        <item x="1697"/>
        <item x="376"/>
        <item x="2038"/>
        <item x="368"/>
        <item x="761"/>
        <item x="399"/>
        <item x="316"/>
        <item x="1873"/>
        <item x="558"/>
        <item x="928"/>
        <item x="663"/>
        <item x="432"/>
        <item x="1837"/>
        <item x="1433"/>
        <item x="2464"/>
        <item x="12"/>
        <item x="34"/>
        <item x="1379"/>
        <item x="1020"/>
        <item x="994"/>
        <item x="1036"/>
        <item x="385"/>
        <item x="2069"/>
        <item x="341"/>
        <item x="1548"/>
        <item x="93"/>
        <item x="317"/>
        <item x="400"/>
        <item x="1915"/>
        <item x="186"/>
        <item x="2487"/>
        <item x="1709"/>
        <item x="1728"/>
        <item x="1082"/>
        <item x="445"/>
        <item x="947"/>
        <item x="2114"/>
        <item x="844"/>
        <item x="780"/>
        <item x="2322"/>
        <item x="1413"/>
        <item x="1467"/>
        <item x="2290"/>
        <item x="2284"/>
        <item x="905"/>
        <item x="1529"/>
        <item x="1313"/>
        <item x="154"/>
        <item x="1630"/>
        <item x="1263"/>
        <item x="2282"/>
        <item x="1118"/>
        <item x="647"/>
        <item x="238"/>
        <item x="71"/>
        <item x="982"/>
        <item x="114"/>
        <item x="2122"/>
        <item x="832"/>
        <item x="353"/>
        <item x="2135"/>
        <item x="358"/>
        <item x="2099"/>
        <item x="1107"/>
        <item x="2102"/>
        <item x="768"/>
        <item x="2090"/>
        <item x="0"/>
        <item x="2270"/>
        <item x="1860"/>
        <item x="636"/>
        <item x="357"/>
        <item x="2261"/>
        <item x="287"/>
        <item x="2190"/>
        <item x="1897"/>
        <item x="785"/>
        <item x="543"/>
        <item x="842"/>
        <item x="1924"/>
        <item x="907"/>
        <item x="446"/>
        <item x="2443"/>
        <item x="557"/>
        <item x="878"/>
        <item x="1998"/>
        <item x="1785"/>
        <item x="2375"/>
        <item x="2240"/>
        <item x="1236"/>
        <item x="560"/>
        <item x="1914"/>
        <item x="576"/>
        <item x="1863"/>
        <item x="1092"/>
        <item x="2092"/>
        <item x="707"/>
        <item x="2127"/>
        <item x="979"/>
        <item x="175"/>
        <item x="1834"/>
        <item x="1019"/>
        <item x="1480"/>
        <item x="223"/>
        <item x="1126"/>
        <item x="35"/>
        <item x="1186"/>
        <item x="771"/>
        <item x="1235"/>
        <item x="2324"/>
        <item x="1443"/>
        <item x="413"/>
        <item x="1937"/>
        <item x="727"/>
        <item x="724"/>
        <item x="339"/>
        <item x="1282"/>
        <item x="2124"/>
        <item x="372"/>
        <item x="2392"/>
        <item x="1056"/>
        <item x="2495"/>
        <item x="503"/>
        <item x="2228"/>
        <item x="1681"/>
        <item x="582"/>
        <item x="149"/>
        <item x="1326"/>
        <item x="419"/>
        <item x="173"/>
        <item x="1069"/>
        <item x="1756"/>
        <item x="2"/>
        <item x="487"/>
        <item x="1430"/>
        <item x="1275"/>
        <item x="1090"/>
        <item x="1286"/>
        <item x="1067"/>
        <item x="2337"/>
        <item x="2447"/>
        <item x="451"/>
        <item x="853"/>
        <item x="1899"/>
        <item x="989"/>
        <item x="82"/>
        <item x="388"/>
        <item x="879"/>
        <item x="601"/>
        <item x="439"/>
        <item x="299"/>
        <item x="1946"/>
        <item x="418"/>
        <item x="515"/>
        <item x="254"/>
        <item x="1847"/>
        <item x="2313"/>
        <item x="948"/>
        <item x="721"/>
        <item x="1296"/>
        <item x="1136"/>
        <item x="712"/>
        <item x="2395"/>
        <item x="1611"/>
        <item x="915"/>
        <item x="1431"/>
        <item x="700"/>
        <item x="2143"/>
        <item x="965"/>
        <item x="2415"/>
        <item x="2272"/>
        <item x="715"/>
        <item x="931"/>
        <item x="1144"/>
        <item x="710"/>
        <item x="2393"/>
        <item x="288"/>
        <item x="1477"/>
        <item x="1381"/>
        <item x="1920"/>
        <item x="1000"/>
        <item x="1988"/>
        <item x="303"/>
        <item x="2205"/>
        <item x="1251"/>
        <item x="321"/>
        <item x="50"/>
        <item x="1770"/>
        <item x="2230"/>
        <item x="83"/>
        <item x="754"/>
        <item x="1865"/>
        <item x="2111"/>
        <item x="204"/>
        <item x="1653"/>
        <item x="348"/>
        <item x="74"/>
        <item x="2371"/>
        <item x="394"/>
        <item x="165"/>
        <item x="2227"/>
        <item x="1044"/>
        <item x="1146"/>
        <item x="58"/>
        <item x="666"/>
        <item x="1466"/>
        <item x="1187"/>
        <item x="605"/>
        <item x="2445"/>
        <item x="2206"/>
        <item x="2264"/>
        <item x="1744"/>
        <item x="1174"/>
        <item x="817"/>
        <item x="2382"/>
        <item x="1234"/>
        <item x="657"/>
        <item x="866"/>
        <item x="354"/>
        <item x="2362"/>
        <item x="2467"/>
        <item x="470"/>
        <item x="1225"/>
        <item x="1125"/>
        <item x="131"/>
        <item x="410"/>
        <item x="1532"/>
        <item x="678"/>
        <item x="2229"/>
        <item x="166"/>
        <item x="1121"/>
        <item x="2254"/>
        <item x="1003"/>
        <item x="2258"/>
        <item x="2268"/>
        <item x="397"/>
        <item x="1424"/>
        <item x="794"/>
        <item x="635"/>
        <item x="1646"/>
        <item x="1051"/>
        <item x="1119"/>
        <item x="786"/>
        <item x="992"/>
        <item x="2473"/>
        <item x="1474"/>
        <item x="2168"/>
        <item x="1911"/>
        <item x="188"/>
        <item x="2060"/>
        <item x="1600"/>
        <item x="246"/>
        <item x="1597"/>
        <item x="1428"/>
        <item x="1636"/>
        <item x="1029"/>
        <item x="427"/>
        <item x="1117"/>
        <item x="2319"/>
        <item x="925"/>
        <item x="314"/>
        <item x="1925"/>
        <item x="1667"/>
        <item x="1108"/>
        <item x="705"/>
        <item x="2410"/>
        <item x="142"/>
        <item x="981"/>
        <item x="2118"/>
        <item x="790"/>
        <item x="618"/>
        <item x="2131"/>
        <item x="161"/>
        <item x="1454"/>
        <item x="1245"/>
        <item x="1288"/>
        <item x="2200"/>
        <item x="315"/>
        <item x="2019"/>
        <item x="860"/>
        <item x="629"/>
        <item x="1916"/>
        <item x="1882"/>
        <item x="585"/>
        <item x="300"/>
        <item x="477"/>
        <item x="243"/>
        <item x="1987"/>
        <item x="872"/>
        <item x="2323"/>
        <item x="1977"/>
        <item x="1149"/>
        <item x="1752"/>
        <item x="829"/>
        <item x="1291"/>
        <item x="2498"/>
        <item x="816"/>
        <item x="958"/>
        <item x="1371"/>
        <item x="2458"/>
        <item x="1938"/>
        <item x="1819"/>
        <item x="1644"/>
        <item x="2222"/>
        <item x="913"/>
        <item x="1720"/>
        <item x="1798"/>
        <item x="975"/>
        <item x="701"/>
        <item x="140"/>
        <item x="2055"/>
        <item x="43"/>
        <item x="1690"/>
        <item x="2183"/>
        <item x="862"/>
        <item x="1778"/>
        <item x="68"/>
        <item x="2154"/>
        <item x="1112"/>
        <item x="67"/>
        <item x="653"/>
        <item x="450"/>
        <item x="2490"/>
        <item x="1211"/>
        <item x="1723"/>
        <item x="1423"/>
        <item x="2088"/>
        <item x="2248"/>
        <item x="2449"/>
        <item x="56"/>
        <item x="916"/>
        <item x="1757"/>
        <item x="1628"/>
        <item x="33"/>
        <item x="324"/>
        <item x="103"/>
        <item x="47"/>
        <item x="1948"/>
        <item x="247"/>
        <item x="1070"/>
        <item x="2508"/>
        <item x="2391"/>
        <item x="690"/>
        <item x="1253"/>
        <item x="2365"/>
        <item x="28"/>
        <item x="2477"/>
        <item x="2297"/>
        <item x="586"/>
        <item x="423"/>
        <item x="1264"/>
        <item x="2081"/>
        <item x="2000"/>
        <item x="680"/>
        <item x="36"/>
        <item x="181"/>
        <item x="937"/>
        <item x="79"/>
        <item x="1741"/>
        <item x="1390"/>
        <item x="744"/>
        <item x="73"/>
        <item x="171"/>
        <item x="1042"/>
        <item x="927"/>
        <item x="242"/>
        <item x="273"/>
        <item x="1366"/>
        <item x="452"/>
        <item x="2067"/>
        <item x="1266"/>
        <item x="584"/>
        <item x="464"/>
        <item x="233"/>
        <item x="1693"/>
        <item x="1993"/>
        <item x="1584"/>
        <item x="667"/>
        <item x="379"/>
        <item x="1493"/>
        <item x="714"/>
        <item x="1486"/>
        <item x="1907"/>
        <item x="2448"/>
        <item x="870"/>
        <item x="1552"/>
        <item x="1942"/>
        <item x="1857"/>
        <item x="880"/>
        <item x="138"/>
        <item x="2325"/>
        <item x="2024"/>
        <item x="298"/>
        <item x="810"/>
        <item x="1040"/>
        <item x="1272"/>
        <item x="894"/>
        <item x="333"/>
        <item x="174"/>
        <item x="564"/>
        <item x="902"/>
        <item x="977"/>
        <item x="426"/>
        <item x="2065"/>
        <item x="443"/>
        <item x="1684"/>
        <item x="2492"/>
        <item x="1444"/>
        <item x="2174"/>
        <item x="1180"/>
        <item x="991"/>
        <item x="1438"/>
        <item x="1827"/>
        <item x="378"/>
        <item x="124"/>
        <item x="156"/>
        <item x="1487"/>
        <item x="1349"/>
        <item x="1018"/>
        <item x="2343"/>
        <item x="1680"/>
        <item x="2163"/>
        <item x="1409"/>
        <item x="2459"/>
        <item x="1516"/>
        <item x="1343"/>
        <item x="2279"/>
        <item x="491"/>
        <item x="59"/>
        <item x="1783"/>
        <item x="401"/>
        <item x="2294"/>
        <item x="2123"/>
        <item x="825"/>
        <item x="1181"/>
        <item x="207"/>
        <item x="137"/>
        <item x="2453"/>
        <item x="698"/>
        <item x="1398"/>
        <item x="2231"/>
        <item x="1230"/>
        <item x="654"/>
        <item x="1855"/>
        <item x="159"/>
        <item x="302"/>
        <item x="1151"/>
        <item x="2250"/>
        <item x="1084"/>
        <item x="91"/>
        <item x="1479"/>
        <item x="111"/>
        <item x="2259"/>
        <item x="1208"/>
        <item x="2076"/>
        <item x="64"/>
        <item x="723"/>
        <item x="278"/>
        <item x="1640"/>
        <item x="1594"/>
        <item x="1229"/>
        <item x="2105"/>
        <item x="1828"/>
        <item x="883"/>
        <item x="693"/>
        <item x="577"/>
        <item x="1990"/>
        <item x="27"/>
        <item x="1138"/>
        <item x="1128"/>
        <item x="308"/>
        <item x="1490"/>
        <item x="1363"/>
        <item x="1817"/>
        <item x="2107"/>
        <item x="638"/>
        <item x="1046"/>
        <item x="337"/>
        <item x="283"/>
        <item x="521"/>
        <item x="2234"/>
        <item x="1099"/>
        <item x="2412"/>
        <item x="903"/>
        <item x="607"/>
        <item x="346"/>
        <item x="1743"/>
        <item x="1421"/>
        <item x="2300"/>
        <item x="888"/>
        <item x="1527"/>
        <item x="176"/>
        <item x="1221"/>
        <item x="1972"/>
        <item x="1661"/>
        <item x="1327"/>
        <item x="330"/>
        <item x="1830"/>
        <item x="361"/>
        <item x="2307"/>
        <item x="1795"/>
        <item x="1249"/>
        <item x="2080"/>
        <item x="2316"/>
        <item x="1190"/>
        <item x="1383"/>
        <item x="694"/>
        <item x="1768"/>
        <item x="1039"/>
        <item x="1048"/>
        <item x="2431"/>
        <item x="569"/>
        <item x="2479"/>
        <item x="466"/>
        <item x="457"/>
        <item x="1839"/>
        <item x="1602"/>
        <item x="1957"/>
        <item x="1396"/>
        <item x="615"/>
        <item x="1893"/>
        <item x="2006"/>
        <item x="2196"/>
        <item x="835"/>
        <item x="2051"/>
        <item x="891"/>
        <item x="263"/>
        <item x="1447"/>
        <item x="984"/>
        <item x="2276"/>
        <item x="728"/>
        <item x="1412"/>
        <item x="2056"/>
        <item x="1021"/>
        <item x="1966"/>
        <item x="1492"/>
        <item x="2160"/>
        <item x="1078"/>
        <item x="467"/>
        <item x="1655"/>
        <item x="2442"/>
        <item x="1979"/>
        <item x="1885"/>
        <item x="184"/>
        <item x="1481"/>
        <item x="2001"/>
        <item x="2424"/>
        <item x="632"/>
        <item x="565"/>
        <item x="405"/>
        <item x="366"/>
        <item x="1565"/>
        <item x="310"/>
        <item x="1784"/>
        <item x="97"/>
        <item x="729"/>
        <item x="2158"/>
        <item x="497"/>
        <item x="1569"/>
        <item x="2513"/>
        <item x="2367"/>
        <item x="1491"/>
        <item x="777"/>
        <item x="1542"/>
        <item x="1237"/>
        <item x="16"/>
        <item x="1314"/>
        <item x="2385"/>
        <item x="1625"/>
        <item x="2133"/>
        <item x="544"/>
        <item x="412"/>
        <item x="456"/>
        <item x="402"/>
        <item x="1023"/>
        <item x="1212"/>
        <item x="100"/>
        <item x="2101"/>
        <item x="214"/>
        <item x="1892"/>
        <item x="655"/>
        <item x="788"/>
        <item x="386"/>
        <item x="938"/>
        <item x="1735"/>
        <item x="682"/>
        <item x="2287"/>
        <item x="952"/>
        <item x="320"/>
        <item x="1173"/>
        <item x="2084"/>
        <item x="3"/>
        <item x="572"/>
        <item x="232"/>
        <item x="1081"/>
        <item x="229"/>
        <item x="980"/>
        <item x="1526"/>
        <item x="1351"/>
        <item x="117"/>
        <item x="2182"/>
        <item x="2204"/>
        <item x="2286"/>
        <item x="275"/>
        <item x="146"/>
        <item x="1596"/>
        <item x="1935"/>
        <item x="517"/>
        <item x="1281"/>
        <item x="375"/>
        <item x="2480"/>
        <item x="782"/>
        <item x="88"/>
        <item x="823"/>
        <item x="1420"/>
        <item x="1590"/>
        <item x="1427"/>
        <item x="2407"/>
        <item x="1086"/>
        <item x="1734"/>
        <item x="2318"/>
        <item x="1560"/>
        <item x="1950"/>
        <item x="803"/>
        <item x="1603"/>
        <item x="906"/>
        <item x="2098"/>
        <item x="1994"/>
        <item x="344"/>
        <item x="1033"/>
        <item x="1330"/>
        <item x="1218"/>
        <item x="493"/>
        <item x="523"/>
        <item x="251"/>
        <item x="781"/>
        <item x="604"/>
        <item x="2239"/>
        <item x="1374"/>
        <item x="2348"/>
        <item x="669"/>
        <item x="2489"/>
        <item x="568"/>
        <item x="1710"/>
        <item x="2129"/>
        <item x="1064"/>
        <item x="2446"/>
        <item x="1706"/>
        <item x="132"/>
        <item x="1280"/>
        <item x="814"/>
        <item x="261"/>
        <item x="210"/>
        <item x="610"/>
        <item x="961"/>
        <item x="591"/>
        <item x="624"/>
        <item x="2039"/>
        <item x="2020"/>
        <item x="57"/>
        <item x="1869"/>
        <item x="2089"/>
        <item x="99"/>
        <item x="2008"/>
        <item x="2059"/>
        <item x="1246"/>
        <item x="1729"/>
        <item x="1618"/>
        <item x="2409"/>
        <item x="1818"/>
        <item x="809"/>
        <item x="1642"/>
        <item x="436"/>
        <item x="1202"/>
        <item x="762"/>
        <item x="2484"/>
        <item x="1700"/>
        <item x="2411"/>
        <item x="179"/>
        <item x="1736"/>
        <item x="1469"/>
        <item x="139"/>
        <item x="2244"/>
        <item x="940"/>
        <item x="1559"/>
        <item x="2485"/>
        <item x="1031"/>
        <item x="1122"/>
        <item x="155"/>
        <item x="2009"/>
        <item x="281"/>
        <item x="387"/>
        <item x="1879"/>
        <item x="1328"/>
        <item x="2311"/>
        <item x="280"/>
        <item x="1547"/>
        <item x="827"/>
        <item x="1130"/>
        <item x="1505"/>
        <item x="836"/>
        <item x="2150"/>
        <item x="806"/>
        <item x="1223"/>
        <item x="2277"/>
        <item x="530"/>
        <item x="922"/>
        <item x="639"/>
        <item x="745"/>
        <item x="1462"/>
        <item x="256"/>
        <item x="1637"/>
        <item x="1380"/>
        <item x="1161"/>
        <item x="1214"/>
        <item x="1028"/>
        <item x="509"/>
        <item x="622"/>
        <item x="969"/>
        <item x="2210"/>
        <item x="1868"/>
        <item x="1958"/>
        <item x="499"/>
        <item x="297"/>
        <item x="1098"/>
        <item x="360"/>
        <item x="996"/>
        <item x="437"/>
        <item x="356"/>
        <item x="2440"/>
        <item x="520"/>
        <item x="2369"/>
        <item x="1198"/>
        <item x="1643"/>
        <item x="911"/>
        <item x="1271"/>
        <item x="1816"/>
        <item x="546"/>
        <item x="1256"/>
        <item x="791"/>
        <item x="506"/>
        <item x="2050"/>
        <item x="1089"/>
        <item x="2152"/>
        <item x="702"/>
        <item x="2437"/>
        <item x="2377"/>
        <item x="193"/>
        <item x="2260"/>
        <item x="421"/>
        <item x="764"/>
        <item x="1771"/>
        <item x="1401"/>
        <item x="2472"/>
        <item x="2042"/>
        <item x="616"/>
        <item x="24"/>
        <item x="1393"/>
        <item x="338"/>
        <item x="1062"/>
        <item x="2149"/>
        <item x="1883"/>
        <item x="2094"/>
        <item x="1861"/>
        <item x="1293"/>
        <item x="838"/>
        <item x="2314"/>
        <item x="956"/>
        <item x="573"/>
        <item x="1116"/>
        <item x="1468"/>
        <item x="676"/>
        <item x="819"/>
        <item x="109"/>
        <item x="548"/>
        <item x="1617"/>
        <item x="1952"/>
        <item x="820"/>
        <item x="665"/>
        <item x="599"/>
        <item x="1698"/>
        <item x="2273"/>
        <item x="581"/>
        <item x="1717"/>
        <item x="1496"/>
        <item x="2113"/>
        <item x="322"/>
        <item x="2468"/>
        <item x="1392"/>
        <item x="1674"/>
        <item x="1986"/>
        <item x="1944"/>
        <item x="1307"/>
        <item x="2145"/>
        <item x="2116"/>
        <item x="49"/>
        <item x="549"/>
        <item x="1713"/>
        <item x="2408"/>
        <item x="699"/>
        <item x="1049"/>
        <item x="1683"/>
        <item x="673"/>
        <item x="1801"/>
        <item x="39"/>
        <item x="1973"/>
        <item x="1157"/>
        <item x="1624"/>
        <item x="2345"/>
        <item x="2121"/>
        <item x="1874"/>
        <item x="1238"/>
        <item x="765"/>
        <item x="374"/>
        <item x="1739"/>
        <item x="2363"/>
        <item x="87"/>
        <item x="1856"/>
        <item x="1095"/>
        <item x="1276"/>
        <item x="2497"/>
        <item x="1168"/>
        <item x="2414"/>
        <item x="430"/>
        <item x="930"/>
        <item x="1109"/>
        <item x="649"/>
        <item x="2068"/>
        <item x="920"/>
        <item x="2186"/>
        <item x="1105"/>
        <item x="967"/>
        <item x="1269"/>
        <item x="620"/>
        <item x="2110"/>
        <item x="1623"/>
        <item x="1877"/>
        <item x="277"/>
        <item x="1329"/>
        <item x="518"/>
        <item x="1129"/>
        <item x="2153"/>
        <item x="1687"/>
        <item x="481"/>
        <item x="108"/>
        <item x="732"/>
        <item x="617"/>
        <item x="490"/>
        <item x="2002"/>
        <item x="1297"/>
        <item x="2470"/>
        <item x="2106"/>
        <item x="162"/>
        <item x="1216"/>
        <item x="1898"/>
        <item x="1549"/>
        <item x="1332"/>
        <item x="1268"/>
        <item x="1311"/>
        <item x="1322"/>
        <item x="7"/>
        <item x="910"/>
        <item x="1758"/>
        <item x="553"/>
        <item x="2045"/>
        <item x="380"/>
        <item x="2070"/>
        <item x="1203"/>
        <item x="2401"/>
        <item x="1120"/>
        <item x="1875"/>
        <item x="134"/>
        <item x="54"/>
        <item x="434"/>
        <item x="289"/>
        <item x="1139"/>
        <item x="1884"/>
        <item x="590"/>
        <item x="625"/>
        <item x="234"/>
        <item x="863"/>
        <item x="1838"/>
        <item x="672"/>
        <item x="1323"/>
        <item x="431"/>
        <item x="270"/>
        <item x="1441"/>
        <item x="1123"/>
        <item x="2405"/>
        <item x="1591"/>
        <item x="856"/>
        <item x="2510"/>
        <item x="1408"/>
        <item x="2460"/>
        <item x="1927"/>
        <item x="363"/>
        <item x="2494"/>
        <item x="2308"/>
        <item x="2245"/>
        <item x="1964"/>
        <item x="1339"/>
        <item x="1346"/>
        <item x="2041"/>
        <item x="1206"/>
        <item x="2402"/>
        <item x="1022"/>
        <item x="1177"/>
        <item x="1426"/>
        <item x="2310"/>
        <item x="60"/>
        <item x="164"/>
        <item x="25"/>
        <item x="1775"/>
        <item x="1058"/>
        <item x="1786"/>
        <item x="1738"/>
        <item x="1845"/>
        <item x="2462"/>
        <item x="2083"/>
        <item x="1132"/>
        <item x="253"/>
        <item x="1171"/>
        <item x="1923"/>
        <item x="717"/>
        <item x="889"/>
        <item x="22"/>
        <item x="1250"/>
        <item x="1722"/>
        <item x="2138"/>
        <item x="1222"/>
        <item x="441"/>
        <item x="874"/>
        <item x="1895"/>
        <item x="1824"/>
        <item x="1342"/>
        <item x="2295"/>
        <item x="529"/>
        <item x="1832"/>
        <item x="1347"/>
        <item x="1309"/>
        <item x="826"/>
        <item x="813"/>
        <item x="1939"/>
        <item x="1025"/>
        <item x="211"/>
        <item x="1901"/>
        <item x="1537"/>
        <item x="2195"/>
        <item x="258"/>
        <item x="1585"/>
        <item x="983"/>
        <item x="1164"/>
        <item x="539"/>
        <item x="2180"/>
        <item x="1551"/>
        <item x="951"/>
        <item x="627"/>
        <item x="318"/>
        <item x="144"/>
        <item x="867"/>
        <item x="1530"/>
        <item x="96"/>
        <item x="2368"/>
        <item x="1010"/>
        <item x="1026"/>
        <item x="2165"/>
        <item x="1497"/>
        <item x="760"/>
        <item x="2073"/>
        <item x="1688"/>
        <item x="447"/>
        <item x="475"/>
        <item x="536"/>
        <item x="2505"/>
        <item x="332"/>
        <item x="2499"/>
        <item x="1557"/>
        <item x="2456"/>
        <item x="1414"/>
        <item x="85"/>
        <item x="1445"/>
        <item x="486"/>
        <item x="1422"/>
        <item x="1539"/>
        <item x="2296"/>
        <item x="812"/>
        <item x="170"/>
        <item x="1908"/>
        <item x="1041"/>
        <item x="2170"/>
        <item x="1790"/>
        <item x="2211"/>
        <item x="1780"/>
        <item x="1259"/>
        <item x="2207"/>
        <item x="2201"/>
        <item x="612"/>
        <item x="1054"/>
        <item x="1633"/>
        <item x="1350"/>
        <item x="364"/>
        <item x="871"/>
        <item x="1193"/>
        <item x="1475"/>
        <item x="720"/>
        <item x="1429"/>
        <item x="257"/>
        <item x="1306"/>
        <item x="284"/>
        <item x="1533"/>
        <item x="1489"/>
        <item x="2488"/>
        <item x="1822"/>
        <item x="2155"/>
        <item x="1792"/>
        <item x="1870"/>
        <item x="1733"/>
        <item x="1302"/>
        <item x="1651"/>
        <item x="1943"/>
        <item x="1563"/>
        <item x="2035"/>
        <item x="953"/>
        <item x="571"/>
        <item x="1011"/>
        <item x="2469"/>
        <item x="1953"/>
        <item x="2435"/>
        <item x="148"/>
        <item x="1766"/>
        <item x="924"/>
        <item x="1273"/>
        <item x="516"/>
        <item x="939"/>
        <item x="504"/>
        <item x="2125"/>
        <item x="2172"/>
        <item x="2232"/>
        <item x="1215"/>
        <item x="1671"/>
        <item x="1175"/>
        <item x="954"/>
        <item x="422"/>
        <item x="831"/>
        <item x="381"/>
        <item x="1726"/>
        <item x="2302"/>
        <item x="222"/>
        <item x="2109"/>
        <item x="1254"/>
        <item x="1386"/>
        <item x="1658"/>
        <item x="713"/>
        <item x="1769"/>
        <item x="976"/>
        <item x="1437"/>
        <item x="1765"/>
        <item x="2274"/>
        <item x="309"/>
        <item x="384"/>
        <item x="998"/>
        <item x="1451"/>
        <item x="683"/>
        <item x="1692"/>
        <item x="1727"/>
        <item x="1714"/>
        <item x="1512"/>
        <item x="1482"/>
        <item x="1587"/>
        <item x="2475"/>
        <item x="2399"/>
        <item x="2305"/>
        <item x="1387"/>
        <item x="1967"/>
        <item x="1841"/>
        <item x="1484"/>
        <item x="1111"/>
        <item x="312"/>
        <item x="342"/>
        <item x="2420"/>
        <item x="2373"/>
        <item x="1436"/>
        <item x="2141"/>
        <item x="2338"/>
        <item x="326"/>
        <item x="365"/>
        <item x="2192"/>
        <item x="2144"/>
        <item x="898"/>
        <item x="1799"/>
        <item x="1788"/>
        <item x="2491"/>
        <item x="1836"/>
        <item x="1876"/>
        <item x="2093"/>
        <item t="default"/>
      </items>
    </pivotField>
    <pivotField showAll="0"/>
    <pivotField showAll="0"/>
    <pivotField numFmtId="1" showAll="0"/>
    <pivotField numFmtId="1"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eview_id" fld="0" subtotal="count" baseField="13" baseItem="0"/>
    <dataField name="Average of Rating" fld="6" subtotal="average" baseField="13" baseItem="0" numFmtId="164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13" count="1" selected="0">
            <x v="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13" count="1" selected="0">
            <x v="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1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21E4F1-D7FC-4FA0-BC99-4CE641A2786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77:B88" firstHeaderRow="1" firstDataRow="1" firstDataCol="1"/>
  <pivotFields count="19">
    <pivotField dataField="1" showAll="0"/>
    <pivotField numFmtId="1" showAll="0"/>
    <pivotField showAll="0"/>
    <pivotField showAll="0"/>
    <pivotField showAll="0"/>
    <pivotField axis="axisRow" showAll="0" measureFilter="1">
      <items count="25">
        <item x="13"/>
        <item x="14"/>
        <item x="6"/>
        <item x="11"/>
        <item x="23"/>
        <item x="4"/>
        <item x="21"/>
        <item x="9"/>
        <item x="22"/>
        <item x="12"/>
        <item x="15"/>
        <item x="10"/>
        <item x="7"/>
        <item x="17"/>
        <item x="8"/>
        <item x="0"/>
        <item x="16"/>
        <item x="19"/>
        <item x="1"/>
        <item x="2"/>
        <item x="18"/>
        <item x="5"/>
        <item x="20"/>
        <item x="3"/>
        <item t="default"/>
      </items>
    </pivotField>
    <pivotField numFmtId="164" showAll="0">
      <items count="7">
        <item x="0"/>
        <item x="1"/>
        <item x="2"/>
        <item x="3"/>
        <item x="4"/>
        <item x="5"/>
        <item t="default"/>
      </items>
    </pivotField>
    <pivotField numFmtId="22" showAll="0">
      <items count="2515">
        <item x="2075"/>
        <item x="150"/>
        <item x="718"/>
        <item x="1267"/>
        <item x="1252"/>
        <item x="1052"/>
        <item x="2376"/>
        <item x="2501"/>
        <item x="2320"/>
        <item x="646"/>
        <item x="593"/>
        <item x="1654"/>
        <item x="1719"/>
        <item x="1145"/>
        <item x="2347"/>
        <item x="681"/>
        <item x="1992"/>
        <item x="1260"/>
        <item x="670"/>
        <item x="1634"/>
        <item x="51"/>
        <item x="1290"/>
        <item x="2406"/>
        <item x="808"/>
        <item x="789"/>
        <item x="2048"/>
        <item x="747"/>
        <item x="2381"/>
        <item x="1676"/>
        <item x="2331"/>
        <item x="2423"/>
        <item x="687"/>
        <item x="525"/>
        <item x="839"/>
        <item x="1961"/>
        <item x="377"/>
        <item x="500"/>
        <item x="1369"/>
        <item x="460"/>
        <item x="909"/>
        <item x="1285"/>
        <item x="2119"/>
        <item x="1566"/>
        <item x="2085"/>
        <item x="1507"/>
        <item x="1488"/>
        <item x="595"/>
        <item x="121"/>
        <item x="2306"/>
        <item x="1365"/>
        <item x="957"/>
        <item x="1014"/>
        <item x="2217"/>
        <item x="1375"/>
        <item x="1513"/>
        <item x="2466"/>
        <item x="1195"/>
        <item x="2288"/>
        <item x="2191"/>
        <item x="1867"/>
        <item x="531"/>
        <item x="2354"/>
        <item x="2120"/>
        <item x="1189"/>
        <item x="226"/>
        <item x="1305"/>
        <item x="935"/>
        <item x="407"/>
        <item x="859"/>
        <item x="2387"/>
        <item x="294"/>
        <item x="1965"/>
        <item x="2352"/>
        <item x="1581"/>
        <item x="674"/>
        <item x="1881"/>
        <item x="1749"/>
        <item x="1317"/>
        <item x="182"/>
        <item x="2185"/>
        <item x="1407"/>
        <item x="1470"/>
        <item x="205"/>
        <item x="2115"/>
        <item x="1335"/>
        <item x="1949"/>
        <item x="2161"/>
        <item x="1141"/>
        <item x="1158"/>
        <item x="1243"/>
        <item x="206"/>
        <item x="873"/>
        <item x="1403"/>
        <item x="1217"/>
        <item x="2140"/>
        <item x="574"/>
        <item x="815"/>
        <item x="1005"/>
        <item x="347"/>
        <item x="1575"/>
        <item x="1066"/>
        <item x="634"/>
        <item x="2430"/>
        <item x="1258"/>
        <item x="561"/>
        <item x="252"/>
        <item x="675"/>
        <item x="1608"/>
        <item x="1511"/>
        <item x="563"/>
        <item x="1463"/>
        <item x="2357"/>
        <item x="2221"/>
        <item x="1716"/>
        <item x="841"/>
        <item x="1204"/>
        <item x="1065"/>
        <item x="2502"/>
        <item x="985"/>
        <item x="997"/>
        <item x="158"/>
        <item x="265"/>
        <item x="1303"/>
        <item x="1912"/>
        <item x="1372"/>
        <item x="1955"/>
        <item x="2465"/>
        <item x="1356"/>
        <item x="406"/>
        <item x="1809"/>
        <item x="1577"/>
        <item x="2169"/>
        <item x="296"/>
        <item x="1578"/>
        <item x="641"/>
        <item x="628"/>
        <item x="2034"/>
        <item x="349"/>
        <item x="2071"/>
        <item x="2496"/>
        <item x="1135"/>
        <item x="189"/>
        <item x="2202"/>
        <item x="2427"/>
        <item x="128"/>
        <item x="963"/>
        <item x="1508"/>
        <item x="1518"/>
        <item x="1453"/>
        <item x="1057"/>
        <item x="1695"/>
        <item x="1718"/>
        <item x="840"/>
        <item x="749"/>
        <item x="2379"/>
        <item x="123"/>
        <item x="1740"/>
        <item x="472"/>
        <item x="8"/>
        <item x="801"/>
        <item x="2027"/>
        <item x="1292"/>
        <item x="1337"/>
        <item x="1498"/>
        <item x="373"/>
        <item x="2078"/>
        <item x="1006"/>
        <item x="1797"/>
        <item x="1102"/>
        <item x="484"/>
        <item x="1377"/>
        <item x="202"/>
        <item x="1283"/>
        <item x="1087"/>
        <item x="94"/>
        <item x="1612"/>
        <item x="990"/>
        <item x="1871"/>
        <item x="31"/>
        <item x="1804"/>
        <item x="505"/>
        <item x="2237"/>
        <item x="2450"/>
        <item x="1308"/>
        <item x="2147"/>
        <item x="2434"/>
        <item x="2178"/>
        <item x="1055"/>
        <item x="462"/>
        <item x="743"/>
        <item x="191"/>
        <item x="2500"/>
        <item x="2339"/>
        <item x="1673"/>
        <item x="1219"/>
        <item x="2176"/>
        <item x="1385"/>
        <item x="2328"/>
        <item x="1947"/>
        <item x="220"/>
        <item x="740"/>
        <item x="1664"/>
        <item x="2166"/>
        <item x="1357"/>
        <item x="172"/>
        <item x="1776"/>
        <item x="37"/>
        <item x="106"/>
        <item x="2471"/>
        <item x="1650"/>
        <item x="1471"/>
        <item x="1619"/>
        <item x="272"/>
        <item x="463"/>
        <item x="2454"/>
        <item x="881"/>
        <item x="1027"/>
        <item x="1989"/>
        <item x="2444"/>
        <item x="668"/>
        <item x="1360"/>
        <item x="271"/>
        <item x="1682"/>
        <item x="1645"/>
        <item x="959"/>
        <item x="1576"/>
        <item x="845"/>
        <item x="688"/>
        <item x="23"/>
        <item x="389"/>
        <item x="545"/>
        <item x="709"/>
        <item x="1772"/>
        <item x="455"/>
        <item x="551"/>
        <item x="1133"/>
        <item x="1137"/>
        <item x="1593"/>
        <item x="955"/>
        <item x="850"/>
        <item x="1239"/>
        <item x="901"/>
        <item x="1166"/>
        <item x="236"/>
        <item x="896"/>
        <item x="1425"/>
        <item x="950"/>
        <item x="696"/>
        <item x="1071"/>
        <item x="1514"/>
        <item x="537"/>
        <item x="904"/>
        <item x="1572"/>
        <item x="485"/>
        <item x="248"/>
        <item x="1592"/>
        <item x="1154"/>
        <item x="498"/>
        <item x="2336"/>
        <item x="201"/>
        <item x="2136"/>
        <item x="779"/>
        <item x="1886"/>
        <item x="1060"/>
        <item x="1068"/>
        <item x="1394"/>
        <item x="1983"/>
        <item x="1997"/>
        <item x="1589"/>
        <item x="38"/>
        <item x="566"/>
        <item x="2164"/>
        <item x="1240"/>
        <item x="2361"/>
        <item x="1461"/>
        <item x="1626"/>
        <item x="2142"/>
        <item x="1093"/>
        <item x="1580"/>
        <item x="107"/>
        <item x="1449"/>
        <item x="1878"/>
        <item x="125"/>
        <item x="633"/>
        <item x="1659"/>
        <item x="390"/>
        <item x="971"/>
        <item x="482"/>
        <item x="2156"/>
        <item x="532"/>
        <item x="1418"/>
        <item x="403"/>
        <item x="2249"/>
        <item x="1815"/>
        <item x="1432"/>
        <item x="877"/>
        <item x="643"/>
        <item x="1648"/>
        <item x="2390"/>
        <item x="1277"/>
        <item x="1573"/>
        <item x="918"/>
        <item x="1601"/>
        <item x="1544"/>
        <item x="1400"/>
        <item x="1647"/>
        <item x="1261"/>
        <item x="1694"/>
        <item x="1007"/>
        <item x="17"/>
        <item x="1063"/>
        <item x="20"/>
        <item x="1110"/>
        <item x="854"/>
        <item x="1711"/>
        <item x="804"/>
        <item x="897"/>
        <item x="129"/>
        <item x="2436"/>
        <item x="1607"/>
        <item x="1745"/>
        <item x="141"/>
        <item x="1300"/>
        <item x="2177"/>
        <item x="1852"/>
        <item x="1152"/>
        <item x="2350"/>
        <item x="2146"/>
        <item x="425"/>
        <item x="936"/>
        <item x="276"/>
        <item x="424"/>
        <item x="1231"/>
        <item x="1556"/>
        <item x="1641"/>
        <item x="656"/>
        <item x="468"/>
        <item x="2189"/>
        <item x="807"/>
        <item x="115"/>
        <item x="1200"/>
        <item x="30"/>
        <item x="2356"/>
        <item x="770"/>
        <item x="2481"/>
        <item x="1666"/>
        <item x="602"/>
        <item x="2428"/>
        <item x="1434"/>
        <item x="1153"/>
        <item x="2281"/>
        <item x="2054"/>
        <item x="190"/>
        <item x="1287"/>
        <item x="2061"/>
        <item x="122"/>
        <item x="195"/>
        <item x="1528"/>
        <item x="2255"/>
        <item x="1088"/>
        <item x="2280"/>
        <item x="2175"/>
        <item x="244"/>
        <item x="1866"/>
        <item x="1160"/>
        <item x="2418"/>
        <item x="501"/>
        <item x="53"/>
        <item x="1504"/>
        <item x="1982"/>
        <item x="1030"/>
        <item x="461"/>
        <item x="1545"/>
        <item x="2226"/>
        <item x="619"/>
        <item x="2128"/>
        <item x="264"/>
        <item x="882"/>
        <item x="899"/>
        <item x="1358"/>
        <item x="793"/>
        <item x="1905"/>
        <item x="249"/>
        <item x="1954"/>
        <item x="89"/>
        <item x="2351"/>
        <item x="429"/>
        <item x="2079"/>
        <item x="642"/>
        <item x="325"/>
        <item x="2251"/>
        <item x="2283"/>
        <item x="1701"/>
        <item x="2242"/>
        <item x="10"/>
        <item x="1050"/>
        <item x="2394"/>
        <item x="757"/>
        <item x="227"/>
        <item x="2213"/>
        <item x="1808"/>
        <item x="2509"/>
        <item x="1035"/>
        <item x="200"/>
        <item x="1455"/>
        <item x="1167"/>
        <item x="988"/>
        <item x="2400"/>
        <item x="1567"/>
        <item x="480"/>
        <item x="235"/>
        <item x="1843"/>
        <item x="2433"/>
        <item x="2062"/>
        <item x="876"/>
        <item x="1080"/>
        <item x="1746"/>
        <item x="2493"/>
        <item x="833"/>
        <item x="44"/>
        <item x="1724"/>
        <item x="926"/>
        <item x="1506"/>
        <item x="2173"/>
        <item x="1880"/>
        <item x="1207"/>
        <item x="2451"/>
        <item x="1127"/>
        <item x="999"/>
        <item x="18"/>
        <item x="2512"/>
        <item x="1341"/>
        <item x="662"/>
        <item x="2303"/>
        <item x="1419"/>
        <item x="2193"/>
        <item x="2388"/>
        <item x="1015"/>
        <item x="2478"/>
        <item x="775"/>
        <item x="255"/>
        <item x="1931"/>
        <item x="2315"/>
        <item x="1274"/>
        <item x="286"/>
        <item x="435"/>
        <item x="528"/>
        <item x="428"/>
        <item x="473"/>
        <item x="778"/>
        <item x="1205"/>
        <item x="393"/>
        <item x="1705"/>
        <item x="2396"/>
        <item x="2476"/>
        <item x="2218"/>
        <item x="2052"/>
        <item x="533"/>
        <item x="1417"/>
        <item x="711"/>
        <item x="1478"/>
        <item x="2159"/>
        <item x="228"/>
        <item x="2389"/>
        <item x="2344"/>
        <item x="194"/>
        <item x="1761"/>
        <item x="772"/>
        <item x="1197"/>
        <item x="2043"/>
        <item x="1034"/>
        <item x="1265"/>
        <item x="178"/>
        <item x="112"/>
        <item x="2486"/>
        <item x="1397"/>
        <item x="230"/>
        <item x="395"/>
        <item x="1909"/>
        <item x="2017"/>
        <item x="514"/>
        <item x="1844"/>
        <item x="1140"/>
        <item x="1101"/>
        <item x="1075"/>
        <item x="1974"/>
        <item x="623"/>
        <item x="1517"/>
        <item x="2215"/>
        <item x="524"/>
        <item x="1971"/>
        <item x="884"/>
        <item x="1616"/>
        <item x="973"/>
        <item x="1176"/>
        <item x="1074"/>
        <item x="1932"/>
        <item x="2457"/>
        <item x="540"/>
        <item x="1510"/>
        <item x="414"/>
        <item x="1930"/>
        <item x="752"/>
        <item x="152"/>
        <item x="796"/>
        <item x="570"/>
        <item x="792"/>
        <item x="2236"/>
        <item x="291"/>
        <item x="893"/>
        <item x="534"/>
        <item x="1534"/>
        <item x="932"/>
        <item x="852"/>
        <item x="1321"/>
        <item x="1179"/>
        <item x="2036"/>
        <item x="2044"/>
        <item x="1679"/>
        <item x="1255"/>
        <item x="118"/>
        <item x="1310"/>
        <item x="2219"/>
        <item x="1525"/>
        <item x="886"/>
        <item x="2018"/>
        <item x="119"/>
        <item x="1388"/>
        <item x="81"/>
        <item x="2199"/>
        <item x="1821"/>
        <item x="1631"/>
        <item x="846"/>
        <item x="2010"/>
        <item x="415"/>
        <item x="1669"/>
        <item x="2012"/>
        <item x="2104"/>
        <item x="101"/>
        <item x="594"/>
        <item x="1163"/>
        <item x="651"/>
        <item x="2291"/>
        <item x="2298"/>
        <item x="1754"/>
        <item x="1295"/>
        <item x="1402"/>
        <item x="611"/>
        <item x="1094"/>
        <item x="311"/>
        <item x="1004"/>
        <item x="748"/>
        <item x="908"/>
        <item x="1562"/>
        <item x="1813"/>
        <item x="1748"/>
        <item x="1864"/>
        <item x="1464"/>
        <item x="2299"/>
        <item x="2413"/>
        <item x="1536"/>
        <item x="1976"/>
        <item x="192"/>
        <item x="1926"/>
        <item x="2077"/>
        <item x="2292"/>
        <item x="2327"/>
        <item x="1194"/>
        <item x="1331"/>
        <item x="2049"/>
        <item x="55"/>
        <item x="1564"/>
        <item x="1794"/>
        <item x="671"/>
        <item x="2463"/>
        <item x="1984"/>
        <item x="382"/>
        <item x="986"/>
        <item x="26"/>
        <item x="1629"/>
        <item x="1519"/>
        <item x="1606"/>
        <item x="1072"/>
        <item x="1615"/>
        <item x="1227"/>
        <item x="411"/>
        <item x="1859"/>
        <item x="5"/>
        <item x="1364"/>
        <item x="1902"/>
        <item x="362"/>
        <item x="797"/>
        <item x="1495"/>
        <item x="45"/>
        <item x="2397"/>
        <item x="104"/>
        <item x="1446"/>
        <item x="978"/>
        <item x="1849"/>
        <item x="335"/>
        <item x="1009"/>
        <item x="686"/>
        <item x="1367"/>
        <item x="2087"/>
        <item x="61"/>
        <item x="63"/>
        <item x="1835"/>
        <item x="2126"/>
        <item x="279"/>
        <item x="1554"/>
        <item x="1782"/>
        <item x="355"/>
        <item x="2326"/>
        <item x="1077"/>
        <item x="2441"/>
        <item x="1678"/>
        <item x="1324"/>
        <item x="1807"/>
        <item x="167"/>
        <item x="2031"/>
        <item x="1319"/>
        <item x="2241"/>
        <item x="1704"/>
        <item x="476"/>
        <item x="2021"/>
        <item x="1316"/>
        <item x="2384"/>
        <item x="1793"/>
        <item x="1184"/>
        <item x="2233"/>
        <item x="2188"/>
        <item x="1318"/>
        <item x="1257"/>
        <item x="1981"/>
        <item x="1143"/>
        <item x="1796"/>
        <item x="547"/>
        <item x="274"/>
        <item x="1941"/>
        <item x="489"/>
        <item x="753"/>
        <item x="912"/>
        <item x="483"/>
        <item x="102"/>
        <item x="946"/>
        <item x="48"/>
        <item x="21"/>
        <item x="1162"/>
        <item x="1104"/>
        <item x="1457"/>
        <item x="630"/>
        <item x="1416"/>
        <item x="1224"/>
        <item x="1777"/>
        <item x="2086"/>
        <item x="855"/>
        <item x="1823"/>
        <item x="706"/>
        <item x="1887"/>
        <item x="1991"/>
        <item x="1382"/>
        <item x="1456"/>
        <item x="1210"/>
        <item x="2117"/>
        <item x="2419"/>
        <item x="2333"/>
        <item x="1304"/>
        <item x="847"/>
        <item x="1244"/>
        <item x="304"/>
        <item x="11"/>
        <item x="1851"/>
        <item x="459"/>
        <item x="2278"/>
        <item x="526"/>
        <item x="1494"/>
        <item x="2025"/>
        <item x="1320"/>
        <item x="449"/>
        <item x="763"/>
        <item x="1721"/>
        <item x="2372"/>
        <item x="1355"/>
        <item x="2342"/>
        <item x="268"/>
        <item x="974"/>
        <item x="474"/>
        <item x="169"/>
        <item x="2033"/>
        <item x="964"/>
        <item x="2134"/>
        <item x="722"/>
        <item x="1595"/>
        <item x="1805"/>
        <item x="708"/>
        <item x="404"/>
        <item x="1806"/>
        <item x="767"/>
        <item x="2398"/>
        <item x="495"/>
        <item x="371"/>
        <item x="327"/>
        <item x="738"/>
        <item x="1391"/>
        <item x="331"/>
        <item x="1134"/>
        <item x="1649"/>
        <item x="416"/>
        <item x="1903"/>
        <item x="469"/>
        <item x="731"/>
        <item x="541"/>
        <item x="542"/>
        <item x="559"/>
        <item x="2504"/>
        <item x="160"/>
        <item x="41"/>
        <item x="1696"/>
        <item x="848"/>
        <item x="1918"/>
        <item x="1689"/>
        <item x="1978"/>
        <item x="290"/>
        <item x="1546"/>
        <item x="1891"/>
        <item x="1165"/>
        <item x="145"/>
        <item x="2425"/>
        <item x="755"/>
        <item x="1538"/>
        <item x="1059"/>
        <item x="2004"/>
        <item x="795"/>
        <item x="1975"/>
        <item x="1910"/>
        <item x="1361"/>
        <item x="448"/>
        <item x="1913"/>
        <item x="1675"/>
        <item x="2015"/>
        <item x="734"/>
        <item x="2028"/>
        <item x="440"/>
        <item x="2380"/>
        <item x="2005"/>
        <item x="1114"/>
        <item x="1764"/>
        <item x="113"/>
        <item x="1791"/>
        <item x="1520"/>
        <item x="868"/>
        <item x="1476"/>
        <item x="944"/>
        <item x="608"/>
        <item x="1148"/>
        <item x="367"/>
        <item x="216"/>
        <item x="1980"/>
        <item x="2383"/>
        <item x="1155"/>
        <item x="126"/>
        <item x="733"/>
        <item x="269"/>
        <item x="2312"/>
        <item x="652"/>
        <item x="343"/>
        <item x="921"/>
        <item x="313"/>
        <item x="1096"/>
        <item x="203"/>
        <item x="2187"/>
        <item x="136"/>
        <item x="1248"/>
        <item x="1985"/>
        <item x="225"/>
        <item x="2209"/>
        <item x="1755"/>
        <item x="1583"/>
        <item x="307"/>
        <item x="600"/>
        <item x="1858"/>
        <item x="135"/>
        <item x="396"/>
        <item x="479"/>
        <item x="1348"/>
        <item x="864"/>
        <item x="2275"/>
        <item x="250"/>
        <item x="1550"/>
        <item x="1097"/>
        <item x="1460"/>
        <item x="305"/>
        <item x="2030"/>
        <item x="52"/>
        <item x="1751"/>
        <item x="1934"/>
        <item x="587"/>
        <item x="567"/>
        <item x="352"/>
        <item x="1742"/>
        <item x="1037"/>
        <item x="830"/>
        <item x="2349"/>
        <item x="2455"/>
        <item x="1458"/>
        <item x="1963"/>
        <item x="875"/>
        <item x="76"/>
        <item x="1523"/>
        <item x="1707"/>
        <item x="1232"/>
        <item x="858"/>
        <item x="598"/>
        <item x="588"/>
        <item x="1940"/>
        <item x="1043"/>
        <item x="494"/>
        <item x="369"/>
        <item x="245"/>
        <item x="787"/>
        <item x="465"/>
        <item x="2422"/>
        <item x="153"/>
        <item x="1289"/>
        <item x="798"/>
        <item x="1660"/>
        <item x="1076"/>
        <item x="596"/>
        <item x="692"/>
        <item x="2262"/>
        <item x="776"/>
        <item x="1172"/>
        <item x="1220"/>
        <item x="116"/>
        <item x="266"/>
        <item x="631"/>
        <item x="46"/>
        <item x="679"/>
        <item x="1605"/>
        <item x="1842"/>
        <item x="1668"/>
        <item x="492"/>
        <item x="1638"/>
        <item x="1106"/>
        <item x="1853"/>
        <item x="1959"/>
        <item x="1561"/>
        <item x="550"/>
        <item x="2271"/>
        <item x="1610"/>
        <item x="2235"/>
        <item x="1024"/>
        <item x="513"/>
        <item x="2074"/>
        <item x="2037"/>
        <item x="1677"/>
        <item x="444"/>
        <item x="2053"/>
        <item x="1904"/>
        <item x="849"/>
        <item x="1440"/>
        <item x="900"/>
        <item x="2112"/>
        <item x="19"/>
        <item x="805"/>
        <item x="1540"/>
        <item x="1502"/>
        <item x="1159"/>
        <item x="751"/>
        <item x="2321"/>
        <item x="1334"/>
        <item x="70"/>
        <item x="177"/>
        <item x="1945"/>
        <item x="2179"/>
        <item x="949"/>
        <item x="323"/>
        <item x="183"/>
        <item x="329"/>
        <item x="800"/>
        <item x="689"/>
        <item x="408"/>
        <item x="917"/>
        <item x="1579"/>
        <item x="519"/>
        <item x="2132"/>
        <item x="592"/>
        <item x="1917"/>
        <item x="2032"/>
        <item x="2506"/>
        <item x="1270"/>
        <item x="968"/>
        <item x="1298"/>
        <item x="2184"/>
        <item x="1929"/>
        <item x="1829"/>
        <item x="1672"/>
        <item x="2203"/>
        <item x="1969"/>
        <item x="2198"/>
        <item x="923"/>
        <item x="2208"/>
        <item x="2452"/>
        <item x="1763"/>
        <item x="4"/>
        <item x="1773"/>
        <item x="1278"/>
        <item x="869"/>
        <item x="2370"/>
        <item x="1652"/>
        <item x="648"/>
        <item x="1404"/>
        <item x="857"/>
        <item x="1191"/>
        <item x="512"/>
        <item x="769"/>
        <item x="966"/>
        <item x="306"/>
        <item x="215"/>
        <item x="650"/>
        <item x="1781"/>
        <item x="1531"/>
        <item x="1854"/>
        <item x="2040"/>
        <item x="1233"/>
        <item x="1759"/>
        <item x="1599"/>
        <item x="62"/>
        <item x="1787"/>
        <item x="1810"/>
        <item x="1900"/>
        <item x="527"/>
        <item x="1632"/>
        <item x="438"/>
        <item x="2332"/>
        <item x="972"/>
        <item x="2100"/>
        <item x="1762"/>
        <item x="1691"/>
        <item x="420"/>
        <item x="1465"/>
        <item x="1663"/>
        <item x="2095"/>
        <item x="2421"/>
        <item x="746"/>
        <item x="735"/>
        <item x="2386"/>
        <item x="2108"/>
        <item x="391"/>
        <item x="1826"/>
        <item x="1452"/>
        <item x="2269"/>
        <item x="783"/>
        <item x="1196"/>
        <item x="2285"/>
        <item x="1555"/>
        <item x="1045"/>
        <item x="2330"/>
        <item x="1730"/>
        <item x="1299"/>
        <item x="824"/>
        <item x="659"/>
        <item x="1362"/>
        <item x="2151"/>
        <item x="2046"/>
        <item x="1524"/>
        <item x="120"/>
        <item x="282"/>
        <item x="818"/>
        <item x="1405"/>
        <item x="14"/>
        <item x="1448"/>
        <item x="1951"/>
        <item x="2064"/>
        <item x="1574"/>
        <item x="2266"/>
        <item x="240"/>
        <item x="66"/>
        <item x="1103"/>
        <item x="1499"/>
        <item x="2148"/>
        <item x="1073"/>
        <item x="2353"/>
        <item x="2224"/>
        <item x="433"/>
        <item x="334"/>
        <item x="453"/>
        <item x="1131"/>
        <item x="2304"/>
        <item x="1389"/>
        <item x="1410"/>
        <item x="1352"/>
        <item x="1558"/>
        <item x="209"/>
        <item x="1814"/>
        <item x="811"/>
        <item x="2417"/>
        <item x="1665"/>
        <item x="2317"/>
        <item x="502"/>
        <item x="1889"/>
        <item x="345"/>
        <item x="2066"/>
        <item x="1922"/>
        <item x="1333"/>
        <item x="2026"/>
        <item x="603"/>
        <item x="929"/>
        <item x="105"/>
        <item x="1242"/>
        <item x="2091"/>
        <item x="1767"/>
        <item x="1450"/>
        <item x="1543"/>
        <item x="6"/>
        <item x="919"/>
        <item x="40"/>
        <item x="2003"/>
        <item x="163"/>
        <item x="218"/>
        <item x="1384"/>
        <item x="802"/>
        <item x="1968"/>
        <item x="510"/>
        <item x="454"/>
        <item x="157"/>
        <item x="90"/>
        <item x="597"/>
        <item x="1459"/>
        <item x="2263"/>
        <item x="237"/>
        <item x="2162"/>
        <item x="1047"/>
        <item x="1001"/>
        <item x="892"/>
        <item x="241"/>
        <item x="538"/>
        <item x="2181"/>
        <item x="2341"/>
        <item x="359"/>
        <item x="2197"/>
        <item x="861"/>
        <item x="1338"/>
        <item x="95"/>
        <item x="2072"/>
        <item x="2171"/>
        <item x="1760"/>
        <item x="1750"/>
        <item x="2301"/>
        <item x="2366"/>
        <item x="1344"/>
        <item x="1439"/>
        <item x="1156"/>
        <item x="2364"/>
        <item x="684"/>
        <item x="552"/>
        <item x="726"/>
        <item x="535"/>
        <item x="1142"/>
        <item x="2103"/>
        <item x="267"/>
        <item x="1725"/>
        <item x="2416"/>
        <item x="2246"/>
        <item x="1995"/>
        <item x="834"/>
        <item x="1535"/>
        <item x="478"/>
        <item x="1604"/>
        <item x="828"/>
        <item x="1406"/>
        <item x="1368"/>
        <item x="350"/>
        <item x="1670"/>
        <item x="442"/>
        <item x="562"/>
        <item x="1890"/>
        <item x="496"/>
        <item x="224"/>
        <item x="2507"/>
        <item x="1038"/>
        <item x="774"/>
        <item x="736"/>
        <item x="2503"/>
        <item x="75"/>
        <item x="1473"/>
        <item x="2013"/>
        <item x="2225"/>
        <item x="1515"/>
        <item x="677"/>
        <item x="887"/>
        <item x="2022"/>
        <item x="1921"/>
        <item x="2403"/>
        <item x="1662"/>
        <item x="1354"/>
        <item x="914"/>
        <item x="1732"/>
        <item x="1373"/>
        <item x="2511"/>
        <item x="970"/>
        <item x="1241"/>
        <item x="213"/>
        <item x="556"/>
        <item x="92"/>
        <item x="259"/>
        <item x="1345"/>
        <item x="822"/>
        <item x="2212"/>
        <item x="1209"/>
        <item x="2461"/>
        <item x="621"/>
        <item x="1053"/>
        <item x="1012"/>
        <item x="1008"/>
        <item x="606"/>
        <item x="185"/>
        <item x="1"/>
        <item x="1850"/>
        <item x="2243"/>
        <item x="72"/>
        <item x="1936"/>
        <item x="1500"/>
        <item x="1928"/>
        <item x="759"/>
        <item x="1213"/>
        <item x="1294"/>
        <item x="1962"/>
        <item x="1091"/>
        <item x="1970"/>
        <item x="42"/>
        <item x="851"/>
        <item x="1571"/>
        <item x="340"/>
        <item x="1247"/>
        <item x="1113"/>
        <item x="578"/>
        <item x="1800"/>
        <item x="1483"/>
        <item x="212"/>
        <item x="1226"/>
        <item x="1906"/>
        <item x="1894"/>
        <item x="1017"/>
        <item x="2082"/>
        <item x="84"/>
        <item x="1731"/>
        <item x="1169"/>
        <item x="1702"/>
        <item x="1284"/>
        <item x="691"/>
        <item x="13"/>
        <item x="98"/>
        <item x="458"/>
        <item x="1509"/>
        <item x="77"/>
        <item x="1083"/>
        <item x="1833"/>
        <item x="1199"/>
        <item x="217"/>
        <item x="1085"/>
        <item x="1712"/>
        <item x="1521"/>
        <item x="2194"/>
        <item x="1340"/>
        <item x="756"/>
        <item x="2429"/>
        <item x="110"/>
        <item x="1178"/>
        <item x="168"/>
        <item x="2047"/>
        <item x="2247"/>
        <item x="488"/>
        <item x="730"/>
        <item x="1622"/>
        <item x="1657"/>
        <item x="221"/>
        <item x="1639"/>
        <item x="143"/>
        <item x="29"/>
        <item x="2029"/>
        <item x="1933"/>
        <item x="1803"/>
        <item x="1301"/>
        <item x="127"/>
        <item x="2214"/>
        <item x="1820"/>
        <item x="2011"/>
        <item x="1919"/>
        <item x="1802"/>
        <item x="1315"/>
        <item x="2096"/>
        <item x="1541"/>
        <item x="328"/>
        <item x="2257"/>
        <item x="1588"/>
        <item x="1862"/>
        <item x="1188"/>
        <item x="1376"/>
        <item x="1620"/>
        <item x="766"/>
        <item x="86"/>
        <item x="993"/>
        <item x="644"/>
        <item x="133"/>
        <item x="2335"/>
        <item x="1614"/>
        <item x="199"/>
        <item x="2329"/>
        <item x="1708"/>
        <item x="2057"/>
        <item x="1100"/>
        <item x="1840"/>
        <item x="208"/>
        <item x="1686"/>
        <item x="2334"/>
        <item x="187"/>
        <item x="2378"/>
        <item x="471"/>
        <item x="80"/>
        <item x="613"/>
        <item x="1442"/>
        <item x="589"/>
        <item x="1002"/>
        <item x="554"/>
        <item x="2097"/>
        <item x="987"/>
        <item x="1370"/>
        <item x="579"/>
        <item x="1061"/>
        <item x="741"/>
        <item x="945"/>
        <item x="151"/>
        <item x="409"/>
        <item x="1598"/>
        <item x="2374"/>
        <item x="2340"/>
        <item x="895"/>
        <item x="799"/>
        <item x="773"/>
        <item x="231"/>
        <item x="995"/>
        <item x="614"/>
        <item x="695"/>
        <item x="78"/>
        <item x="2482"/>
        <item x="2309"/>
        <item x="1715"/>
        <item x="580"/>
        <item x="933"/>
        <item x="1656"/>
        <item x="784"/>
        <item x="319"/>
        <item x="962"/>
        <item x="1568"/>
        <item x="2023"/>
        <item x="1609"/>
        <item x="2223"/>
        <item x="1150"/>
        <item x="147"/>
        <item x="2016"/>
        <item x="1124"/>
        <item x="1182"/>
        <item x="301"/>
        <item x="758"/>
        <item x="637"/>
        <item x="1613"/>
        <item x="2256"/>
        <item x="2267"/>
        <item x="885"/>
        <item x="685"/>
        <item x="1325"/>
        <item x="1115"/>
        <item x="1999"/>
        <item x="942"/>
        <item x="383"/>
        <item x="1079"/>
        <item x="716"/>
        <item x="197"/>
        <item x="1582"/>
        <item x="719"/>
        <item x="2360"/>
        <item x="1435"/>
        <item x="750"/>
        <item x="943"/>
        <item x="704"/>
        <item x="508"/>
        <item x="398"/>
        <item x="1485"/>
        <item x="511"/>
        <item x="1956"/>
        <item x="1848"/>
        <item x="2483"/>
        <item x="703"/>
        <item x="742"/>
        <item x="2346"/>
        <item x="1415"/>
        <item x="1996"/>
        <item x="626"/>
        <item x="2157"/>
        <item x="1032"/>
        <item x="1359"/>
        <item x="1183"/>
        <item x="1201"/>
        <item x="1399"/>
        <item x="522"/>
        <item x="941"/>
        <item x="837"/>
        <item x="1703"/>
        <item x="575"/>
        <item x="1846"/>
        <item x="2253"/>
        <item x="658"/>
        <item x="1522"/>
        <item x="2293"/>
        <item x="130"/>
        <item x="2216"/>
        <item x="1553"/>
        <item x="2289"/>
        <item x="2014"/>
        <item x="1147"/>
        <item x="392"/>
        <item x="1779"/>
        <item x="2238"/>
        <item x="1825"/>
        <item x="2252"/>
        <item x="1685"/>
        <item x="1789"/>
        <item x="1699"/>
        <item x="2167"/>
        <item x="1013"/>
        <item x="1501"/>
        <item x="1774"/>
        <item x="2474"/>
        <item x="1888"/>
        <item x="609"/>
        <item x="292"/>
        <item x="1378"/>
        <item x="293"/>
        <item x="507"/>
        <item x="1621"/>
        <item x="9"/>
        <item x="219"/>
        <item x="1262"/>
        <item x="865"/>
        <item x="1586"/>
        <item x="960"/>
        <item x="1503"/>
        <item x="1570"/>
        <item x="697"/>
        <item x="843"/>
        <item x="1627"/>
        <item x="645"/>
        <item x="1353"/>
        <item x="295"/>
        <item x="1228"/>
        <item x="2432"/>
        <item x="739"/>
        <item x="1811"/>
        <item x="1960"/>
        <item x="2355"/>
        <item x="69"/>
        <item x="2139"/>
        <item x="1635"/>
        <item x="1192"/>
        <item x="2426"/>
        <item x="15"/>
        <item x="2358"/>
        <item x="1170"/>
        <item x="1812"/>
        <item x="583"/>
        <item x="1753"/>
        <item x="1737"/>
        <item x="370"/>
        <item x="198"/>
        <item x="32"/>
        <item x="1411"/>
        <item x="737"/>
        <item x="285"/>
        <item x="1872"/>
        <item x="890"/>
        <item x="2058"/>
        <item x="1279"/>
        <item x="725"/>
        <item x="1747"/>
        <item x="65"/>
        <item x="2439"/>
        <item x="2220"/>
        <item x="2404"/>
        <item x="934"/>
        <item x="661"/>
        <item x="351"/>
        <item x="640"/>
        <item x="1896"/>
        <item x="2007"/>
        <item x="555"/>
        <item x="239"/>
        <item x="1336"/>
        <item x="2359"/>
        <item x="1395"/>
        <item x="2063"/>
        <item x="1831"/>
        <item x="660"/>
        <item x="1312"/>
        <item x="336"/>
        <item x="262"/>
        <item x="196"/>
        <item x="2438"/>
        <item x="417"/>
        <item x="260"/>
        <item x="1185"/>
        <item x="2137"/>
        <item x="2265"/>
        <item x="2130"/>
        <item x="664"/>
        <item x="180"/>
        <item x="1016"/>
        <item x="1472"/>
        <item x="821"/>
        <item x="1697"/>
        <item x="376"/>
        <item x="2038"/>
        <item x="368"/>
        <item x="761"/>
        <item x="399"/>
        <item x="316"/>
        <item x="1873"/>
        <item x="558"/>
        <item x="928"/>
        <item x="663"/>
        <item x="432"/>
        <item x="1837"/>
        <item x="1433"/>
        <item x="2464"/>
        <item x="12"/>
        <item x="34"/>
        <item x="1379"/>
        <item x="1020"/>
        <item x="994"/>
        <item x="1036"/>
        <item x="385"/>
        <item x="2069"/>
        <item x="341"/>
        <item x="1548"/>
        <item x="93"/>
        <item x="317"/>
        <item x="400"/>
        <item x="1915"/>
        <item x="186"/>
        <item x="2487"/>
        <item x="1709"/>
        <item x="1728"/>
        <item x="1082"/>
        <item x="445"/>
        <item x="947"/>
        <item x="2114"/>
        <item x="844"/>
        <item x="780"/>
        <item x="2322"/>
        <item x="1413"/>
        <item x="1467"/>
        <item x="2290"/>
        <item x="2284"/>
        <item x="905"/>
        <item x="1529"/>
        <item x="1313"/>
        <item x="154"/>
        <item x="1630"/>
        <item x="1263"/>
        <item x="2282"/>
        <item x="1118"/>
        <item x="647"/>
        <item x="238"/>
        <item x="71"/>
        <item x="982"/>
        <item x="114"/>
        <item x="2122"/>
        <item x="832"/>
        <item x="353"/>
        <item x="2135"/>
        <item x="358"/>
        <item x="2099"/>
        <item x="1107"/>
        <item x="2102"/>
        <item x="768"/>
        <item x="2090"/>
        <item x="0"/>
        <item x="2270"/>
        <item x="1860"/>
        <item x="636"/>
        <item x="357"/>
        <item x="2261"/>
        <item x="287"/>
        <item x="2190"/>
        <item x="1897"/>
        <item x="785"/>
        <item x="543"/>
        <item x="842"/>
        <item x="1924"/>
        <item x="907"/>
        <item x="446"/>
        <item x="2443"/>
        <item x="557"/>
        <item x="878"/>
        <item x="1998"/>
        <item x="1785"/>
        <item x="2375"/>
        <item x="2240"/>
        <item x="1236"/>
        <item x="560"/>
        <item x="1914"/>
        <item x="576"/>
        <item x="1863"/>
        <item x="1092"/>
        <item x="2092"/>
        <item x="707"/>
        <item x="2127"/>
        <item x="979"/>
        <item x="175"/>
        <item x="1834"/>
        <item x="1019"/>
        <item x="1480"/>
        <item x="223"/>
        <item x="1126"/>
        <item x="35"/>
        <item x="1186"/>
        <item x="771"/>
        <item x="1235"/>
        <item x="2324"/>
        <item x="1443"/>
        <item x="413"/>
        <item x="1937"/>
        <item x="727"/>
        <item x="724"/>
        <item x="339"/>
        <item x="1282"/>
        <item x="2124"/>
        <item x="372"/>
        <item x="2392"/>
        <item x="1056"/>
        <item x="2495"/>
        <item x="503"/>
        <item x="2228"/>
        <item x="1681"/>
        <item x="582"/>
        <item x="149"/>
        <item x="1326"/>
        <item x="419"/>
        <item x="173"/>
        <item x="1069"/>
        <item x="1756"/>
        <item x="2"/>
        <item x="487"/>
        <item x="1430"/>
        <item x="1275"/>
        <item x="1090"/>
        <item x="1286"/>
        <item x="1067"/>
        <item x="2337"/>
        <item x="2447"/>
        <item x="451"/>
        <item x="853"/>
        <item x="1899"/>
        <item x="989"/>
        <item x="82"/>
        <item x="388"/>
        <item x="879"/>
        <item x="601"/>
        <item x="439"/>
        <item x="299"/>
        <item x="1946"/>
        <item x="418"/>
        <item x="515"/>
        <item x="254"/>
        <item x="1847"/>
        <item x="2313"/>
        <item x="948"/>
        <item x="721"/>
        <item x="1296"/>
        <item x="1136"/>
        <item x="712"/>
        <item x="2395"/>
        <item x="1611"/>
        <item x="915"/>
        <item x="1431"/>
        <item x="700"/>
        <item x="2143"/>
        <item x="965"/>
        <item x="2415"/>
        <item x="2272"/>
        <item x="715"/>
        <item x="931"/>
        <item x="1144"/>
        <item x="710"/>
        <item x="2393"/>
        <item x="288"/>
        <item x="1477"/>
        <item x="1381"/>
        <item x="1920"/>
        <item x="1000"/>
        <item x="1988"/>
        <item x="303"/>
        <item x="2205"/>
        <item x="1251"/>
        <item x="321"/>
        <item x="50"/>
        <item x="1770"/>
        <item x="2230"/>
        <item x="83"/>
        <item x="754"/>
        <item x="1865"/>
        <item x="2111"/>
        <item x="204"/>
        <item x="1653"/>
        <item x="348"/>
        <item x="74"/>
        <item x="2371"/>
        <item x="394"/>
        <item x="165"/>
        <item x="2227"/>
        <item x="1044"/>
        <item x="1146"/>
        <item x="58"/>
        <item x="666"/>
        <item x="1466"/>
        <item x="1187"/>
        <item x="605"/>
        <item x="2445"/>
        <item x="2206"/>
        <item x="2264"/>
        <item x="1744"/>
        <item x="1174"/>
        <item x="817"/>
        <item x="2382"/>
        <item x="1234"/>
        <item x="657"/>
        <item x="866"/>
        <item x="354"/>
        <item x="2362"/>
        <item x="2467"/>
        <item x="470"/>
        <item x="1225"/>
        <item x="1125"/>
        <item x="131"/>
        <item x="410"/>
        <item x="1532"/>
        <item x="678"/>
        <item x="2229"/>
        <item x="166"/>
        <item x="1121"/>
        <item x="2254"/>
        <item x="1003"/>
        <item x="2258"/>
        <item x="2268"/>
        <item x="397"/>
        <item x="1424"/>
        <item x="794"/>
        <item x="635"/>
        <item x="1646"/>
        <item x="1051"/>
        <item x="1119"/>
        <item x="786"/>
        <item x="992"/>
        <item x="2473"/>
        <item x="1474"/>
        <item x="2168"/>
        <item x="1911"/>
        <item x="188"/>
        <item x="2060"/>
        <item x="1600"/>
        <item x="246"/>
        <item x="1597"/>
        <item x="1428"/>
        <item x="1636"/>
        <item x="1029"/>
        <item x="427"/>
        <item x="1117"/>
        <item x="2319"/>
        <item x="925"/>
        <item x="314"/>
        <item x="1925"/>
        <item x="1667"/>
        <item x="1108"/>
        <item x="705"/>
        <item x="2410"/>
        <item x="142"/>
        <item x="981"/>
        <item x="2118"/>
        <item x="790"/>
        <item x="618"/>
        <item x="2131"/>
        <item x="161"/>
        <item x="1454"/>
        <item x="1245"/>
        <item x="1288"/>
        <item x="2200"/>
        <item x="315"/>
        <item x="2019"/>
        <item x="860"/>
        <item x="629"/>
        <item x="1916"/>
        <item x="1882"/>
        <item x="585"/>
        <item x="300"/>
        <item x="477"/>
        <item x="243"/>
        <item x="1987"/>
        <item x="872"/>
        <item x="2323"/>
        <item x="1977"/>
        <item x="1149"/>
        <item x="1752"/>
        <item x="829"/>
        <item x="1291"/>
        <item x="2498"/>
        <item x="816"/>
        <item x="958"/>
        <item x="1371"/>
        <item x="2458"/>
        <item x="1938"/>
        <item x="1819"/>
        <item x="1644"/>
        <item x="2222"/>
        <item x="913"/>
        <item x="1720"/>
        <item x="1798"/>
        <item x="975"/>
        <item x="701"/>
        <item x="140"/>
        <item x="2055"/>
        <item x="43"/>
        <item x="1690"/>
        <item x="2183"/>
        <item x="862"/>
        <item x="1778"/>
        <item x="68"/>
        <item x="2154"/>
        <item x="1112"/>
        <item x="67"/>
        <item x="653"/>
        <item x="450"/>
        <item x="2490"/>
        <item x="1211"/>
        <item x="1723"/>
        <item x="1423"/>
        <item x="2088"/>
        <item x="2248"/>
        <item x="2449"/>
        <item x="56"/>
        <item x="916"/>
        <item x="1757"/>
        <item x="1628"/>
        <item x="33"/>
        <item x="324"/>
        <item x="103"/>
        <item x="47"/>
        <item x="1948"/>
        <item x="247"/>
        <item x="1070"/>
        <item x="2508"/>
        <item x="2391"/>
        <item x="690"/>
        <item x="1253"/>
        <item x="2365"/>
        <item x="28"/>
        <item x="2477"/>
        <item x="2297"/>
        <item x="586"/>
        <item x="423"/>
        <item x="1264"/>
        <item x="2081"/>
        <item x="2000"/>
        <item x="680"/>
        <item x="36"/>
        <item x="181"/>
        <item x="937"/>
        <item x="79"/>
        <item x="1741"/>
        <item x="1390"/>
        <item x="744"/>
        <item x="73"/>
        <item x="171"/>
        <item x="1042"/>
        <item x="927"/>
        <item x="242"/>
        <item x="273"/>
        <item x="1366"/>
        <item x="452"/>
        <item x="2067"/>
        <item x="1266"/>
        <item x="584"/>
        <item x="464"/>
        <item x="233"/>
        <item x="1693"/>
        <item x="1993"/>
        <item x="1584"/>
        <item x="667"/>
        <item x="379"/>
        <item x="1493"/>
        <item x="714"/>
        <item x="1486"/>
        <item x="1907"/>
        <item x="2448"/>
        <item x="870"/>
        <item x="1552"/>
        <item x="1942"/>
        <item x="1857"/>
        <item x="880"/>
        <item x="138"/>
        <item x="2325"/>
        <item x="2024"/>
        <item x="298"/>
        <item x="810"/>
        <item x="1040"/>
        <item x="1272"/>
        <item x="894"/>
        <item x="333"/>
        <item x="174"/>
        <item x="564"/>
        <item x="902"/>
        <item x="977"/>
        <item x="426"/>
        <item x="2065"/>
        <item x="443"/>
        <item x="1684"/>
        <item x="2492"/>
        <item x="1444"/>
        <item x="2174"/>
        <item x="1180"/>
        <item x="991"/>
        <item x="1438"/>
        <item x="1827"/>
        <item x="378"/>
        <item x="124"/>
        <item x="156"/>
        <item x="1487"/>
        <item x="1349"/>
        <item x="1018"/>
        <item x="2343"/>
        <item x="1680"/>
        <item x="2163"/>
        <item x="1409"/>
        <item x="2459"/>
        <item x="1516"/>
        <item x="1343"/>
        <item x="2279"/>
        <item x="491"/>
        <item x="59"/>
        <item x="1783"/>
        <item x="401"/>
        <item x="2294"/>
        <item x="2123"/>
        <item x="825"/>
        <item x="1181"/>
        <item x="207"/>
        <item x="137"/>
        <item x="2453"/>
        <item x="698"/>
        <item x="1398"/>
        <item x="2231"/>
        <item x="1230"/>
        <item x="654"/>
        <item x="1855"/>
        <item x="159"/>
        <item x="302"/>
        <item x="1151"/>
        <item x="2250"/>
        <item x="1084"/>
        <item x="91"/>
        <item x="1479"/>
        <item x="111"/>
        <item x="2259"/>
        <item x="1208"/>
        <item x="2076"/>
        <item x="64"/>
        <item x="723"/>
        <item x="278"/>
        <item x="1640"/>
        <item x="1594"/>
        <item x="1229"/>
        <item x="2105"/>
        <item x="1828"/>
        <item x="883"/>
        <item x="693"/>
        <item x="577"/>
        <item x="1990"/>
        <item x="27"/>
        <item x="1138"/>
        <item x="1128"/>
        <item x="308"/>
        <item x="1490"/>
        <item x="1363"/>
        <item x="1817"/>
        <item x="2107"/>
        <item x="638"/>
        <item x="1046"/>
        <item x="337"/>
        <item x="283"/>
        <item x="521"/>
        <item x="2234"/>
        <item x="1099"/>
        <item x="2412"/>
        <item x="903"/>
        <item x="607"/>
        <item x="346"/>
        <item x="1743"/>
        <item x="1421"/>
        <item x="2300"/>
        <item x="888"/>
        <item x="1527"/>
        <item x="176"/>
        <item x="1221"/>
        <item x="1972"/>
        <item x="1661"/>
        <item x="1327"/>
        <item x="330"/>
        <item x="1830"/>
        <item x="361"/>
        <item x="2307"/>
        <item x="1795"/>
        <item x="1249"/>
        <item x="2080"/>
        <item x="2316"/>
        <item x="1190"/>
        <item x="1383"/>
        <item x="694"/>
        <item x="1768"/>
        <item x="1039"/>
        <item x="1048"/>
        <item x="2431"/>
        <item x="569"/>
        <item x="2479"/>
        <item x="466"/>
        <item x="457"/>
        <item x="1839"/>
        <item x="1602"/>
        <item x="1957"/>
        <item x="1396"/>
        <item x="615"/>
        <item x="1893"/>
        <item x="2006"/>
        <item x="2196"/>
        <item x="835"/>
        <item x="2051"/>
        <item x="891"/>
        <item x="263"/>
        <item x="1447"/>
        <item x="984"/>
        <item x="2276"/>
        <item x="728"/>
        <item x="1412"/>
        <item x="2056"/>
        <item x="1021"/>
        <item x="1966"/>
        <item x="1492"/>
        <item x="2160"/>
        <item x="1078"/>
        <item x="467"/>
        <item x="1655"/>
        <item x="2442"/>
        <item x="1979"/>
        <item x="1885"/>
        <item x="184"/>
        <item x="1481"/>
        <item x="2001"/>
        <item x="2424"/>
        <item x="632"/>
        <item x="565"/>
        <item x="405"/>
        <item x="366"/>
        <item x="1565"/>
        <item x="310"/>
        <item x="1784"/>
        <item x="97"/>
        <item x="729"/>
        <item x="2158"/>
        <item x="497"/>
        <item x="1569"/>
        <item x="2513"/>
        <item x="2367"/>
        <item x="1491"/>
        <item x="777"/>
        <item x="1542"/>
        <item x="1237"/>
        <item x="16"/>
        <item x="1314"/>
        <item x="2385"/>
        <item x="1625"/>
        <item x="2133"/>
        <item x="544"/>
        <item x="412"/>
        <item x="456"/>
        <item x="402"/>
        <item x="1023"/>
        <item x="1212"/>
        <item x="100"/>
        <item x="2101"/>
        <item x="214"/>
        <item x="1892"/>
        <item x="655"/>
        <item x="788"/>
        <item x="386"/>
        <item x="938"/>
        <item x="1735"/>
        <item x="682"/>
        <item x="2287"/>
        <item x="952"/>
        <item x="320"/>
        <item x="1173"/>
        <item x="2084"/>
        <item x="3"/>
        <item x="572"/>
        <item x="232"/>
        <item x="1081"/>
        <item x="229"/>
        <item x="980"/>
        <item x="1526"/>
        <item x="1351"/>
        <item x="117"/>
        <item x="2182"/>
        <item x="2204"/>
        <item x="2286"/>
        <item x="275"/>
        <item x="146"/>
        <item x="1596"/>
        <item x="1935"/>
        <item x="517"/>
        <item x="1281"/>
        <item x="375"/>
        <item x="2480"/>
        <item x="782"/>
        <item x="88"/>
        <item x="823"/>
        <item x="1420"/>
        <item x="1590"/>
        <item x="1427"/>
        <item x="2407"/>
        <item x="1086"/>
        <item x="1734"/>
        <item x="2318"/>
        <item x="1560"/>
        <item x="1950"/>
        <item x="803"/>
        <item x="1603"/>
        <item x="906"/>
        <item x="2098"/>
        <item x="1994"/>
        <item x="344"/>
        <item x="1033"/>
        <item x="1330"/>
        <item x="1218"/>
        <item x="493"/>
        <item x="523"/>
        <item x="251"/>
        <item x="781"/>
        <item x="604"/>
        <item x="2239"/>
        <item x="1374"/>
        <item x="2348"/>
        <item x="669"/>
        <item x="2489"/>
        <item x="568"/>
        <item x="1710"/>
        <item x="2129"/>
        <item x="1064"/>
        <item x="2446"/>
        <item x="1706"/>
        <item x="132"/>
        <item x="1280"/>
        <item x="814"/>
        <item x="261"/>
        <item x="210"/>
        <item x="610"/>
        <item x="961"/>
        <item x="591"/>
        <item x="624"/>
        <item x="2039"/>
        <item x="2020"/>
        <item x="57"/>
        <item x="1869"/>
        <item x="2089"/>
        <item x="99"/>
        <item x="2008"/>
        <item x="2059"/>
        <item x="1246"/>
        <item x="1729"/>
        <item x="1618"/>
        <item x="2409"/>
        <item x="1818"/>
        <item x="809"/>
        <item x="1642"/>
        <item x="436"/>
        <item x="1202"/>
        <item x="762"/>
        <item x="2484"/>
        <item x="1700"/>
        <item x="2411"/>
        <item x="179"/>
        <item x="1736"/>
        <item x="1469"/>
        <item x="139"/>
        <item x="2244"/>
        <item x="940"/>
        <item x="1559"/>
        <item x="2485"/>
        <item x="1031"/>
        <item x="1122"/>
        <item x="155"/>
        <item x="2009"/>
        <item x="281"/>
        <item x="387"/>
        <item x="1879"/>
        <item x="1328"/>
        <item x="2311"/>
        <item x="280"/>
        <item x="1547"/>
        <item x="827"/>
        <item x="1130"/>
        <item x="1505"/>
        <item x="836"/>
        <item x="2150"/>
        <item x="806"/>
        <item x="1223"/>
        <item x="2277"/>
        <item x="530"/>
        <item x="922"/>
        <item x="639"/>
        <item x="745"/>
        <item x="1462"/>
        <item x="256"/>
        <item x="1637"/>
        <item x="1380"/>
        <item x="1161"/>
        <item x="1214"/>
        <item x="1028"/>
        <item x="509"/>
        <item x="622"/>
        <item x="969"/>
        <item x="2210"/>
        <item x="1868"/>
        <item x="1958"/>
        <item x="499"/>
        <item x="297"/>
        <item x="1098"/>
        <item x="360"/>
        <item x="996"/>
        <item x="437"/>
        <item x="356"/>
        <item x="2440"/>
        <item x="520"/>
        <item x="2369"/>
        <item x="1198"/>
        <item x="1643"/>
        <item x="911"/>
        <item x="1271"/>
        <item x="1816"/>
        <item x="546"/>
        <item x="1256"/>
        <item x="791"/>
        <item x="506"/>
        <item x="2050"/>
        <item x="1089"/>
        <item x="2152"/>
        <item x="702"/>
        <item x="2437"/>
        <item x="2377"/>
        <item x="193"/>
        <item x="2260"/>
        <item x="421"/>
        <item x="764"/>
        <item x="1771"/>
        <item x="1401"/>
        <item x="2472"/>
        <item x="2042"/>
        <item x="616"/>
        <item x="24"/>
        <item x="1393"/>
        <item x="338"/>
        <item x="1062"/>
        <item x="2149"/>
        <item x="1883"/>
        <item x="2094"/>
        <item x="1861"/>
        <item x="1293"/>
        <item x="838"/>
        <item x="2314"/>
        <item x="956"/>
        <item x="573"/>
        <item x="1116"/>
        <item x="1468"/>
        <item x="676"/>
        <item x="819"/>
        <item x="109"/>
        <item x="548"/>
        <item x="1617"/>
        <item x="1952"/>
        <item x="820"/>
        <item x="665"/>
        <item x="599"/>
        <item x="1698"/>
        <item x="2273"/>
        <item x="581"/>
        <item x="1717"/>
        <item x="1496"/>
        <item x="2113"/>
        <item x="322"/>
        <item x="2468"/>
        <item x="1392"/>
        <item x="1674"/>
        <item x="1986"/>
        <item x="1944"/>
        <item x="1307"/>
        <item x="2145"/>
        <item x="2116"/>
        <item x="49"/>
        <item x="549"/>
        <item x="1713"/>
        <item x="2408"/>
        <item x="699"/>
        <item x="1049"/>
        <item x="1683"/>
        <item x="673"/>
        <item x="1801"/>
        <item x="39"/>
        <item x="1973"/>
        <item x="1157"/>
        <item x="1624"/>
        <item x="2345"/>
        <item x="2121"/>
        <item x="1874"/>
        <item x="1238"/>
        <item x="765"/>
        <item x="374"/>
        <item x="1739"/>
        <item x="2363"/>
        <item x="87"/>
        <item x="1856"/>
        <item x="1095"/>
        <item x="1276"/>
        <item x="2497"/>
        <item x="1168"/>
        <item x="2414"/>
        <item x="430"/>
        <item x="930"/>
        <item x="1109"/>
        <item x="649"/>
        <item x="2068"/>
        <item x="920"/>
        <item x="2186"/>
        <item x="1105"/>
        <item x="967"/>
        <item x="1269"/>
        <item x="620"/>
        <item x="2110"/>
        <item x="1623"/>
        <item x="1877"/>
        <item x="277"/>
        <item x="1329"/>
        <item x="518"/>
        <item x="1129"/>
        <item x="2153"/>
        <item x="1687"/>
        <item x="481"/>
        <item x="108"/>
        <item x="732"/>
        <item x="617"/>
        <item x="490"/>
        <item x="2002"/>
        <item x="1297"/>
        <item x="2470"/>
        <item x="2106"/>
        <item x="162"/>
        <item x="1216"/>
        <item x="1898"/>
        <item x="1549"/>
        <item x="1332"/>
        <item x="1268"/>
        <item x="1311"/>
        <item x="1322"/>
        <item x="7"/>
        <item x="910"/>
        <item x="1758"/>
        <item x="553"/>
        <item x="2045"/>
        <item x="380"/>
        <item x="2070"/>
        <item x="1203"/>
        <item x="2401"/>
        <item x="1120"/>
        <item x="1875"/>
        <item x="134"/>
        <item x="54"/>
        <item x="434"/>
        <item x="289"/>
        <item x="1139"/>
        <item x="1884"/>
        <item x="590"/>
        <item x="625"/>
        <item x="234"/>
        <item x="863"/>
        <item x="1838"/>
        <item x="672"/>
        <item x="1323"/>
        <item x="431"/>
        <item x="270"/>
        <item x="1441"/>
        <item x="1123"/>
        <item x="2405"/>
        <item x="1591"/>
        <item x="856"/>
        <item x="2510"/>
        <item x="1408"/>
        <item x="2460"/>
        <item x="1927"/>
        <item x="363"/>
        <item x="2494"/>
        <item x="2308"/>
        <item x="2245"/>
        <item x="1964"/>
        <item x="1339"/>
        <item x="1346"/>
        <item x="2041"/>
        <item x="1206"/>
        <item x="2402"/>
        <item x="1022"/>
        <item x="1177"/>
        <item x="1426"/>
        <item x="2310"/>
        <item x="60"/>
        <item x="164"/>
        <item x="25"/>
        <item x="1775"/>
        <item x="1058"/>
        <item x="1786"/>
        <item x="1738"/>
        <item x="1845"/>
        <item x="2462"/>
        <item x="2083"/>
        <item x="1132"/>
        <item x="253"/>
        <item x="1171"/>
        <item x="1923"/>
        <item x="717"/>
        <item x="889"/>
        <item x="22"/>
        <item x="1250"/>
        <item x="1722"/>
        <item x="2138"/>
        <item x="1222"/>
        <item x="441"/>
        <item x="874"/>
        <item x="1895"/>
        <item x="1824"/>
        <item x="1342"/>
        <item x="2295"/>
        <item x="529"/>
        <item x="1832"/>
        <item x="1347"/>
        <item x="1309"/>
        <item x="826"/>
        <item x="813"/>
        <item x="1939"/>
        <item x="1025"/>
        <item x="211"/>
        <item x="1901"/>
        <item x="1537"/>
        <item x="2195"/>
        <item x="258"/>
        <item x="1585"/>
        <item x="983"/>
        <item x="1164"/>
        <item x="539"/>
        <item x="2180"/>
        <item x="1551"/>
        <item x="951"/>
        <item x="627"/>
        <item x="318"/>
        <item x="144"/>
        <item x="867"/>
        <item x="1530"/>
        <item x="96"/>
        <item x="2368"/>
        <item x="1010"/>
        <item x="1026"/>
        <item x="2165"/>
        <item x="1497"/>
        <item x="760"/>
        <item x="2073"/>
        <item x="1688"/>
        <item x="447"/>
        <item x="475"/>
        <item x="536"/>
        <item x="2505"/>
        <item x="332"/>
        <item x="2499"/>
        <item x="1557"/>
        <item x="2456"/>
        <item x="1414"/>
        <item x="85"/>
        <item x="1445"/>
        <item x="486"/>
        <item x="1422"/>
        <item x="1539"/>
        <item x="2296"/>
        <item x="812"/>
        <item x="170"/>
        <item x="1908"/>
        <item x="1041"/>
        <item x="2170"/>
        <item x="1790"/>
        <item x="2211"/>
        <item x="1780"/>
        <item x="1259"/>
        <item x="2207"/>
        <item x="2201"/>
        <item x="612"/>
        <item x="1054"/>
        <item x="1633"/>
        <item x="1350"/>
        <item x="364"/>
        <item x="871"/>
        <item x="1193"/>
        <item x="1475"/>
        <item x="720"/>
        <item x="1429"/>
        <item x="257"/>
        <item x="1306"/>
        <item x="284"/>
        <item x="1533"/>
        <item x="1489"/>
        <item x="2488"/>
        <item x="1822"/>
        <item x="2155"/>
        <item x="1792"/>
        <item x="1870"/>
        <item x="1733"/>
        <item x="1302"/>
        <item x="1651"/>
        <item x="1943"/>
        <item x="1563"/>
        <item x="2035"/>
        <item x="953"/>
        <item x="571"/>
        <item x="1011"/>
        <item x="2469"/>
        <item x="1953"/>
        <item x="2435"/>
        <item x="148"/>
        <item x="1766"/>
        <item x="924"/>
        <item x="1273"/>
        <item x="516"/>
        <item x="939"/>
        <item x="504"/>
        <item x="2125"/>
        <item x="2172"/>
        <item x="2232"/>
        <item x="1215"/>
        <item x="1671"/>
        <item x="1175"/>
        <item x="954"/>
        <item x="422"/>
        <item x="831"/>
        <item x="381"/>
        <item x="1726"/>
        <item x="2302"/>
        <item x="222"/>
        <item x="2109"/>
        <item x="1254"/>
        <item x="1386"/>
        <item x="1658"/>
        <item x="713"/>
        <item x="1769"/>
        <item x="976"/>
        <item x="1437"/>
        <item x="1765"/>
        <item x="2274"/>
        <item x="309"/>
        <item x="384"/>
        <item x="998"/>
        <item x="1451"/>
        <item x="683"/>
        <item x="1692"/>
        <item x="1727"/>
        <item x="1714"/>
        <item x="1512"/>
        <item x="1482"/>
        <item x="1587"/>
        <item x="2475"/>
        <item x="2399"/>
        <item x="2305"/>
        <item x="1387"/>
        <item x="1967"/>
        <item x="1841"/>
        <item x="1484"/>
        <item x="1111"/>
        <item x="312"/>
        <item x="342"/>
        <item x="2420"/>
        <item x="2373"/>
        <item x="1436"/>
        <item x="2141"/>
        <item x="2338"/>
        <item x="326"/>
        <item x="365"/>
        <item x="2192"/>
        <item x="2144"/>
        <item x="898"/>
        <item x="1799"/>
        <item x="1788"/>
        <item x="2491"/>
        <item x="1836"/>
        <item x="1876"/>
        <item x="2093"/>
        <item t="default"/>
      </items>
    </pivotField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11">
    <i>
      <x/>
    </i>
    <i>
      <x v="2"/>
    </i>
    <i>
      <x v="3"/>
    </i>
    <i>
      <x v="5"/>
    </i>
    <i>
      <x v="6"/>
    </i>
    <i>
      <x v="10"/>
    </i>
    <i>
      <x v="13"/>
    </i>
    <i>
      <x v="16"/>
    </i>
    <i>
      <x v="18"/>
    </i>
    <i>
      <x v="19"/>
    </i>
    <i t="grand">
      <x/>
    </i>
  </rowItems>
  <colItems count="1">
    <i/>
  </colItems>
  <dataFields count="1">
    <dataField name="Count of Review_id" fld="0" subtotal="count" baseField="5" baseItem="0"/>
  </dataField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20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21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22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08E031-A780-400C-BF80-2726455C993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54:C73" firstHeaderRow="0" firstDataRow="1" firstDataCol="1"/>
  <pivotFields count="19">
    <pivotField dataField="1" showAll="0"/>
    <pivotField numFmtId="1" showAll="0"/>
    <pivotField showAll="0"/>
    <pivotField axis="axisRow" showAll="0">
      <items count="19">
        <item x="16"/>
        <item x="12"/>
        <item x="2"/>
        <item x="4"/>
        <item x="11"/>
        <item x="15"/>
        <item x="14"/>
        <item x="10"/>
        <item x="5"/>
        <item x="1"/>
        <item x="8"/>
        <item x="13"/>
        <item x="3"/>
        <item x="17"/>
        <item x="6"/>
        <item x="0"/>
        <item x="9"/>
        <item x="7"/>
        <item t="default"/>
      </items>
    </pivotField>
    <pivotField showAll="0"/>
    <pivotField showAll="0"/>
    <pivotField dataField="1" numFmtId="164" showAll="0">
      <items count="7">
        <item x="0"/>
        <item x="1"/>
        <item x="2"/>
        <item x="3"/>
        <item x="4"/>
        <item x="5"/>
        <item t="default"/>
      </items>
    </pivotField>
    <pivotField numFmtId="22" showAll="0">
      <items count="2515">
        <item x="2075"/>
        <item x="150"/>
        <item x="718"/>
        <item x="1267"/>
        <item x="1252"/>
        <item x="1052"/>
        <item x="2376"/>
        <item x="2501"/>
        <item x="2320"/>
        <item x="646"/>
        <item x="593"/>
        <item x="1654"/>
        <item x="1719"/>
        <item x="1145"/>
        <item x="2347"/>
        <item x="681"/>
        <item x="1992"/>
        <item x="1260"/>
        <item x="670"/>
        <item x="1634"/>
        <item x="51"/>
        <item x="1290"/>
        <item x="2406"/>
        <item x="808"/>
        <item x="789"/>
        <item x="2048"/>
        <item x="747"/>
        <item x="2381"/>
        <item x="1676"/>
        <item x="2331"/>
        <item x="2423"/>
        <item x="687"/>
        <item x="525"/>
        <item x="839"/>
        <item x="1961"/>
        <item x="377"/>
        <item x="500"/>
        <item x="1369"/>
        <item x="460"/>
        <item x="909"/>
        <item x="1285"/>
        <item x="2119"/>
        <item x="1566"/>
        <item x="2085"/>
        <item x="1507"/>
        <item x="1488"/>
        <item x="595"/>
        <item x="121"/>
        <item x="2306"/>
        <item x="1365"/>
        <item x="957"/>
        <item x="1014"/>
        <item x="2217"/>
        <item x="1375"/>
        <item x="1513"/>
        <item x="2466"/>
        <item x="1195"/>
        <item x="2288"/>
        <item x="2191"/>
        <item x="1867"/>
        <item x="531"/>
        <item x="2354"/>
        <item x="2120"/>
        <item x="1189"/>
        <item x="226"/>
        <item x="1305"/>
        <item x="935"/>
        <item x="407"/>
        <item x="859"/>
        <item x="2387"/>
        <item x="294"/>
        <item x="1965"/>
        <item x="2352"/>
        <item x="1581"/>
        <item x="674"/>
        <item x="1881"/>
        <item x="1749"/>
        <item x="1317"/>
        <item x="182"/>
        <item x="2185"/>
        <item x="1407"/>
        <item x="1470"/>
        <item x="205"/>
        <item x="2115"/>
        <item x="1335"/>
        <item x="1949"/>
        <item x="2161"/>
        <item x="1141"/>
        <item x="1158"/>
        <item x="1243"/>
        <item x="206"/>
        <item x="873"/>
        <item x="1403"/>
        <item x="1217"/>
        <item x="2140"/>
        <item x="574"/>
        <item x="815"/>
        <item x="1005"/>
        <item x="347"/>
        <item x="1575"/>
        <item x="1066"/>
        <item x="634"/>
        <item x="2430"/>
        <item x="1258"/>
        <item x="561"/>
        <item x="252"/>
        <item x="675"/>
        <item x="1608"/>
        <item x="1511"/>
        <item x="563"/>
        <item x="1463"/>
        <item x="2357"/>
        <item x="2221"/>
        <item x="1716"/>
        <item x="841"/>
        <item x="1204"/>
        <item x="1065"/>
        <item x="2502"/>
        <item x="985"/>
        <item x="997"/>
        <item x="158"/>
        <item x="265"/>
        <item x="1303"/>
        <item x="1912"/>
        <item x="1372"/>
        <item x="1955"/>
        <item x="2465"/>
        <item x="1356"/>
        <item x="406"/>
        <item x="1809"/>
        <item x="1577"/>
        <item x="2169"/>
        <item x="296"/>
        <item x="1578"/>
        <item x="641"/>
        <item x="628"/>
        <item x="2034"/>
        <item x="349"/>
        <item x="2071"/>
        <item x="2496"/>
        <item x="1135"/>
        <item x="189"/>
        <item x="2202"/>
        <item x="2427"/>
        <item x="128"/>
        <item x="963"/>
        <item x="1508"/>
        <item x="1518"/>
        <item x="1453"/>
        <item x="1057"/>
        <item x="1695"/>
        <item x="1718"/>
        <item x="840"/>
        <item x="749"/>
        <item x="2379"/>
        <item x="123"/>
        <item x="1740"/>
        <item x="472"/>
        <item x="8"/>
        <item x="801"/>
        <item x="2027"/>
        <item x="1292"/>
        <item x="1337"/>
        <item x="1498"/>
        <item x="373"/>
        <item x="2078"/>
        <item x="1006"/>
        <item x="1797"/>
        <item x="1102"/>
        <item x="484"/>
        <item x="1377"/>
        <item x="202"/>
        <item x="1283"/>
        <item x="1087"/>
        <item x="94"/>
        <item x="1612"/>
        <item x="990"/>
        <item x="1871"/>
        <item x="31"/>
        <item x="1804"/>
        <item x="505"/>
        <item x="2237"/>
        <item x="2450"/>
        <item x="1308"/>
        <item x="2147"/>
        <item x="2434"/>
        <item x="2178"/>
        <item x="1055"/>
        <item x="462"/>
        <item x="743"/>
        <item x="191"/>
        <item x="2500"/>
        <item x="2339"/>
        <item x="1673"/>
        <item x="1219"/>
        <item x="2176"/>
        <item x="1385"/>
        <item x="2328"/>
        <item x="1947"/>
        <item x="220"/>
        <item x="740"/>
        <item x="1664"/>
        <item x="2166"/>
        <item x="1357"/>
        <item x="172"/>
        <item x="1776"/>
        <item x="37"/>
        <item x="106"/>
        <item x="2471"/>
        <item x="1650"/>
        <item x="1471"/>
        <item x="1619"/>
        <item x="272"/>
        <item x="463"/>
        <item x="2454"/>
        <item x="881"/>
        <item x="1027"/>
        <item x="1989"/>
        <item x="2444"/>
        <item x="668"/>
        <item x="1360"/>
        <item x="271"/>
        <item x="1682"/>
        <item x="1645"/>
        <item x="959"/>
        <item x="1576"/>
        <item x="845"/>
        <item x="688"/>
        <item x="23"/>
        <item x="389"/>
        <item x="545"/>
        <item x="709"/>
        <item x="1772"/>
        <item x="455"/>
        <item x="551"/>
        <item x="1133"/>
        <item x="1137"/>
        <item x="1593"/>
        <item x="955"/>
        <item x="850"/>
        <item x="1239"/>
        <item x="901"/>
        <item x="1166"/>
        <item x="236"/>
        <item x="896"/>
        <item x="1425"/>
        <item x="950"/>
        <item x="696"/>
        <item x="1071"/>
        <item x="1514"/>
        <item x="537"/>
        <item x="904"/>
        <item x="1572"/>
        <item x="485"/>
        <item x="248"/>
        <item x="1592"/>
        <item x="1154"/>
        <item x="498"/>
        <item x="2336"/>
        <item x="201"/>
        <item x="2136"/>
        <item x="779"/>
        <item x="1886"/>
        <item x="1060"/>
        <item x="1068"/>
        <item x="1394"/>
        <item x="1983"/>
        <item x="1997"/>
        <item x="1589"/>
        <item x="38"/>
        <item x="566"/>
        <item x="2164"/>
        <item x="1240"/>
        <item x="2361"/>
        <item x="1461"/>
        <item x="1626"/>
        <item x="2142"/>
        <item x="1093"/>
        <item x="1580"/>
        <item x="107"/>
        <item x="1449"/>
        <item x="1878"/>
        <item x="125"/>
        <item x="633"/>
        <item x="1659"/>
        <item x="390"/>
        <item x="971"/>
        <item x="482"/>
        <item x="2156"/>
        <item x="532"/>
        <item x="1418"/>
        <item x="403"/>
        <item x="2249"/>
        <item x="1815"/>
        <item x="1432"/>
        <item x="877"/>
        <item x="643"/>
        <item x="1648"/>
        <item x="2390"/>
        <item x="1277"/>
        <item x="1573"/>
        <item x="918"/>
        <item x="1601"/>
        <item x="1544"/>
        <item x="1400"/>
        <item x="1647"/>
        <item x="1261"/>
        <item x="1694"/>
        <item x="1007"/>
        <item x="17"/>
        <item x="1063"/>
        <item x="20"/>
        <item x="1110"/>
        <item x="854"/>
        <item x="1711"/>
        <item x="804"/>
        <item x="897"/>
        <item x="129"/>
        <item x="2436"/>
        <item x="1607"/>
        <item x="1745"/>
        <item x="141"/>
        <item x="1300"/>
        <item x="2177"/>
        <item x="1852"/>
        <item x="1152"/>
        <item x="2350"/>
        <item x="2146"/>
        <item x="425"/>
        <item x="936"/>
        <item x="276"/>
        <item x="424"/>
        <item x="1231"/>
        <item x="1556"/>
        <item x="1641"/>
        <item x="656"/>
        <item x="468"/>
        <item x="2189"/>
        <item x="807"/>
        <item x="115"/>
        <item x="1200"/>
        <item x="30"/>
        <item x="2356"/>
        <item x="770"/>
        <item x="2481"/>
        <item x="1666"/>
        <item x="602"/>
        <item x="2428"/>
        <item x="1434"/>
        <item x="1153"/>
        <item x="2281"/>
        <item x="2054"/>
        <item x="190"/>
        <item x="1287"/>
        <item x="2061"/>
        <item x="122"/>
        <item x="195"/>
        <item x="1528"/>
        <item x="2255"/>
        <item x="1088"/>
        <item x="2280"/>
        <item x="2175"/>
        <item x="244"/>
        <item x="1866"/>
        <item x="1160"/>
        <item x="2418"/>
        <item x="501"/>
        <item x="53"/>
        <item x="1504"/>
        <item x="1982"/>
        <item x="1030"/>
        <item x="461"/>
        <item x="1545"/>
        <item x="2226"/>
        <item x="619"/>
        <item x="2128"/>
        <item x="264"/>
        <item x="882"/>
        <item x="899"/>
        <item x="1358"/>
        <item x="793"/>
        <item x="1905"/>
        <item x="249"/>
        <item x="1954"/>
        <item x="89"/>
        <item x="2351"/>
        <item x="429"/>
        <item x="2079"/>
        <item x="642"/>
        <item x="325"/>
        <item x="2251"/>
        <item x="2283"/>
        <item x="1701"/>
        <item x="2242"/>
        <item x="10"/>
        <item x="1050"/>
        <item x="2394"/>
        <item x="757"/>
        <item x="227"/>
        <item x="2213"/>
        <item x="1808"/>
        <item x="2509"/>
        <item x="1035"/>
        <item x="200"/>
        <item x="1455"/>
        <item x="1167"/>
        <item x="988"/>
        <item x="2400"/>
        <item x="1567"/>
        <item x="480"/>
        <item x="235"/>
        <item x="1843"/>
        <item x="2433"/>
        <item x="2062"/>
        <item x="876"/>
        <item x="1080"/>
        <item x="1746"/>
        <item x="2493"/>
        <item x="833"/>
        <item x="44"/>
        <item x="1724"/>
        <item x="926"/>
        <item x="1506"/>
        <item x="2173"/>
        <item x="1880"/>
        <item x="1207"/>
        <item x="2451"/>
        <item x="1127"/>
        <item x="999"/>
        <item x="18"/>
        <item x="2512"/>
        <item x="1341"/>
        <item x="662"/>
        <item x="2303"/>
        <item x="1419"/>
        <item x="2193"/>
        <item x="2388"/>
        <item x="1015"/>
        <item x="2478"/>
        <item x="775"/>
        <item x="255"/>
        <item x="1931"/>
        <item x="2315"/>
        <item x="1274"/>
        <item x="286"/>
        <item x="435"/>
        <item x="528"/>
        <item x="428"/>
        <item x="473"/>
        <item x="778"/>
        <item x="1205"/>
        <item x="393"/>
        <item x="1705"/>
        <item x="2396"/>
        <item x="2476"/>
        <item x="2218"/>
        <item x="2052"/>
        <item x="533"/>
        <item x="1417"/>
        <item x="711"/>
        <item x="1478"/>
        <item x="2159"/>
        <item x="228"/>
        <item x="2389"/>
        <item x="2344"/>
        <item x="194"/>
        <item x="1761"/>
        <item x="772"/>
        <item x="1197"/>
        <item x="2043"/>
        <item x="1034"/>
        <item x="1265"/>
        <item x="178"/>
        <item x="112"/>
        <item x="2486"/>
        <item x="1397"/>
        <item x="230"/>
        <item x="395"/>
        <item x="1909"/>
        <item x="2017"/>
        <item x="514"/>
        <item x="1844"/>
        <item x="1140"/>
        <item x="1101"/>
        <item x="1075"/>
        <item x="1974"/>
        <item x="623"/>
        <item x="1517"/>
        <item x="2215"/>
        <item x="524"/>
        <item x="1971"/>
        <item x="884"/>
        <item x="1616"/>
        <item x="973"/>
        <item x="1176"/>
        <item x="1074"/>
        <item x="1932"/>
        <item x="2457"/>
        <item x="540"/>
        <item x="1510"/>
        <item x="414"/>
        <item x="1930"/>
        <item x="752"/>
        <item x="152"/>
        <item x="796"/>
        <item x="570"/>
        <item x="792"/>
        <item x="2236"/>
        <item x="291"/>
        <item x="893"/>
        <item x="534"/>
        <item x="1534"/>
        <item x="932"/>
        <item x="852"/>
        <item x="1321"/>
        <item x="1179"/>
        <item x="2036"/>
        <item x="2044"/>
        <item x="1679"/>
        <item x="1255"/>
        <item x="118"/>
        <item x="1310"/>
        <item x="2219"/>
        <item x="1525"/>
        <item x="886"/>
        <item x="2018"/>
        <item x="119"/>
        <item x="1388"/>
        <item x="81"/>
        <item x="2199"/>
        <item x="1821"/>
        <item x="1631"/>
        <item x="846"/>
        <item x="2010"/>
        <item x="415"/>
        <item x="1669"/>
        <item x="2012"/>
        <item x="2104"/>
        <item x="101"/>
        <item x="594"/>
        <item x="1163"/>
        <item x="651"/>
        <item x="2291"/>
        <item x="2298"/>
        <item x="1754"/>
        <item x="1295"/>
        <item x="1402"/>
        <item x="611"/>
        <item x="1094"/>
        <item x="311"/>
        <item x="1004"/>
        <item x="748"/>
        <item x="908"/>
        <item x="1562"/>
        <item x="1813"/>
        <item x="1748"/>
        <item x="1864"/>
        <item x="1464"/>
        <item x="2299"/>
        <item x="2413"/>
        <item x="1536"/>
        <item x="1976"/>
        <item x="192"/>
        <item x="1926"/>
        <item x="2077"/>
        <item x="2292"/>
        <item x="2327"/>
        <item x="1194"/>
        <item x="1331"/>
        <item x="2049"/>
        <item x="55"/>
        <item x="1564"/>
        <item x="1794"/>
        <item x="671"/>
        <item x="2463"/>
        <item x="1984"/>
        <item x="382"/>
        <item x="986"/>
        <item x="26"/>
        <item x="1629"/>
        <item x="1519"/>
        <item x="1606"/>
        <item x="1072"/>
        <item x="1615"/>
        <item x="1227"/>
        <item x="411"/>
        <item x="1859"/>
        <item x="5"/>
        <item x="1364"/>
        <item x="1902"/>
        <item x="362"/>
        <item x="797"/>
        <item x="1495"/>
        <item x="45"/>
        <item x="2397"/>
        <item x="104"/>
        <item x="1446"/>
        <item x="978"/>
        <item x="1849"/>
        <item x="335"/>
        <item x="1009"/>
        <item x="686"/>
        <item x="1367"/>
        <item x="2087"/>
        <item x="61"/>
        <item x="63"/>
        <item x="1835"/>
        <item x="2126"/>
        <item x="279"/>
        <item x="1554"/>
        <item x="1782"/>
        <item x="355"/>
        <item x="2326"/>
        <item x="1077"/>
        <item x="2441"/>
        <item x="1678"/>
        <item x="1324"/>
        <item x="1807"/>
        <item x="167"/>
        <item x="2031"/>
        <item x="1319"/>
        <item x="2241"/>
        <item x="1704"/>
        <item x="476"/>
        <item x="2021"/>
        <item x="1316"/>
        <item x="2384"/>
        <item x="1793"/>
        <item x="1184"/>
        <item x="2233"/>
        <item x="2188"/>
        <item x="1318"/>
        <item x="1257"/>
        <item x="1981"/>
        <item x="1143"/>
        <item x="1796"/>
        <item x="547"/>
        <item x="274"/>
        <item x="1941"/>
        <item x="489"/>
        <item x="753"/>
        <item x="912"/>
        <item x="483"/>
        <item x="102"/>
        <item x="946"/>
        <item x="48"/>
        <item x="21"/>
        <item x="1162"/>
        <item x="1104"/>
        <item x="1457"/>
        <item x="630"/>
        <item x="1416"/>
        <item x="1224"/>
        <item x="1777"/>
        <item x="2086"/>
        <item x="855"/>
        <item x="1823"/>
        <item x="706"/>
        <item x="1887"/>
        <item x="1991"/>
        <item x="1382"/>
        <item x="1456"/>
        <item x="1210"/>
        <item x="2117"/>
        <item x="2419"/>
        <item x="2333"/>
        <item x="1304"/>
        <item x="847"/>
        <item x="1244"/>
        <item x="304"/>
        <item x="11"/>
        <item x="1851"/>
        <item x="459"/>
        <item x="2278"/>
        <item x="526"/>
        <item x="1494"/>
        <item x="2025"/>
        <item x="1320"/>
        <item x="449"/>
        <item x="763"/>
        <item x="1721"/>
        <item x="2372"/>
        <item x="1355"/>
        <item x="2342"/>
        <item x="268"/>
        <item x="974"/>
        <item x="474"/>
        <item x="169"/>
        <item x="2033"/>
        <item x="964"/>
        <item x="2134"/>
        <item x="722"/>
        <item x="1595"/>
        <item x="1805"/>
        <item x="708"/>
        <item x="404"/>
        <item x="1806"/>
        <item x="767"/>
        <item x="2398"/>
        <item x="495"/>
        <item x="371"/>
        <item x="327"/>
        <item x="738"/>
        <item x="1391"/>
        <item x="331"/>
        <item x="1134"/>
        <item x="1649"/>
        <item x="416"/>
        <item x="1903"/>
        <item x="469"/>
        <item x="731"/>
        <item x="541"/>
        <item x="542"/>
        <item x="559"/>
        <item x="2504"/>
        <item x="160"/>
        <item x="41"/>
        <item x="1696"/>
        <item x="848"/>
        <item x="1918"/>
        <item x="1689"/>
        <item x="1978"/>
        <item x="290"/>
        <item x="1546"/>
        <item x="1891"/>
        <item x="1165"/>
        <item x="145"/>
        <item x="2425"/>
        <item x="755"/>
        <item x="1538"/>
        <item x="1059"/>
        <item x="2004"/>
        <item x="795"/>
        <item x="1975"/>
        <item x="1910"/>
        <item x="1361"/>
        <item x="448"/>
        <item x="1913"/>
        <item x="1675"/>
        <item x="2015"/>
        <item x="734"/>
        <item x="2028"/>
        <item x="440"/>
        <item x="2380"/>
        <item x="2005"/>
        <item x="1114"/>
        <item x="1764"/>
        <item x="113"/>
        <item x="1791"/>
        <item x="1520"/>
        <item x="868"/>
        <item x="1476"/>
        <item x="944"/>
        <item x="608"/>
        <item x="1148"/>
        <item x="367"/>
        <item x="216"/>
        <item x="1980"/>
        <item x="2383"/>
        <item x="1155"/>
        <item x="126"/>
        <item x="733"/>
        <item x="269"/>
        <item x="2312"/>
        <item x="652"/>
        <item x="343"/>
        <item x="921"/>
        <item x="313"/>
        <item x="1096"/>
        <item x="203"/>
        <item x="2187"/>
        <item x="136"/>
        <item x="1248"/>
        <item x="1985"/>
        <item x="225"/>
        <item x="2209"/>
        <item x="1755"/>
        <item x="1583"/>
        <item x="307"/>
        <item x="600"/>
        <item x="1858"/>
        <item x="135"/>
        <item x="396"/>
        <item x="479"/>
        <item x="1348"/>
        <item x="864"/>
        <item x="2275"/>
        <item x="250"/>
        <item x="1550"/>
        <item x="1097"/>
        <item x="1460"/>
        <item x="305"/>
        <item x="2030"/>
        <item x="52"/>
        <item x="1751"/>
        <item x="1934"/>
        <item x="587"/>
        <item x="567"/>
        <item x="352"/>
        <item x="1742"/>
        <item x="1037"/>
        <item x="830"/>
        <item x="2349"/>
        <item x="2455"/>
        <item x="1458"/>
        <item x="1963"/>
        <item x="875"/>
        <item x="76"/>
        <item x="1523"/>
        <item x="1707"/>
        <item x="1232"/>
        <item x="858"/>
        <item x="598"/>
        <item x="588"/>
        <item x="1940"/>
        <item x="1043"/>
        <item x="494"/>
        <item x="369"/>
        <item x="245"/>
        <item x="787"/>
        <item x="465"/>
        <item x="2422"/>
        <item x="153"/>
        <item x="1289"/>
        <item x="798"/>
        <item x="1660"/>
        <item x="1076"/>
        <item x="596"/>
        <item x="692"/>
        <item x="2262"/>
        <item x="776"/>
        <item x="1172"/>
        <item x="1220"/>
        <item x="116"/>
        <item x="266"/>
        <item x="631"/>
        <item x="46"/>
        <item x="679"/>
        <item x="1605"/>
        <item x="1842"/>
        <item x="1668"/>
        <item x="492"/>
        <item x="1638"/>
        <item x="1106"/>
        <item x="1853"/>
        <item x="1959"/>
        <item x="1561"/>
        <item x="550"/>
        <item x="2271"/>
        <item x="1610"/>
        <item x="2235"/>
        <item x="1024"/>
        <item x="513"/>
        <item x="2074"/>
        <item x="2037"/>
        <item x="1677"/>
        <item x="444"/>
        <item x="2053"/>
        <item x="1904"/>
        <item x="849"/>
        <item x="1440"/>
        <item x="900"/>
        <item x="2112"/>
        <item x="19"/>
        <item x="805"/>
        <item x="1540"/>
        <item x="1502"/>
        <item x="1159"/>
        <item x="751"/>
        <item x="2321"/>
        <item x="1334"/>
        <item x="70"/>
        <item x="177"/>
        <item x="1945"/>
        <item x="2179"/>
        <item x="949"/>
        <item x="323"/>
        <item x="183"/>
        <item x="329"/>
        <item x="800"/>
        <item x="689"/>
        <item x="408"/>
        <item x="917"/>
        <item x="1579"/>
        <item x="519"/>
        <item x="2132"/>
        <item x="592"/>
        <item x="1917"/>
        <item x="2032"/>
        <item x="2506"/>
        <item x="1270"/>
        <item x="968"/>
        <item x="1298"/>
        <item x="2184"/>
        <item x="1929"/>
        <item x="1829"/>
        <item x="1672"/>
        <item x="2203"/>
        <item x="1969"/>
        <item x="2198"/>
        <item x="923"/>
        <item x="2208"/>
        <item x="2452"/>
        <item x="1763"/>
        <item x="4"/>
        <item x="1773"/>
        <item x="1278"/>
        <item x="869"/>
        <item x="2370"/>
        <item x="1652"/>
        <item x="648"/>
        <item x="1404"/>
        <item x="857"/>
        <item x="1191"/>
        <item x="512"/>
        <item x="769"/>
        <item x="966"/>
        <item x="306"/>
        <item x="215"/>
        <item x="650"/>
        <item x="1781"/>
        <item x="1531"/>
        <item x="1854"/>
        <item x="2040"/>
        <item x="1233"/>
        <item x="1759"/>
        <item x="1599"/>
        <item x="62"/>
        <item x="1787"/>
        <item x="1810"/>
        <item x="1900"/>
        <item x="527"/>
        <item x="1632"/>
        <item x="438"/>
        <item x="2332"/>
        <item x="972"/>
        <item x="2100"/>
        <item x="1762"/>
        <item x="1691"/>
        <item x="420"/>
        <item x="1465"/>
        <item x="1663"/>
        <item x="2095"/>
        <item x="2421"/>
        <item x="746"/>
        <item x="735"/>
        <item x="2386"/>
        <item x="2108"/>
        <item x="391"/>
        <item x="1826"/>
        <item x="1452"/>
        <item x="2269"/>
        <item x="783"/>
        <item x="1196"/>
        <item x="2285"/>
        <item x="1555"/>
        <item x="1045"/>
        <item x="2330"/>
        <item x="1730"/>
        <item x="1299"/>
        <item x="824"/>
        <item x="659"/>
        <item x="1362"/>
        <item x="2151"/>
        <item x="2046"/>
        <item x="1524"/>
        <item x="120"/>
        <item x="282"/>
        <item x="818"/>
        <item x="1405"/>
        <item x="14"/>
        <item x="1448"/>
        <item x="1951"/>
        <item x="2064"/>
        <item x="1574"/>
        <item x="2266"/>
        <item x="240"/>
        <item x="66"/>
        <item x="1103"/>
        <item x="1499"/>
        <item x="2148"/>
        <item x="1073"/>
        <item x="2353"/>
        <item x="2224"/>
        <item x="433"/>
        <item x="334"/>
        <item x="453"/>
        <item x="1131"/>
        <item x="2304"/>
        <item x="1389"/>
        <item x="1410"/>
        <item x="1352"/>
        <item x="1558"/>
        <item x="209"/>
        <item x="1814"/>
        <item x="811"/>
        <item x="2417"/>
        <item x="1665"/>
        <item x="2317"/>
        <item x="502"/>
        <item x="1889"/>
        <item x="345"/>
        <item x="2066"/>
        <item x="1922"/>
        <item x="1333"/>
        <item x="2026"/>
        <item x="603"/>
        <item x="929"/>
        <item x="105"/>
        <item x="1242"/>
        <item x="2091"/>
        <item x="1767"/>
        <item x="1450"/>
        <item x="1543"/>
        <item x="6"/>
        <item x="919"/>
        <item x="40"/>
        <item x="2003"/>
        <item x="163"/>
        <item x="218"/>
        <item x="1384"/>
        <item x="802"/>
        <item x="1968"/>
        <item x="510"/>
        <item x="454"/>
        <item x="157"/>
        <item x="90"/>
        <item x="597"/>
        <item x="1459"/>
        <item x="2263"/>
        <item x="237"/>
        <item x="2162"/>
        <item x="1047"/>
        <item x="1001"/>
        <item x="892"/>
        <item x="241"/>
        <item x="538"/>
        <item x="2181"/>
        <item x="2341"/>
        <item x="359"/>
        <item x="2197"/>
        <item x="861"/>
        <item x="1338"/>
        <item x="95"/>
        <item x="2072"/>
        <item x="2171"/>
        <item x="1760"/>
        <item x="1750"/>
        <item x="2301"/>
        <item x="2366"/>
        <item x="1344"/>
        <item x="1439"/>
        <item x="1156"/>
        <item x="2364"/>
        <item x="684"/>
        <item x="552"/>
        <item x="726"/>
        <item x="535"/>
        <item x="1142"/>
        <item x="2103"/>
        <item x="267"/>
        <item x="1725"/>
        <item x="2416"/>
        <item x="2246"/>
        <item x="1995"/>
        <item x="834"/>
        <item x="1535"/>
        <item x="478"/>
        <item x="1604"/>
        <item x="828"/>
        <item x="1406"/>
        <item x="1368"/>
        <item x="350"/>
        <item x="1670"/>
        <item x="442"/>
        <item x="562"/>
        <item x="1890"/>
        <item x="496"/>
        <item x="224"/>
        <item x="2507"/>
        <item x="1038"/>
        <item x="774"/>
        <item x="736"/>
        <item x="2503"/>
        <item x="75"/>
        <item x="1473"/>
        <item x="2013"/>
        <item x="2225"/>
        <item x="1515"/>
        <item x="677"/>
        <item x="887"/>
        <item x="2022"/>
        <item x="1921"/>
        <item x="2403"/>
        <item x="1662"/>
        <item x="1354"/>
        <item x="914"/>
        <item x="1732"/>
        <item x="1373"/>
        <item x="2511"/>
        <item x="970"/>
        <item x="1241"/>
        <item x="213"/>
        <item x="556"/>
        <item x="92"/>
        <item x="259"/>
        <item x="1345"/>
        <item x="822"/>
        <item x="2212"/>
        <item x="1209"/>
        <item x="2461"/>
        <item x="621"/>
        <item x="1053"/>
        <item x="1012"/>
        <item x="1008"/>
        <item x="606"/>
        <item x="185"/>
        <item x="1"/>
        <item x="1850"/>
        <item x="2243"/>
        <item x="72"/>
        <item x="1936"/>
        <item x="1500"/>
        <item x="1928"/>
        <item x="759"/>
        <item x="1213"/>
        <item x="1294"/>
        <item x="1962"/>
        <item x="1091"/>
        <item x="1970"/>
        <item x="42"/>
        <item x="851"/>
        <item x="1571"/>
        <item x="340"/>
        <item x="1247"/>
        <item x="1113"/>
        <item x="578"/>
        <item x="1800"/>
        <item x="1483"/>
        <item x="212"/>
        <item x="1226"/>
        <item x="1906"/>
        <item x="1894"/>
        <item x="1017"/>
        <item x="2082"/>
        <item x="84"/>
        <item x="1731"/>
        <item x="1169"/>
        <item x="1702"/>
        <item x="1284"/>
        <item x="691"/>
        <item x="13"/>
        <item x="98"/>
        <item x="458"/>
        <item x="1509"/>
        <item x="77"/>
        <item x="1083"/>
        <item x="1833"/>
        <item x="1199"/>
        <item x="217"/>
        <item x="1085"/>
        <item x="1712"/>
        <item x="1521"/>
        <item x="2194"/>
        <item x="1340"/>
        <item x="756"/>
        <item x="2429"/>
        <item x="110"/>
        <item x="1178"/>
        <item x="168"/>
        <item x="2047"/>
        <item x="2247"/>
        <item x="488"/>
        <item x="730"/>
        <item x="1622"/>
        <item x="1657"/>
        <item x="221"/>
        <item x="1639"/>
        <item x="143"/>
        <item x="29"/>
        <item x="2029"/>
        <item x="1933"/>
        <item x="1803"/>
        <item x="1301"/>
        <item x="127"/>
        <item x="2214"/>
        <item x="1820"/>
        <item x="2011"/>
        <item x="1919"/>
        <item x="1802"/>
        <item x="1315"/>
        <item x="2096"/>
        <item x="1541"/>
        <item x="328"/>
        <item x="2257"/>
        <item x="1588"/>
        <item x="1862"/>
        <item x="1188"/>
        <item x="1376"/>
        <item x="1620"/>
        <item x="766"/>
        <item x="86"/>
        <item x="993"/>
        <item x="644"/>
        <item x="133"/>
        <item x="2335"/>
        <item x="1614"/>
        <item x="199"/>
        <item x="2329"/>
        <item x="1708"/>
        <item x="2057"/>
        <item x="1100"/>
        <item x="1840"/>
        <item x="208"/>
        <item x="1686"/>
        <item x="2334"/>
        <item x="187"/>
        <item x="2378"/>
        <item x="471"/>
        <item x="80"/>
        <item x="613"/>
        <item x="1442"/>
        <item x="589"/>
        <item x="1002"/>
        <item x="554"/>
        <item x="2097"/>
        <item x="987"/>
        <item x="1370"/>
        <item x="579"/>
        <item x="1061"/>
        <item x="741"/>
        <item x="945"/>
        <item x="151"/>
        <item x="409"/>
        <item x="1598"/>
        <item x="2374"/>
        <item x="2340"/>
        <item x="895"/>
        <item x="799"/>
        <item x="773"/>
        <item x="231"/>
        <item x="995"/>
        <item x="614"/>
        <item x="695"/>
        <item x="78"/>
        <item x="2482"/>
        <item x="2309"/>
        <item x="1715"/>
        <item x="580"/>
        <item x="933"/>
        <item x="1656"/>
        <item x="784"/>
        <item x="319"/>
        <item x="962"/>
        <item x="1568"/>
        <item x="2023"/>
        <item x="1609"/>
        <item x="2223"/>
        <item x="1150"/>
        <item x="147"/>
        <item x="2016"/>
        <item x="1124"/>
        <item x="1182"/>
        <item x="301"/>
        <item x="758"/>
        <item x="637"/>
        <item x="1613"/>
        <item x="2256"/>
        <item x="2267"/>
        <item x="885"/>
        <item x="685"/>
        <item x="1325"/>
        <item x="1115"/>
        <item x="1999"/>
        <item x="942"/>
        <item x="383"/>
        <item x="1079"/>
        <item x="716"/>
        <item x="197"/>
        <item x="1582"/>
        <item x="719"/>
        <item x="2360"/>
        <item x="1435"/>
        <item x="750"/>
        <item x="943"/>
        <item x="704"/>
        <item x="508"/>
        <item x="398"/>
        <item x="1485"/>
        <item x="511"/>
        <item x="1956"/>
        <item x="1848"/>
        <item x="2483"/>
        <item x="703"/>
        <item x="742"/>
        <item x="2346"/>
        <item x="1415"/>
        <item x="1996"/>
        <item x="626"/>
        <item x="2157"/>
        <item x="1032"/>
        <item x="1359"/>
        <item x="1183"/>
        <item x="1201"/>
        <item x="1399"/>
        <item x="522"/>
        <item x="941"/>
        <item x="837"/>
        <item x="1703"/>
        <item x="575"/>
        <item x="1846"/>
        <item x="2253"/>
        <item x="658"/>
        <item x="1522"/>
        <item x="2293"/>
        <item x="130"/>
        <item x="2216"/>
        <item x="1553"/>
        <item x="2289"/>
        <item x="2014"/>
        <item x="1147"/>
        <item x="392"/>
        <item x="1779"/>
        <item x="2238"/>
        <item x="1825"/>
        <item x="2252"/>
        <item x="1685"/>
        <item x="1789"/>
        <item x="1699"/>
        <item x="2167"/>
        <item x="1013"/>
        <item x="1501"/>
        <item x="1774"/>
        <item x="2474"/>
        <item x="1888"/>
        <item x="609"/>
        <item x="292"/>
        <item x="1378"/>
        <item x="293"/>
        <item x="507"/>
        <item x="1621"/>
        <item x="9"/>
        <item x="219"/>
        <item x="1262"/>
        <item x="865"/>
        <item x="1586"/>
        <item x="960"/>
        <item x="1503"/>
        <item x="1570"/>
        <item x="697"/>
        <item x="843"/>
        <item x="1627"/>
        <item x="645"/>
        <item x="1353"/>
        <item x="295"/>
        <item x="1228"/>
        <item x="2432"/>
        <item x="739"/>
        <item x="1811"/>
        <item x="1960"/>
        <item x="2355"/>
        <item x="69"/>
        <item x="2139"/>
        <item x="1635"/>
        <item x="1192"/>
        <item x="2426"/>
        <item x="15"/>
        <item x="2358"/>
        <item x="1170"/>
        <item x="1812"/>
        <item x="583"/>
        <item x="1753"/>
        <item x="1737"/>
        <item x="370"/>
        <item x="198"/>
        <item x="32"/>
        <item x="1411"/>
        <item x="737"/>
        <item x="285"/>
        <item x="1872"/>
        <item x="890"/>
        <item x="2058"/>
        <item x="1279"/>
        <item x="725"/>
        <item x="1747"/>
        <item x="65"/>
        <item x="2439"/>
        <item x="2220"/>
        <item x="2404"/>
        <item x="934"/>
        <item x="661"/>
        <item x="351"/>
        <item x="640"/>
        <item x="1896"/>
        <item x="2007"/>
        <item x="555"/>
        <item x="239"/>
        <item x="1336"/>
        <item x="2359"/>
        <item x="1395"/>
        <item x="2063"/>
        <item x="1831"/>
        <item x="660"/>
        <item x="1312"/>
        <item x="336"/>
        <item x="262"/>
        <item x="196"/>
        <item x="2438"/>
        <item x="417"/>
        <item x="260"/>
        <item x="1185"/>
        <item x="2137"/>
        <item x="2265"/>
        <item x="2130"/>
        <item x="664"/>
        <item x="180"/>
        <item x="1016"/>
        <item x="1472"/>
        <item x="821"/>
        <item x="1697"/>
        <item x="376"/>
        <item x="2038"/>
        <item x="368"/>
        <item x="761"/>
        <item x="399"/>
        <item x="316"/>
        <item x="1873"/>
        <item x="558"/>
        <item x="928"/>
        <item x="663"/>
        <item x="432"/>
        <item x="1837"/>
        <item x="1433"/>
        <item x="2464"/>
        <item x="12"/>
        <item x="34"/>
        <item x="1379"/>
        <item x="1020"/>
        <item x="994"/>
        <item x="1036"/>
        <item x="385"/>
        <item x="2069"/>
        <item x="341"/>
        <item x="1548"/>
        <item x="93"/>
        <item x="317"/>
        <item x="400"/>
        <item x="1915"/>
        <item x="186"/>
        <item x="2487"/>
        <item x="1709"/>
        <item x="1728"/>
        <item x="1082"/>
        <item x="445"/>
        <item x="947"/>
        <item x="2114"/>
        <item x="844"/>
        <item x="780"/>
        <item x="2322"/>
        <item x="1413"/>
        <item x="1467"/>
        <item x="2290"/>
        <item x="2284"/>
        <item x="905"/>
        <item x="1529"/>
        <item x="1313"/>
        <item x="154"/>
        <item x="1630"/>
        <item x="1263"/>
        <item x="2282"/>
        <item x="1118"/>
        <item x="647"/>
        <item x="238"/>
        <item x="71"/>
        <item x="982"/>
        <item x="114"/>
        <item x="2122"/>
        <item x="832"/>
        <item x="353"/>
        <item x="2135"/>
        <item x="358"/>
        <item x="2099"/>
        <item x="1107"/>
        <item x="2102"/>
        <item x="768"/>
        <item x="2090"/>
        <item x="0"/>
        <item x="2270"/>
        <item x="1860"/>
        <item x="636"/>
        <item x="357"/>
        <item x="2261"/>
        <item x="287"/>
        <item x="2190"/>
        <item x="1897"/>
        <item x="785"/>
        <item x="543"/>
        <item x="842"/>
        <item x="1924"/>
        <item x="907"/>
        <item x="446"/>
        <item x="2443"/>
        <item x="557"/>
        <item x="878"/>
        <item x="1998"/>
        <item x="1785"/>
        <item x="2375"/>
        <item x="2240"/>
        <item x="1236"/>
        <item x="560"/>
        <item x="1914"/>
        <item x="576"/>
        <item x="1863"/>
        <item x="1092"/>
        <item x="2092"/>
        <item x="707"/>
        <item x="2127"/>
        <item x="979"/>
        <item x="175"/>
        <item x="1834"/>
        <item x="1019"/>
        <item x="1480"/>
        <item x="223"/>
        <item x="1126"/>
        <item x="35"/>
        <item x="1186"/>
        <item x="771"/>
        <item x="1235"/>
        <item x="2324"/>
        <item x="1443"/>
        <item x="413"/>
        <item x="1937"/>
        <item x="727"/>
        <item x="724"/>
        <item x="339"/>
        <item x="1282"/>
        <item x="2124"/>
        <item x="372"/>
        <item x="2392"/>
        <item x="1056"/>
        <item x="2495"/>
        <item x="503"/>
        <item x="2228"/>
        <item x="1681"/>
        <item x="582"/>
        <item x="149"/>
        <item x="1326"/>
        <item x="419"/>
        <item x="173"/>
        <item x="1069"/>
        <item x="1756"/>
        <item x="2"/>
        <item x="487"/>
        <item x="1430"/>
        <item x="1275"/>
        <item x="1090"/>
        <item x="1286"/>
        <item x="1067"/>
        <item x="2337"/>
        <item x="2447"/>
        <item x="451"/>
        <item x="853"/>
        <item x="1899"/>
        <item x="989"/>
        <item x="82"/>
        <item x="388"/>
        <item x="879"/>
        <item x="601"/>
        <item x="439"/>
        <item x="299"/>
        <item x="1946"/>
        <item x="418"/>
        <item x="515"/>
        <item x="254"/>
        <item x="1847"/>
        <item x="2313"/>
        <item x="948"/>
        <item x="721"/>
        <item x="1296"/>
        <item x="1136"/>
        <item x="712"/>
        <item x="2395"/>
        <item x="1611"/>
        <item x="915"/>
        <item x="1431"/>
        <item x="700"/>
        <item x="2143"/>
        <item x="965"/>
        <item x="2415"/>
        <item x="2272"/>
        <item x="715"/>
        <item x="931"/>
        <item x="1144"/>
        <item x="710"/>
        <item x="2393"/>
        <item x="288"/>
        <item x="1477"/>
        <item x="1381"/>
        <item x="1920"/>
        <item x="1000"/>
        <item x="1988"/>
        <item x="303"/>
        <item x="2205"/>
        <item x="1251"/>
        <item x="321"/>
        <item x="50"/>
        <item x="1770"/>
        <item x="2230"/>
        <item x="83"/>
        <item x="754"/>
        <item x="1865"/>
        <item x="2111"/>
        <item x="204"/>
        <item x="1653"/>
        <item x="348"/>
        <item x="74"/>
        <item x="2371"/>
        <item x="394"/>
        <item x="165"/>
        <item x="2227"/>
        <item x="1044"/>
        <item x="1146"/>
        <item x="58"/>
        <item x="666"/>
        <item x="1466"/>
        <item x="1187"/>
        <item x="605"/>
        <item x="2445"/>
        <item x="2206"/>
        <item x="2264"/>
        <item x="1744"/>
        <item x="1174"/>
        <item x="817"/>
        <item x="2382"/>
        <item x="1234"/>
        <item x="657"/>
        <item x="866"/>
        <item x="354"/>
        <item x="2362"/>
        <item x="2467"/>
        <item x="470"/>
        <item x="1225"/>
        <item x="1125"/>
        <item x="131"/>
        <item x="410"/>
        <item x="1532"/>
        <item x="678"/>
        <item x="2229"/>
        <item x="166"/>
        <item x="1121"/>
        <item x="2254"/>
        <item x="1003"/>
        <item x="2258"/>
        <item x="2268"/>
        <item x="397"/>
        <item x="1424"/>
        <item x="794"/>
        <item x="635"/>
        <item x="1646"/>
        <item x="1051"/>
        <item x="1119"/>
        <item x="786"/>
        <item x="992"/>
        <item x="2473"/>
        <item x="1474"/>
        <item x="2168"/>
        <item x="1911"/>
        <item x="188"/>
        <item x="2060"/>
        <item x="1600"/>
        <item x="246"/>
        <item x="1597"/>
        <item x="1428"/>
        <item x="1636"/>
        <item x="1029"/>
        <item x="427"/>
        <item x="1117"/>
        <item x="2319"/>
        <item x="925"/>
        <item x="314"/>
        <item x="1925"/>
        <item x="1667"/>
        <item x="1108"/>
        <item x="705"/>
        <item x="2410"/>
        <item x="142"/>
        <item x="981"/>
        <item x="2118"/>
        <item x="790"/>
        <item x="618"/>
        <item x="2131"/>
        <item x="161"/>
        <item x="1454"/>
        <item x="1245"/>
        <item x="1288"/>
        <item x="2200"/>
        <item x="315"/>
        <item x="2019"/>
        <item x="860"/>
        <item x="629"/>
        <item x="1916"/>
        <item x="1882"/>
        <item x="585"/>
        <item x="300"/>
        <item x="477"/>
        <item x="243"/>
        <item x="1987"/>
        <item x="872"/>
        <item x="2323"/>
        <item x="1977"/>
        <item x="1149"/>
        <item x="1752"/>
        <item x="829"/>
        <item x="1291"/>
        <item x="2498"/>
        <item x="816"/>
        <item x="958"/>
        <item x="1371"/>
        <item x="2458"/>
        <item x="1938"/>
        <item x="1819"/>
        <item x="1644"/>
        <item x="2222"/>
        <item x="913"/>
        <item x="1720"/>
        <item x="1798"/>
        <item x="975"/>
        <item x="701"/>
        <item x="140"/>
        <item x="2055"/>
        <item x="43"/>
        <item x="1690"/>
        <item x="2183"/>
        <item x="862"/>
        <item x="1778"/>
        <item x="68"/>
        <item x="2154"/>
        <item x="1112"/>
        <item x="67"/>
        <item x="653"/>
        <item x="450"/>
        <item x="2490"/>
        <item x="1211"/>
        <item x="1723"/>
        <item x="1423"/>
        <item x="2088"/>
        <item x="2248"/>
        <item x="2449"/>
        <item x="56"/>
        <item x="916"/>
        <item x="1757"/>
        <item x="1628"/>
        <item x="33"/>
        <item x="324"/>
        <item x="103"/>
        <item x="47"/>
        <item x="1948"/>
        <item x="247"/>
        <item x="1070"/>
        <item x="2508"/>
        <item x="2391"/>
        <item x="690"/>
        <item x="1253"/>
        <item x="2365"/>
        <item x="28"/>
        <item x="2477"/>
        <item x="2297"/>
        <item x="586"/>
        <item x="423"/>
        <item x="1264"/>
        <item x="2081"/>
        <item x="2000"/>
        <item x="680"/>
        <item x="36"/>
        <item x="181"/>
        <item x="937"/>
        <item x="79"/>
        <item x="1741"/>
        <item x="1390"/>
        <item x="744"/>
        <item x="73"/>
        <item x="171"/>
        <item x="1042"/>
        <item x="927"/>
        <item x="242"/>
        <item x="273"/>
        <item x="1366"/>
        <item x="452"/>
        <item x="2067"/>
        <item x="1266"/>
        <item x="584"/>
        <item x="464"/>
        <item x="233"/>
        <item x="1693"/>
        <item x="1993"/>
        <item x="1584"/>
        <item x="667"/>
        <item x="379"/>
        <item x="1493"/>
        <item x="714"/>
        <item x="1486"/>
        <item x="1907"/>
        <item x="2448"/>
        <item x="870"/>
        <item x="1552"/>
        <item x="1942"/>
        <item x="1857"/>
        <item x="880"/>
        <item x="138"/>
        <item x="2325"/>
        <item x="2024"/>
        <item x="298"/>
        <item x="810"/>
        <item x="1040"/>
        <item x="1272"/>
        <item x="894"/>
        <item x="333"/>
        <item x="174"/>
        <item x="564"/>
        <item x="902"/>
        <item x="977"/>
        <item x="426"/>
        <item x="2065"/>
        <item x="443"/>
        <item x="1684"/>
        <item x="2492"/>
        <item x="1444"/>
        <item x="2174"/>
        <item x="1180"/>
        <item x="991"/>
        <item x="1438"/>
        <item x="1827"/>
        <item x="378"/>
        <item x="124"/>
        <item x="156"/>
        <item x="1487"/>
        <item x="1349"/>
        <item x="1018"/>
        <item x="2343"/>
        <item x="1680"/>
        <item x="2163"/>
        <item x="1409"/>
        <item x="2459"/>
        <item x="1516"/>
        <item x="1343"/>
        <item x="2279"/>
        <item x="491"/>
        <item x="59"/>
        <item x="1783"/>
        <item x="401"/>
        <item x="2294"/>
        <item x="2123"/>
        <item x="825"/>
        <item x="1181"/>
        <item x="207"/>
        <item x="137"/>
        <item x="2453"/>
        <item x="698"/>
        <item x="1398"/>
        <item x="2231"/>
        <item x="1230"/>
        <item x="654"/>
        <item x="1855"/>
        <item x="159"/>
        <item x="302"/>
        <item x="1151"/>
        <item x="2250"/>
        <item x="1084"/>
        <item x="91"/>
        <item x="1479"/>
        <item x="111"/>
        <item x="2259"/>
        <item x="1208"/>
        <item x="2076"/>
        <item x="64"/>
        <item x="723"/>
        <item x="278"/>
        <item x="1640"/>
        <item x="1594"/>
        <item x="1229"/>
        <item x="2105"/>
        <item x="1828"/>
        <item x="883"/>
        <item x="693"/>
        <item x="577"/>
        <item x="1990"/>
        <item x="27"/>
        <item x="1138"/>
        <item x="1128"/>
        <item x="308"/>
        <item x="1490"/>
        <item x="1363"/>
        <item x="1817"/>
        <item x="2107"/>
        <item x="638"/>
        <item x="1046"/>
        <item x="337"/>
        <item x="283"/>
        <item x="521"/>
        <item x="2234"/>
        <item x="1099"/>
        <item x="2412"/>
        <item x="903"/>
        <item x="607"/>
        <item x="346"/>
        <item x="1743"/>
        <item x="1421"/>
        <item x="2300"/>
        <item x="888"/>
        <item x="1527"/>
        <item x="176"/>
        <item x="1221"/>
        <item x="1972"/>
        <item x="1661"/>
        <item x="1327"/>
        <item x="330"/>
        <item x="1830"/>
        <item x="361"/>
        <item x="2307"/>
        <item x="1795"/>
        <item x="1249"/>
        <item x="2080"/>
        <item x="2316"/>
        <item x="1190"/>
        <item x="1383"/>
        <item x="694"/>
        <item x="1768"/>
        <item x="1039"/>
        <item x="1048"/>
        <item x="2431"/>
        <item x="569"/>
        <item x="2479"/>
        <item x="466"/>
        <item x="457"/>
        <item x="1839"/>
        <item x="1602"/>
        <item x="1957"/>
        <item x="1396"/>
        <item x="615"/>
        <item x="1893"/>
        <item x="2006"/>
        <item x="2196"/>
        <item x="835"/>
        <item x="2051"/>
        <item x="891"/>
        <item x="263"/>
        <item x="1447"/>
        <item x="984"/>
        <item x="2276"/>
        <item x="728"/>
        <item x="1412"/>
        <item x="2056"/>
        <item x="1021"/>
        <item x="1966"/>
        <item x="1492"/>
        <item x="2160"/>
        <item x="1078"/>
        <item x="467"/>
        <item x="1655"/>
        <item x="2442"/>
        <item x="1979"/>
        <item x="1885"/>
        <item x="184"/>
        <item x="1481"/>
        <item x="2001"/>
        <item x="2424"/>
        <item x="632"/>
        <item x="565"/>
        <item x="405"/>
        <item x="366"/>
        <item x="1565"/>
        <item x="310"/>
        <item x="1784"/>
        <item x="97"/>
        <item x="729"/>
        <item x="2158"/>
        <item x="497"/>
        <item x="1569"/>
        <item x="2513"/>
        <item x="2367"/>
        <item x="1491"/>
        <item x="777"/>
        <item x="1542"/>
        <item x="1237"/>
        <item x="16"/>
        <item x="1314"/>
        <item x="2385"/>
        <item x="1625"/>
        <item x="2133"/>
        <item x="544"/>
        <item x="412"/>
        <item x="456"/>
        <item x="402"/>
        <item x="1023"/>
        <item x="1212"/>
        <item x="100"/>
        <item x="2101"/>
        <item x="214"/>
        <item x="1892"/>
        <item x="655"/>
        <item x="788"/>
        <item x="386"/>
        <item x="938"/>
        <item x="1735"/>
        <item x="682"/>
        <item x="2287"/>
        <item x="952"/>
        <item x="320"/>
        <item x="1173"/>
        <item x="2084"/>
        <item x="3"/>
        <item x="572"/>
        <item x="232"/>
        <item x="1081"/>
        <item x="229"/>
        <item x="980"/>
        <item x="1526"/>
        <item x="1351"/>
        <item x="117"/>
        <item x="2182"/>
        <item x="2204"/>
        <item x="2286"/>
        <item x="275"/>
        <item x="146"/>
        <item x="1596"/>
        <item x="1935"/>
        <item x="517"/>
        <item x="1281"/>
        <item x="375"/>
        <item x="2480"/>
        <item x="782"/>
        <item x="88"/>
        <item x="823"/>
        <item x="1420"/>
        <item x="1590"/>
        <item x="1427"/>
        <item x="2407"/>
        <item x="1086"/>
        <item x="1734"/>
        <item x="2318"/>
        <item x="1560"/>
        <item x="1950"/>
        <item x="803"/>
        <item x="1603"/>
        <item x="906"/>
        <item x="2098"/>
        <item x="1994"/>
        <item x="344"/>
        <item x="1033"/>
        <item x="1330"/>
        <item x="1218"/>
        <item x="493"/>
        <item x="523"/>
        <item x="251"/>
        <item x="781"/>
        <item x="604"/>
        <item x="2239"/>
        <item x="1374"/>
        <item x="2348"/>
        <item x="669"/>
        <item x="2489"/>
        <item x="568"/>
        <item x="1710"/>
        <item x="2129"/>
        <item x="1064"/>
        <item x="2446"/>
        <item x="1706"/>
        <item x="132"/>
        <item x="1280"/>
        <item x="814"/>
        <item x="261"/>
        <item x="210"/>
        <item x="610"/>
        <item x="961"/>
        <item x="591"/>
        <item x="624"/>
        <item x="2039"/>
        <item x="2020"/>
        <item x="57"/>
        <item x="1869"/>
        <item x="2089"/>
        <item x="99"/>
        <item x="2008"/>
        <item x="2059"/>
        <item x="1246"/>
        <item x="1729"/>
        <item x="1618"/>
        <item x="2409"/>
        <item x="1818"/>
        <item x="809"/>
        <item x="1642"/>
        <item x="436"/>
        <item x="1202"/>
        <item x="762"/>
        <item x="2484"/>
        <item x="1700"/>
        <item x="2411"/>
        <item x="179"/>
        <item x="1736"/>
        <item x="1469"/>
        <item x="139"/>
        <item x="2244"/>
        <item x="940"/>
        <item x="1559"/>
        <item x="2485"/>
        <item x="1031"/>
        <item x="1122"/>
        <item x="155"/>
        <item x="2009"/>
        <item x="281"/>
        <item x="387"/>
        <item x="1879"/>
        <item x="1328"/>
        <item x="2311"/>
        <item x="280"/>
        <item x="1547"/>
        <item x="827"/>
        <item x="1130"/>
        <item x="1505"/>
        <item x="836"/>
        <item x="2150"/>
        <item x="806"/>
        <item x="1223"/>
        <item x="2277"/>
        <item x="530"/>
        <item x="922"/>
        <item x="639"/>
        <item x="745"/>
        <item x="1462"/>
        <item x="256"/>
        <item x="1637"/>
        <item x="1380"/>
        <item x="1161"/>
        <item x="1214"/>
        <item x="1028"/>
        <item x="509"/>
        <item x="622"/>
        <item x="969"/>
        <item x="2210"/>
        <item x="1868"/>
        <item x="1958"/>
        <item x="499"/>
        <item x="297"/>
        <item x="1098"/>
        <item x="360"/>
        <item x="996"/>
        <item x="437"/>
        <item x="356"/>
        <item x="2440"/>
        <item x="520"/>
        <item x="2369"/>
        <item x="1198"/>
        <item x="1643"/>
        <item x="911"/>
        <item x="1271"/>
        <item x="1816"/>
        <item x="546"/>
        <item x="1256"/>
        <item x="791"/>
        <item x="506"/>
        <item x="2050"/>
        <item x="1089"/>
        <item x="2152"/>
        <item x="702"/>
        <item x="2437"/>
        <item x="2377"/>
        <item x="193"/>
        <item x="2260"/>
        <item x="421"/>
        <item x="764"/>
        <item x="1771"/>
        <item x="1401"/>
        <item x="2472"/>
        <item x="2042"/>
        <item x="616"/>
        <item x="24"/>
        <item x="1393"/>
        <item x="338"/>
        <item x="1062"/>
        <item x="2149"/>
        <item x="1883"/>
        <item x="2094"/>
        <item x="1861"/>
        <item x="1293"/>
        <item x="838"/>
        <item x="2314"/>
        <item x="956"/>
        <item x="573"/>
        <item x="1116"/>
        <item x="1468"/>
        <item x="676"/>
        <item x="819"/>
        <item x="109"/>
        <item x="548"/>
        <item x="1617"/>
        <item x="1952"/>
        <item x="820"/>
        <item x="665"/>
        <item x="599"/>
        <item x="1698"/>
        <item x="2273"/>
        <item x="581"/>
        <item x="1717"/>
        <item x="1496"/>
        <item x="2113"/>
        <item x="322"/>
        <item x="2468"/>
        <item x="1392"/>
        <item x="1674"/>
        <item x="1986"/>
        <item x="1944"/>
        <item x="1307"/>
        <item x="2145"/>
        <item x="2116"/>
        <item x="49"/>
        <item x="549"/>
        <item x="1713"/>
        <item x="2408"/>
        <item x="699"/>
        <item x="1049"/>
        <item x="1683"/>
        <item x="673"/>
        <item x="1801"/>
        <item x="39"/>
        <item x="1973"/>
        <item x="1157"/>
        <item x="1624"/>
        <item x="2345"/>
        <item x="2121"/>
        <item x="1874"/>
        <item x="1238"/>
        <item x="765"/>
        <item x="374"/>
        <item x="1739"/>
        <item x="2363"/>
        <item x="87"/>
        <item x="1856"/>
        <item x="1095"/>
        <item x="1276"/>
        <item x="2497"/>
        <item x="1168"/>
        <item x="2414"/>
        <item x="430"/>
        <item x="930"/>
        <item x="1109"/>
        <item x="649"/>
        <item x="2068"/>
        <item x="920"/>
        <item x="2186"/>
        <item x="1105"/>
        <item x="967"/>
        <item x="1269"/>
        <item x="620"/>
        <item x="2110"/>
        <item x="1623"/>
        <item x="1877"/>
        <item x="277"/>
        <item x="1329"/>
        <item x="518"/>
        <item x="1129"/>
        <item x="2153"/>
        <item x="1687"/>
        <item x="481"/>
        <item x="108"/>
        <item x="732"/>
        <item x="617"/>
        <item x="490"/>
        <item x="2002"/>
        <item x="1297"/>
        <item x="2470"/>
        <item x="2106"/>
        <item x="162"/>
        <item x="1216"/>
        <item x="1898"/>
        <item x="1549"/>
        <item x="1332"/>
        <item x="1268"/>
        <item x="1311"/>
        <item x="1322"/>
        <item x="7"/>
        <item x="910"/>
        <item x="1758"/>
        <item x="553"/>
        <item x="2045"/>
        <item x="380"/>
        <item x="2070"/>
        <item x="1203"/>
        <item x="2401"/>
        <item x="1120"/>
        <item x="1875"/>
        <item x="134"/>
        <item x="54"/>
        <item x="434"/>
        <item x="289"/>
        <item x="1139"/>
        <item x="1884"/>
        <item x="590"/>
        <item x="625"/>
        <item x="234"/>
        <item x="863"/>
        <item x="1838"/>
        <item x="672"/>
        <item x="1323"/>
        <item x="431"/>
        <item x="270"/>
        <item x="1441"/>
        <item x="1123"/>
        <item x="2405"/>
        <item x="1591"/>
        <item x="856"/>
        <item x="2510"/>
        <item x="1408"/>
        <item x="2460"/>
        <item x="1927"/>
        <item x="363"/>
        <item x="2494"/>
        <item x="2308"/>
        <item x="2245"/>
        <item x="1964"/>
        <item x="1339"/>
        <item x="1346"/>
        <item x="2041"/>
        <item x="1206"/>
        <item x="2402"/>
        <item x="1022"/>
        <item x="1177"/>
        <item x="1426"/>
        <item x="2310"/>
        <item x="60"/>
        <item x="164"/>
        <item x="25"/>
        <item x="1775"/>
        <item x="1058"/>
        <item x="1786"/>
        <item x="1738"/>
        <item x="1845"/>
        <item x="2462"/>
        <item x="2083"/>
        <item x="1132"/>
        <item x="253"/>
        <item x="1171"/>
        <item x="1923"/>
        <item x="717"/>
        <item x="889"/>
        <item x="22"/>
        <item x="1250"/>
        <item x="1722"/>
        <item x="2138"/>
        <item x="1222"/>
        <item x="441"/>
        <item x="874"/>
        <item x="1895"/>
        <item x="1824"/>
        <item x="1342"/>
        <item x="2295"/>
        <item x="529"/>
        <item x="1832"/>
        <item x="1347"/>
        <item x="1309"/>
        <item x="826"/>
        <item x="813"/>
        <item x="1939"/>
        <item x="1025"/>
        <item x="211"/>
        <item x="1901"/>
        <item x="1537"/>
        <item x="2195"/>
        <item x="258"/>
        <item x="1585"/>
        <item x="983"/>
        <item x="1164"/>
        <item x="539"/>
        <item x="2180"/>
        <item x="1551"/>
        <item x="951"/>
        <item x="627"/>
        <item x="318"/>
        <item x="144"/>
        <item x="867"/>
        <item x="1530"/>
        <item x="96"/>
        <item x="2368"/>
        <item x="1010"/>
        <item x="1026"/>
        <item x="2165"/>
        <item x="1497"/>
        <item x="760"/>
        <item x="2073"/>
        <item x="1688"/>
        <item x="447"/>
        <item x="475"/>
        <item x="536"/>
        <item x="2505"/>
        <item x="332"/>
        <item x="2499"/>
        <item x="1557"/>
        <item x="2456"/>
        <item x="1414"/>
        <item x="85"/>
        <item x="1445"/>
        <item x="486"/>
        <item x="1422"/>
        <item x="1539"/>
        <item x="2296"/>
        <item x="812"/>
        <item x="170"/>
        <item x="1908"/>
        <item x="1041"/>
        <item x="2170"/>
        <item x="1790"/>
        <item x="2211"/>
        <item x="1780"/>
        <item x="1259"/>
        <item x="2207"/>
        <item x="2201"/>
        <item x="612"/>
        <item x="1054"/>
        <item x="1633"/>
        <item x="1350"/>
        <item x="364"/>
        <item x="871"/>
        <item x="1193"/>
        <item x="1475"/>
        <item x="720"/>
        <item x="1429"/>
        <item x="257"/>
        <item x="1306"/>
        <item x="284"/>
        <item x="1533"/>
        <item x="1489"/>
        <item x="2488"/>
        <item x="1822"/>
        <item x="2155"/>
        <item x="1792"/>
        <item x="1870"/>
        <item x="1733"/>
        <item x="1302"/>
        <item x="1651"/>
        <item x="1943"/>
        <item x="1563"/>
        <item x="2035"/>
        <item x="953"/>
        <item x="571"/>
        <item x="1011"/>
        <item x="2469"/>
        <item x="1953"/>
        <item x="2435"/>
        <item x="148"/>
        <item x="1766"/>
        <item x="924"/>
        <item x="1273"/>
        <item x="516"/>
        <item x="939"/>
        <item x="504"/>
        <item x="2125"/>
        <item x="2172"/>
        <item x="2232"/>
        <item x="1215"/>
        <item x="1671"/>
        <item x="1175"/>
        <item x="954"/>
        <item x="422"/>
        <item x="831"/>
        <item x="381"/>
        <item x="1726"/>
        <item x="2302"/>
        <item x="222"/>
        <item x="2109"/>
        <item x="1254"/>
        <item x="1386"/>
        <item x="1658"/>
        <item x="713"/>
        <item x="1769"/>
        <item x="976"/>
        <item x="1437"/>
        <item x="1765"/>
        <item x="2274"/>
        <item x="309"/>
        <item x="384"/>
        <item x="998"/>
        <item x="1451"/>
        <item x="683"/>
        <item x="1692"/>
        <item x="1727"/>
        <item x="1714"/>
        <item x="1512"/>
        <item x="1482"/>
        <item x="1587"/>
        <item x="2475"/>
        <item x="2399"/>
        <item x="2305"/>
        <item x="1387"/>
        <item x="1967"/>
        <item x="1841"/>
        <item x="1484"/>
        <item x="1111"/>
        <item x="312"/>
        <item x="342"/>
        <item x="2420"/>
        <item x="2373"/>
        <item x="1436"/>
        <item x="2141"/>
        <item x="2338"/>
        <item x="326"/>
        <item x="365"/>
        <item x="2192"/>
        <item x="2144"/>
        <item x="898"/>
        <item x="1799"/>
        <item x="1788"/>
        <item x="2491"/>
        <item x="1836"/>
        <item x="1876"/>
        <item x="2093"/>
        <item t="default"/>
      </items>
    </pivotField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eview_id" fld="0" subtotal="count" baseField="3" baseItem="0"/>
    <dataField name="Average of Rating" fld="6" subtotal="average" baseField="3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524F3D-956B-484D-8D86-D6BE484DD8BD}" autoFormatId="16" applyNumberFormats="0" applyBorderFormats="0" applyFontFormats="0" applyPatternFormats="0" applyAlignmentFormats="0" applyWidthHeightFormats="0">
  <queryTableRefresh nextId="22">
    <queryTableFields count="18">
      <queryTableField id="1" name="review_id" tableColumnId="1"/>
      <queryTableField id="2" name="user_id" tableColumnId="2"/>
      <queryTableField id="3" name="app_name" tableColumnId="3"/>
      <queryTableField id="4" name="app_category" tableColumnId="4"/>
      <queryTableField id="5" name="review_text" tableColumnId="5"/>
      <queryTableField id="6" name="review_language" tableColumnId="6"/>
      <queryTableField id="7" name="rating" tableColumnId="7"/>
      <queryTableField id="8" name="review_date" tableColumnId="8"/>
      <queryTableField id="21" dataBound="0" tableColumnId="18"/>
      <queryTableField id="19" dataBound="0" tableColumnId="16"/>
      <queryTableField id="20" dataBound="0" tableColumnId="17"/>
      <queryTableField id="9" name="verified_purchase" tableColumnId="9"/>
      <queryTableField id="10" name="device_type" tableColumnId="10"/>
      <queryTableField id="11" name="num_helpful_votes" tableColumnId="11"/>
      <queryTableField id="12" name="user_age" tableColumnId="12"/>
      <queryTableField id="13" name="user_country" tableColumnId="13"/>
      <queryTableField id="14" name="user_gender" tableColumnId="14"/>
      <queryTableField id="15" name="app_version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AC664A-0107-47C9-A292-AA53B66CAC62}" name="multilingual_mobile_app_reviews_2025" displayName="multilingual_mobile_app_reviews_2025" ref="A1:R2515" tableType="queryTable" totalsRowShown="0" headerRowDxfId="32" dataDxfId="31">
  <autoFilter ref="A1:R2515" xr:uid="{FAAC664A-0107-47C9-A292-AA53B66CAC62}"/>
  <tableColumns count="18">
    <tableColumn id="1" xr3:uid="{2457B4FD-D3F8-4821-9C58-92272F371A67}" uniqueName="1" name="Review_id" queryTableFieldId="1" dataDxfId="30"/>
    <tableColumn id="2" xr3:uid="{B1B34756-932E-4BF8-B8FB-C2D7BB2B3E3C}" uniqueName="2" name="User_id" queryTableFieldId="2" dataDxfId="29"/>
    <tableColumn id="3" xr3:uid="{8B974B44-0C26-42C5-B2E6-87A60B799CEF}" uniqueName="3" name="App_name" queryTableFieldId="3" dataDxfId="28"/>
    <tableColumn id="4" xr3:uid="{A2FA3FFA-BBA8-409E-AB3F-3210B820C74E}" uniqueName="4" name="App_category" queryTableFieldId="4" dataDxfId="27"/>
    <tableColumn id="5" xr3:uid="{D9F23844-6BAD-49CF-ACF1-B463FEE44B1F}" uniqueName="5" name="Review_text" queryTableFieldId="5" dataDxfId="26"/>
    <tableColumn id="6" xr3:uid="{9E12B517-274E-47A6-8E7E-289369612C47}" uniqueName="6" name="Review_language" queryTableFieldId="6" dataDxfId="25"/>
    <tableColumn id="7" xr3:uid="{D68B105C-EA13-4F40-8722-502142AE703A}" uniqueName="7" name="Rating" queryTableFieldId="7" dataDxfId="24"/>
    <tableColumn id="8" xr3:uid="{69155A8A-C413-41D1-88CF-6D73F9FDA686}" uniqueName="8" name="Review_date" queryTableFieldId="8" dataDxfId="23"/>
    <tableColumn id="18" xr3:uid="{BC6CE78C-2B52-4B6C-81BF-5D9A41C2EF9A}" uniqueName="18" name="Review_Date_New" queryTableFieldId="21" dataDxfId="22">
      <calculatedColumnFormula>TEXT(multilingual_mobile_app_reviews_2025[[#This Row],[Review_date]],"dd-mm-yyyy")</calculatedColumnFormula>
    </tableColumn>
    <tableColumn id="16" xr3:uid="{A927B7D8-D2DD-43E9-8011-53C03FE18D90}" uniqueName="16" name="Review_Date_Year" queryTableFieldId="19" dataDxfId="21">
      <calculatedColumnFormula>TEXT(multilingual_mobile_app_reviews_2025[[#This Row],[Review_date]],"YYYY")</calculatedColumnFormula>
    </tableColumn>
    <tableColumn id="17" xr3:uid="{20C6174F-993A-4457-B6A0-6B56B3C8CC2A}" uniqueName="17" name="Review_Date_Month" queryTableFieldId="20" dataDxfId="20">
      <calculatedColumnFormula>TEXT(multilingual_mobile_app_reviews_2025[[#This Row],[Review_date]],"MMMM")</calculatedColumnFormula>
    </tableColumn>
    <tableColumn id="9" xr3:uid="{10C7224A-63B8-44A2-AEC7-EDA92673DD1D}" uniqueName="9" name="Verified_purchase" queryTableFieldId="9" dataDxfId="19"/>
    <tableColumn id="10" xr3:uid="{275E95FD-5D46-41C3-A50C-38F305CC87CF}" uniqueName="10" name="Device_type" queryTableFieldId="10" dataDxfId="18"/>
    <tableColumn id="11" xr3:uid="{085783F8-69C5-441D-B1A7-A51C23BCE97D}" uniqueName="11" name="Num_helpful_votes" queryTableFieldId="11" dataDxfId="17"/>
    <tableColumn id="12" xr3:uid="{97DC593E-CF90-4AF7-9710-766589B44B51}" uniqueName="12" name="User_age" queryTableFieldId="12" dataDxfId="16"/>
    <tableColumn id="13" xr3:uid="{1C510E52-171E-4E5F-9A12-6EF8D6DFFB0B}" uniqueName="13" name="User_country" queryTableFieldId="13" dataDxfId="15"/>
    <tableColumn id="14" xr3:uid="{88AEF01B-F146-4CD1-ADB4-074F48179F9D}" uniqueName="14" name="User_gender" queryTableFieldId="14" dataDxfId="14"/>
    <tableColumn id="15" xr3:uid="{E1792D80-B688-4893-B19F-1FA0D026D1C7}" uniqueName="15" name="App_version" queryTableFieldId="15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BE86B-EEC3-499D-AB2C-00879045FEA6}">
  <dimension ref="A1:X2515"/>
  <sheetViews>
    <sheetView tabSelected="1" topLeftCell="F1" zoomScaleNormal="100" workbookViewId="0">
      <selection activeCell="I1" sqref="I1"/>
    </sheetView>
  </sheetViews>
  <sheetFormatPr defaultRowHeight="14.4" x14ac:dyDescent="0.3"/>
  <cols>
    <col min="1" max="1" width="15" customWidth="1"/>
    <col min="2" max="2" width="14.109375" customWidth="1"/>
    <col min="3" max="3" width="16.5546875" bestFit="1" customWidth="1"/>
    <col min="4" max="4" width="21.33203125" bestFit="1" customWidth="1"/>
    <col min="5" max="5" width="95.5546875" customWidth="1"/>
    <col min="6" max="6" width="22" customWidth="1"/>
    <col min="7" max="7" width="12.5546875" customWidth="1"/>
    <col min="8" max="8" width="20.88671875" customWidth="1"/>
    <col min="9" max="9" width="23" customWidth="1"/>
    <col min="10" max="10" width="26" customWidth="1"/>
    <col min="11" max="11" width="23.88671875" customWidth="1"/>
    <col min="12" max="12" width="22.109375" customWidth="1"/>
    <col min="13" max="13" width="23.44140625" customWidth="1"/>
    <col min="14" max="14" width="18" customWidth="1"/>
    <col min="15" max="15" width="19" customWidth="1"/>
    <col min="16" max="16" width="16.88671875" customWidth="1"/>
    <col min="17" max="17" width="19.21875" customWidth="1"/>
    <col min="18" max="18" width="14.88671875" customWidth="1"/>
    <col min="19" max="19" width="17.77734375" customWidth="1"/>
    <col min="20" max="20" width="13.21875" style="23" customWidth="1"/>
    <col min="22" max="22" width="14.77734375" customWidth="1"/>
    <col min="23" max="23" width="13.77734375" customWidth="1"/>
  </cols>
  <sheetData>
    <row r="1" spans="1:24" s="1" customFormat="1" ht="19.2" customHeight="1" x14ac:dyDescent="0.35">
      <c r="A1" s="9" t="s">
        <v>2912</v>
      </c>
      <c r="B1" s="9" t="s">
        <v>2913</v>
      </c>
      <c r="C1" s="9" t="s">
        <v>2914</v>
      </c>
      <c r="D1" s="9" t="s">
        <v>2915</v>
      </c>
      <c r="E1" s="9" t="s">
        <v>2916</v>
      </c>
      <c r="F1" s="9" t="s">
        <v>2917</v>
      </c>
      <c r="G1" s="9" t="s">
        <v>2918</v>
      </c>
      <c r="H1" s="9" t="s">
        <v>2919</v>
      </c>
      <c r="I1" s="9" t="s">
        <v>3012</v>
      </c>
      <c r="J1" s="9" t="s">
        <v>3010</v>
      </c>
      <c r="K1" s="9" t="s">
        <v>3011</v>
      </c>
      <c r="L1" s="9" t="s">
        <v>2920</v>
      </c>
      <c r="M1" s="9" t="s">
        <v>2921</v>
      </c>
      <c r="N1" s="9" t="s">
        <v>2922</v>
      </c>
      <c r="O1" s="9" t="s">
        <v>2923</v>
      </c>
      <c r="P1" s="9" t="s">
        <v>2924</v>
      </c>
      <c r="Q1" s="9" t="s">
        <v>2925</v>
      </c>
      <c r="R1" s="9" t="s">
        <v>2926</v>
      </c>
      <c r="S1" s="9"/>
      <c r="U1" s="22"/>
    </row>
    <row r="2" spans="1:24" ht="15.6" x14ac:dyDescent="0.3">
      <c r="A2" s="4">
        <v>1</v>
      </c>
      <c r="B2" s="5">
        <v>1967825</v>
      </c>
      <c r="C2" s="4" t="s">
        <v>0</v>
      </c>
      <c r="D2" s="4" t="s">
        <v>1</v>
      </c>
      <c r="E2" s="4" t="s">
        <v>2</v>
      </c>
      <c r="F2" s="4" t="s">
        <v>2949</v>
      </c>
      <c r="G2" s="6">
        <v>1.3</v>
      </c>
      <c r="H2" s="7">
        <v>45574.810185185182</v>
      </c>
      <c r="I2" s="26" t="str">
        <f>TEXT(multilingual_mobile_app_reviews_2025[[#This Row],[Review_date]],"dd-mm-yyyy")</f>
        <v>09-10-2024</v>
      </c>
      <c r="J2" s="25" t="str">
        <f>TEXT(multilingual_mobile_app_reviews_2025[[#This Row],[Review_date]],"YYYY")</f>
        <v>2024</v>
      </c>
      <c r="K2" s="4" t="str">
        <f>TEXT(multilingual_mobile_app_reviews_2025[[#This Row],[Review_date]],"MMMM")</f>
        <v>October</v>
      </c>
      <c r="L2" s="4" t="b">
        <v>1</v>
      </c>
      <c r="M2" s="4" t="s">
        <v>3</v>
      </c>
      <c r="N2" s="5">
        <v>65</v>
      </c>
      <c r="O2" s="5">
        <v>14</v>
      </c>
      <c r="P2" s="4" t="s">
        <v>4</v>
      </c>
      <c r="Q2" s="8" t="s">
        <v>5</v>
      </c>
      <c r="R2" s="4">
        <v>1.4</v>
      </c>
      <c r="S2" s="4"/>
      <c r="T2"/>
      <c r="U2" s="23"/>
    </row>
    <row r="3" spans="1:24" ht="15.6" x14ac:dyDescent="0.3">
      <c r="A3" s="4">
        <v>2</v>
      </c>
      <c r="B3" s="5">
        <v>9242600</v>
      </c>
      <c r="C3" s="4" t="s">
        <v>7</v>
      </c>
      <c r="D3" s="4" t="s">
        <v>8</v>
      </c>
      <c r="E3" s="4" t="s">
        <v>9</v>
      </c>
      <c r="F3" s="4" t="s">
        <v>2944</v>
      </c>
      <c r="G3" s="6">
        <v>1.6</v>
      </c>
      <c r="H3" s="7">
        <v>45464.728935185187</v>
      </c>
      <c r="I3" s="7" t="str">
        <f>TEXT(multilingual_mobile_app_reviews_2025[[#This Row],[Review_date]],"dd-mm-yyyy")</f>
        <v>21-06-2024</v>
      </c>
      <c r="J3" s="7" t="str">
        <f>TEXT(multilingual_mobile_app_reviews_2025[[#This Row],[Review_date]],"YYYY")</f>
        <v>2024</v>
      </c>
      <c r="K3" s="7" t="str">
        <f>TEXT(multilingual_mobile_app_reviews_2025[[#This Row],[Review_date]],"MMMM")</f>
        <v>June</v>
      </c>
      <c r="L3" s="4" t="b">
        <v>1</v>
      </c>
      <c r="M3" s="4" t="s">
        <v>10</v>
      </c>
      <c r="N3" s="5">
        <v>209</v>
      </c>
      <c r="O3" s="5">
        <v>18</v>
      </c>
      <c r="P3" s="4" t="s">
        <v>11</v>
      </c>
      <c r="Q3" s="8" t="s">
        <v>12</v>
      </c>
      <c r="R3" s="4" t="s">
        <v>13</v>
      </c>
      <c r="S3" s="4"/>
      <c r="T3"/>
      <c r="U3" s="23"/>
      <c r="X3" s="3"/>
    </row>
    <row r="4" spans="1:24" ht="15.6" x14ac:dyDescent="0.3">
      <c r="A4" s="4">
        <v>3</v>
      </c>
      <c r="B4" s="5">
        <v>7636477</v>
      </c>
      <c r="C4" s="4" t="s">
        <v>14</v>
      </c>
      <c r="D4" s="4" t="s">
        <v>15</v>
      </c>
      <c r="E4" s="4" t="s">
        <v>16</v>
      </c>
      <c r="F4" s="4" t="s">
        <v>2940</v>
      </c>
      <c r="G4" s="6">
        <v>3.6</v>
      </c>
      <c r="H4" s="7">
        <v>45596.574444444443</v>
      </c>
      <c r="I4" s="7" t="str">
        <f>TEXT(multilingual_mobile_app_reviews_2025[[#This Row],[Review_date]],"dd-mm-yyyy")</f>
        <v>31-10-2024</v>
      </c>
      <c r="J4" s="7" t="str">
        <f>TEXT(multilingual_mobile_app_reviews_2025[[#This Row],[Review_date]],"YYYY")</f>
        <v>2024</v>
      </c>
      <c r="K4" s="7" t="str">
        <f>TEXT(multilingual_mobile_app_reviews_2025[[#This Row],[Review_date]],"MMMM")</f>
        <v>October</v>
      </c>
      <c r="L4" s="4" t="b">
        <v>1</v>
      </c>
      <c r="M4" s="4" t="s">
        <v>10</v>
      </c>
      <c r="N4" s="5">
        <v>163</v>
      </c>
      <c r="O4" s="5">
        <v>67</v>
      </c>
      <c r="P4" s="4" t="s">
        <v>17</v>
      </c>
      <c r="Q4" s="8" t="s">
        <v>12</v>
      </c>
      <c r="R4" s="4" t="s">
        <v>18</v>
      </c>
      <c r="S4" s="4"/>
      <c r="T4"/>
      <c r="U4" s="23"/>
    </row>
    <row r="5" spans="1:24" ht="15.6" x14ac:dyDescent="0.3">
      <c r="A5" s="4">
        <v>4</v>
      </c>
      <c r="B5" s="5">
        <v>209031</v>
      </c>
      <c r="C5" s="4" t="s">
        <v>19</v>
      </c>
      <c r="D5" s="4" t="s">
        <v>20</v>
      </c>
      <c r="E5" s="4" t="s">
        <v>21</v>
      </c>
      <c r="F5" s="4" t="s">
        <v>2956</v>
      </c>
      <c r="G5" s="6">
        <v>3.8</v>
      </c>
      <c r="H5" s="7">
        <v>45728.261365740742</v>
      </c>
      <c r="I5" s="7" t="str">
        <f>TEXT(multilingual_mobile_app_reviews_2025[[#This Row],[Review_date]],"dd-mm-yyyy")</f>
        <v>12-03-2025</v>
      </c>
      <c r="J5" s="7" t="str">
        <f>TEXT(multilingual_mobile_app_reviews_2025[[#This Row],[Review_date]],"YYYY")</f>
        <v>2025</v>
      </c>
      <c r="K5" s="7" t="str">
        <f>TEXT(multilingual_mobile_app_reviews_2025[[#This Row],[Review_date]],"MMMM")</f>
        <v>March</v>
      </c>
      <c r="L5" s="4" t="b">
        <v>1</v>
      </c>
      <c r="M5" s="4" t="s">
        <v>22</v>
      </c>
      <c r="N5" s="5">
        <v>664</v>
      </c>
      <c r="O5" s="5">
        <v>66</v>
      </c>
      <c r="P5" s="4" t="s">
        <v>23</v>
      </c>
      <c r="Q5" s="8" t="s">
        <v>5</v>
      </c>
      <c r="R5" s="4" t="s">
        <v>24</v>
      </c>
      <c r="S5" s="4"/>
      <c r="T5"/>
      <c r="U5" s="23"/>
    </row>
    <row r="6" spans="1:24" ht="15.6" x14ac:dyDescent="0.3">
      <c r="A6" s="4">
        <v>5</v>
      </c>
      <c r="B6" s="5">
        <v>7190293</v>
      </c>
      <c r="C6" s="4" t="s">
        <v>25</v>
      </c>
      <c r="D6" s="4" t="s">
        <v>26</v>
      </c>
      <c r="E6" s="4" t="s">
        <v>27</v>
      </c>
      <c r="F6" s="4" t="s">
        <v>2961</v>
      </c>
      <c r="G6" s="6">
        <v>3.2</v>
      </c>
      <c r="H6" s="7">
        <v>45403.158645833333</v>
      </c>
      <c r="I6" s="7" t="str">
        <f>TEXT(multilingual_mobile_app_reviews_2025[[#This Row],[Review_date]],"dd-mm-yyyy")</f>
        <v>21-04-2024</v>
      </c>
      <c r="J6" s="7" t="str">
        <f>TEXT(multilingual_mobile_app_reviews_2025[[#This Row],[Review_date]],"YYYY")</f>
        <v>2024</v>
      </c>
      <c r="K6" s="7" t="str">
        <f>TEXT(multilingual_mobile_app_reviews_2025[[#This Row],[Review_date]],"MMMM")</f>
        <v>April</v>
      </c>
      <c r="L6" s="4" t="b">
        <v>1</v>
      </c>
      <c r="M6" s="4" t="s">
        <v>10</v>
      </c>
      <c r="N6" s="5">
        <v>1197</v>
      </c>
      <c r="O6" s="5">
        <v>40</v>
      </c>
      <c r="P6" s="4" t="s">
        <v>28</v>
      </c>
      <c r="Q6" s="8" t="s">
        <v>29</v>
      </c>
      <c r="R6" s="4" t="s">
        <v>30</v>
      </c>
      <c r="S6" s="4"/>
      <c r="T6" s="1" t="s">
        <v>2965</v>
      </c>
      <c r="U6" s="22">
        <f>COUNTBLANK(multilingual_mobile_app_reviews_2025[[#All],[Review_id]])</f>
        <v>0</v>
      </c>
    </row>
    <row r="7" spans="1:24" ht="15.6" x14ac:dyDescent="0.3">
      <c r="A7" s="4">
        <v>6</v>
      </c>
      <c r="B7" s="5">
        <v>2708513</v>
      </c>
      <c r="C7" s="4" t="s">
        <v>14</v>
      </c>
      <c r="D7" s="4" t="s">
        <v>31</v>
      </c>
      <c r="E7" s="4" t="s">
        <v>32</v>
      </c>
      <c r="F7" s="4" t="s">
        <v>2955</v>
      </c>
      <c r="G7" s="6">
        <v>5</v>
      </c>
      <c r="H7" s="7">
        <v>45306.117395833331</v>
      </c>
      <c r="I7" s="7" t="str">
        <f>TEXT(multilingual_mobile_app_reviews_2025[[#This Row],[Review_date]],"dd-mm-yyyy")</f>
        <v>15-01-2024</v>
      </c>
      <c r="J7" s="7" t="str">
        <f>TEXT(multilingual_mobile_app_reviews_2025[[#This Row],[Review_date]],"YYYY")</f>
        <v>2024</v>
      </c>
      <c r="K7" s="7" t="str">
        <f>TEXT(multilingual_mobile_app_reviews_2025[[#This Row],[Review_date]],"MMMM")</f>
        <v>January</v>
      </c>
      <c r="L7" s="4" t="b">
        <v>0</v>
      </c>
      <c r="M7" s="4" t="s">
        <v>33</v>
      </c>
      <c r="N7" s="5">
        <v>514</v>
      </c>
      <c r="O7" s="5">
        <v>75</v>
      </c>
      <c r="P7" s="4" t="s">
        <v>34</v>
      </c>
      <c r="Q7" s="8" t="s">
        <v>12</v>
      </c>
      <c r="R7" s="4" t="s">
        <v>35</v>
      </c>
      <c r="S7" s="4"/>
      <c r="T7" t="s">
        <v>2966</v>
      </c>
      <c r="U7" s="23">
        <f>COUNTBLANK(multilingual_mobile_app_reviews_2025[[#All],[User_id]])</f>
        <v>0</v>
      </c>
    </row>
    <row r="8" spans="1:24" ht="15.6" x14ac:dyDescent="0.3">
      <c r="A8" s="4">
        <v>7</v>
      </c>
      <c r="B8" s="5">
        <v>5747119</v>
      </c>
      <c r="C8" s="4" t="s">
        <v>36</v>
      </c>
      <c r="D8" s="4" t="s">
        <v>1</v>
      </c>
      <c r="E8" s="4" t="s">
        <v>37</v>
      </c>
      <c r="F8" s="4" t="s">
        <v>2948</v>
      </c>
      <c r="G8" s="6">
        <v>4</v>
      </c>
      <c r="H8" s="7">
        <v>45432.894606481481</v>
      </c>
      <c r="I8" s="7" t="str">
        <f>TEXT(multilingual_mobile_app_reviews_2025[[#This Row],[Review_date]],"dd-mm-yyyy")</f>
        <v>20-05-2024</v>
      </c>
      <c r="J8" s="7" t="str">
        <f>TEXT(multilingual_mobile_app_reviews_2025[[#This Row],[Review_date]],"YYYY")</f>
        <v>2024</v>
      </c>
      <c r="K8" s="7" t="str">
        <f>TEXT(multilingual_mobile_app_reviews_2025[[#This Row],[Review_date]],"MMMM")</f>
        <v>May</v>
      </c>
      <c r="L8" s="4" t="b">
        <v>1</v>
      </c>
      <c r="M8" s="4" t="s">
        <v>33</v>
      </c>
      <c r="N8" s="5">
        <v>217</v>
      </c>
      <c r="O8" s="5">
        <v>68</v>
      </c>
      <c r="P8" s="4" t="s">
        <v>38</v>
      </c>
      <c r="Q8" s="8" t="s">
        <v>39</v>
      </c>
      <c r="R8" s="4" t="s">
        <v>40</v>
      </c>
      <c r="S8" s="4"/>
      <c r="T8" t="s">
        <v>2967</v>
      </c>
      <c r="U8" s="23">
        <f>COUNTBLANK(multilingual_mobile_app_reviews_2025[[#All],[App_name]])</f>
        <v>0</v>
      </c>
    </row>
    <row r="9" spans="1:24" ht="15.6" x14ac:dyDescent="0.3">
      <c r="A9" s="4">
        <v>8</v>
      </c>
      <c r="B9" s="5">
        <v>9361704</v>
      </c>
      <c r="C9" s="4" t="s">
        <v>41</v>
      </c>
      <c r="D9" s="4" t="s">
        <v>42</v>
      </c>
      <c r="E9" s="4" t="s">
        <v>43</v>
      </c>
      <c r="F9" s="4" t="s">
        <v>2953</v>
      </c>
      <c r="G9" s="6">
        <v>1.2</v>
      </c>
      <c r="H9" s="7">
        <v>45803.223171296297</v>
      </c>
      <c r="I9" s="7" t="str">
        <f>TEXT(multilingual_mobile_app_reviews_2025[[#This Row],[Review_date]],"dd-mm-yyyy")</f>
        <v>26-05-2025</v>
      </c>
      <c r="J9" s="7" t="str">
        <f>TEXT(multilingual_mobile_app_reviews_2025[[#This Row],[Review_date]],"YYYY")</f>
        <v>2025</v>
      </c>
      <c r="K9" s="7" t="str">
        <f>TEXT(multilingual_mobile_app_reviews_2025[[#This Row],[Review_date]],"MMMM")</f>
        <v>May</v>
      </c>
      <c r="L9" s="4" t="b">
        <v>1</v>
      </c>
      <c r="M9" s="4" t="s">
        <v>33</v>
      </c>
      <c r="N9" s="5">
        <v>161</v>
      </c>
      <c r="O9" s="5">
        <v>18</v>
      </c>
      <c r="P9" s="4" t="s">
        <v>44</v>
      </c>
      <c r="Q9" s="8" t="s">
        <v>29</v>
      </c>
      <c r="R9" s="4" t="s">
        <v>45</v>
      </c>
      <c r="S9" s="4"/>
      <c r="T9" t="s">
        <v>2968</v>
      </c>
      <c r="U9" s="23">
        <f>COUNTBLANK(multilingual_mobile_app_reviews_2025[App_category])</f>
        <v>0</v>
      </c>
    </row>
    <row r="10" spans="1:24" ht="15.6" x14ac:dyDescent="0.3">
      <c r="A10" s="4">
        <v>9</v>
      </c>
      <c r="B10" s="5">
        <v>1794522</v>
      </c>
      <c r="C10" s="4" t="s">
        <v>46</v>
      </c>
      <c r="D10" s="4" t="s">
        <v>47</v>
      </c>
      <c r="E10" s="4" t="s">
        <v>48</v>
      </c>
      <c r="F10" s="4" t="s">
        <v>2958</v>
      </c>
      <c r="G10" s="6">
        <v>1.8</v>
      </c>
      <c r="H10" s="7">
        <v>45182.326550925929</v>
      </c>
      <c r="I10" s="7" t="str">
        <f>TEXT(multilingual_mobile_app_reviews_2025[[#This Row],[Review_date]],"dd-mm-yyyy")</f>
        <v>13-09-2023</v>
      </c>
      <c r="J10" s="7" t="str">
        <f>TEXT(multilingual_mobile_app_reviews_2025[[#This Row],[Review_date]],"YYYY")</f>
        <v>2023</v>
      </c>
      <c r="K10" s="7" t="str">
        <f>TEXT(multilingual_mobile_app_reviews_2025[[#This Row],[Review_date]],"MMMM")</f>
        <v>September</v>
      </c>
      <c r="L10" s="4" t="b">
        <v>1</v>
      </c>
      <c r="M10" s="4" t="s">
        <v>10</v>
      </c>
      <c r="N10" s="5">
        <v>817</v>
      </c>
      <c r="O10" s="5">
        <v>55</v>
      </c>
      <c r="P10" s="4" t="s">
        <v>38</v>
      </c>
      <c r="Q10" s="8" t="s">
        <v>39</v>
      </c>
      <c r="R10" s="4" t="s">
        <v>49</v>
      </c>
      <c r="S10" s="4"/>
      <c r="T10" t="s">
        <v>2927</v>
      </c>
      <c r="U10" s="23">
        <f>COUNTBLANK(E3:E2515)</f>
        <v>0</v>
      </c>
      <c r="W10" s="24" t="s">
        <v>2964</v>
      </c>
      <c r="X10" s="3">
        <f>AVERAGE(multilingual_mobile_app_reviews_2025[Rating])</f>
        <v>3.0207239459029402</v>
      </c>
    </row>
    <row r="11" spans="1:24" ht="15.6" x14ac:dyDescent="0.3">
      <c r="A11" s="4">
        <v>10</v>
      </c>
      <c r="B11" s="5">
        <v>638552</v>
      </c>
      <c r="C11" s="4" t="s">
        <v>50</v>
      </c>
      <c r="D11" s="4" t="s">
        <v>51</v>
      </c>
      <c r="E11" s="4" t="s">
        <v>52</v>
      </c>
      <c r="F11" s="4" t="s">
        <v>2941</v>
      </c>
      <c r="G11" s="6">
        <v>4.5999999999999996</v>
      </c>
      <c r="H11" s="7">
        <v>45526.642638888887</v>
      </c>
      <c r="I11" s="7" t="str">
        <f>TEXT(multilingual_mobile_app_reviews_2025[[#This Row],[Review_date]],"dd-mm-yyyy")</f>
        <v>22-08-2024</v>
      </c>
      <c r="J11" s="7" t="str">
        <f>TEXT(multilingual_mobile_app_reviews_2025[[#This Row],[Review_date]],"YYYY")</f>
        <v>2024</v>
      </c>
      <c r="K11" s="7" t="str">
        <f>TEXT(multilingual_mobile_app_reviews_2025[[#This Row],[Review_date]],"MMMM")</f>
        <v>August</v>
      </c>
      <c r="L11" s="4" t="b">
        <v>1</v>
      </c>
      <c r="M11" s="4" t="s">
        <v>10</v>
      </c>
      <c r="N11" s="5">
        <v>145</v>
      </c>
      <c r="O11" s="5">
        <v>45</v>
      </c>
      <c r="P11" s="4" t="s">
        <v>17</v>
      </c>
      <c r="Q11" s="8" t="s">
        <v>39</v>
      </c>
      <c r="R11" s="4" t="s">
        <v>53</v>
      </c>
      <c r="S11" s="4"/>
      <c r="T11" t="s">
        <v>2928</v>
      </c>
      <c r="U11" s="23">
        <f>COUNTBLANK(multilingual_mobile_app_reviews_2025[Review_language])</f>
        <v>0</v>
      </c>
    </row>
    <row r="12" spans="1:24" ht="15.6" x14ac:dyDescent="0.3">
      <c r="A12" s="4">
        <v>11</v>
      </c>
      <c r="B12" s="5">
        <v>7798256</v>
      </c>
      <c r="C12" s="4" t="s">
        <v>54</v>
      </c>
      <c r="D12" s="4" t="s">
        <v>8</v>
      </c>
      <c r="E12" s="4" t="s">
        <v>32</v>
      </c>
      <c r="F12" s="4" t="s">
        <v>2943</v>
      </c>
      <c r="G12" s="6">
        <v>2.7</v>
      </c>
      <c r="H12" s="7">
        <v>45249.849907407406</v>
      </c>
      <c r="I12" s="7" t="str">
        <f>TEXT(multilingual_mobile_app_reviews_2025[[#This Row],[Review_date]],"dd-mm-yyyy")</f>
        <v>19-11-2023</v>
      </c>
      <c r="J12" s="7" t="str">
        <f>TEXT(multilingual_mobile_app_reviews_2025[[#This Row],[Review_date]],"YYYY")</f>
        <v>2023</v>
      </c>
      <c r="K12" s="7" t="str">
        <f>TEXT(multilingual_mobile_app_reviews_2025[[#This Row],[Review_date]],"MMMM")</f>
        <v>November</v>
      </c>
      <c r="L12" s="4" t="b">
        <v>1</v>
      </c>
      <c r="M12" s="4" t="s">
        <v>3</v>
      </c>
      <c r="N12" s="5">
        <v>110</v>
      </c>
      <c r="O12" s="5">
        <v>56</v>
      </c>
      <c r="P12" s="4" t="s">
        <v>38</v>
      </c>
      <c r="Q12" s="8" t="s">
        <v>12</v>
      </c>
      <c r="R12" s="4" t="s">
        <v>55</v>
      </c>
      <c r="S12" s="4"/>
      <c r="T12" t="s">
        <v>2929</v>
      </c>
      <c r="U12" s="23">
        <f>COUNTBLANK(multilingual_mobile_app_reviews_2025[Rating])</f>
        <v>0</v>
      </c>
    </row>
    <row r="13" spans="1:24" ht="15.6" x14ac:dyDescent="0.3">
      <c r="A13" s="4">
        <v>12</v>
      </c>
      <c r="B13" s="5">
        <v>2442608</v>
      </c>
      <c r="C13" s="4" t="s">
        <v>56</v>
      </c>
      <c r="D13" s="4" t="s">
        <v>57</v>
      </c>
      <c r="E13" s="4" t="s">
        <v>16</v>
      </c>
      <c r="F13" s="4" t="s">
        <v>2946</v>
      </c>
      <c r="G13" s="6">
        <v>4.2</v>
      </c>
      <c r="H13" s="7">
        <v>45330.439502314817</v>
      </c>
      <c r="I13" s="7" t="str">
        <f>TEXT(multilingual_mobile_app_reviews_2025[[#This Row],[Review_date]],"dd-mm-yyyy")</f>
        <v>08-02-2024</v>
      </c>
      <c r="J13" s="7" t="str">
        <f>TEXT(multilingual_mobile_app_reviews_2025[[#This Row],[Review_date]],"YYYY")</f>
        <v>2024</v>
      </c>
      <c r="K13" s="7" t="str">
        <f>TEXT(multilingual_mobile_app_reviews_2025[[#This Row],[Review_date]],"MMMM")</f>
        <v>February</v>
      </c>
      <c r="L13" s="4" t="b">
        <v>0</v>
      </c>
      <c r="M13" s="4" t="s">
        <v>33</v>
      </c>
      <c r="N13" s="5">
        <v>200</v>
      </c>
      <c r="O13" s="5">
        <v>16</v>
      </c>
      <c r="P13" s="4" t="s">
        <v>38</v>
      </c>
      <c r="Q13" s="8" t="s">
        <v>2963</v>
      </c>
      <c r="R13" s="4" t="s">
        <v>58</v>
      </c>
      <c r="S13" s="4"/>
      <c r="T13" t="s">
        <v>2930</v>
      </c>
      <c r="U13" s="23">
        <f>COUNTBLANK(multilingual_mobile_app_reviews_2025[Review_date])</f>
        <v>0</v>
      </c>
    </row>
    <row r="14" spans="1:24" ht="15.6" x14ac:dyDescent="0.3">
      <c r="A14" s="4">
        <v>13</v>
      </c>
      <c r="B14" s="5">
        <v>9518194</v>
      </c>
      <c r="C14" s="4" t="s">
        <v>59</v>
      </c>
      <c r="D14" s="4" t="s">
        <v>60</v>
      </c>
      <c r="E14" s="4" t="s">
        <v>32</v>
      </c>
      <c r="F14" s="4" t="s">
        <v>2944</v>
      </c>
      <c r="G14" s="6">
        <v>4.7</v>
      </c>
      <c r="H14" s="7">
        <v>45557.514293981483</v>
      </c>
      <c r="I14" s="7" t="str">
        <f>TEXT(multilingual_mobile_app_reviews_2025[[#This Row],[Review_date]],"dd-mm-yyyy")</f>
        <v>22-09-2024</v>
      </c>
      <c r="J14" s="7" t="str">
        <f>TEXT(multilingual_mobile_app_reviews_2025[[#This Row],[Review_date]],"YYYY")</f>
        <v>2024</v>
      </c>
      <c r="K14" s="7" t="str">
        <f>TEXT(multilingual_mobile_app_reviews_2025[[#This Row],[Review_date]],"MMMM")</f>
        <v>September</v>
      </c>
      <c r="L14" s="4" t="b">
        <v>1</v>
      </c>
      <c r="M14" s="4" t="s">
        <v>3</v>
      </c>
      <c r="N14" s="5">
        <v>584</v>
      </c>
      <c r="O14" s="5">
        <v>40</v>
      </c>
      <c r="P14" s="4" t="s">
        <v>61</v>
      </c>
      <c r="Q14" s="8" t="s">
        <v>2963</v>
      </c>
      <c r="R14" s="4" t="s">
        <v>62</v>
      </c>
      <c r="S14" s="4"/>
      <c r="T14" t="s">
        <v>2931</v>
      </c>
      <c r="U14" s="23">
        <f>COUNTBLANK(multilingual_mobile_app_reviews_2025[Verified_purchase])</f>
        <v>0</v>
      </c>
    </row>
    <row r="15" spans="1:24" ht="15.6" x14ac:dyDescent="0.3">
      <c r="A15" s="4">
        <v>14</v>
      </c>
      <c r="B15" s="5">
        <v>9907725</v>
      </c>
      <c r="C15" s="4" t="s">
        <v>56</v>
      </c>
      <c r="D15" s="4" t="s">
        <v>63</v>
      </c>
      <c r="E15" s="4" t="s">
        <v>64</v>
      </c>
      <c r="F15" s="4" t="s">
        <v>2952</v>
      </c>
      <c r="G15" s="6">
        <v>1.2</v>
      </c>
      <c r="H15" s="7">
        <v>45471.652650462966</v>
      </c>
      <c r="I15" s="7" t="str">
        <f>TEXT(multilingual_mobile_app_reviews_2025[[#This Row],[Review_date]],"dd-mm-yyyy")</f>
        <v>28-06-2024</v>
      </c>
      <c r="J15" s="7" t="str">
        <f>TEXT(multilingual_mobile_app_reviews_2025[[#This Row],[Review_date]],"YYYY")</f>
        <v>2024</v>
      </c>
      <c r="K15" s="7" t="str">
        <f>TEXT(multilingual_mobile_app_reviews_2025[[#This Row],[Review_date]],"MMMM")</f>
        <v>June</v>
      </c>
      <c r="L15" s="4" t="b">
        <v>1</v>
      </c>
      <c r="M15" s="4" t="s">
        <v>33</v>
      </c>
      <c r="N15" s="5">
        <v>164</v>
      </c>
      <c r="O15" s="5">
        <v>67</v>
      </c>
      <c r="P15" s="4" t="s">
        <v>65</v>
      </c>
      <c r="Q15" s="8" t="s">
        <v>12</v>
      </c>
      <c r="R15" s="4" t="s">
        <v>66</v>
      </c>
      <c r="S15" s="4"/>
      <c r="T15" t="s">
        <v>2932</v>
      </c>
      <c r="U15" s="23">
        <f>COUNTBLANK(multilingual_mobile_app_reviews_2025[Device_type])</f>
        <v>0</v>
      </c>
    </row>
    <row r="16" spans="1:24" ht="15.6" x14ac:dyDescent="0.3">
      <c r="A16" s="4">
        <v>15</v>
      </c>
      <c r="B16" s="5">
        <v>6800828</v>
      </c>
      <c r="C16" s="4" t="s">
        <v>67</v>
      </c>
      <c r="D16" s="4" t="s">
        <v>63</v>
      </c>
      <c r="E16" s="4" t="s">
        <v>21</v>
      </c>
      <c r="F16" s="4" t="s">
        <v>2959</v>
      </c>
      <c r="G16" s="6">
        <v>3.7</v>
      </c>
      <c r="H16" s="7">
        <v>45420.049212962964</v>
      </c>
      <c r="I16" s="7" t="str">
        <f>TEXT(multilingual_mobile_app_reviews_2025[[#This Row],[Review_date]],"dd-mm-yyyy")</f>
        <v>08-05-2024</v>
      </c>
      <c r="J16" s="7" t="str">
        <f>TEXT(multilingual_mobile_app_reviews_2025[[#This Row],[Review_date]],"YYYY")</f>
        <v>2024</v>
      </c>
      <c r="K16" s="7" t="str">
        <f>TEXT(multilingual_mobile_app_reviews_2025[[#This Row],[Review_date]],"MMMM")</f>
        <v>May</v>
      </c>
      <c r="L16" s="4" t="b">
        <v>1</v>
      </c>
      <c r="M16" s="4" t="s">
        <v>10</v>
      </c>
      <c r="N16" s="5">
        <v>488</v>
      </c>
      <c r="O16" s="5">
        <v>29</v>
      </c>
      <c r="P16" s="4" t="s">
        <v>11</v>
      </c>
      <c r="Q16" s="8" t="s">
        <v>5</v>
      </c>
      <c r="R16" s="4" t="s">
        <v>68</v>
      </c>
      <c r="S16" s="4"/>
      <c r="T16" t="s">
        <v>2933</v>
      </c>
      <c r="U16" s="23">
        <f>COUNTBLANK(multilingual_mobile_app_reviews_2025[Num_helpful_votes])</f>
        <v>0</v>
      </c>
    </row>
    <row r="17" spans="1:21" ht="15.6" x14ac:dyDescent="0.3">
      <c r="A17" s="4">
        <v>16</v>
      </c>
      <c r="B17" s="5">
        <v>2420821</v>
      </c>
      <c r="C17" s="4" t="s">
        <v>69</v>
      </c>
      <c r="D17" s="4" t="s">
        <v>1</v>
      </c>
      <c r="E17" s="4" t="s">
        <v>9</v>
      </c>
      <c r="F17" s="4" t="s">
        <v>2941</v>
      </c>
      <c r="G17" s="6">
        <v>4.5</v>
      </c>
      <c r="H17" s="7">
        <v>45534.639027777775</v>
      </c>
      <c r="I17" s="7" t="str">
        <f>TEXT(multilingual_mobile_app_reviews_2025[[#This Row],[Review_date]],"dd-mm-yyyy")</f>
        <v>30-08-2024</v>
      </c>
      <c r="J17" s="7" t="str">
        <f>TEXT(multilingual_mobile_app_reviews_2025[[#This Row],[Review_date]],"YYYY")</f>
        <v>2024</v>
      </c>
      <c r="K17" s="7" t="str">
        <f>TEXT(multilingual_mobile_app_reviews_2025[[#This Row],[Review_date]],"MMMM")</f>
        <v>August</v>
      </c>
      <c r="L17" s="4" t="b">
        <v>1</v>
      </c>
      <c r="M17" s="4" t="s">
        <v>10</v>
      </c>
      <c r="N17" s="5">
        <v>583</v>
      </c>
      <c r="O17" s="5">
        <v>23</v>
      </c>
      <c r="P17" s="4" t="s">
        <v>70</v>
      </c>
      <c r="Q17" s="8" t="s">
        <v>2963</v>
      </c>
      <c r="R17" s="4" t="s">
        <v>2963</v>
      </c>
      <c r="S17" s="4"/>
      <c r="T17" t="s">
        <v>2934</v>
      </c>
      <c r="U17" s="23">
        <f>COUNTBLANK(multilingual_mobile_app_reviews_2025[User_age])</f>
        <v>0</v>
      </c>
    </row>
    <row r="18" spans="1:21" ht="15.6" x14ac:dyDescent="0.3">
      <c r="A18" s="4">
        <v>17</v>
      </c>
      <c r="B18" s="5">
        <v>1625206</v>
      </c>
      <c r="C18" s="4" t="s">
        <v>46</v>
      </c>
      <c r="D18" s="4" t="s">
        <v>71</v>
      </c>
      <c r="E18" s="4" t="s">
        <v>72</v>
      </c>
      <c r="F18" s="4" t="s">
        <v>2951</v>
      </c>
      <c r="G18" s="6">
        <v>2.1</v>
      </c>
      <c r="H18" s="7">
        <v>45722.10229166667</v>
      </c>
      <c r="I18" s="7" t="str">
        <f>TEXT(multilingual_mobile_app_reviews_2025[[#This Row],[Review_date]],"dd-mm-yyyy")</f>
        <v>06-03-2025</v>
      </c>
      <c r="J18" s="7" t="str">
        <f>TEXT(multilingual_mobile_app_reviews_2025[[#This Row],[Review_date]],"YYYY")</f>
        <v>2025</v>
      </c>
      <c r="K18" s="7" t="str">
        <f>TEXT(multilingual_mobile_app_reviews_2025[[#This Row],[Review_date]],"MMMM")</f>
        <v>March</v>
      </c>
      <c r="L18" s="4" t="b">
        <v>1</v>
      </c>
      <c r="M18" s="4" t="s">
        <v>33</v>
      </c>
      <c r="N18" s="5">
        <v>431</v>
      </c>
      <c r="O18" s="5">
        <v>58</v>
      </c>
      <c r="P18" s="4" t="s">
        <v>73</v>
      </c>
      <c r="Q18" s="8" t="s">
        <v>5</v>
      </c>
      <c r="R18" s="4" t="s">
        <v>74</v>
      </c>
      <c r="S18" s="4"/>
      <c r="T18" t="s">
        <v>2935</v>
      </c>
      <c r="U18" s="23">
        <f>COUNTBLANK(multilingual_mobile_app_reviews_2025[User_country])</f>
        <v>0</v>
      </c>
    </row>
    <row r="19" spans="1:21" ht="15.6" x14ac:dyDescent="0.3">
      <c r="A19" s="4">
        <v>18</v>
      </c>
      <c r="B19" s="5">
        <v>5807197</v>
      </c>
      <c r="C19" s="4" t="s">
        <v>75</v>
      </c>
      <c r="D19" s="4" t="s">
        <v>20</v>
      </c>
      <c r="E19" s="4" t="s">
        <v>76</v>
      </c>
      <c r="F19" s="4" t="s">
        <v>2956</v>
      </c>
      <c r="G19" s="6">
        <v>4.9000000000000004</v>
      </c>
      <c r="H19" s="7">
        <v>45225.5233912037</v>
      </c>
      <c r="I19" s="7" t="str">
        <f>TEXT(multilingual_mobile_app_reviews_2025[[#This Row],[Review_date]],"dd-mm-yyyy")</f>
        <v>26-10-2023</v>
      </c>
      <c r="J19" s="7" t="str">
        <f>TEXT(multilingual_mobile_app_reviews_2025[[#This Row],[Review_date]],"YYYY")</f>
        <v>2023</v>
      </c>
      <c r="K19" s="7" t="str">
        <f>TEXT(multilingual_mobile_app_reviews_2025[[#This Row],[Review_date]],"MMMM")</f>
        <v>October</v>
      </c>
      <c r="L19" s="4" t="b">
        <v>1</v>
      </c>
      <c r="M19" s="4" t="s">
        <v>22</v>
      </c>
      <c r="N19" s="5">
        <v>904</v>
      </c>
      <c r="O19" s="5">
        <v>48</v>
      </c>
      <c r="P19" s="4" t="s">
        <v>61</v>
      </c>
      <c r="Q19" s="8" t="s">
        <v>29</v>
      </c>
      <c r="R19" s="4" t="s">
        <v>77</v>
      </c>
      <c r="S19" s="4"/>
      <c r="T19" t="s">
        <v>2936</v>
      </c>
      <c r="U19" s="23">
        <f>COUNTBLANK(multilingual_mobile_app_reviews_2025[User_gender])</f>
        <v>0</v>
      </c>
    </row>
    <row r="20" spans="1:21" ht="15.6" x14ac:dyDescent="0.3">
      <c r="A20" s="4">
        <v>19</v>
      </c>
      <c r="B20" s="5">
        <v>7394150</v>
      </c>
      <c r="C20" s="4" t="s">
        <v>78</v>
      </c>
      <c r="D20" s="4" t="s">
        <v>79</v>
      </c>
      <c r="E20" s="4" t="s">
        <v>9</v>
      </c>
      <c r="F20" s="4" t="s">
        <v>2940</v>
      </c>
      <c r="G20" s="6">
        <v>4.5999999999999996</v>
      </c>
      <c r="H20" s="7">
        <v>45261.723020833335</v>
      </c>
      <c r="I20" s="7" t="str">
        <f>TEXT(multilingual_mobile_app_reviews_2025[[#This Row],[Review_date]],"dd-mm-yyyy")</f>
        <v>01-12-2023</v>
      </c>
      <c r="J20" s="7" t="str">
        <f>TEXT(multilingual_mobile_app_reviews_2025[[#This Row],[Review_date]],"YYYY")</f>
        <v>2023</v>
      </c>
      <c r="K20" s="7" t="str">
        <f>TEXT(multilingual_mobile_app_reviews_2025[[#This Row],[Review_date]],"MMMM")</f>
        <v>December</v>
      </c>
      <c r="L20" s="4" t="b">
        <v>1</v>
      </c>
      <c r="M20" s="4" t="s">
        <v>22</v>
      </c>
      <c r="N20" s="5">
        <v>511</v>
      </c>
      <c r="O20" s="5">
        <v>55</v>
      </c>
      <c r="P20" s="4" t="s">
        <v>80</v>
      </c>
      <c r="Q20" s="8" t="s">
        <v>39</v>
      </c>
      <c r="R20" s="4" t="s">
        <v>81</v>
      </c>
      <c r="S20" s="4"/>
      <c r="T20" t="s">
        <v>2937</v>
      </c>
      <c r="U20" s="23">
        <f>COUNTBLANK(multilingual_mobile_app_reviews_2025[App_version])</f>
        <v>0</v>
      </c>
    </row>
    <row r="21" spans="1:21" ht="15.6" x14ac:dyDescent="0.3">
      <c r="A21" s="4">
        <v>20</v>
      </c>
      <c r="B21" s="5">
        <v>154447</v>
      </c>
      <c r="C21" s="4" t="s">
        <v>67</v>
      </c>
      <c r="D21" s="4" t="s">
        <v>47</v>
      </c>
      <c r="E21" s="4" t="s">
        <v>82</v>
      </c>
      <c r="F21" s="4" t="s">
        <v>2957</v>
      </c>
      <c r="G21" s="6">
        <v>4.5</v>
      </c>
      <c r="H21" s="7">
        <v>45390.657708333332</v>
      </c>
      <c r="I21" s="7" t="str">
        <f>TEXT(multilingual_mobile_app_reviews_2025[[#This Row],[Review_date]],"dd-mm-yyyy")</f>
        <v>08-04-2024</v>
      </c>
      <c r="J21" s="7" t="str">
        <f>TEXT(multilingual_mobile_app_reviews_2025[[#This Row],[Review_date]],"YYYY")</f>
        <v>2024</v>
      </c>
      <c r="K21" s="7" t="str">
        <f>TEXT(multilingual_mobile_app_reviews_2025[[#This Row],[Review_date]],"MMMM")</f>
        <v>April</v>
      </c>
      <c r="L21" s="4" t="b">
        <v>1</v>
      </c>
      <c r="M21" s="4" t="s">
        <v>22</v>
      </c>
      <c r="N21" s="5">
        <v>546</v>
      </c>
      <c r="O21" s="5">
        <v>23</v>
      </c>
      <c r="P21" s="4" t="s">
        <v>61</v>
      </c>
      <c r="Q21" s="8" t="s">
        <v>12</v>
      </c>
      <c r="R21" s="4" t="s">
        <v>83</v>
      </c>
      <c r="S21" s="4"/>
      <c r="T21"/>
      <c r="U21" s="23"/>
    </row>
    <row r="22" spans="1:21" ht="15.6" x14ac:dyDescent="0.3">
      <c r="A22" s="4">
        <v>21</v>
      </c>
      <c r="B22" s="5">
        <v>426765</v>
      </c>
      <c r="C22" s="4" t="s">
        <v>84</v>
      </c>
      <c r="D22" s="4" t="s">
        <v>71</v>
      </c>
      <c r="E22" s="4" t="s">
        <v>21</v>
      </c>
      <c r="F22" s="4" t="s">
        <v>2941</v>
      </c>
      <c r="G22" s="6">
        <v>4.9000000000000004</v>
      </c>
      <c r="H22" s="7">
        <v>45225.768483796295</v>
      </c>
      <c r="I22" s="7" t="str">
        <f>TEXT(multilingual_mobile_app_reviews_2025[[#This Row],[Review_date]],"dd-mm-yyyy")</f>
        <v>26-10-2023</v>
      </c>
      <c r="J22" s="7" t="str">
        <f>TEXT(multilingual_mobile_app_reviews_2025[[#This Row],[Review_date]],"YYYY")</f>
        <v>2023</v>
      </c>
      <c r="K22" s="7" t="str">
        <f>TEXT(multilingual_mobile_app_reviews_2025[[#This Row],[Review_date]],"MMMM")</f>
        <v>October</v>
      </c>
      <c r="L22" s="4" t="b">
        <v>1</v>
      </c>
      <c r="M22" s="4" t="s">
        <v>10</v>
      </c>
      <c r="N22" s="5">
        <v>719</v>
      </c>
      <c r="O22" s="5">
        <v>54</v>
      </c>
      <c r="P22" s="4" t="s">
        <v>85</v>
      </c>
      <c r="Q22" s="8" t="s">
        <v>2963</v>
      </c>
      <c r="R22" s="4" t="s">
        <v>86</v>
      </c>
      <c r="S22" s="4"/>
      <c r="T22"/>
      <c r="U22" s="23"/>
    </row>
    <row r="23" spans="1:21" ht="15.6" x14ac:dyDescent="0.3">
      <c r="A23" s="4">
        <v>22</v>
      </c>
      <c r="B23" s="5">
        <v>5259230</v>
      </c>
      <c r="C23" s="4" t="s">
        <v>87</v>
      </c>
      <c r="D23" s="4" t="s">
        <v>47</v>
      </c>
      <c r="E23" s="4" t="s">
        <v>9</v>
      </c>
      <c r="F23" s="4" t="s">
        <v>2945</v>
      </c>
      <c r="G23" s="6">
        <v>3.4</v>
      </c>
      <c r="H23" s="7">
        <v>45324.866365740738</v>
      </c>
      <c r="I23" s="7" t="str">
        <f>TEXT(multilingual_mobile_app_reviews_2025[[#This Row],[Review_date]],"dd-mm-yyyy")</f>
        <v>02-02-2024</v>
      </c>
      <c r="J23" s="7" t="str">
        <f>TEXT(multilingual_mobile_app_reviews_2025[[#This Row],[Review_date]],"YYYY")</f>
        <v>2024</v>
      </c>
      <c r="K23" s="7" t="str">
        <f>TEXT(multilingual_mobile_app_reviews_2025[[#This Row],[Review_date]],"MMMM")</f>
        <v>February</v>
      </c>
      <c r="L23" s="4" t="b">
        <v>1</v>
      </c>
      <c r="M23" s="4" t="s">
        <v>33</v>
      </c>
      <c r="N23" s="5">
        <v>236</v>
      </c>
      <c r="O23" s="5">
        <v>37</v>
      </c>
      <c r="P23" s="4" t="s">
        <v>2963</v>
      </c>
      <c r="Q23" s="8" t="s">
        <v>5</v>
      </c>
      <c r="R23" s="4" t="s">
        <v>88</v>
      </c>
      <c r="S23" s="4"/>
      <c r="T23"/>
      <c r="U23" s="23"/>
    </row>
    <row r="24" spans="1:21" ht="15.6" x14ac:dyDescent="0.3">
      <c r="A24" s="4">
        <v>23</v>
      </c>
      <c r="B24" s="5">
        <v>4141154</v>
      </c>
      <c r="C24" s="4" t="s">
        <v>89</v>
      </c>
      <c r="D24" s="4" t="s">
        <v>79</v>
      </c>
      <c r="E24" s="4" t="s">
        <v>16</v>
      </c>
      <c r="F24" s="4" t="s">
        <v>2961</v>
      </c>
      <c r="G24" s="6">
        <v>4.5999999999999996</v>
      </c>
      <c r="H24" s="7">
        <v>45820.84847222222</v>
      </c>
      <c r="I24" s="7" t="str">
        <f>TEXT(multilingual_mobile_app_reviews_2025[[#This Row],[Review_date]],"dd-mm-yyyy")</f>
        <v>12-06-2025</v>
      </c>
      <c r="J24" s="7" t="str">
        <f>TEXT(multilingual_mobile_app_reviews_2025[[#This Row],[Review_date]],"YYYY")</f>
        <v>2025</v>
      </c>
      <c r="K24" s="7" t="str">
        <f>TEXT(multilingual_mobile_app_reviews_2025[[#This Row],[Review_date]],"MMMM")</f>
        <v>June</v>
      </c>
      <c r="L24" s="4" t="b">
        <v>1</v>
      </c>
      <c r="M24" s="4" t="s">
        <v>33</v>
      </c>
      <c r="N24" s="5">
        <v>633</v>
      </c>
      <c r="O24" s="5">
        <v>55</v>
      </c>
      <c r="P24" s="4" t="s">
        <v>90</v>
      </c>
      <c r="Q24" s="8" t="s">
        <v>39</v>
      </c>
      <c r="R24" s="4" t="s">
        <v>91</v>
      </c>
      <c r="S24" s="4"/>
      <c r="T24"/>
      <c r="U24" s="23"/>
    </row>
    <row r="25" spans="1:21" ht="15.6" x14ac:dyDescent="0.3">
      <c r="A25" s="4">
        <v>24</v>
      </c>
      <c r="B25" s="5">
        <v>1421324</v>
      </c>
      <c r="C25" s="4" t="s">
        <v>92</v>
      </c>
      <c r="D25" s="4" t="s">
        <v>71</v>
      </c>
      <c r="E25" s="4" t="s">
        <v>93</v>
      </c>
      <c r="F25" s="4" t="s">
        <v>2955</v>
      </c>
      <c r="G25" s="6">
        <v>3.6</v>
      </c>
      <c r="H25" s="7">
        <v>45205.407256944447</v>
      </c>
      <c r="I25" s="7" t="str">
        <f>TEXT(multilingual_mobile_app_reviews_2025[[#This Row],[Review_date]],"dd-mm-yyyy")</f>
        <v>06-10-2023</v>
      </c>
      <c r="J25" s="7" t="str">
        <f>TEXT(multilingual_mobile_app_reviews_2025[[#This Row],[Review_date]],"YYYY")</f>
        <v>2023</v>
      </c>
      <c r="K25" s="7" t="str">
        <f>TEXT(multilingual_mobile_app_reviews_2025[[#This Row],[Review_date]],"MMMM")</f>
        <v>October</v>
      </c>
      <c r="L25" s="4" t="b">
        <v>0</v>
      </c>
      <c r="M25" s="4" t="s">
        <v>3</v>
      </c>
      <c r="N25" s="5">
        <v>904</v>
      </c>
      <c r="O25" s="5">
        <v>41</v>
      </c>
      <c r="P25" s="4" t="s">
        <v>94</v>
      </c>
      <c r="Q25" s="8" t="s">
        <v>5</v>
      </c>
      <c r="R25" s="4" t="s">
        <v>95</v>
      </c>
      <c r="S25" s="4"/>
      <c r="T25"/>
      <c r="U25" s="23"/>
    </row>
    <row r="26" spans="1:21" ht="15.6" x14ac:dyDescent="0.3">
      <c r="A26" s="4">
        <v>25</v>
      </c>
      <c r="B26" s="5">
        <v>8253566</v>
      </c>
      <c r="C26" s="4" t="s">
        <v>96</v>
      </c>
      <c r="D26" s="4" t="s">
        <v>97</v>
      </c>
      <c r="E26" s="4" t="s">
        <v>27</v>
      </c>
      <c r="F26" s="4" t="s">
        <v>2959</v>
      </c>
      <c r="G26" s="6">
        <v>1.6</v>
      </c>
      <c r="H26" s="7">
        <v>45772.702256944445</v>
      </c>
      <c r="I26" s="7" t="str">
        <f>TEXT(multilingual_mobile_app_reviews_2025[[#This Row],[Review_date]],"dd-mm-yyyy")</f>
        <v>25-04-2025</v>
      </c>
      <c r="J26" s="7" t="str">
        <f>TEXT(multilingual_mobile_app_reviews_2025[[#This Row],[Review_date]],"YYYY")</f>
        <v>2025</v>
      </c>
      <c r="K26" s="7" t="str">
        <f>TEXT(multilingual_mobile_app_reviews_2025[[#This Row],[Review_date]],"MMMM")</f>
        <v>April</v>
      </c>
      <c r="L26" s="4" t="b">
        <v>1</v>
      </c>
      <c r="M26" s="4" t="s">
        <v>98</v>
      </c>
      <c r="N26" s="5">
        <v>501</v>
      </c>
      <c r="O26" s="5">
        <v>75</v>
      </c>
      <c r="P26" s="4" t="s">
        <v>99</v>
      </c>
      <c r="Q26" s="8" t="s">
        <v>2963</v>
      </c>
      <c r="R26" s="4" t="s">
        <v>100</v>
      </c>
      <c r="S26" s="4"/>
      <c r="T26"/>
      <c r="U26" s="23"/>
    </row>
    <row r="27" spans="1:21" ht="15.6" x14ac:dyDescent="0.3">
      <c r="A27" s="4">
        <v>26</v>
      </c>
      <c r="B27" s="5">
        <v>9037326</v>
      </c>
      <c r="C27" s="4" t="s">
        <v>101</v>
      </c>
      <c r="D27" s="4" t="s">
        <v>60</v>
      </c>
      <c r="E27" s="4" t="s">
        <v>102</v>
      </c>
      <c r="F27" s="4" t="s">
        <v>2958</v>
      </c>
      <c r="G27" s="6">
        <v>3.1</v>
      </c>
      <c r="H27" s="7">
        <v>45816.51703703704</v>
      </c>
      <c r="I27" s="7" t="str">
        <f>TEXT(multilingual_mobile_app_reviews_2025[[#This Row],[Review_date]],"dd-mm-yyyy")</f>
        <v>08-06-2025</v>
      </c>
      <c r="J27" s="7" t="str">
        <f>TEXT(multilingual_mobile_app_reviews_2025[[#This Row],[Review_date]],"YYYY")</f>
        <v>2025</v>
      </c>
      <c r="K27" s="7" t="str">
        <f>TEXT(multilingual_mobile_app_reviews_2025[[#This Row],[Review_date]],"MMMM")</f>
        <v>June</v>
      </c>
      <c r="L27" s="4" t="b">
        <v>1</v>
      </c>
      <c r="M27" s="4" t="s">
        <v>98</v>
      </c>
      <c r="N27" s="5">
        <v>1141</v>
      </c>
      <c r="O27" s="5">
        <v>28</v>
      </c>
      <c r="P27" s="4" t="s">
        <v>80</v>
      </c>
      <c r="Q27" s="8" t="s">
        <v>29</v>
      </c>
      <c r="R27" s="4" t="s">
        <v>103</v>
      </c>
      <c r="S27" s="4"/>
      <c r="T27"/>
      <c r="U27" s="23"/>
    </row>
    <row r="28" spans="1:21" ht="15.6" x14ac:dyDescent="0.3">
      <c r="A28" s="4">
        <v>27</v>
      </c>
      <c r="B28" s="5">
        <v>7199076</v>
      </c>
      <c r="C28" s="4" t="s">
        <v>104</v>
      </c>
      <c r="D28" s="4" t="s">
        <v>97</v>
      </c>
      <c r="E28" s="4" t="s">
        <v>27</v>
      </c>
      <c r="F28" s="4" t="s">
        <v>2956</v>
      </c>
      <c r="G28" s="6">
        <v>2.1</v>
      </c>
      <c r="H28" s="7">
        <v>45303.386782407404</v>
      </c>
      <c r="I28" s="7" t="str">
        <f>TEXT(multilingual_mobile_app_reviews_2025[[#This Row],[Review_date]],"dd-mm-yyyy")</f>
        <v>12-01-2024</v>
      </c>
      <c r="J28" s="7" t="str">
        <f>TEXT(multilingual_mobile_app_reviews_2025[[#This Row],[Review_date]],"YYYY")</f>
        <v>2024</v>
      </c>
      <c r="K28" s="7" t="str">
        <f>TEXT(multilingual_mobile_app_reviews_2025[[#This Row],[Review_date]],"MMMM")</f>
        <v>January</v>
      </c>
      <c r="L28" s="4" t="b">
        <v>1</v>
      </c>
      <c r="M28" s="4" t="s">
        <v>33</v>
      </c>
      <c r="N28" s="5">
        <v>992</v>
      </c>
      <c r="O28" s="5">
        <v>53</v>
      </c>
      <c r="P28" s="4" t="s">
        <v>17</v>
      </c>
      <c r="Q28" s="8" t="s">
        <v>39</v>
      </c>
      <c r="R28" s="4" t="s">
        <v>105</v>
      </c>
      <c r="S28" s="4"/>
      <c r="T28"/>
      <c r="U28" s="23"/>
    </row>
    <row r="29" spans="1:21" ht="15.6" x14ac:dyDescent="0.3">
      <c r="A29" s="4">
        <v>28</v>
      </c>
      <c r="B29" s="5">
        <v>3474754</v>
      </c>
      <c r="C29" s="4" t="s">
        <v>106</v>
      </c>
      <c r="D29" s="4" t="s">
        <v>31</v>
      </c>
      <c r="E29" s="4" t="s">
        <v>32</v>
      </c>
      <c r="F29" s="4" t="s">
        <v>2954</v>
      </c>
      <c r="G29" s="6">
        <v>3.2</v>
      </c>
      <c r="H29" s="7">
        <v>45692.642094907409</v>
      </c>
      <c r="I29" s="7" t="str">
        <f>TEXT(multilingual_mobile_app_reviews_2025[[#This Row],[Review_date]],"dd-mm-yyyy")</f>
        <v>04-02-2025</v>
      </c>
      <c r="J29" s="7" t="str">
        <f>TEXT(multilingual_mobile_app_reviews_2025[[#This Row],[Review_date]],"YYYY")</f>
        <v>2025</v>
      </c>
      <c r="K29" s="7" t="str">
        <f>TEXT(multilingual_mobile_app_reviews_2025[[#This Row],[Review_date]],"MMMM")</f>
        <v>February</v>
      </c>
      <c r="L29" s="4" t="b">
        <v>1</v>
      </c>
      <c r="M29" s="4" t="s">
        <v>3</v>
      </c>
      <c r="N29" s="5">
        <v>127</v>
      </c>
      <c r="O29" s="5">
        <v>26</v>
      </c>
      <c r="P29" s="4" t="s">
        <v>90</v>
      </c>
      <c r="Q29" s="8" t="s">
        <v>29</v>
      </c>
      <c r="R29" s="4" t="s">
        <v>107</v>
      </c>
      <c r="S29" s="4"/>
      <c r="T29"/>
      <c r="U29" s="23"/>
    </row>
    <row r="30" spans="1:21" ht="15.6" x14ac:dyDescent="0.3">
      <c r="A30" s="4">
        <v>29</v>
      </c>
      <c r="B30" s="5">
        <v>6793979</v>
      </c>
      <c r="C30" s="4" t="s">
        <v>101</v>
      </c>
      <c r="D30" s="4" t="s">
        <v>60</v>
      </c>
      <c r="E30" s="4" t="s">
        <v>64</v>
      </c>
      <c r="F30" s="4" t="s">
        <v>2955</v>
      </c>
      <c r="G30" s="6">
        <v>4.5999999999999996</v>
      </c>
      <c r="H30" s="7">
        <v>45660.592939814815</v>
      </c>
      <c r="I30" s="7" t="str">
        <f>TEXT(multilingual_mobile_app_reviews_2025[[#This Row],[Review_date]],"dd-mm-yyyy")</f>
        <v>03-01-2025</v>
      </c>
      <c r="J30" s="7" t="str">
        <f>TEXT(multilingual_mobile_app_reviews_2025[[#This Row],[Review_date]],"YYYY")</f>
        <v>2025</v>
      </c>
      <c r="K30" s="7" t="str">
        <f>TEXT(multilingual_mobile_app_reviews_2025[[#This Row],[Review_date]],"MMMM")</f>
        <v>January</v>
      </c>
      <c r="L30" s="4" t="b">
        <v>0</v>
      </c>
      <c r="M30" s="4" t="s">
        <v>3</v>
      </c>
      <c r="N30" s="5">
        <v>449</v>
      </c>
      <c r="O30" s="5">
        <v>30</v>
      </c>
      <c r="P30" s="4" t="s">
        <v>90</v>
      </c>
      <c r="Q30" s="8" t="s">
        <v>29</v>
      </c>
      <c r="R30" s="4" t="s">
        <v>108</v>
      </c>
      <c r="S30" s="4"/>
      <c r="T30"/>
      <c r="U30" s="23"/>
    </row>
    <row r="31" spans="1:21" ht="15.6" x14ac:dyDescent="0.3">
      <c r="A31" s="4">
        <v>30</v>
      </c>
      <c r="B31" s="5">
        <v>6364956</v>
      </c>
      <c r="C31" s="4" t="s">
        <v>69</v>
      </c>
      <c r="D31" s="4" t="s">
        <v>31</v>
      </c>
      <c r="E31" s="4" t="s">
        <v>109</v>
      </c>
      <c r="F31" s="4" t="s">
        <v>2941</v>
      </c>
      <c r="G31" s="6">
        <v>3.6</v>
      </c>
      <c r="H31" s="7">
        <v>45479.16064814815</v>
      </c>
      <c r="I31" s="7" t="str">
        <f>TEXT(multilingual_mobile_app_reviews_2025[[#This Row],[Review_date]],"dd-mm-yyyy")</f>
        <v>06-07-2024</v>
      </c>
      <c r="J31" s="7" t="str">
        <f>TEXT(multilingual_mobile_app_reviews_2025[[#This Row],[Review_date]],"YYYY")</f>
        <v>2024</v>
      </c>
      <c r="K31" s="7" t="str">
        <f>TEXT(multilingual_mobile_app_reviews_2025[[#This Row],[Review_date]],"MMMM")</f>
        <v>July</v>
      </c>
      <c r="L31" s="4" t="b">
        <v>1</v>
      </c>
      <c r="M31" s="4" t="s">
        <v>22</v>
      </c>
      <c r="N31" s="5">
        <v>945</v>
      </c>
      <c r="O31" s="5">
        <v>24</v>
      </c>
      <c r="P31" s="4" t="s">
        <v>23</v>
      </c>
      <c r="Q31" s="8" t="s">
        <v>39</v>
      </c>
      <c r="R31" s="4" t="s">
        <v>110</v>
      </c>
      <c r="S31" s="4"/>
      <c r="T31"/>
      <c r="U31" s="23"/>
    </row>
    <row r="32" spans="1:21" ht="15.6" x14ac:dyDescent="0.3">
      <c r="A32" s="4">
        <v>31</v>
      </c>
      <c r="B32" s="5">
        <v>7674680</v>
      </c>
      <c r="C32" s="4" t="s">
        <v>7</v>
      </c>
      <c r="D32" s="4" t="s">
        <v>111</v>
      </c>
      <c r="E32" s="4" t="s">
        <v>9</v>
      </c>
      <c r="F32" s="4" t="s">
        <v>2953</v>
      </c>
      <c r="G32" s="6">
        <v>3.6</v>
      </c>
      <c r="H32" s="7">
        <v>45232.864999999998</v>
      </c>
      <c r="I32" s="7" t="str">
        <f>TEXT(multilingual_mobile_app_reviews_2025[[#This Row],[Review_date]],"dd-mm-yyyy")</f>
        <v>02-11-2023</v>
      </c>
      <c r="J32" s="7" t="str">
        <f>TEXT(multilingual_mobile_app_reviews_2025[[#This Row],[Review_date]],"YYYY")</f>
        <v>2023</v>
      </c>
      <c r="K32" s="7" t="str">
        <f>TEXT(multilingual_mobile_app_reviews_2025[[#This Row],[Review_date]],"MMMM")</f>
        <v>November</v>
      </c>
      <c r="L32" s="4" t="b">
        <v>1</v>
      </c>
      <c r="M32" s="4" t="s">
        <v>98</v>
      </c>
      <c r="N32" s="5">
        <v>63</v>
      </c>
      <c r="O32" s="5">
        <v>73</v>
      </c>
      <c r="P32" s="4" t="s">
        <v>17</v>
      </c>
      <c r="Q32" s="8" t="s">
        <v>5</v>
      </c>
      <c r="R32" s="4" t="s">
        <v>112</v>
      </c>
      <c r="S32" s="4"/>
      <c r="T32"/>
      <c r="U32" s="23"/>
    </row>
    <row r="33" spans="1:21" ht="15.6" x14ac:dyDescent="0.3">
      <c r="A33" s="4">
        <v>32</v>
      </c>
      <c r="B33" s="5">
        <v>3869795</v>
      </c>
      <c r="C33" s="4" t="s">
        <v>113</v>
      </c>
      <c r="D33" s="4" t="s">
        <v>57</v>
      </c>
      <c r="E33" s="4" t="s">
        <v>16</v>
      </c>
      <c r="F33" s="4" t="s">
        <v>2952</v>
      </c>
      <c r="G33" s="6">
        <v>4.9000000000000004</v>
      </c>
      <c r="H33" s="7">
        <v>45188.60864583333</v>
      </c>
      <c r="I33" s="7" t="str">
        <f>TEXT(multilingual_mobile_app_reviews_2025[[#This Row],[Review_date]],"dd-mm-yyyy")</f>
        <v>19-09-2023</v>
      </c>
      <c r="J33" s="7" t="str">
        <f>TEXT(multilingual_mobile_app_reviews_2025[[#This Row],[Review_date]],"YYYY")</f>
        <v>2023</v>
      </c>
      <c r="K33" s="7" t="str">
        <f>TEXT(multilingual_mobile_app_reviews_2025[[#This Row],[Review_date]],"MMMM")</f>
        <v>September</v>
      </c>
      <c r="L33" s="4" t="b">
        <v>1</v>
      </c>
      <c r="M33" s="4" t="s">
        <v>98</v>
      </c>
      <c r="N33" s="5">
        <v>1185</v>
      </c>
      <c r="O33" s="5">
        <v>14</v>
      </c>
      <c r="P33" s="4" t="s">
        <v>114</v>
      </c>
      <c r="Q33" s="8" t="s">
        <v>2963</v>
      </c>
      <c r="R33" s="4" t="s">
        <v>115</v>
      </c>
      <c r="S33" s="4"/>
      <c r="T33"/>
      <c r="U33" s="23"/>
    </row>
    <row r="34" spans="1:21" ht="15.6" x14ac:dyDescent="0.3">
      <c r="A34" s="4">
        <v>33</v>
      </c>
      <c r="B34" s="5">
        <v>452896</v>
      </c>
      <c r="C34" s="4" t="s">
        <v>0</v>
      </c>
      <c r="D34" s="4" t="s">
        <v>8</v>
      </c>
      <c r="E34" s="4" t="s">
        <v>2938</v>
      </c>
      <c r="F34" s="4" t="s">
        <v>2943</v>
      </c>
      <c r="G34" s="6">
        <v>3.1</v>
      </c>
      <c r="H34" s="7">
        <v>45538.235127314816</v>
      </c>
      <c r="I34" s="7" t="str">
        <f>TEXT(multilingual_mobile_app_reviews_2025[[#This Row],[Review_date]],"dd-mm-yyyy")</f>
        <v>03-09-2024</v>
      </c>
      <c r="J34" s="7" t="str">
        <f>TEXT(multilingual_mobile_app_reviews_2025[[#This Row],[Review_date]],"YYYY")</f>
        <v>2024</v>
      </c>
      <c r="K34" s="7" t="str">
        <f>TEXT(multilingual_mobile_app_reviews_2025[[#This Row],[Review_date]],"MMMM")</f>
        <v>September</v>
      </c>
      <c r="L34" s="4" t="b">
        <v>1</v>
      </c>
      <c r="M34" s="4" t="s">
        <v>10</v>
      </c>
      <c r="N34" s="5">
        <v>141</v>
      </c>
      <c r="O34" s="5">
        <v>45</v>
      </c>
      <c r="P34" s="4" t="s">
        <v>38</v>
      </c>
      <c r="Q34" s="8" t="s">
        <v>39</v>
      </c>
      <c r="R34" s="4" t="s">
        <v>116</v>
      </c>
      <c r="S34" s="4"/>
      <c r="T34"/>
      <c r="U34" s="23"/>
    </row>
    <row r="35" spans="1:21" ht="15.6" x14ac:dyDescent="0.3">
      <c r="A35" s="4">
        <v>34</v>
      </c>
      <c r="B35" s="5">
        <v>4772073</v>
      </c>
      <c r="C35" s="4" t="s">
        <v>69</v>
      </c>
      <c r="D35" s="4" t="s">
        <v>31</v>
      </c>
      <c r="E35" s="4" t="s">
        <v>64</v>
      </c>
      <c r="F35" s="4" t="s">
        <v>2947</v>
      </c>
      <c r="G35" s="6">
        <v>2.9</v>
      </c>
      <c r="H35" s="7">
        <v>45658.488657407404</v>
      </c>
      <c r="I35" s="7" t="str">
        <f>TEXT(multilingual_mobile_app_reviews_2025[[#This Row],[Review_date]],"dd-mm-yyyy")</f>
        <v>01-01-2025</v>
      </c>
      <c r="J35" s="7" t="str">
        <f>TEXT(multilingual_mobile_app_reviews_2025[[#This Row],[Review_date]],"YYYY")</f>
        <v>2025</v>
      </c>
      <c r="K35" s="7" t="str">
        <f>TEXT(multilingual_mobile_app_reviews_2025[[#This Row],[Review_date]],"MMMM")</f>
        <v>January</v>
      </c>
      <c r="L35" s="4" t="b">
        <v>1</v>
      </c>
      <c r="M35" s="4" t="s">
        <v>33</v>
      </c>
      <c r="N35" s="5">
        <v>549</v>
      </c>
      <c r="O35" s="5">
        <v>33</v>
      </c>
      <c r="P35" s="4" t="s">
        <v>17</v>
      </c>
      <c r="Q35" s="8" t="s">
        <v>12</v>
      </c>
      <c r="R35" s="4" t="s">
        <v>117</v>
      </c>
      <c r="S35" s="4"/>
      <c r="T35"/>
      <c r="U35" s="23"/>
    </row>
    <row r="36" spans="1:21" ht="15.6" x14ac:dyDescent="0.3">
      <c r="A36" s="4">
        <v>35</v>
      </c>
      <c r="B36" s="5">
        <v>3694297</v>
      </c>
      <c r="C36" s="4" t="s">
        <v>36</v>
      </c>
      <c r="D36" s="4" t="s">
        <v>42</v>
      </c>
      <c r="E36" s="4" t="s">
        <v>21</v>
      </c>
      <c r="F36" s="4" t="s">
        <v>2954</v>
      </c>
      <c r="G36" s="6">
        <v>2.1</v>
      </c>
      <c r="H36" s="7">
        <v>45557.713634259257</v>
      </c>
      <c r="I36" s="7" t="str">
        <f>TEXT(multilingual_mobile_app_reviews_2025[[#This Row],[Review_date]],"dd-mm-yyyy")</f>
        <v>22-09-2024</v>
      </c>
      <c r="J36" s="7" t="str">
        <f>TEXT(multilingual_mobile_app_reviews_2025[[#This Row],[Review_date]],"YYYY")</f>
        <v>2024</v>
      </c>
      <c r="K36" s="7" t="str">
        <f>TEXT(multilingual_mobile_app_reviews_2025[[#This Row],[Review_date]],"MMMM")</f>
        <v>September</v>
      </c>
      <c r="L36" s="4" t="b">
        <v>1</v>
      </c>
      <c r="M36" s="4" t="s">
        <v>33</v>
      </c>
      <c r="N36" s="5">
        <v>565</v>
      </c>
      <c r="O36" s="5">
        <v>48</v>
      </c>
      <c r="P36" s="4" t="s">
        <v>118</v>
      </c>
      <c r="Q36" s="8" t="s">
        <v>2963</v>
      </c>
      <c r="R36" s="4" t="s">
        <v>119</v>
      </c>
      <c r="S36" s="4"/>
      <c r="T36"/>
      <c r="U36" s="23"/>
    </row>
    <row r="37" spans="1:21" ht="15.6" x14ac:dyDescent="0.3">
      <c r="A37" s="4">
        <v>36</v>
      </c>
      <c r="B37" s="5">
        <v>9680513</v>
      </c>
      <c r="C37" s="4" t="s">
        <v>54</v>
      </c>
      <c r="D37" s="4" t="s">
        <v>60</v>
      </c>
      <c r="E37" s="4" t="s">
        <v>27</v>
      </c>
      <c r="F37" s="4" t="s">
        <v>2962</v>
      </c>
      <c r="G37" s="6">
        <v>3.7</v>
      </c>
      <c r="H37" s="7">
        <v>45586.435081018521</v>
      </c>
      <c r="I37" s="7" t="str">
        <f>TEXT(multilingual_mobile_app_reviews_2025[[#This Row],[Review_date]],"dd-mm-yyyy")</f>
        <v>21-10-2024</v>
      </c>
      <c r="J37" s="7" t="str">
        <f>TEXT(multilingual_mobile_app_reviews_2025[[#This Row],[Review_date]],"YYYY")</f>
        <v>2024</v>
      </c>
      <c r="K37" s="7" t="str">
        <f>TEXT(multilingual_mobile_app_reviews_2025[[#This Row],[Review_date]],"MMMM")</f>
        <v>October</v>
      </c>
      <c r="L37" s="4" t="b">
        <v>1</v>
      </c>
      <c r="M37" s="4" t="s">
        <v>10</v>
      </c>
      <c r="N37" s="5">
        <v>969</v>
      </c>
      <c r="O37" s="5">
        <v>48</v>
      </c>
      <c r="P37" s="4" t="s">
        <v>85</v>
      </c>
      <c r="Q37" s="8" t="s">
        <v>39</v>
      </c>
      <c r="R37" s="4" t="s">
        <v>120</v>
      </c>
      <c r="S37" s="4"/>
      <c r="T37"/>
      <c r="U37" s="23"/>
    </row>
    <row r="38" spans="1:21" ht="15.6" x14ac:dyDescent="0.3">
      <c r="A38" s="4">
        <v>37</v>
      </c>
      <c r="B38" s="5">
        <v>4176817</v>
      </c>
      <c r="C38" s="4" t="s">
        <v>87</v>
      </c>
      <c r="D38" s="4" t="s">
        <v>8</v>
      </c>
      <c r="E38" s="4" t="s">
        <v>121</v>
      </c>
      <c r="F38" s="4" t="s">
        <v>2959</v>
      </c>
      <c r="G38" s="6">
        <v>1.9</v>
      </c>
      <c r="H38" s="7">
        <v>45661.895960648151</v>
      </c>
      <c r="I38" s="7" t="str">
        <f>TEXT(multilingual_mobile_app_reviews_2025[[#This Row],[Review_date]],"dd-mm-yyyy")</f>
        <v>04-01-2025</v>
      </c>
      <c r="J38" s="7" t="str">
        <f>TEXT(multilingual_mobile_app_reviews_2025[[#This Row],[Review_date]],"YYYY")</f>
        <v>2025</v>
      </c>
      <c r="K38" s="7" t="str">
        <f>TEXT(multilingual_mobile_app_reviews_2025[[#This Row],[Review_date]],"MMMM")</f>
        <v>January</v>
      </c>
      <c r="L38" s="4" t="b">
        <v>0</v>
      </c>
      <c r="M38" s="4" t="s">
        <v>3</v>
      </c>
      <c r="N38" s="5">
        <v>566</v>
      </c>
      <c r="O38" s="5">
        <v>59</v>
      </c>
      <c r="P38" s="4" t="s">
        <v>28</v>
      </c>
      <c r="Q38" s="8" t="s">
        <v>2963</v>
      </c>
      <c r="R38" s="4" t="s">
        <v>122</v>
      </c>
      <c r="S38" s="4"/>
      <c r="T38"/>
      <c r="U38" s="23"/>
    </row>
    <row r="39" spans="1:21" ht="15.6" x14ac:dyDescent="0.3">
      <c r="A39" s="4">
        <v>38</v>
      </c>
      <c r="B39" s="5">
        <v>1751177</v>
      </c>
      <c r="C39" s="4" t="s">
        <v>123</v>
      </c>
      <c r="D39" s="4" t="s">
        <v>42</v>
      </c>
      <c r="E39" s="4" t="s">
        <v>124</v>
      </c>
      <c r="F39" s="4" t="s">
        <v>2958</v>
      </c>
      <c r="G39" s="6">
        <v>4.8</v>
      </c>
      <c r="H39" s="7">
        <v>45197.431435185186</v>
      </c>
      <c r="I39" s="7" t="str">
        <f>TEXT(multilingual_mobile_app_reviews_2025[[#This Row],[Review_date]],"dd-mm-yyyy")</f>
        <v>28-09-2023</v>
      </c>
      <c r="J39" s="7" t="str">
        <f>TEXT(multilingual_mobile_app_reviews_2025[[#This Row],[Review_date]],"YYYY")</f>
        <v>2023</v>
      </c>
      <c r="K39" s="7" t="str">
        <f>TEXT(multilingual_mobile_app_reviews_2025[[#This Row],[Review_date]],"MMMM")</f>
        <v>September</v>
      </c>
      <c r="L39" s="4" t="b">
        <v>1</v>
      </c>
      <c r="M39" s="4" t="s">
        <v>3</v>
      </c>
      <c r="N39" s="5">
        <v>210</v>
      </c>
      <c r="O39" s="5">
        <v>68</v>
      </c>
      <c r="P39" s="4" t="s">
        <v>118</v>
      </c>
      <c r="Q39" s="8" t="s">
        <v>2963</v>
      </c>
      <c r="R39" s="4" t="s">
        <v>125</v>
      </c>
      <c r="S39" s="4"/>
      <c r="T39"/>
      <c r="U39" s="23"/>
    </row>
    <row r="40" spans="1:21" ht="15.6" x14ac:dyDescent="0.3">
      <c r="A40" s="4">
        <v>39</v>
      </c>
      <c r="B40" s="5">
        <v>9332926</v>
      </c>
      <c r="C40" s="4" t="s">
        <v>54</v>
      </c>
      <c r="D40" s="4" t="s">
        <v>1</v>
      </c>
      <c r="E40" s="4" t="s">
        <v>109</v>
      </c>
      <c r="F40" s="4" t="s">
        <v>2951</v>
      </c>
      <c r="G40" s="6">
        <v>1.6</v>
      </c>
      <c r="H40" s="7">
        <v>45214.926215277781</v>
      </c>
      <c r="I40" s="7" t="str">
        <f>TEXT(multilingual_mobile_app_reviews_2025[[#This Row],[Review_date]],"dd-mm-yyyy")</f>
        <v>15-10-2023</v>
      </c>
      <c r="J40" s="7" t="str">
        <f>TEXT(multilingual_mobile_app_reviews_2025[[#This Row],[Review_date]],"YYYY")</f>
        <v>2023</v>
      </c>
      <c r="K40" s="7" t="str">
        <f>TEXT(multilingual_mobile_app_reviews_2025[[#This Row],[Review_date]],"MMMM")</f>
        <v>October</v>
      </c>
      <c r="L40" s="4" t="b">
        <v>1</v>
      </c>
      <c r="M40" s="4" t="s">
        <v>33</v>
      </c>
      <c r="N40" s="5">
        <v>622</v>
      </c>
      <c r="O40" s="5">
        <v>18</v>
      </c>
      <c r="P40" s="4" t="s">
        <v>17</v>
      </c>
      <c r="Q40" s="8" t="s">
        <v>12</v>
      </c>
      <c r="R40" s="4" t="s">
        <v>126</v>
      </c>
      <c r="S40" s="4"/>
      <c r="T40"/>
      <c r="U40" s="23"/>
    </row>
    <row r="41" spans="1:21" ht="15.6" x14ac:dyDescent="0.3">
      <c r="A41" s="4">
        <v>40</v>
      </c>
      <c r="B41" s="5">
        <v>9169560</v>
      </c>
      <c r="C41" s="4" t="s">
        <v>101</v>
      </c>
      <c r="D41" s="4" t="s">
        <v>57</v>
      </c>
      <c r="E41" s="4" t="s">
        <v>93</v>
      </c>
      <c r="F41" s="4" t="s">
        <v>2940</v>
      </c>
      <c r="G41" s="6">
        <v>3.4</v>
      </c>
      <c r="H41" s="7">
        <v>45788.240081018521</v>
      </c>
      <c r="I41" s="7" t="str">
        <f>TEXT(multilingual_mobile_app_reviews_2025[[#This Row],[Review_date]],"dd-mm-yyyy")</f>
        <v>11-05-2025</v>
      </c>
      <c r="J41" s="7" t="str">
        <f>TEXT(multilingual_mobile_app_reviews_2025[[#This Row],[Review_date]],"YYYY")</f>
        <v>2025</v>
      </c>
      <c r="K41" s="7" t="str">
        <f>TEXT(multilingual_mobile_app_reviews_2025[[#This Row],[Review_date]],"MMMM")</f>
        <v>May</v>
      </c>
      <c r="L41" s="4" t="b">
        <v>1</v>
      </c>
      <c r="M41" s="4" t="s">
        <v>98</v>
      </c>
      <c r="N41" s="5">
        <v>425</v>
      </c>
      <c r="O41" s="5">
        <v>53</v>
      </c>
      <c r="P41" s="4" t="s">
        <v>127</v>
      </c>
      <c r="Q41" s="8" t="s">
        <v>39</v>
      </c>
      <c r="R41" s="4" t="s">
        <v>2963</v>
      </c>
      <c r="S41" s="4"/>
      <c r="T41"/>
      <c r="U41" s="23"/>
    </row>
    <row r="42" spans="1:21" ht="15.6" x14ac:dyDescent="0.3">
      <c r="A42" s="4">
        <v>41</v>
      </c>
      <c r="B42" s="5">
        <v>1664689</v>
      </c>
      <c r="C42" s="4" t="s">
        <v>104</v>
      </c>
      <c r="D42" s="4" t="s">
        <v>60</v>
      </c>
      <c r="E42" s="4" t="s">
        <v>128</v>
      </c>
      <c r="F42" s="4" t="s">
        <v>2957</v>
      </c>
      <c r="G42" s="6">
        <v>1.9</v>
      </c>
      <c r="H42" s="7">
        <v>45433.235381944447</v>
      </c>
      <c r="I42" s="7" t="str">
        <f>TEXT(multilingual_mobile_app_reviews_2025[[#This Row],[Review_date]],"dd-mm-yyyy")</f>
        <v>21-05-2024</v>
      </c>
      <c r="J42" s="7" t="str">
        <f>TEXT(multilingual_mobile_app_reviews_2025[[#This Row],[Review_date]],"YYYY")</f>
        <v>2024</v>
      </c>
      <c r="K42" s="7" t="str">
        <f>TEXT(multilingual_mobile_app_reviews_2025[[#This Row],[Review_date]],"MMMM")</f>
        <v>May</v>
      </c>
      <c r="L42" s="4" t="b">
        <v>1</v>
      </c>
      <c r="M42" s="4" t="s">
        <v>10</v>
      </c>
      <c r="N42" s="5">
        <v>1207</v>
      </c>
      <c r="O42" s="5">
        <v>55</v>
      </c>
      <c r="P42" s="4" t="s">
        <v>127</v>
      </c>
      <c r="Q42" s="8" t="s">
        <v>29</v>
      </c>
      <c r="R42" s="4" t="s">
        <v>129</v>
      </c>
      <c r="S42" s="4"/>
      <c r="T42"/>
      <c r="U42" s="23"/>
    </row>
    <row r="43" spans="1:21" ht="15.6" x14ac:dyDescent="0.3">
      <c r="A43" s="4">
        <v>42</v>
      </c>
      <c r="B43" s="5">
        <v>6650190</v>
      </c>
      <c r="C43" s="4" t="s">
        <v>75</v>
      </c>
      <c r="D43" s="4" t="s">
        <v>47</v>
      </c>
      <c r="E43" s="4" t="s">
        <v>130</v>
      </c>
      <c r="F43" s="4" t="s">
        <v>2958</v>
      </c>
      <c r="G43" s="6">
        <v>2.2000000000000002</v>
      </c>
      <c r="H43" s="7">
        <v>45344.86755787037</v>
      </c>
      <c r="I43" s="7" t="str">
        <f>TEXT(multilingual_mobile_app_reviews_2025[[#This Row],[Review_date]],"dd-mm-yyyy")</f>
        <v>22-02-2024</v>
      </c>
      <c r="J43" s="7" t="str">
        <f>TEXT(multilingual_mobile_app_reviews_2025[[#This Row],[Review_date]],"YYYY")</f>
        <v>2024</v>
      </c>
      <c r="K43" s="7" t="str">
        <f>TEXT(multilingual_mobile_app_reviews_2025[[#This Row],[Review_date]],"MMMM")</f>
        <v>February</v>
      </c>
      <c r="L43" s="4" t="b">
        <v>1</v>
      </c>
      <c r="M43" s="4" t="s">
        <v>3</v>
      </c>
      <c r="N43" s="5">
        <v>557</v>
      </c>
      <c r="O43" s="5">
        <v>45</v>
      </c>
      <c r="P43" s="4" t="s">
        <v>34</v>
      </c>
      <c r="Q43" s="8" t="s">
        <v>29</v>
      </c>
      <c r="R43" s="4" t="s">
        <v>131</v>
      </c>
      <c r="S43" s="4"/>
      <c r="T43"/>
      <c r="U43" s="23"/>
    </row>
    <row r="44" spans="1:21" ht="15.6" x14ac:dyDescent="0.3">
      <c r="A44" s="4">
        <v>43</v>
      </c>
      <c r="B44" s="5">
        <v>4885687</v>
      </c>
      <c r="C44" s="4" t="s">
        <v>132</v>
      </c>
      <c r="D44" s="4" t="s">
        <v>20</v>
      </c>
      <c r="E44" s="4" t="s">
        <v>76</v>
      </c>
      <c r="F44" s="4" t="s">
        <v>2947</v>
      </c>
      <c r="G44" s="6">
        <v>3.1</v>
      </c>
      <c r="H44" s="7">
        <v>45467.437881944446</v>
      </c>
      <c r="I44" s="7" t="str">
        <f>TEXT(multilingual_mobile_app_reviews_2025[[#This Row],[Review_date]],"dd-mm-yyyy")</f>
        <v>24-06-2024</v>
      </c>
      <c r="J44" s="7" t="str">
        <f>TEXT(multilingual_mobile_app_reviews_2025[[#This Row],[Review_date]],"YYYY")</f>
        <v>2024</v>
      </c>
      <c r="K44" s="7" t="str">
        <f>TEXT(multilingual_mobile_app_reviews_2025[[#This Row],[Review_date]],"MMMM")</f>
        <v>June</v>
      </c>
      <c r="L44" s="4" t="b">
        <v>0</v>
      </c>
      <c r="M44" s="4" t="s">
        <v>3</v>
      </c>
      <c r="N44" s="5">
        <v>569</v>
      </c>
      <c r="O44" s="5">
        <v>24</v>
      </c>
      <c r="P44" s="4" t="s">
        <v>28</v>
      </c>
      <c r="Q44" s="8" t="s">
        <v>29</v>
      </c>
      <c r="R44" s="4" t="s">
        <v>133</v>
      </c>
      <c r="S44" s="4"/>
      <c r="T44"/>
      <c r="U44" s="23"/>
    </row>
    <row r="45" spans="1:21" ht="15.6" x14ac:dyDescent="0.3">
      <c r="A45" s="4">
        <v>44</v>
      </c>
      <c r="B45" s="5">
        <v>9424245</v>
      </c>
      <c r="C45" s="4" t="s">
        <v>134</v>
      </c>
      <c r="D45" s="4" t="s">
        <v>47</v>
      </c>
      <c r="E45" s="4" t="s">
        <v>32</v>
      </c>
      <c r="F45" s="4" t="s">
        <v>2949</v>
      </c>
      <c r="G45" s="6">
        <v>1.1000000000000001</v>
      </c>
      <c r="H45" s="7">
        <v>45652.968900462962</v>
      </c>
      <c r="I45" s="7" t="str">
        <f>TEXT(multilingual_mobile_app_reviews_2025[[#This Row],[Review_date]],"dd-mm-yyyy")</f>
        <v>26-12-2024</v>
      </c>
      <c r="J45" s="7" t="str">
        <f>TEXT(multilingual_mobile_app_reviews_2025[[#This Row],[Review_date]],"YYYY")</f>
        <v>2024</v>
      </c>
      <c r="K45" s="7" t="str">
        <f>TEXT(multilingual_mobile_app_reviews_2025[[#This Row],[Review_date]],"MMMM")</f>
        <v>December</v>
      </c>
      <c r="L45" s="4" t="b">
        <v>0</v>
      </c>
      <c r="M45" s="4" t="s">
        <v>98</v>
      </c>
      <c r="N45" s="5">
        <v>644</v>
      </c>
      <c r="O45" s="5">
        <v>29</v>
      </c>
      <c r="P45" s="4" t="s">
        <v>73</v>
      </c>
      <c r="Q45" s="8" t="s">
        <v>12</v>
      </c>
      <c r="R45" s="4" t="s">
        <v>135</v>
      </c>
      <c r="S45" s="4"/>
      <c r="T45"/>
      <c r="U45" s="23"/>
    </row>
    <row r="46" spans="1:21" ht="15.6" x14ac:dyDescent="0.3">
      <c r="A46" s="4">
        <v>45</v>
      </c>
      <c r="B46" s="5">
        <v>8264991</v>
      </c>
      <c r="C46" s="4" t="s">
        <v>56</v>
      </c>
      <c r="D46" s="4" t="s">
        <v>57</v>
      </c>
      <c r="E46" s="4" t="s">
        <v>130</v>
      </c>
      <c r="F46" s="4" t="s">
        <v>2956</v>
      </c>
      <c r="G46" s="6">
        <v>2.8</v>
      </c>
      <c r="H46" s="7">
        <v>45259.112511574072</v>
      </c>
      <c r="I46" s="7" t="str">
        <f>TEXT(multilingual_mobile_app_reviews_2025[[#This Row],[Review_date]],"dd-mm-yyyy")</f>
        <v>29-11-2023</v>
      </c>
      <c r="J46" s="7" t="str">
        <f>TEXT(multilingual_mobile_app_reviews_2025[[#This Row],[Review_date]],"YYYY")</f>
        <v>2023</v>
      </c>
      <c r="K46" s="7" t="str">
        <f>TEXT(multilingual_mobile_app_reviews_2025[[#This Row],[Review_date]],"MMMM")</f>
        <v>November</v>
      </c>
      <c r="L46" s="4" t="b">
        <v>1</v>
      </c>
      <c r="M46" s="4" t="s">
        <v>98</v>
      </c>
      <c r="N46" s="5">
        <v>416</v>
      </c>
      <c r="O46" s="5">
        <v>30</v>
      </c>
      <c r="P46" s="4" t="s">
        <v>34</v>
      </c>
      <c r="Q46" s="8" t="s">
        <v>5</v>
      </c>
      <c r="R46" s="4" t="s">
        <v>136</v>
      </c>
      <c r="S46" s="4"/>
      <c r="T46"/>
      <c r="U46" s="23"/>
    </row>
    <row r="47" spans="1:21" ht="15.6" x14ac:dyDescent="0.3">
      <c r="A47" s="4">
        <v>46</v>
      </c>
      <c r="B47" s="5">
        <v>5077931</v>
      </c>
      <c r="C47" s="4" t="s">
        <v>137</v>
      </c>
      <c r="D47" s="4" t="s">
        <v>8</v>
      </c>
      <c r="E47" s="4" t="s">
        <v>16</v>
      </c>
      <c r="F47" s="4" t="s">
        <v>2953</v>
      </c>
      <c r="G47" s="6">
        <v>5</v>
      </c>
      <c r="H47" s="7">
        <v>45307.971539351849</v>
      </c>
      <c r="I47" s="7" t="str">
        <f>TEXT(multilingual_mobile_app_reviews_2025[[#This Row],[Review_date]],"dd-mm-yyyy")</f>
        <v>16-01-2024</v>
      </c>
      <c r="J47" s="7" t="str">
        <f>TEXT(multilingual_mobile_app_reviews_2025[[#This Row],[Review_date]],"YYYY")</f>
        <v>2024</v>
      </c>
      <c r="K47" s="7" t="str">
        <f>TEXT(multilingual_mobile_app_reviews_2025[[#This Row],[Review_date]],"MMMM")</f>
        <v>January</v>
      </c>
      <c r="L47" s="4" t="b">
        <v>1</v>
      </c>
      <c r="M47" s="4" t="s">
        <v>98</v>
      </c>
      <c r="N47" s="5">
        <v>945</v>
      </c>
      <c r="O47" s="5">
        <v>73</v>
      </c>
      <c r="P47" s="4" t="s">
        <v>80</v>
      </c>
      <c r="Q47" s="8" t="s">
        <v>5</v>
      </c>
      <c r="R47" s="4" t="s">
        <v>138</v>
      </c>
      <c r="S47" s="4"/>
      <c r="T47"/>
      <c r="U47" s="23"/>
    </row>
    <row r="48" spans="1:21" ht="15.6" x14ac:dyDescent="0.3">
      <c r="A48" s="4">
        <v>47</v>
      </c>
      <c r="B48" s="5">
        <v>9817032</v>
      </c>
      <c r="C48" s="4" t="s">
        <v>54</v>
      </c>
      <c r="D48" s="4" t="s">
        <v>8</v>
      </c>
      <c r="E48" s="4" t="s">
        <v>139</v>
      </c>
      <c r="F48" s="4" t="s">
        <v>2951</v>
      </c>
      <c r="G48" s="6">
        <v>4.5</v>
      </c>
      <c r="H48" s="7">
        <v>45384.609976851854</v>
      </c>
      <c r="I48" s="7" t="str">
        <f>TEXT(multilingual_mobile_app_reviews_2025[[#This Row],[Review_date]],"dd-mm-yyyy")</f>
        <v>02-04-2024</v>
      </c>
      <c r="J48" s="7" t="str">
        <f>TEXT(multilingual_mobile_app_reviews_2025[[#This Row],[Review_date]],"YYYY")</f>
        <v>2024</v>
      </c>
      <c r="K48" s="7" t="str">
        <f>TEXT(multilingual_mobile_app_reviews_2025[[#This Row],[Review_date]],"MMMM")</f>
        <v>April</v>
      </c>
      <c r="L48" s="4" t="b">
        <v>1</v>
      </c>
      <c r="M48" s="4" t="s">
        <v>10</v>
      </c>
      <c r="N48" s="5">
        <v>849</v>
      </c>
      <c r="O48" s="5">
        <v>34</v>
      </c>
      <c r="P48" s="4" t="s">
        <v>85</v>
      </c>
      <c r="Q48" s="8" t="s">
        <v>39</v>
      </c>
      <c r="R48" s="4" t="s">
        <v>140</v>
      </c>
      <c r="S48" s="4"/>
      <c r="T48"/>
      <c r="U48" s="23"/>
    </row>
    <row r="49" spans="1:21" ht="15.6" x14ac:dyDescent="0.3">
      <c r="A49" s="4">
        <v>48</v>
      </c>
      <c r="B49" s="5">
        <v>3526900</v>
      </c>
      <c r="C49" s="4" t="s">
        <v>59</v>
      </c>
      <c r="D49" s="4" t="s">
        <v>31</v>
      </c>
      <c r="E49" s="4" t="s">
        <v>64</v>
      </c>
      <c r="F49" s="4" t="s">
        <v>2960</v>
      </c>
      <c r="G49" s="6">
        <v>2.8</v>
      </c>
      <c r="H49" s="7">
        <v>45659.069803240738</v>
      </c>
      <c r="I49" s="7" t="str">
        <f>TEXT(multilingual_mobile_app_reviews_2025[[#This Row],[Review_date]],"dd-mm-yyyy")</f>
        <v>02-01-2025</v>
      </c>
      <c r="J49" s="7" t="str">
        <f>TEXT(multilingual_mobile_app_reviews_2025[[#This Row],[Review_date]],"YYYY")</f>
        <v>2025</v>
      </c>
      <c r="K49" s="7" t="str">
        <f>TEXT(multilingual_mobile_app_reviews_2025[[#This Row],[Review_date]],"MMMM")</f>
        <v>January</v>
      </c>
      <c r="L49" s="4" t="b">
        <v>0</v>
      </c>
      <c r="M49" s="4" t="s">
        <v>10</v>
      </c>
      <c r="N49" s="5">
        <v>386</v>
      </c>
      <c r="O49" s="5">
        <v>75</v>
      </c>
      <c r="P49" s="4" t="s">
        <v>61</v>
      </c>
      <c r="Q49" s="8" t="s">
        <v>5</v>
      </c>
      <c r="R49" s="4" t="s">
        <v>141</v>
      </c>
      <c r="S49" s="4"/>
      <c r="T49"/>
      <c r="U49" s="23"/>
    </row>
    <row r="50" spans="1:21" ht="15.6" x14ac:dyDescent="0.3">
      <c r="A50" s="4">
        <v>49</v>
      </c>
      <c r="B50" s="5">
        <v>5371130</v>
      </c>
      <c r="C50" s="4" t="s">
        <v>101</v>
      </c>
      <c r="D50" s="4" t="s">
        <v>15</v>
      </c>
      <c r="E50" s="4" t="s">
        <v>93</v>
      </c>
      <c r="F50" s="4" t="s">
        <v>2954</v>
      </c>
      <c r="G50" s="6">
        <v>4.5</v>
      </c>
      <c r="H50" s="7">
        <v>45324.271122685182</v>
      </c>
      <c r="I50" s="7" t="str">
        <f>TEXT(multilingual_mobile_app_reviews_2025[[#This Row],[Review_date]],"dd-mm-yyyy")</f>
        <v>02-02-2024</v>
      </c>
      <c r="J50" s="7" t="str">
        <f>TEXT(multilingual_mobile_app_reviews_2025[[#This Row],[Review_date]],"YYYY")</f>
        <v>2024</v>
      </c>
      <c r="K50" s="7" t="str">
        <f>TEXT(multilingual_mobile_app_reviews_2025[[#This Row],[Review_date]],"MMMM")</f>
        <v>February</v>
      </c>
      <c r="L50" s="4" t="b">
        <v>1</v>
      </c>
      <c r="M50" s="4" t="s">
        <v>3</v>
      </c>
      <c r="N50" s="5">
        <v>204</v>
      </c>
      <c r="O50" s="5">
        <v>46</v>
      </c>
      <c r="P50" s="4" t="s">
        <v>70</v>
      </c>
      <c r="Q50" s="8" t="s">
        <v>12</v>
      </c>
      <c r="R50" s="4" t="s">
        <v>142</v>
      </c>
      <c r="S50" s="4"/>
      <c r="T50"/>
      <c r="U50" s="23"/>
    </row>
    <row r="51" spans="1:21" ht="15.6" x14ac:dyDescent="0.3">
      <c r="A51" s="4">
        <v>50</v>
      </c>
      <c r="B51" s="5">
        <v>6740184</v>
      </c>
      <c r="C51" s="4" t="s">
        <v>87</v>
      </c>
      <c r="D51" s="4" t="s">
        <v>26</v>
      </c>
      <c r="E51" s="4" t="s">
        <v>143</v>
      </c>
      <c r="F51" s="4" t="s">
        <v>2960</v>
      </c>
      <c r="G51" s="6">
        <v>4.8</v>
      </c>
      <c r="H51" s="7">
        <v>45786.467106481483</v>
      </c>
      <c r="I51" s="7" t="str">
        <f>TEXT(multilingual_mobile_app_reviews_2025[[#This Row],[Review_date]],"dd-mm-yyyy")</f>
        <v>09-05-2025</v>
      </c>
      <c r="J51" s="7" t="str">
        <f>TEXT(multilingual_mobile_app_reviews_2025[[#This Row],[Review_date]],"YYYY")</f>
        <v>2025</v>
      </c>
      <c r="K51" s="7" t="str">
        <f>TEXT(multilingual_mobile_app_reviews_2025[[#This Row],[Review_date]],"MMMM")</f>
        <v>May</v>
      </c>
      <c r="L51" s="4" t="b">
        <v>1</v>
      </c>
      <c r="M51" s="4" t="s">
        <v>3</v>
      </c>
      <c r="N51" s="5">
        <v>1108</v>
      </c>
      <c r="O51" s="5">
        <v>15</v>
      </c>
      <c r="P51" s="4" t="s">
        <v>144</v>
      </c>
      <c r="Q51" s="8" t="s">
        <v>12</v>
      </c>
      <c r="R51" s="4" t="s">
        <v>145</v>
      </c>
      <c r="S51" s="4"/>
      <c r="T51"/>
      <c r="U51" s="23"/>
    </row>
    <row r="52" spans="1:21" ht="15.6" x14ac:dyDescent="0.3">
      <c r="A52" s="4">
        <v>51</v>
      </c>
      <c r="B52" s="5">
        <v>5175395</v>
      </c>
      <c r="C52" s="4" t="s">
        <v>134</v>
      </c>
      <c r="D52" s="4" t="s">
        <v>1</v>
      </c>
      <c r="E52" s="4" t="s">
        <v>109</v>
      </c>
      <c r="F52" s="4" t="s">
        <v>2962</v>
      </c>
      <c r="G52" s="6">
        <v>2.4</v>
      </c>
      <c r="H52" s="7">
        <v>45613.982418981483</v>
      </c>
      <c r="I52" s="7" t="str">
        <f>TEXT(multilingual_mobile_app_reviews_2025[[#This Row],[Review_date]],"dd-mm-yyyy")</f>
        <v>17-11-2024</v>
      </c>
      <c r="J52" s="7" t="str">
        <f>TEXT(multilingual_mobile_app_reviews_2025[[#This Row],[Review_date]],"YYYY")</f>
        <v>2024</v>
      </c>
      <c r="K52" s="7" t="str">
        <f>TEXT(multilingual_mobile_app_reviews_2025[[#This Row],[Review_date]],"MMMM")</f>
        <v>November</v>
      </c>
      <c r="L52" s="4" t="b">
        <v>0</v>
      </c>
      <c r="M52" s="4" t="s">
        <v>3</v>
      </c>
      <c r="N52" s="5">
        <v>298</v>
      </c>
      <c r="O52" s="5">
        <v>28</v>
      </c>
      <c r="P52" s="4" t="s">
        <v>85</v>
      </c>
      <c r="Q52" s="8" t="s">
        <v>29</v>
      </c>
      <c r="R52" s="4" t="s">
        <v>146</v>
      </c>
      <c r="S52" s="4"/>
      <c r="T52"/>
      <c r="U52" s="23"/>
    </row>
    <row r="53" spans="1:21" ht="15.6" x14ac:dyDescent="0.3">
      <c r="A53" s="4">
        <v>52</v>
      </c>
      <c r="B53" s="5">
        <v>8974152</v>
      </c>
      <c r="C53" s="4" t="s">
        <v>147</v>
      </c>
      <c r="D53" s="4" t="s">
        <v>8</v>
      </c>
      <c r="E53" s="4" t="s">
        <v>130</v>
      </c>
      <c r="F53" s="4" t="s">
        <v>2944</v>
      </c>
      <c r="G53" s="6">
        <v>3.7</v>
      </c>
      <c r="H53" s="7">
        <v>45144.954641203702</v>
      </c>
      <c r="I53" s="7" t="str">
        <f>TEXT(multilingual_mobile_app_reviews_2025[[#This Row],[Review_date]],"dd-mm-yyyy")</f>
        <v>06-08-2023</v>
      </c>
      <c r="J53" s="7" t="str">
        <f>TEXT(multilingual_mobile_app_reviews_2025[[#This Row],[Review_date]],"YYYY")</f>
        <v>2023</v>
      </c>
      <c r="K53" s="7" t="str">
        <f>TEXT(multilingual_mobile_app_reviews_2025[[#This Row],[Review_date]],"MMMM")</f>
        <v>August</v>
      </c>
      <c r="L53" s="4" t="b">
        <v>0</v>
      </c>
      <c r="M53" s="4" t="s">
        <v>3</v>
      </c>
      <c r="N53" s="5">
        <v>589</v>
      </c>
      <c r="O53" s="5">
        <v>56</v>
      </c>
      <c r="P53" s="4" t="s">
        <v>34</v>
      </c>
      <c r="Q53" s="8" t="s">
        <v>5</v>
      </c>
      <c r="R53" s="4" t="s">
        <v>148</v>
      </c>
      <c r="S53" s="4"/>
      <c r="T53"/>
      <c r="U53" s="23"/>
    </row>
    <row r="54" spans="1:21" ht="15.6" x14ac:dyDescent="0.3">
      <c r="A54" s="4">
        <v>53</v>
      </c>
      <c r="B54" s="5">
        <v>9404682</v>
      </c>
      <c r="C54" s="4" t="s">
        <v>87</v>
      </c>
      <c r="D54" s="4" t="s">
        <v>57</v>
      </c>
      <c r="E54" s="4" t="s">
        <v>32</v>
      </c>
      <c r="F54" s="4" t="s">
        <v>2950</v>
      </c>
      <c r="G54" s="6">
        <v>2.4</v>
      </c>
      <c r="H54" s="7">
        <v>45371.412604166668</v>
      </c>
      <c r="I54" s="7" t="str">
        <f>TEXT(multilingual_mobile_app_reviews_2025[[#This Row],[Review_date]],"dd-mm-yyyy")</f>
        <v>20-03-2024</v>
      </c>
      <c r="J54" s="7" t="str">
        <f>TEXT(multilingual_mobile_app_reviews_2025[[#This Row],[Review_date]],"YYYY")</f>
        <v>2024</v>
      </c>
      <c r="K54" s="7" t="str">
        <f>TEXT(multilingual_mobile_app_reviews_2025[[#This Row],[Review_date]],"MMMM")</f>
        <v>March</v>
      </c>
      <c r="L54" s="4" t="b">
        <v>0</v>
      </c>
      <c r="M54" s="4" t="s">
        <v>10</v>
      </c>
      <c r="N54" s="5">
        <v>604</v>
      </c>
      <c r="O54" s="5">
        <v>14</v>
      </c>
      <c r="P54" s="4" t="s">
        <v>94</v>
      </c>
      <c r="Q54" s="8" t="s">
        <v>29</v>
      </c>
      <c r="R54" s="4" t="s">
        <v>149</v>
      </c>
      <c r="S54" s="4"/>
      <c r="T54"/>
      <c r="U54" s="23"/>
    </row>
    <row r="55" spans="1:21" ht="15.6" x14ac:dyDescent="0.3">
      <c r="A55" s="4">
        <v>54</v>
      </c>
      <c r="B55" s="5">
        <v>1837893</v>
      </c>
      <c r="C55" s="4" t="s">
        <v>137</v>
      </c>
      <c r="D55" s="4" t="s">
        <v>60</v>
      </c>
      <c r="E55" s="4" t="s">
        <v>150</v>
      </c>
      <c r="F55" s="4" t="s">
        <v>2959</v>
      </c>
      <c r="G55" s="6">
        <v>3.5</v>
      </c>
      <c r="H55" s="7">
        <v>45240.488888888889</v>
      </c>
      <c r="I55" s="7" t="str">
        <f>TEXT(multilingual_mobile_app_reviews_2025[[#This Row],[Review_date]],"dd-mm-yyyy")</f>
        <v>10-11-2023</v>
      </c>
      <c r="J55" s="7" t="str">
        <f>TEXT(multilingual_mobile_app_reviews_2025[[#This Row],[Review_date]],"YYYY")</f>
        <v>2023</v>
      </c>
      <c r="K55" s="7" t="str">
        <f>TEXT(multilingual_mobile_app_reviews_2025[[#This Row],[Review_date]],"MMMM")</f>
        <v>November</v>
      </c>
      <c r="L55" s="4" t="b">
        <v>0</v>
      </c>
      <c r="M55" s="4" t="s">
        <v>22</v>
      </c>
      <c r="N55" s="5">
        <v>198</v>
      </c>
      <c r="O55" s="5">
        <v>70</v>
      </c>
      <c r="P55" s="4" t="s">
        <v>38</v>
      </c>
      <c r="Q55" s="8" t="s">
        <v>12</v>
      </c>
      <c r="R55" s="4" t="s">
        <v>151</v>
      </c>
      <c r="S55" s="4"/>
      <c r="T55"/>
      <c r="U55" s="23"/>
    </row>
    <row r="56" spans="1:21" ht="15.6" x14ac:dyDescent="0.3">
      <c r="A56" s="4">
        <v>55</v>
      </c>
      <c r="B56" s="5">
        <v>4494880</v>
      </c>
      <c r="C56" s="4" t="s">
        <v>96</v>
      </c>
      <c r="D56" s="4" t="s">
        <v>26</v>
      </c>
      <c r="E56" s="4" t="s">
        <v>152</v>
      </c>
      <c r="F56" s="4" t="s">
        <v>2948</v>
      </c>
      <c r="G56" s="6">
        <v>4.7</v>
      </c>
      <c r="H56" s="7">
        <v>45807.405717592592</v>
      </c>
      <c r="I56" s="7" t="str">
        <f>TEXT(multilingual_mobile_app_reviews_2025[[#This Row],[Review_date]],"dd-mm-yyyy")</f>
        <v>30-05-2025</v>
      </c>
      <c r="J56" s="7" t="str">
        <f>TEXT(multilingual_mobile_app_reviews_2025[[#This Row],[Review_date]],"YYYY")</f>
        <v>2025</v>
      </c>
      <c r="K56" s="7" t="str">
        <f>TEXT(multilingual_mobile_app_reviews_2025[[#This Row],[Review_date]],"MMMM")</f>
        <v>May</v>
      </c>
      <c r="L56" s="4" t="b">
        <v>1</v>
      </c>
      <c r="M56" s="4" t="s">
        <v>22</v>
      </c>
      <c r="N56" s="5">
        <v>526</v>
      </c>
      <c r="O56" s="5">
        <v>71</v>
      </c>
      <c r="P56" s="4" t="s">
        <v>99</v>
      </c>
      <c r="Q56" s="8" t="s">
        <v>39</v>
      </c>
      <c r="R56" s="4" t="s">
        <v>153</v>
      </c>
      <c r="S56" s="4"/>
      <c r="T56"/>
      <c r="U56" s="23"/>
    </row>
    <row r="57" spans="1:21" ht="15.6" x14ac:dyDescent="0.3">
      <c r="A57" s="4">
        <v>56</v>
      </c>
      <c r="B57" s="5">
        <v>6103042</v>
      </c>
      <c r="C57" s="4" t="s">
        <v>154</v>
      </c>
      <c r="D57" s="4" t="s">
        <v>15</v>
      </c>
      <c r="E57" s="4" t="s">
        <v>64</v>
      </c>
      <c r="F57" s="4" t="s">
        <v>2942</v>
      </c>
      <c r="G57" s="6">
        <v>2.8</v>
      </c>
      <c r="H57" s="7">
        <v>45302.049525462964</v>
      </c>
      <c r="I57" s="7" t="str">
        <f>TEXT(multilingual_mobile_app_reviews_2025[[#This Row],[Review_date]],"dd-mm-yyyy")</f>
        <v>11-01-2024</v>
      </c>
      <c r="J57" s="7" t="str">
        <f>TEXT(multilingual_mobile_app_reviews_2025[[#This Row],[Review_date]],"YYYY")</f>
        <v>2024</v>
      </c>
      <c r="K57" s="7" t="str">
        <f>TEXT(multilingual_mobile_app_reviews_2025[[#This Row],[Review_date]],"MMMM")</f>
        <v>January</v>
      </c>
      <c r="L57" s="4" t="b">
        <v>0</v>
      </c>
      <c r="M57" s="4" t="s">
        <v>10</v>
      </c>
      <c r="N57" s="5">
        <v>1197</v>
      </c>
      <c r="O57" s="5">
        <v>37</v>
      </c>
      <c r="P57" s="4" t="s">
        <v>38</v>
      </c>
      <c r="Q57" s="8" t="s">
        <v>39</v>
      </c>
      <c r="R57" s="4" t="s">
        <v>155</v>
      </c>
      <c r="S57" s="4"/>
      <c r="T57"/>
      <c r="U57" s="23"/>
    </row>
    <row r="58" spans="1:21" ht="15.6" x14ac:dyDescent="0.3">
      <c r="A58" s="4">
        <v>57</v>
      </c>
      <c r="B58" s="5">
        <v>4286414</v>
      </c>
      <c r="C58" s="4" t="s">
        <v>147</v>
      </c>
      <c r="D58" s="4" t="s">
        <v>8</v>
      </c>
      <c r="E58" s="4" t="s">
        <v>16</v>
      </c>
      <c r="F58" s="4" t="s">
        <v>2951</v>
      </c>
      <c r="G58" s="6">
        <v>1.2</v>
      </c>
      <c r="H58" s="7">
        <v>45656.900752314818</v>
      </c>
      <c r="I58" s="7" t="str">
        <f>TEXT(multilingual_mobile_app_reviews_2025[[#This Row],[Review_date]],"dd-mm-yyyy")</f>
        <v>30-12-2024</v>
      </c>
      <c r="J58" s="7" t="str">
        <f>TEXT(multilingual_mobile_app_reviews_2025[[#This Row],[Review_date]],"YYYY")</f>
        <v>2024</v>
      </c>
      <c r="K58" s="7" t="str">
        <f>TEXT(multilingual_mobile_app_reviews_2025[[#This Row],[Review_date]],"MMMM")</f>
        <v>December</v>
      </c>
      <c r="L58" s="4" t="b">
        <v>1</v>
      </c>
      <c r="M58" s="4" t="s">
        <v>98</v>
      </c>
      <c r="N58" s="5">
        <v>623</v>
      </c>
      <c r="O58" s="5">
        <v>44</v>
      </c>
      <c r="P58" s="4" t="s">
        <v>80</v>
      </c>
      <c r="Q58" s="8" t="s">
        <v>12</v>
      </c>
      <c r="R58" s="4" t="s">
        <v>156</v>
      </c>
      <c r="S58" s="4"/>
      <c r="T58"/>
      <c r="U58" s="23"/>
    </row>
    <row r="59" spans="1:21" ht="15.6" x14ac:dyDescent="0.3">
      <c r="A59" s="4">
        <v>58</v>
      </c>
      <c r="B59" s="5">
        <v>6033742</v>
      </c>
      <c r="C59" s="4" t="s">
        <v>56</v>
      </c>
      <c r="D59" s="4" t="s">
        <v>157</v>
      </c>
      <c r="E59" s="4" t="s">
        <v>21</v>
      </c>
      <c r="F59" s="4" t="s">
        <v>2940</v>
      </c>
      <c r="G59" s="6">
        <v>3.8</v>
      </c>
      <c r="H59" s="7">
        <v>45744.8124537037</v>
      </c>
      <c r="I59" s="7" t="str">
        <f>TEXT(multilingual_mobile_app_reviews_2025[[#This Row],[Review_date]],"dd-mm-yyyy")</f>
        <v>28-03-2025</v>
      </c>
      <c r="J59" s="7" t="str">
        <f>TEXT(multilingual_mobile_app_reviews_2025[[#This Row],[Review_date]],"YYYY")</f>
        <v>2025</v>
      </c>
      <c r="K59" s="7" t="str">
        <f>TEXT(multilingual_mobile_app_reviews_2025[[#This Row],[Review_date]],"MMMM")</f>
        <v>March</v>
      </c>
      <c r="L59" s="4" t="b">
        <v>1</v>
      </c>
      <c r="M59" s="4" t="s">
        <v>22</v>
      </c>
      <c r="N59" s="5">
        <v>908</v>
      </c>
      <c r="O59" s="5">
        <v>41</v>
      </c>
      <c r="P59" s="4" t="s">
        <v>17</v>
      </c>
      <c r="Q59" s="8" t="s">
        <v>39</v>
      </c>
      <c r="R59" s="4" t="s">
        <v>158</v>
      </c>
      <c r="S59" s="4"/>
      <c r="T59"/>
      <c r="U59" s="23"/>
    </row>
    <row r="60" spans="1:21" ht="15.6" x14ac:dyDescent="0.3">
      <c r="A60" s="4">
        <v>59</v>
      </c>
      <c r="B60" s="5">
        <v>6917881</v>
      </c>
      <c r="C60" s="4" t="s">
        <v>159</v>
      </c>
      <c r="D60" s="4" t="s">
        <v>111</v>
      </c>
      <c r="E60" s="4" t="s">
        <v>93</v>
      </c>
      <c r="F60" s="4" t="s">
        <v>2939</v>
      </c>
      <c r="G60" s="6">
        <v>1.2</v>
      </c>
      <c r="H60" s="7">
        <v>45620.960300925923</v>
      </c>
      <c r="I60" s="7" t="str">
        <f>TEXT(multilingual_mobile_app_reviews_2025[[#This Row],[Review_date]],"dd-mm-yyyy")</f>
        <v>24-11-2024</v>
      </c>
      <c r="J60" s="7" t="str">
        <f>TEXT(multilingual_mobile_app_reviews_2025[[#This Row],[Review_date]],"YYYY")</f>
        <v>2024</v>
      </c>
      <c r="K60" s="7" t="str">
        <f>TEXT(multilingual_mobile_app_reviews_2025[[#This Row],[Review_date]],"MMMM")</f>
        <v>November</v>
      </c>
      <c r="L60" s="4" t="b">
        <v>0</v>
      </c>
      <c r="M60" s="4" t="s">
        <v>10</v>
      </c>
      <c r="N60" s="5">
        <v>498</v>
      </c>
      <c r="O60" s="5">
        <v>21</v>
      </c>
      <c r="P60" s="4" t="s">
        <v>28</v>
      </c>
      <c r="Q60" s="8" t="s">
        <v>5</v>
      </c>
      <c r="R60" s="4" t="s">
        <v>160</v>
      </c>
      <c r="S60" s="4"/>
      <c r="T60"/>
      <c r="U60" s="23"/>
    </row>
    <row r="61" spans="1:21" ht="15.6" x14ac:dyDescent="0.3">
      <c r="A61" s="4">
        <v>60</v>
      </c>
      <c r="B61" s="5">
        <v>2692974</v>
      </c>
      <c r="C61" s="4" t="s">
        <v>36</v>
      </c>
      <c r="D61" s="4" t="s">
        <v>31</v>
      </c>
      <c r="E61" s="4" t="s">
        <v>161</v>
      </c>
      <c r="F61" s="4" t="s">
        <v>2952</v>
      </c>
      <c r="G61" s="6">
        <v>1.4</v>
      </c>
      <c r="H61" s="7">
        <v>45683.57712962963</v>
      </c>
      <c r="I61" s="7" t="str">
        <f>TEXT(multilingual_mobile_app_reviews_2025[[#This Row],[Review_date]],"dd-mm-yyyy")</f>
        <v>26-01-2025</v>
      </c>
      <c r="J61" s="7" t="str">
        <f>TEXT(multilingual_mobile_app_reviews_2025[[#This Row],[Review_date]],"YYYY")</f>
        <v>2025</v>
      </c>
      <c r="K61" s="7" t="str">
        <f>TEXT(multilingual_mobile_app_reviews_2025[[#This Row],[Review_date]],"MMMM")</f>
        <v>January</v>
      </c>
      <c r="L61" s="4" t="b">
        <v>1</v>
      </c>
      <c r="M61" s="4" t="s">
        <v>98</v>
      </c>
      <c r="N61" s="5">
        <v>269</v>
      </c>
      <c r="O61" s="5">
        <v>13</v>
      </c>
      <c r="P61" s="4" t="s">
        <v>162</v>
      </c>
      <c r="Q61" s="8" t="s">
        <v>5</v>
      </c>
      <c r="R61" s="4" t="s">
        <v>163</v>
      </c>
      <c r="S61" s="4"/>
      <c r="T61"/>
      <c r="U61" s="23"/>
    </row>
    <row r="62" spans="1:21" ht="15.6" x14ac:dyDescent="0.3">
      <c r="A62" s="4">
        <v>61</v>
      </c>
      <c r="B62" s="5">
        <v>6517985</v>
      </c>
      <c r="C62" s="4" t="s">
        <v>14</v>
      </c>
      <c r="D62" s="4" t="s">
        <v>20</v>
      </c>
      <c r="E62" s="4" t="s">
        <v>130</v>
      </c>
      <c r="F62" s="4" t="s">
        <v>2948</v>
      </c>
      <c r="G62" s="6">
        <v>1.9</v>
      </c>
      <c r="H62" s="7">
        <v>45816.310231481482</v>
      </c>
      <c r="I62" s="7" t="str">
        <f>TEXT(multilingual_mobile_app_reviews_2025[[#This Row],[Review_date]],"dd-mm-yyyy")</f>
        <v>08-06-2025</v>
      </c>
      <c r="J62" s="7" t="str">
        <f>TEXT(multilingual_mobile_app_reviews_2025[[#This Row],[Review_date]],"YYYY")</f>
        <v>2025</v>
      </c>
      <c r="K62" s="7" t="str">
        <f>TEXT(multilingual_mobile_app_reviews_2025[[#This Row],[Review_date]],"MMMM")</f>
        <v>June</v>
      </c>
      <c r="L62" s="4" t="b">
        <v>1</v>
      </c>
      <c r="M62" s="4" t="s">
        <v>33</v>
      </c>
      <c r="N62" s="5">
        <v>88</v>
      </c>
      <c r="O62" s="5">
        <v>59</v>
      </c>
      <c r="P62" s="4" t="s">
        <v>94</v>
      </c>
      <c r="Q62" s="8" t="s">
        <v>2963</v>
      </c>
      <c r="R62" s="4" t="s">
        <v>164</v>
      </c>
      <c r="S62" s="4"/>
      <c r="T62"/>
      <c r="U62" s="23"/>
    </row>
    <row r="63" spans="1:21" ht="15.6" x14ac:dyDescent="0.3">
      <c r="A63" s="4">
        <v>62</v>
      </c>
      <c r="B63" s="5">
        <v>7996868</v>
      </c>
      <c r="C63" s="4" t="s">
        <v>165</v>
      </c>
      <c r="D63" s="4" t="s">
        <v>1</v>
      </c>
      <c r="E63" s="4" t="s">
        <v>16</v>
      </c>
      <c r="F63" s="4" t="s">
        <v>2951</v>
      </c>
      <c r="G63" s="6">
        <v>2.1</v>
      </c>
      <c r="H63" s="7">
        <v>45311.647638888891</v>
      </c>
      <c r="I63" s="7" t="str">
        <f>TEXT(multilingual_mobile_app_reviews_2025[[#This Row],[Review_date]],"dd-mm-yyyy")</f>
        <v>20-01-2024</v>
      </c>
      <c r="J63" s="7" t="str">
        <f>TEXT(multilingual_mobile_app_reviews_2025[[#This Row],[Review_date]],"YYYY")</f>
        <v>2024</v>
      </c>
      <c r="K63" s="7" t="str">
        <f>TEXT(multilingual_mobile_app_reviews_2025[[#This Row],[Review_date]],"MMMM")</f>
        <v>January</v>
      </c>
      <c r="L63" s="4" t="b">
        <v>1</v>
      </c>
      <c r="M63" s="4" t="s">
        <v>33</v>
      </c>
      <c r="N63" s="5">
        <v>1123</v>
      </c>
      <c r="O63" s="5">
        <v>58</v>
      </c>
      <c r="P63" s="4" t="s">
        <v>73</v>
      </c>
      <c r="Q63" s="8" t="s">
        <v>29</v>
      </c>
      <c r="R63" s="4" t="s">
        <v>166</v>
      </c>
      <c r="S63" s="4"/>
      <c r="T63"/>
      <c r="U63" s="23"/>
    </row>
    <row r="64" spans="1:21" ht="15.6" x14ac:dyDescent="0.3">
      <c r="A64" s="4">
        <v>63</v>
      </c>
      <c r="B64" s="5">
        <v>7822606</v>
      </c>
      <c r="C64" s="4" t="s">
        <v>14</v>
      </c>
      <c r="D64" s="4" t="s">
        <v>51</v>
      </c>
      <c r="E64" s="4" t="s">
        <v>130</v>
      </c>
      <c r="F64" s="4" t="s">
        <v>2960</v>
      </c>
      <c r="G64" s="6">
        <v>2.7</v>
      </c>
      <c r="H64" s="7">
        <v>45410.465983796297</v>
      </c>
      <c r="I64" s="7" t="str">
        <f>TEXT(multilingual_mobile_app_reviews_2025[[#This Row],[Review_date]],"dd-mm-yyyy")</f>
        <v>28-04-2024</v>
      </c>
      <c r="J64" s="7" t="str">
        <f>TEXT(multilingual_mobile_app_reviews_2025[[#This Row],[Review_date]],"YYYY")</f>
        <v>2024</v>
      </c>
      <c r="K64" s="7" t="str">
        <f>TEXT(multilingual_mobile_app_reviews_2025[[#This Row],[Review_date]],"MMMM")</f>
        <v>April</v>
      </c>
      <c r="L64" s="4" t="b">
        <v>1</v>
      </c>
      <c r="M64" s="4" t="s">
        <v>98</v>
      </c>
      <c r="N64" s="5">
        <v>640</v>
      </c>
      <c r="O64" s="5">
        <v>40</v>
      </c>
      <c r="P64" s="4" t="s">
        <v>73</v>
      </c>
      <c r="Q64" s="8" t="s">
        <v>39</v>
      </c>
      <c r="R64" s="4" t="s">
        <v>167</v>
      </c>
      <c r="S64" s="4"/>
      <c r="T64"/>
      <c r="U64" s="23"/>
    </row>
    <row r="65" spans="1:21" ht="15.6" x14ac:dyDescent="0.3">
      <c r="A65" s="4">
        <v>64</v>
      </c>
      <c r="B65" s="5">
        <v>3918418</v>
      </c>
      <c r="C65" s="4" t="s">
        <v>106</v>
      </c>
      <c r="D65" s="4" t="s">
        <v>157</v>
      </c>
      <c r="E65" s="4" t="s">
        <v>64</v>
      </c>
      <c r="F65" s="4" t="s">
        <v>2949</v>
      </c>
      <c r="G65" s="6">
        <v>2.2999999999999998</v>
      </c>
      <c r="H65" s="7">
        <v>45312.028101851851</v>
      </c>
      <c r="I65" s="7" t="str">
        <f>TEXT(multilingual_mobile_app_reviews_2025[[#This Row],[Review_date]],"dd-mm-yyyy")</f>
        <v>21-01-2024</v>
      </c>
      <c r="J65" s="7" t="str">
        <f>TEXT(multilingual_mobile_app_reviews_2025[[#This Row],[Review_date]],"YYYY")</f>
        <v>2024</v>
      </c>
      <c r="K65" s="7" t="str">
        <f>TEXT(multilingual_mobile_app_reviews_2025[[#This Row],[Review_date]],"MMMM")</f>
        <v>January</v>
      </c>
      <c r="L65" s="4" t="b">
        <v>1</v>
      </c>
      <c r="M65" s="4" t="s">
        <v>98</v>
      </c>
      <c r="N65" s="5">
        <v>841</v>
      </c>
      <c r="O65" s="5">
        <v>35</v>
      </c>
      <c r="P65" s="4" t="s">
        <v>94</v>
      </c>
      <c r="Q65" s="8" t="s">
        <v>29</v>
      </c>
      <c r="R65" s="4" t="s">
        <v>168</v>
      </c>
      <c r="S65" s="4"/>
      <c r="T65"/>
      <c r="U65" s="23"/>
    </row>
    <row r="66" spans="1:21" ht="15.6" x14ac:dyDescent="0.3">
      <c r="A66" s="4">
        <v>65</v>
      </c>
      <c r="B66" s="5">
        <v>3340180</v>
      </c>
      <c r="C66" s="4" t="s">
        <v>25</v>
      </c>
      <c r="D66" s="4" t="s">
        <v>97</v>
      </c>
      <c r="E66" s="4" t="s">
        <v>169</v>
      </c>
      <c r="F66" s="4" t="s">
        <v>2943</v>
      </c>
      <c r="G66" s="6">
        <v>1.5</v>
      </c>
      <c r="H66" s="7">
        <v>45689.408067129632</v>
      </c>
      <c r="I66" s="7" t="str">
        <f>TEXT(multilingual_mobile_app_reviews_2025[[#This Row],[Review_date]],"dd-mm-yyyy")</f>
        <v>01-02-2025</v>
      </c>
      <c r="J66" s="7" t="str">
        <f>TEXT(multilingual_mobile_app_reviews_2025[[#This Row],[Review_date]],"YYYY")</f>
        <v>2025</v>
      </c>
      <c r="K66" s="7" t="str">
        <f>TEXT(multilingual_mobile_app_reviews_2025[[#This Row],[Review_date]],"MMMM")</f>
        <v>February</v>
      </c>
      <c r="L66" s="4" t="b">
        <v>1</v>
      </c>
      <c r="M66" s="4" t="s">
        <v>10</v>
      </c>
      <c r="N66" s="5">
        <v>1175</v>
      </c>
      <c r="O66" s="5">
        <v>27</v>
      </c>
      <c r="P66" s="4" t="s">
        <v>90</v>
      </c>
      <c r="Q66" s="8" t="s">
        <v>2963</v>
      </c>
      <c r="R66" s="4" t="s">
        <v>170</v>
      </c>
      <c r="S66" s="4"/>
      <c r="T66"/>
      <c r="U66" s="23"/>
    </row>
    <row r="67" spans="1:21" ht="15.6" x14ac:dyDescent="0.3">
      <c r="A67" s="4">
        <v>66</v>
      </c>
      <c r="B67" s="5">
        <v>128374</v>
      </c>
      <c r="C67" s="4" t="s">
        <v>19</v>
      </c>
      <c r="D67" s="4" t="s">
        <v>42</v>
      </c>
      <c r="E67" s="4" t="s">
        <v>76</v>
      </c>
      <c r="F67" s="4" t="s">
        <v>2951</v>
      </c>
      <c r="G67" s="6">
        <v>3.3</v>
      </c>
      <c r="H67" s="7">
        <v>45542.712326388886</v>
      </c>
      <c r="I67" s="7" t="str">
        <f>TEXT(multilingual_mobile_app_reviews_2025[[#This Row],[Review_date]],"dd-mm-yyyy")</f>
        <v>07-09-2024</v>
      </c>
      <c r="J67" s="7" t="str">
        <f>TEXT(multilingual_mobile_app_reviews_2025[[#This Row],[Review_date]],"YYYY")</f>
        <v>2024</v>
      </c>
      <c r="K67" s="7" t="str">
        <f>TEXT(multilingual_mobile_app_reviews_2025[[#This Row],[Review_date]],"MMMM")</f>
        <v>September</v>
      </c>
      <c r="L67" s="4" t="b">
        <v>1</v>
      </c>
      <c r="M67" s="4" t="s">
        <v>3</v>
      </c>
      <c r="N67" s="5">
        <v>142</v>
      </c>
      <c r="O67" s="5">
        <v>22</v>
      </c>
      <c r="P67" s="4" t="s">
        <v>44</v>
      </c>
      <c r="Q67" s="8" t="s">
        <v>12</v>
      </c>
      <c r="R67" s="4" t="s">
        <v>171</v>
      </c>
      <c r="S67" s="4"/>
      <c r="T67"/>
      <c r="U67" s="23"/>
    </row>
    <row r="68" spans="1:21" ht="15.6" x14ac:dyDescent="0.3">
      <c r="A68" s="4">
        <v>67</v>
      </c>
      <c r="B68" s="5">
        <v>3405700</v>
      </c>
      <c r="C68" s="4" t="s">
        <v>123</v>
      </c>
      <c r="D68" s="4" t="s">
        <v>26</v>
      </c>
      <c r="E68" s="4" t="s">
        <v>93</v>
      </c>
      <c r="F68" s="4" t="s">
        <v>2940</v>
      </c>
      <c r="G68" s="6">
        <v>3.7</v>
      </c>
      <c r="H68" s="7">
        <v>45421.777442129627</v>
      </c>
      <c r="I68" s="7" t="str">
        <f>TEXT(multilingual_mobile_app_reviews_2025[[#This Row],[Review_date]],"dd-mm-yyyy")</f>
        <v>09-05-2024</v>
      </c>
      <c r="J68" s="7" t="str">
        <f>TEXT(multilingual_mobile_app_reviews_2025[[#This Row],[Review_date]],"YYYY")</f>
        <v>2024</v>
      </c>
      <c r="K68" s="7" t="str">
        <f>TEXT(multilingual_mobile_app_reviews_2025[[#This Row],[Review_date]],"MMMM")</f>
        <v>May</v>
      </c>
      <c r="L68" s="4" t="b">
        <v>1</v>
      </c>
      <c r="M68" s="4" t="s">
        <v>10</v>
      </c>
      <c r="N68" s="5">
        <v>907</v>
      </c>
      <c r="O68" s="5">
        <v>55</v>
      </c>
      <c r="P68" s="4" t="s">
        <v>90</v>
      </c>
      <c r="Q68" s="8" t="s">
        <v>29</v>
      </c>
      <c r="R68" s="4" t="s">
        <v>172</v>
      </c>
      <c r="S68" s="4"/>
      <c r="T68"/>
      <c r="U68" s="23"/>
    </row>
    <row r="69" spans="1:21" ht="15.6" x14ac:dyDescent="0.3">
      <c r="A69" s="4">
        <v>68</v>
      </c>
      <c r="B69" s="5">
        <v>1273965</v>
      </c>
      <c r="C69" s="4" t="s">
        <v>14</v>
      </c>
      <c r="D69" s="4" t="s">
        <v>71</v>
      </c>
      <c r="E69" s="4" t="s">
        <v>32</v>
      </c>
      <c r="F69" s="4" t="s">
        <v>2955</v>
      </c>
      <c r="G69" s="6">
        <v>1.2</v>
      </c>
      <c r="H69" s="7">
        <v>45654.806921296295</v>
      </c>
      <c r="I69" s="7" t="str">
        <f>TEXT(multilingual_mobile_app_reviews_2025[[#This Row],[Review_date]],"dd-mm-yyyy")</f>
        <v>28-12-2024</v>
      </c>
      <c r="J69" s="7" t="str">
        <f>TEXT(multilingual_mobile_app_reviews_2025[[#This Row],[Review_date]],"YYYY")</f>
        <v>2024</v>
      </c>
      <c r="K69" s="7" t="str">
        <f>TEXT(multilingual_mobile_app_reviews_2025[[#This Row],[Review_date]],"MMMM")</f>
        <v>December</v>
      </c>
      <c r="L69" s="4" t="b">
        <v>1</v>
      </c>
      <c r="M69" s="4" t="s">
        <v>22</v>
      </c>
      <c r="N69" s="5">
        <v>617</v>
      </c>
      <c r="O69" s="5">
        <v>73</v>
      </c>
      <c r="P69" s="4" t="s">
        <v>127</v>
      </c>
      <c r="Q69" s="8" t="s">
        <v>5</v>
      </c>
      <c r="R69" s="4" t="s">
        <v>173</v>
      </c>
      <c r="S69" s="4"/>
      <c r="T69"/>
      <c r="U69" s="23"/>
    </row>
    <row r="70" spans="1:21" ht="15.6" x14ac:dyDescent="0.3">
      <c r="A70" s="4">
        <v>69</v>
      </c>
      <c r="B70" s="5">
        <v>5366630</v>
      </c>
      <c r="C70" s="4" t="s">
        <v>174</v>
      </c>
      <c r="D70" s="4" t="s">
        <v>15</v>
      </c>
      <c r="E70" s="4" t="s">
        <v>109</v>
      </c>
      <c r="F70" s="4" t="s">
        <v>2945</v>
      </c>
      <c r="G70" s="6">
        <v>1.1000000000000001</v>
      </c>
      <c r="H70" s="7">
        <v>45654.146539351852</v>
      </c>
      <c r="I70" s="7" t="str">
        <f>TEXT(multilingual_mobile_app_reviews_2025[[#This Row],[Review_date]],"dd-mm-yyyy")</f>
        <v>28-12-2024</v>
      </c>
      <c r="J70" s="7" t="str">
        <f>TEXT(multilingual_mobile_app_reviews_2025[[#This Row],[Review_date]],"YYYY")</f>
        <v>2024</v>
      </c>
      <c r="K70" s="7" t="str">
        <f>TEXT(multilingual_mobile_app_reviews_2025[[#This Row],[Review_date]],"MMMM")</f>
        <v>December</v>
      </c>
      <c r="L70" s="4" t="b">
        <v>1</v>
      </c>
      <c r="M70" s="4" t="s">
        <v>98</v>
      </c>
      <c r="N70" s="5">
        <v>641</v>
      </c>
      <c r="O70" s="5">
        <v>49</v>
      </c>
      <c r="P70" s="4" t="s">
        <v>90</v>
      </c>
      <c r="Q70" s="8" t="s">
        <v>2963</v>
      </c>
      <c r="R70" s="4" t="s">
        <v>175</v>
      </c>
      <c r="S70" s="4"/>
      <c r="T70"/>
      <c r="U70" s="23"/>
    </row>
    <row r="71" spans="1:21" ht="15.6" x14ac:dyDescent="0.3">
      <c r="A71" s="4">
        <v>70</v>
      </c>
      <c r="B71" s="5">
        <v>5138571</v>
      </c>
      <c r="C71" s="4" t="s">
        <v>176</v>
      </c>
      <c r="D71" s="4" t="s">
        <v>57</v>
      </c>
      <c r="E71" s="4" t="s">
        <v>93</v>
      </c>
      <c r="F71" s="4" t="s">
        <v>2960</v>
      </c>
      <c r="G71" s="6">
        <v>3.1</v>
      </c>
      <c r="H71" s="7">
        <v>45532.771956018521</v>
      </c>
      <c r="I71" s="7" t="str">
        <f>TEXT(multilingual_mobile_app_reviews_2025[[#This Row],[Review_date]],"dd-mm-yyyy")</f>
        <v>28-08-2024</v>
      </c>
      <c r="J71" s="7" t="str">
        <f>TEXT(multilingual_mobile_app_reviews_2025[[#This Row],[Review_date]],"YYYY")</f>
        <v>2024</v>
      </c>
      <c r="K71" s="7" t="str">
        <f>TEXT(multilingual_mobile_app_reviews_2025[[#This Row],[Review_date]],"MMMM")</f>
        <v>August</v>
      </c>
      <c r="L71" s="4" t="b">
        <v>1</v>
      </c>
      <c r="M71" s="4" t="s">
        <v>3</v>
      </c>
      <c r="N71" s="5">
        <v>635</v>
      </c>
      <c r="O71" s="5">
        <v>60</v>
      </c>
      <c r="P71" s="4" t="s">
        <v>73</v>
      </c>
      <c r="Q71" s="8" t="s">
        <v>5</v>
      </c>
      <c r="R71" s="4" t="s">
        <v>177</v>
      </c>
      <c r="S71" s="4"/>
      <c r="T71"/>
      <c r="U71" s="23"/>
    </row>
    <row r="72" spans="1:21" ht="15.6" x14ac:dyDescent="0.3">
      <c r="A72" s="4">
        <v>71</v>
      </c>
      <c r="B72" s="5">
        <v>6951696</v>
      </c>
      <c r="C72" s="4" t="s">
        <v>84</v>
      </c>
      <c r="D72" s="4" t="s">
        <v>79</v>
      </c>
      <c r="E72" s="4" t="s">
        <v>76</v>
      </c>
      <c r="F72" s="4" t="s">
        <v>2955</v>
      </c>
      <c r="G72" s="6">
        <v>1.6</v>
      </c>
      <c r="H72" s="7">
        <v>45392.23201388889</v>
      </c>
      <c r="I72" s="7" t="str">
        <f>TEXT(multilingual_mobile_app_reviews_2025[[#This Row],[Review_date]],"dd-mm-yyyy")</f>
        <v>10-04-2024</v>
      </c>
      <c r="J72" s="7" t="str">
        <f>TEXT(multilingual_mobile_app_reviews_2025[[#This Row],[Review_date]],"YYYY")</f>
        <v>2024</v>
      </c>
      <c r="K72" s="7" t="str">
        <f>TEXT(multilingual_mobile_app_reviews_2025[[#This Row],[Review_date]],"MMMM")</f>
        <v>April</v>
      </c>
      <c r="L72" s="4" t="b">
        <v>1</v>
      </c>
      <c r="M72" s="4" t="s">
        <v>98</v>
      </c>
      <c r="N72" s="5">
        <v>362</v>
      </c>
      <c r="O72" s="5">
        <v>73</v>
      </c>
      <c r="P72" s="4" t="s">
        <v>38</v>
      </c>
      <c r="Q72" s="8" t="s">
        <v>29</v>
      </c>
      <c r="R72" s="4" t="s">
        <v>178</v>
      </c>
      <c r="S72" s="4"/>
      <c r="T72"/>
      <c r="U72" s="23"/>
    </row>
    <row r="73" spans="1:21" ht="15.6" x14ac:dyDescent="0.3">
      <c r="A73" s="4">
        <v>72</v>
      </c>
      <c r="B73" s="5">
        <v>5060271</v>
      </c>
      <c r="C73" s="4" t="s">
        <v>0</v>
      </c>
      <c r="D73" s="4" t="s">
        <v>26</v>
      </c>
      <c r="E73" s="4" t="s">
        <v>21</v>
      </c>
      <c r="F73" s="4" t="s">
        <v>2944</v>
      </c>
      <c r="G73" s="6">
        <v>3.4</v>
      </c>
      <c r="H73" s="7">
        <v>45569.503159722219</v>
      </c>
      <c r="I73" s="7" t="str">
        <f>TEXT(multilingual_mobile_app_reviews_2025[[#This Row],[Review_date]],"dd-mm-yyyy")</f>
        <v>04-10-2024</v>
      </c>
      <c r="J73" s="7" t="str">
        <f>TEXT(multilingual_mobile_app_reviews_2025[[#This Row],[Review_date]],"YYYY")</f>
        <v>2024</v>
      </c>
      <c r="K73" s="7" t="str">
        <f>TEXT(multilingual_mobile_app_reviews_2025[[#This Row],[Review_date]],"MMMM")</f>
        <v>October</v>
      </c>
      <c r="L73" s="4" t="b">
        <v>1</v>
      </c>
      <c r="M73" s="4" t="s">
        <v>10</v>
      </c>
      <c r="N73" s="5">
        <v>1039</v>
      </c>
      <c r="O73" s="5">
        <v>17</v>
      </c>
      <c r="P73" s="4" t="s">
        <v>114</v>
      </c>
      <c r="Q73" s="8" t="s">
        <v>29</v>
      </c>
      <c r="R73" s="4" t="s">
        <v>179</v>
      </c>
      <c r="S73" s="4"/>
      <c r="T73"/>
      <c r="U73" s="23"/>
    </row>
    <row r="74" spans="1:21" ht="15.6" x14ac:dyDescent="0.3">
      <c r="A74" s="4">
        <v>73</v>
      </c>
      <c r="B74" s="5">
        <v>3318542</v>
      </c>
      <c r="C74" s="4" t="s">
        <v>106</v>
      </c>
      <c r="D74" s="4" t="s">
        <v>97</v>
      </c>
      <c r="E74" s="4" t="s">
        <v>93</v>
      </c>
      <c r="F74" s="4" t="s">
        <v>2956</v>
      </c>
      <c r="G74" s="6">
        <v>1.8</v>
      </c>
      <c r="H74" s="7">
        <v>45465.448576388888</v>
      </c>
      <c r="I74" s="7" t="str">
        <f>TEXT(multilingual_mobile_app_reviews_2025[[#This Row],[Review_date]],"dd-mm-yyyy")</f>
        <v>22-06-2024</v>
      </c>
      <c r="J74" s="7" t="str">
        <f>TEXT(multilingual_mobile_app_reviews_2025[[#This Row],[Review_date]],"YYYY")</f>
        <v>2024</v>
      </c>
      <c r="K74" s="7" t="str">
        <f>TEXT(multilingual_mobile_app_reviews_2025[[#This Row],[Review_date]],"MMMM")</f>
        <v>June</v>
      </c>
      <c r="L74" s="4" t="b">
        <v>0</v>
      </c>
      <c r="M74" s="4" t="s">
        <v>33</v>
      </c>
      <c r="N74" s="5">
        <v>974</v>
      </c>
      <c r="O74" s="5">
        <v>45</v>
      </c>
      <c r="P74" s="4" t="s">
        <v>180</v>
      </c>
      <c r="Q74" s="8" t="s">
        <v>12</v>
      </c>
      <c r="R74" s="4" t="s">
        <v>181</v>
      </c>
      <c r="S74" s="4"/>
      <c r="T74"/>
      <c r="U74" s="23"/>
    </row>
    <row r="75" spans="1:21" ht="15.6" x14ac:dyDescent="0.3">
      <c r="A75" s="4">
        <v>74</v>
      </c>
      <c r="B75" s="5">
        <v>6461002</v>
      </c>
      <c r="C75" s="4" t="s">
        <v>92</v>
      </c>
      <c r="D75" s="4" t="s">
        <v>63</v>
      </c>
      <c r="E75" s="4" t="s">
        <v>9</v>
      </c>
      <c r="F75" s="4" t="s">
        <v>2943</v>
      </c>
      <c r="G75" s="6">
        <v>4.7</v>
      </c>
      <c r="H75" s="7">
        <v>45664.96665509259</v>
      </c>
      <c r="I75" s="7" t="str">
        <f>TEXT(multilingual_mobile_app_reviews_2025[[#This Row],[Review_date]],"dd-mm-yyyy")</f>
        <v>07-01-2025</v>
      </c>
      <c r="J75" s="7" t="str">
        <f>TEXT(multilingual_mobile_app_reviews_2025[[#This Row],[Review_date]],"YYYY")</f>
        <v>2025</v>
      </c>
      <c r="K75" s="7" t="str">
        <f>TEXT(multilingual_mobile_app_reviews_2025[[#This Row],[Review_date]],"MMMM")</f>
        <v>January</v>
      </c>
      <c r="L75" s="4" t="b">
        <v>0</v>
      </c>
      <c r="M75" s="4" t="s">
        <v>3</v>
      </c>
      <c r="N75" s="5">
        <v>837</v>
      </c>
      <c r="O75" s="5">
        <v>62</v>
      </c>
      <c r="P75" s="4" t="s">
        <v>73</v>
      </c>
      <c r="Q75" s="8" t="s">
        <v>2963</v>
      </c>
      <c r="R75" s="4" t="s">
        <v>182</v>
      </c>
      <c r="S75" s="4"/>
      <c r="T75"/>
      <c r="U75" s="23"/>
    </row>
    <row r="76" spans="1:21" ht="15.6" x14ac:dyDescent="0.3">
      <c r="A76" s="4">
        <v>75</v>
      </c>
      <c r="B76" s="5">
        <v>3019694</v>
      </c>
      <c r="C76" s="4" t="s">
        <v>101</v>
      </c>
      <c r="D76" s="4" t="s">
        <v>71</v>
      </c>
      <c r="E76" s="4" t="s">
        <v>76</v>
      </c>
      <c r="F76" s="4" t="s">
        <v>2943</v>
      </c>
      <c r="G76" s="6">
        <v>2.2000000000000002</v>
      </c>
      <c r="H76" s="7">
        <v>45616.962824074071</v>
      </c>
      <c r="I76" s="7" t="str">
        <f>TEXT(multilingual_mobile_app_reviews_2025[[#This Row],[Review_date]],"dd-mm-yyyy")</f>
        <v>20-11-2024</v>
      </c>
      <c r="J76" s="7" t="str">
        <f>TEXT(multilingual_mobile_app_reviews_2025[[#This Row],[Review_date]],"YYYY")</f>
        <v>2024</v>
      </c>
      <c r="K76" s="7" t="str">
        <f>TEXT(multilingual_mobile_app_reviews_2025[[#This Row],[Review_date]],"MMMM")</f>
        <v>November</v>
      </c>
      <c r="L76" s="4" t="b">
        <v>1</v>
      </c>
      <c r="M76" s="4" t="s">
        <v>3</v>
      </c>
      <c r="N76" s="5">
        <v>264</v>
      </c>
      <c r="O76" s="5">
        <v>51</v>
      </c>
      <c r="P76" s="4" t="s">
        <v>61</v>
      </c>
      <c r="Q76" s="8" t="s">
        <v>12</v>
      </c>
      <c r="R76" s="4" t="s">
        <v>183</v>
      </c>
      <c r="S76" s="4"/>
      <c r="T76"/>
      <c r="U76" s="23"/>
    </row>
    <row r="77" spans="1:21" ht="15.6" x14ac:dyDescent="0.3">
      <c r="A77" s="4">
        <v>76</v>
      </c>
      <c r="B77" s="5">
        <v>5149101</v>
      </c>
      <c r="C77" s="4" t="s">
        <v>41</v>
      </c>
      <c r="D77" s="4" t="s">
        <v>20</v>
      </c>
      <c r="E77" s="4" t="s">
        <v>76</v>
      </c>
      <c r="F77" s="4" t="s">
        <v>2959</v>
      </c>
      <c r="G77" s="6">
        <v>2.4</v>
      </c>
      <c r="H77" s="7">
        <v>45454.286168981482</v>
      </c>
      <c r="I77" s="7" t="str">
        <f>TEXT(multilingual_mobile_app_reviews_2025[[#This Row],[Review_date]],"dd-mm-yyyy")</f>
        <v>11-06-2024</v>
      </c>
      <c r="J77" s="7" t="str">
        <f>TEXT(multilingual_mobile_app_reviews_2025[[#This Row],[Review_date]],"YYYY")</f>
        <v>2024</v>
      </c>
      <c r="K77" s="7" t="str">
        <f>TEXT(multilingual_mobile_app_reviews_2025[[#This Row],[Review_date]],"MMMM")</f>
        <v>June</v>
      </c>
      <c r="L77" s="4" t="b">
        <v>1</v>
      </c>
      <c r="M77" s="4" t="s">
        <v>3</v>
      </c>
      <c r="N77" s="5">
        <v>393</v>
      </c>
      <c r="O77" s="5">
        <v>27</v>
      </c>
      <c r="P77" s="4" t="s">
        <v>180</v>
      </c>
      <c r="Q77" s="8" t="s">
        <v>5</v>
      </c>
      <c r="R77" s="4" t="s">
        <v>184</v>
      </c>
      <c r="S77" s="4"/>
      <c r="T77"/>
      <c r="U77" s="23"/>
    </row>
    <row r="78" spans="1:21" ht="15.6" x14ac:dyDescent="0.3">
      <c r="A78" s="4">
        <v>77</v>
      </c>
      <c r="B78" s="5">
        <v>106810</v>
      </c>
      <c r="C78" s="4" t="s">
        <v>41</v>
      </c>
      <c r="D78" s="4" t="s">
        <v>63</v>
      </c>
      <c r="E78" s="4" t="s">
        <v>76</v>
      </c>
      <c r="F78" s="4" t="s">
        <v>2952</v>
      </c>
      <c r="G78" s="6">
        <v>4.3</v>
      </c>
      <c r="H78" s="7">
        <v>45374.904907407406</v>
      </c>
      <c r="I78" s="7" t="str">
        <f>TEXT(multilingual_mobile_app_reviews_2025[[#This Row],[Review_date]],"dd-mm-yyyy")</f>
        <v>23-03-2024</v>
      </c>
      <c r="J78" s="7" t="str">
        <f>TEXT(multilingual_mobile_app_reviews_2025[[#This Row],[Review_date]],"YYYY")</f>
        <v>2024</v>
      </c>
      <c r="K78" s="7" t="str">
        <f>TEXT(multilingual_mobile_app_reviews_2025[[#This Row],[Review_date]],"MMMM")</f>
        <v>March</v>
      </c>
      <c r="L78" s="4" t="b">
        <v>1</v>
      </c>
      <c r="M78" s="4" t="s">
        <v>33</v>
      </c>
      <c r="N78" s="5">
        <v>339</v>
      </c>
      <c r="O78" s="5">
        <v>59</v>
      </c>
      <c r="P78" s="4" t="s">
        <v>70</v>
      </c>
      <c r="Q78" s="8" t="s">
        <v>12</v>
      </c>
      <c r="R78" s="4" t="s">
        <v>185</v>
      </c>
      <c r="S78" s="4"/>
      <c r="T78"/>
      <c r="U78" s="23"/>
    </row>
    <row r="79" spans="1:21" ht="15.6" x14ac:dyDescent="0.3">
      <c r="A79" s="4">
        <v>78</v>
      </c>
      <c r="B79" s="5">
        <v>3626280</v>
      </c>
      <c r="C79" s="4" t="s">
        <v>104</v>
      </c>
      <c r="D79" s="4" t="s">
        <v>8</v>
      </c>
      <c r="E79" s="4" t="s">
        <v>93</v>
      </c>
      <c r="F79" s="4" t="s">
        <v>2946</v>
      </c>
      <c r="G79" s="6">
        <v>2.8</v>
      </c>
      <c r="H79" s="7">
        <v>45472.782256944447</v>
      </c>
      <c r="I79" s="7" t="str">
        <f>TEXT(multilingual_mobile_app_reviews_2025[[#This Row],[Review_date]],"dd-mm-yyyy")</f>
        <v>29-06-2024</v>
      </c>
      <c r="J79" s="7" t="str">
        <f>TEXT(multilingual_mobile_app_reviews_2025[[#This Row],[Review_date]],"YYYY")</f>
        <v>2024</v>
      </c>
      <c r="K79" s="7" t="str">
        <f>TEXT(multilingual_mobile_app_reviews_2025[[#This Row],[Review_date]],"MMMM")</f>
        <v>June</v>
      </c>
      <c r="L79" s="4" t="b">
        <v>1</v>
      </c>
      <c r="M79" s="4" t="s">
        <v>10</v>
      </c>
      <c r="N79" s="5">
        <v>782</v>
      </c>
      <c r="O79" s="5">
        <v>45</v>
      </c>
      <c r="P79" s="4" t="s">
        <v>85</v>
      </c>
      <c r="Q79" s="8" t="s">
        <v>29</v>
      </c>
      <c r="R79" s="4" t="s">
        <v>186</v>
      </c>
      <c r="S79" s="4"/>
      <c r="T79"/>
      <c r="U79" s="23"/>
    </row>
    <row r="80" spans="1:21" ht="15.6" x14ac:dyDescent="0.3">
      <c r="A80" s="4">
        <v>79</v>
      </c>
      <c r="B80" s="5">
        <v>5506444</v>
      </c>
      <c r="C80" s="4" t="s">
        <v>54</v>
      </c>
      <c r="D80" s="4" t="s">
        <v>79</v>
      </c>
      <c r="E80" s="4" t="s">
        <v>76</v>
      </c>
      <c r="F80" s="4" t="s">
        <v>2944</v>
      </c>
      <c r="G80" s="6">
        <v>2.8</v>
      </c>
      <c r="H80" s="7">
        <v>45500.045266203706</v>
      </c>
      <c r="I80" s="7" t="str">
        <f>TEXT(multilingual_mobile_app_reviews_2025[[#This Row],[Review_date]],"dd-mm-yyyy")</f>
        <v>27-07-2024</v>
      </c>
      <c r="J80" s="7" t="str">
        <f>TEXT(multilingual_mobile_app_reviews_2025[[#This Row],[Review_date]],"YYYY")</f>
        <v>2024</v>
      </c>
      <c r="K80" s="7" t="str">
        <f>TEXT(multilingual_mobile_app_reviews_2025[[#This Row],[Review_date]],"MMMM")</f>
        <v>July</v>
      </c>
      <c r="L80" s="4" t="b">
        <v>1</v>
      </c>
      <c r="M80" s="4" t="s">
        <v>33</v>
      </c>
      <c r="N80" s="5">
        <v>301</v>
      </c>
      <c r="O80" s="5">
        <v>66</v>
      </c>
      <c r="P80" s="4" t="s">
        <v>90</v>
      </c>
      <c r="Q80" s="8" t="s">
        <v>12</v>
      </c>
      <c r="R80" s="4" t="s">
        <v>187</v>
      </c>
      <c r="S80" s="4"/>
      <c r="T80"/>
      <c r="U80" s="23"/>
    </row>
    <row r="81" spans="1:21" ht="15.6" x14ac:dyDescent="0.3">
      <c r="A81" s="4">
        <v>80</v>
      </c>
      <c r="B81" s="5">
        <v>7518210</v>
      </c>
      <c r="C81" s="4" t="s">
        <v>75</v>
      </c>
      <c r="D81" s="4" t="s">
        <v>15</v>
      </c>
      <c r="E81" s="4" t="s">
        <v>109</v>
      </c>
      <c r="F81" s="4" t="s">
        <v>2954</v>
      </c>
      <c r="G81" s="6">
        <v>4.7</v>
      </c>
      <c r="H81" s="7">
        <v>45663.653449074074</v>
      </c>
      <c r="I81" s="7" t="str">
        <f>TEXT(multilingual_mobile_app_reviews_2025[[#This Row],[Review_date]],"dd-mm-yyyy")</f>
        <v>06-01-2025</v>
      </c>
      <c r="J81" s="7" t="str">
        <f>TEXT(multilingual_mobile_app_reviews_2025[[#This Row],[Review_date]],"YYYY")</f>
        <v>2025</v>
      </c>
      <c r="K81" s="7" t="str">
        <f>TEXT(multilingual_mobile_app_reviews_2025[[#This Row],[Review_date]],"MMMM")</f>
        <v>January</v>
      </c>
      <c r="L81" s="4" t="b">
        <v>1</v>
      </c>
      <c r="M81" s="4" t="s">
        <v>10</v>
      </c>
      <c r="N81" s="5">
        <v>299</v>
      </c>
      <c r="O81" s="5">
        <v>21</v>
      </c>
      <c r="P81" s="4" t="s">
        <v>23</v>
      </c>
      <c r="Q81" s="8" t="s">
        <v>39</v>
      </c>
      <c r="R81" s="4" t="s">
        <v>188</v>
      </c>
      <c r="S81" s="4"/>
      <c r="T81"/>
      <c r="U81" s="23"/>
    </row>
    <row r="82" spans="1:21" ht="15.6" x14ac:dyDescent="0.3">
      <c r="A82" s="4">
        <v>81</v>
      </c>
      <c r="B82" s="5">
        <v>8676076</v>
      </c>
      <c r="C82" s="4" t="s">
        <v>147</v>
      </c>
      <c r="D82" s="4" t="s">
        <v>42</v>
      </c>
      <c r="E82" s="4" t="s">
        <v>189</v>
      </c>
      <c r="F82" s="4" t="s">
        <v>2955</v>
      </c>
      <c r="G82" s="6">
        <v>3.1</v>
      </c>
      <c r="H82" s="7">
        <v>45492.610451388886</v>
      </c>
      <c r="I82" s="7" t="str">
        <f>TEXT(multilingual_mobile_app_reviews_2025[[#This Row],[Review_date]],"dd-mm-yyyy")</f>
        <v>19-07-2024</v>
      </c>
      <c r="J82" s="7" t="str">
        <f>TEXT(multilingual_mobile_app_reviews_2025[[#This Row],[Review_date]],"YYYY")</f>
        <v>2024</v>
      </c>
      <c r="K82" s="7" t="str">
        <f>TEXT(multilingual_mobile_app_reviews_2025[[#This Row],[Review_date]],"MMMM")</f>
        <v>July</v>
      </c>
      <c r="L82" s="4" t="b">
        <v>1</v>
      </c>
      <c r="M82" s="4" t="s">
        <v>98</v>
      </c>
      <c r="N82" s="5">
        <v>590</v>
      </c>
      <c r="O82" s="5">
        <v>28</v>
      </c>
      <c r="P82" s="4" t="s">
        <v>114</v>
      </c>
      <c r="Q82" s="8" t="s">
        <v>12</v>
      </c>
      <c r="R82" s="4" t="s">
        <v>190</v>
      </c>
      <c r="S82" s="4"/>
      <c r="T82"/>
      <c r="U82" s="23"/>
    </row>
    <row r="83" spans="1:21" ht="15.6" x14ac:dyDescent="0.3">
      <c r="A83" s="4">
        <v>82</v>
      </c>
      <c r="B83" s="5">
        <v>9758155</v>
      </c>
      <c r="C83" s="4" t="s">
        <v>59</v>
      </c>
      <c r="D83" s="4" t="s">
        <v>51</v>
      </c>
      <c r="E83" s="4" t="s">
        <v>109</v>
      </c>
      <c r="F83" s="4" t="s">
        <v>2955</v>
      </c>
      <c r="G83" s="6">
        <v>2.4</v>
      </c>
      <c r="H83" s="7">
        <v>45289.900567129633</v>
      </c>
      <c r="I83" s="7" t="str">
        <f>TEXT(multilingual_mobile_app_reviews_2025[[#This Row],[Review_date]],"dd-mm-yyyy")</f>
        <v>29-12-2023</v>
      </c>
      <c r="J83" s="7" t="str">
        <f>TEXT(multilingual_mobile_app_reviews_2025[[#This Row],[Review_date]],"YYYY")</f>
        <v>2023</v>
      </c>
      <c r="K83" s="7" t="str">
        <f>TEXT(multilingual_mobile_app_reviews_2025[[#This Row],[Review_date]],"MMMM")</f>
        <v>December</v>
      </c>
      <c r="L83" s="4" t="b">
        <v>0</v>
      </c>
      <c r="M83" s="4" t="s">
        <v>33</v>
      </c>
      <c r="N83" s="5">
        <v>853</v>
      </c>
      <c r="O83" s="5">
        <v>24</v>
      </c>
      <c r="P83" s="4" t="s">
        <v>94</v>
      </c>
      <c r="Q83" s="8" t="s">
        <v>12</v>
      </c>
      <c r="R83" s="4" t="s">
        <v>191</v>
      </c>
      <c r="S83" s="4"/>
      <c r="T83"/>
      <c r="U83" s="23"/>
    </row>
    <row r="84" spans="1:21" ht="15.6" x14ac:dyDescent="0.3">
      <c r="A84" s="4">
        <v>83</v>
      </c>
      <c r="B84" s="5">
        <v>6542089</v>
      </c>
      <c r="C84" s="4" t="s">
        <v>192</v>
      </c>
      <c r="D84" s="4" t="s">
        <v>51</v>
      </c>
      <c r="E84" s="4" t="s">
        <v>193</v>
      </c>
      <c r="F84" s="4" t="s">
        <v>2939</v>
      </c>
      <c r="G84" s="6">
        <v>2.4</v>
      </c>
      <c r="H84" s="7">
        <v>45601.379745370374</v>
      </c>
      <c r="I84" s="7" t="str">
        <f>TEXT(multilingual_mobile_app_reviews_2025[[#This Row],[Review_date]],"dd-mm-yyyy")</f>
        <v>05-11-2024</v>
      </c>
      <c r="J84" s="7" t="str">
        <f>TEXT(multilingual_mobile_app_reviews_2025[[#This Row],[Review_date]],"YYYY")</f>
        <v>2024</v>
      </c>
      <c r="K84" s="7" t="str">
        <f>TEXT(multilingual_mobile_app_reviews_2025[[#This Row],[Review_date]],"MMMM")</f>
        <v>November</v>
      </c>
      <c r="L84" s="4" t="b">
        <v>1</v>
      </c>
      <c r="M84" s="4" t="s">
        <v>98</v>
      </c>
      <c r="N84" s="5">
        <v>706</v>
      </c>
      <c r="O84" s="5">
        <v>28</v>
      </c>
      <c r="P84" s="4" t="s">
        <v>44</v>
      </c>
      <c r="Q84" s="8" t="s">
        <v>12</v>
      </c>
      <c r="R84" s="4" t="s">
        <v>194</v>
      </c>
      <c r="S84" s="4"/>
      <c r="T84"/>
      <c r="U84" s="23"/>
    </row>
    <row r="85" spans="1:21" ht="15.6" x14ac:dyDescent="0.3">
      <c r="A85" s="4">
        <v>84</v>
      </c>
      <c r="B85" s="5">
        <v>7525149</v>
      </c>
      <c r="C85" s="4" t="s">
        <v>92</v>
      </c>
      <c r="D85" s="4" t="s">
        <v>57</v>
      </c>
      <c r="E85" s="4" t="s">
        <v>130</v>
      </c>
      <c r="F85" s="4" t="s">
        <v>2940</v>
      </c>
      <c r="G85" s="6">
        <v>2.2000000000000002</v>
      </c>
      <c r="H85" s="7">
        <v>45614.739386574074</v>
      </c>
      <c r="I85" s="7" t="str">
        <f>TEXT(multilingual_mobile_app_reviews_2025[[#This Row],[Review_date]],"dd-mm-yyyy")</f>
        <v>18-11-2024</v>
      </c>
      <c r="J85" s="7" t="str">
        <f>TEXT(multilingual_mobile_app_reviews_2025[[#This Row],[Review_date]],"YYYY")</f>
        <v>2024</v>
      </c>
      <c r="K85" s="7" t="str">
        <f>TEXT(multilingual_mobile_app_reviews_2025[[#This Row],[Review_date]],"MMMM")</f>
        <v>November</v>
      </c>
      <c r="L85" s="4" t="b">
        <v>0</v>
      </c>
      <c r="M85" s="4" t="s">
        <v>98</v>
      </c>
      <c r="N85" s="5">
        <v>408</v>
      </c>
      <c r="O85" s="5">
        <v>69</v>
      </c>
      <c r="P85" s="4" t="s">
        <v>23</v>
      </c>
      <c r="Q85" s="8" t="s">
        <v>39</v>
      </c>
      <c r="R85" s="4" t="s">
        <v>195</v>
      </c>
      <c r="S85" s="4"/>
      <c r="T85"/>
      <c r="U85" s="23"/>
    </row>
    <row r="86" spans="1:21" ht="15.6" x14ac:dyDescent="0.3">
      <c r="A86" s="4">
        <v>85</v>
      </c>
      <c r="B86" s="5">
        <v>8568772</v>
      </c>
      <c r="C86" s="4" t="s">
        <v>89</v>
      </c>
      <c r="D86" s="4" t="s">
        <v>71</v>
      </c>
      <c r="E86" s="4" t="s">
        <v>9</v>
      </c>
      <c r="F86" s="4" t="s">
        <v>2945</v>
      </c>
      <c r="G86" s="6">
        <v>4.5999999999999996</v>
      </c>
      <c r="H86" s="7">
        <v>45470.337604166663</v>
      </c>
      <c r="I86" s="7" t="str">
        <f>TEXT(multilingual_mobile_app_reviews_2025[[#This Row],[Review_date]],"dd-mm-yyyy")</f>
        <v>27-06-2024</v>
      </c>
      <c r="J86" s="7" t="str">
        <f>TEXT(multilingual_mobile_app_reviews_2025[[#This Row],[Review_date]],"YYYY")</f>
        <v>2024</v>
      </c>
      <c r="K86" s="7" t="str">
        <f>TEXT(multilingual_mobile_app_reviews_2025[[#This Row],[Review_date]],"MMMM")</f>
        <v>June</v>
      </c>
      <c r="L86" s="4" t="b">
        <v>1</v>
      </c>
      <c r="M86" s="4" t="s">
        <v>3</v>
      </c>
      <c r="N86" s="5">
        <v>791</v>
      </c>
      <c r="O86" s="5">
        <v>34</v>
      </c>
      <c r="P86" s="4" t="s">
        <v>65</v>
      </c>
      <c r="Q86" s="8" t="s">
        <v>29</v>
      </c>
      <c r="R86" s="4" t="s">
        <v>196</v>
      </c>
      <c r="S86" s="4"/>
      <c r="T86"/>
      <c r="U86" s="23"/>
    </row>
    <row r="87" spans="1:21" ht="15.6" x14ac:dyDescent="0.3">
      <c r="A87" s="4">
        <v>86</v>
      </c>
      <c r="B87" s="5">
        <v>7581188</v>
      </c>
      <c r="C87" s="4" t="s">
        <v>165</v>
      </c>
      <c r="D87" s="4" t="s">
        <v>20</v>
      </c>
      <c r="E87" s="4" t="s">
        <v>16</v>
      </c>
      <c r="F87" s="4" t="s">
        <v>2954</v>
      </c>
      <c r="G87" s="6">
        <v>3.6</v>
      </c>
      <c r="H87" s="7">
        <v>45835.760393518518</v>
      </c>
      <c r="I87" s="7" t="str">
        <f>TEXT(multilingual_mobile_app_reviews_2025[[#This Row],[Review_date]],"dd-mm-yyyy")</f>
        <v>27-06-2025</v>
      </c>
      <c r="J87" s="7" t="str">
        <f>TEXT(multilingual_mobile_app_reviews_2025[[#This Row],[Review_date]],"YYYY")</f>
        <v>2025</v>
      </c>
      <c r="K87" s="7" t="str">
        <f>TEXT(multilingual_mobile_app_reviews_2025[[#This Row],[Review_date]],"MMMM")</f>
        <v>June</v>
      </c>
      <c r="L87" s="4" t="b">
        <v>1</v>
      </c>
      <c r="M87" s="4" t="s">
        <v>10</v>
      </c>
      <c r="N87" s="5">
        <v>913</v>
      </c>
      <c r="O87" s="5">
        <v>51</v>
      </c>
      <c r="P87" s="4" t="s">
        <v>61</v>
      </c>
      <c r="Q87" s="8" t="s">
        <v>29</v>
      </c>
      <c r="R87" s="4" t="s">
        <v>197</v>
      </c>
      <c r="S87" s="4"/>
      <c r="T87"/>
      <c r="U87" s="23"/>
    </row>
    <row r="88" spans="1:21" ht="15.6" x14ac:dyDescent="0.3">
      <c r="A88" s="4">
        <v>87</v>
      </c>
      <c r="B88" s="5">
        <v>8063715</v>
      </c>
      <c r="C88" s="4" t="s">
        <v>147</v>
      </c>
      <c r="D88" s="4" t="s">
        <v>157</v>
      </c>
      <c r="E88" s="4" t="s">
        <v>76</v>
      </c>
      <c r="F88" s="4" t="s">
        <v>2939</v>
      </c>
      <c r="G88" s="6">
        <v>1.6</v>
      </c>
      <c r="H88" s="7">
        <v>45488.457777777781</v>
      </c>
      <c r="I88" s="7" t="str">
        <f>TEXT(multilingual_mobile_app_reviews_2025[[#This Row],[Review_date]],"dd-mm-yyyy")</f>
        <v>15-07-2024</v>
      </c>
      <c r="J88" s="7" t="str">
        <f>TEXT(multilingual_mobile_app_reviews_2025[[#This Row],[Review_date]],"YYYY")</f>
        <v>2024</v>
      </c>
      <c r="K88" s="7" t="str">
        <f>TEXT(multilingual_mobile_app_reviews_2025[[#This Row],[Review_date]],"MMMM")</f>
        <v>July</v>
      </c>
      <c r="L88" s="4" t="b">
        <v>1</v>
      </c>
      <c r="M88" s="4" t="s">
        <v>33</v>
      </c>
      <c r="N88" s="5">
        <v>897</v>
      </c>
      <c r="O88" s="5">
        <v>15</v>
      </c>
      <c r="P88" s="4" t="s">
        <v>180</v>
      </c>
      <c r="Q88" s="8" t="s">
        <v>12</v>
      </c>
      <c r="R88" s="4" t="s">
        <v>198</v>
      </c>
      <c r="S88" s="4"/>
      <c r="T88"/>
      <c r="U88" s="23"/>
    </row>
    <row r="89" spans="1:21" ht="15.6" x14ac:dyDescent="0.3">
      <c r="A89" s="4">
        <v>88</v>
      </c>
      <c r="B89" s="5">
        <v>4247994</v>
      </c>
      <c r="C89" s="4" t="s">
        <v>199</v>
      </c>
      <c r="D89" s="4" t="s">
        <v>57</v>
      </c>
      <c r="E89" s="4" t="s">
        <v>9</v>
      </c>
      <c r="F89" s="4" t="s">
        <v>2960</v>
      </c>
      <c r="G89" s="6">
        <v>2.2999999999999998</v>
      </c>
      <c r="H89" s="7">
        <v>45791.219050925924</v>
      </c>
      <c r="I89" s="7" t="str">
        <f>TEXT(multilingual_mobile_app_reviews_2025[[#This Row],[Review_date]],"dd-mm-yyyy")</f>
        <v>14-05-2025</v>
      </c>
      <c r="J89" s="7" t="str">
        <f>TEXT(multilingual_mobile_app_reviews_2025[[#This Row],[Review_date]],"YYYY")</f>
        <v>2025</v>
      </c>
      <c r="K89" s="7" t="str">
        <f>TEXT(multilingual_mobile_app_reviews_2025[[#This Row],[Review_date]],"MMMM")</f>
        <v>May</v>
      </c>
      <c r="L89" s="4" t="b">
        <v>0</v>
      </c>
      <c r="M89" s="4" t="s">
        <v>10</v>
      </c>
      <c r="N89" s="5">
        <v>511</v>
      </c>
      <c r="O89" s="5">
        <v>74</v>
      </c>
      <c r="P89" s="4" t="s">
        <v>80</v>
      </c>
      <c r="Q89" s="8" t="s">
        <v>12</v>
      </c>
      <c r="R89" s="4" t="s">
        <v>200</v>
      </c>
      <c r="S89" s="4"/>
      <c r="T89"/>
      <c r="U89" s="23"/>
    </row>
    <row r="90" spans="1:21" ht="15.6" x14ac:dyDescent="0.3">
      <c r="A90" s="4">
        <v>89</v>
      </c>
      <c r="B90" s="5">
        <v>4752512</v>
      </c>
      <c r="C90" s="4" t="s">
        <v>87</v>
      </c>
      <c r="D90" s="4" t="s">
        <v>57</v>
      </c>
      <c r="E90" s="4" t="s">
        <v>16</v>
      </c>
      <c r="F90" s="4" t="s">
        <v>2946</v>
      </c>
      <c r="G90" s="6">
        <v>1.7</v>
      </c>
      <c r="H90" s="7">
        <v>45733.703333333331</v>
      </c>
      <c r="I90" s="7" t="str">
        <f>TEXT(multilingual_mobile_app_reviews_2025[[#This Row],[Review_date]],"dd-mm-yyyy")</f>
        <v>17-03-2025</v>
      </c>
      <c r="J90" s="7" t="str">
        <f>TEXT(multilingual_mobile_app_reviews_2025[[#This Row],[Review_date]],"YYYY")</f>
        <v>2025</v>
      </c>
      <c r="K90" s="7" t="str">
        <f>TEXT(multilingual_mobile_app_reviews_2025[[#This Row],[Review_date]],"MMMM")</f>
        <v>March</v>
      </c>
      <c r="L90" s="4" t="b">
        <v>0</v>
      </c>
      <c r="M90" s="4" t="s">
        <v>3</v>
      </c>
      <c r="N90" s="5">
        <v>179</v>
      </c>
      <c r="O90" s="5">
        <v>64</v>
      </c>
      <c r="P90" s="4" t="s">
        <v>94</v>
      </c>
      <c r="Q90" s="8" t="s">
        <v>39</v>
      </c>
      <c r="R90" s="4" t="s">
        <v>201</v>
      </c>
      <c r="S90" s="4"/>
      <c r="T90"/>
      <c r="U90" s="23"/>
    </row>
    <row r="91" spans="1:21" ht="15.6" x14ac:dyDescent="0.3">
      <c r="A91" s="4">
        <v>90</v>
      </c>
      <c r="B91" s="5">
        <v>8845959</v>
      </c>
      <c r="C91" s="4" t="s">
        <v>176</v>
      </c>
      <c r="D91" s="4" t="s">
        <v>47</v>
      </c>
      <c r="E91" s="4" t="s">
        <v>202</v>
      </c>
      <c r="F91" s="4" t="s">
        <v>2953</v>
      </c>
      <c r="G91" s="6">
        <v>4.2</v>
      </c>
      <c r="H91" s="7">
        <v>45246.356574074074</v>
      </c>
      <c r="I91" s="7" t="str">
        <f>TEXT(multilingual_mobile_app_reviews_2025[[#This Row],[Review_date]],"dd-mm-yyyy")</f>
        <v>16-11-2023</v>
      </c>
      <c r="J91" s="7" t="str">
        <f>TEXT(multilingual_mobile_app_reviews_2025[[#This Row],[Review_date]],"YYYY")</f>
        <v>2023</v>
      </c>
      <c r="K91" s="7" t="str">
        <f>TEXT(multilingual_mobile_app_reviews_2025[[#This Row],[Review_date]],"MMMM")</f>
        <v>November</v>
      </c>
      <c r="L91" s="4" t="b">
        <v>1</v>
      </c>
      <c r="M91" s="4" t="s">
        <v>98</v>
      </c>
      <c r="N91" s="5">
        <v>739</v>
      </c>
      <c r="O91" s="5">
        <v>48</v>
      </c>
      <c r="P91" s="4" t="s">
        <v>28</v>
      </c>
      <c r="Q91" s="8" t="s">
        <v>39</v>
      </c>
      <c r="R91" s="4" t="s">
        <v>203</v>
      </c>
      <c r="S91" s="4"/>
      <c r="T91"/>
      <c r="U91" s="23"/>
    </row>
    <row r="92" spans="1:21" ht="15.6" x14ac:dyDescent="0.3">
      <c r="A92" s="4">
        <v>91</v>
      </c>
      <c r="B92" s="5">
        <v>3979923</v>
      </c>
      <c r="C92" s="4" t="s">
        <v>159</v>
      </c>
      <c r="D92" s="4" t="s">
        <v>60</v>
      </c>
      <c r="E92" s="4" t="s">
        <v>9</v>
      </c>
      <c r="F92" s="4" t="s">
        <v>2956</v>
      </c>
      <c r="G92" s="6">
        <v>1.3</v>
      </c>
      <c r="H92" s="7">
        <v>45436.390567129631</v>
      </c>
      <c r="I92" s="7" t="str">
        <f>TEXT(multilingual_mobile_app_reviews_2025[[#This Row],[Review_date]],"dd-mm-yyyy")</f>
        <v>24-05-2024</v>
      </c>
      <c r="J92" s="7" t="str">
        <f>TEXT(multilingual_mobile_app_reviews_2025[[#This Row],[Review_date]],"YYYY")</f>
        <v>2024</v>
      </c>
      <c r="K92" s="7" t="str">
        <f>TEXT(multilingual_mobile_app_reviews_2025[[#This Row],[Review_date]],"MMMM")</f>
        <v>May</v>
      </c>
      <c r="L92" s="4" t="b">
        <v>0</v>
      </c>
      <c r="M92" s="4" t="s">
        <v>3</v>
      </c>
      <c r="N92" s="5">
        <v>1059</v>
      </c>
      <c r="O92" s="5">
        <v>35</v>
      </c>
      <c r="P92" s="4" t="s">
        <v>180</v>
      </c>
      <c r="Q92" s="8" t="s">
        <v>2963</v>
      </c>
      <c r="R92" s="4" t="s">
        <v>204</v>
      </c>
      <c r="S92" s="4"/>
      <c r="T92"/>
      <c r="U92" s="23"/>
    </row>
    <row r="93" spans="1:21" ht="15.6" x14ac:dyDescent="0.3">
      <c r="A93" s="4">
        <v>92</v>
      </c>
      <c r="B93" s="5">
        <v>2663646</v>
      </c>
      <c r="C93" s="4" t="s">
        <v>75</v>
      </c>
      <c r="D93" s="4" t="s">
        <v>1</v>
      </c>
      <c r="E93" s="4" t="s">
        <v>27</v>
      </c>
      <c r="F93" s="4" t="s">
        <v>2943</v>
      </c>
      <c r="G93" s="6">
        <v>4.8</v>
      </c>
      <c r="H93" s="7">
        <v>45687.570231481484</v>
      </c>
      <c r="I93" s="7" t="str">
        <f>TEXT(multilingual_mobile_app_reviews_2025[[#This Row],[Review_date]],"dd-mm-yyyy")</f>
        <v>30-01-2025</v>
      </c>
      <c r="J93" s="7" t="str">
        <f>TEXT(multilingual_mobile_app_reviews_2025[[#This Row],[Review_date]],"YYYY")</f>
        <v>2025</v>
      </c>
      <c r="K93" s="7" t="str">
        <f>TEXT(multilingual_mobile_app_reviews_2025[[#This Row],[Review_date]],"MMMM")</f>
        <v>January</v>
      </c>
      <c r="L93" s="4" t="b">
        <v>1</v>
      </c>
      <c r="M93" s="4" t="s">
        <v>33</v>
      </c>
      <c r="N93" s="5">
        <v>581</v>
      </c>
      <c r="O93" s="5">
        <v>67</v>
      </c>
      <c r="P93" s="4" t="s">
        <v>4</v>
      </c>
      <c r="Q93" s="8" t="s">
        <v>39</v>
      </c>
      <c r="R93" s="4" t="s">
        <v>205</v>
      </c>
      <c r="S93" s="4"/>
      <c r="T93"/>
      <c r="U93" s="23"/>
    </row>
    <row r="94" spans="1:21" ht="15.6" x14ac:dyDescent="0.3">
      <c r="A94" s="4">
        <v>93</v>
      </c>
      <c r="B94" s="5">
        <v>1177581</v>
      </c>
      <c r="C94" s="4" t="s">
        <v>106</v>
      </c>
      <c r="D94" s="4" t="s">
        <v>97</v>
      </c>
      <c r="E94" s="4" t="s">
        <v>93</v>
      </c>
      <c r="F94" s="4" t="s">
        <v>2961</v>
      </c>
      <c r="G94" s="6">
        <v>4.5999999999999996</v>
      </c>
      <c r="H94" s="7">
        <v>45461.115682870368</v>
      </c>
      <c r="I94" s="7" t="str">
        <f>TEXT(multilingual_mobile_app_reviews_2025[[#This Row],[Review_date]],"dd-mm-yyyy")</f>
        <v>18-06-2024</v>
      </c>
      <c r="J94" s="7" t="str">
        <f>TEXT(multilingual_mobile_app_reviews_2025[[#This Row],[Review_date]],"YYYY")</f>
        <v>2024</v>
      </c>
      <c r="K94" s="7" t="str">
        <f>TEXT(multilingual_mobile_app_reviews_2025[[#This Row],[Review_date]],"MMMM")</f>
        <v>June</v>
      </c>
      <c r="L94" s="4" t="b">
        <v>1</v>
      </c>
      <c r="M94" s="4" t="s">
        <v>10</v>
      </c>
      <c r="N94" s="5">
        <v>1154</v>
      </c>
      <c r="O94" s="5">
        <v>15</v>
      </c>
      <c r="P94" s="4" t="s">
        <v>118</v>
      </c>
      <c r="Q94" s="8" t="s">
        <v>12</v>
      </c>
      <c r="R94" s="4" t="s">
        <v>142</v>
      </c>
      <c r="S94" s="4"/>
      <c r="T94"/>
      <c r="U94" s="23"/>
    </row>
    <row r="95" spans="1:21" ht="15.6" x14ac:dyDescent="0.3">
      <c r="A95" s="4">
        <v>94</v>
      </c>
      <c r="B95" s="5">
        <v>5651268</v>
      </c>
      <c r="C95" s="4" t="s">
        <v>7</v>
      </c>
      <c r="D95" s="4" t="s">
        <v>42</v>
      </c>
      <c r="E95" s="4" t="s">
        <v>32</v>
      </c>
      <c r="F95" s="4" t="s">
        <v>2962</v>
      </c>
      <c r="G95" s="6">
        <v>2.8</v>
      </c>
      <c r="H95" s="7">
        <v>45560.336793981478</v>
      </c>
      <c r="I95" s="7" t="str">
        <f>TEXT(multilingual_mobile_app_reviews_2025[[#This Row],[Review_date]],"dd-mm-yyyy")</f>
        <v>25-09-2024</v>
      </c>
      <c r="J95" s="7" t="str">
        <f>TEXT(multilingual_mobile_app_reviews_2025[[#This Row],[Review_date]],"YYYY")</f>
        <v>2024</v>
      </c>
      <c r="K95" s="7" t="str">
        <f>TEXT(multilingual_mobile_app_reviews_2025[[#This Row],[Review_date]],"MMMM")</f>
        <v>September</v>
      </c>
      <c r="L95" s="4" t="b">
        <v>1</v>
      </c>
      <c r="M95" s="4" t="s">
        <v>98</v>
      </c>
      <c r="N95" s="5">
        <v>323</v>
      </c>
      <c r="O95" s="5">
        <v>41</v>
      </c>
      <c r="P95" s="4" t="s">
        <v>90</v>
      </c>
      <c r="Q95" s="8" t="s">
        <v>29</v>
      </c>
      <c r="R95" s="4" t="s">
        <v>206</v>
      </c>
      <c r="S95" s="4"/>
      <c r="T95"/>
      <c r="U95" s="23"/>
    </row>
    <row r="96" spans="1:21" ht="15.6" x14ac:dyDescent="0.3">
      <c r="A96" s="4">
        <v>95</v>
      </c>
      <c r="B96" s="5">
        <v>7075534</v>
      </c>
      <c r="C96" s="4" t="s">
        <v>84</v>
      </c>
      <c r="D96" s="4" t="s">
        <v>15</v>
      </c>
      <c r="E96" s="4" t="s">
        <v>130</v>
      </c>
      <c r="F96" s="4" t="s">
        <v>2942</v>
      </c>
      <c r="G96" s="6">
        <v>2.1</v>
      </c>
      <c r="H96" s="7">
        <v>45187.241469907407</v>
      </c>
      <c r="I96" s="7" t="str">
        <f>TEXT(multilingual_mobile_app_reviews_2025[[#This Row],[Review_date]],"dd-mm-yyyy")</f>
        <v>18-09-2023</v>
      </c>
      <c r="J96" s="7" t="str">
        <f>TEXT(multilingual_mobile_app_reviews_2025[[#This Row],[Review_date]],"YYYY")</f>
        <v>2023</v>
      </c>
      <c r="K96" s="7" t="str">
        <f>TEXT(multilingual_mobile_app_reviews_2025[[#This Row],[Review_date]],"MMMM")</f>
        <v>September</v>
      </c>
      <c r="L96" s="4" t="b">
        <v>1</v>
      </c>
      <c r="M96" s="4" t="s">
        <v>22</v>
      </c>
      <c r="N96" s="5">
        <v>288</v>
      </c>
      <c r="O96" s="5">
        <v>19</v>
      </c>
      <c r="P96" s="4" t="s">
        <v>23</v>
      </c>
      <c r="Q96" s="8" t="s">
        <v>39</v>
      </c>
      <c r="R96" s="4" t="s">
        <v>207</v>
      </c>
      <c r="S96" s="4"/>
      <c r="T96"/>
      <c r="U96" s="23"/>
    </row>
    <row r="97" spans="1:21" ht="15.6" x14ac:dyDescent="0.3">
      <c r="A97" s="4">
        <v>96</v>
      </c>
      <c r="B97" s="5">
        <v>7148838</v>
      </c>
      <c r="C97" s="4" t="s">
        <v>208</v>
      </c>
      <c r="D97" s="4" t="s">
        <v>26</v>
      </c>
      <c r="E97" s="4" t="s">
        <v>21</v>
      </c>
      <c r="F97" s="4" t="s">
        <v>2947</v>
      </c>
      <c r="G97" s="6">
        <v>1.1000000000000001</v>
      </c>
      <c r="H97" s="7">
        <v>45441.393842592595</v>
      </c>
      <c r="I97" s="7" t="str">
        <f>TEXT(multilingual_mobile_app_reviews_2025[[#This Row],[Review_date]],"dd-mm-yyyy")</f>
        <v>29-05-2024</v>
      </c>
      <c r="J97" s="7" t="str">
        <f>TEXT(multilingual_mobile_app_reviews_2025[[#This Row],[Review_date]],"YYYY")</f>
        <v>2024</v>
      </c>
      <c r="K97" s="7" t="str">
        <f>TEXT(multilingual_mobile_app_reviews_2025[[#This Row],[Review_date]],"MMMM")</f>
        <v>May</v>
      </c>
      <c r="L97" s="4" t="b">
        <v>0</v>
      </c>
      <c r="M97" s="4" t="s">
        <v>3</v>
      </c>
      <c r="N97" s="5">
        <v>1035</v>
      </c>
      <c r="O97" s="5">
        <v>42</v>
      </c>
      <c r="P97" s="4" t="s">
        <v>17</v>
      </c>
      <c r="Q97" s="8" t="s">
        <v>5</v>
      </c>
      <c r="R97" s="4" t="s">
        <v>209</v>
      </c>
      <c r="S97" s="4"/>
      <c r="T97"/>
      <c r="U97" s="23"/>
    </row>
    <row r="98" spans="1:21" ht="15.6" x14ac:dyDescent="0.3">
      <c r="A98" s="4">
        <v>97</v>
      </c>
      <c r="B98" s="5">
        <v>9899226</v>
      </c>
      <c r="C98" s="4" t="s">
        <v>54</v>
      </c>
      <c r="D98" s="4" t="s">
        <v>71</v>
      </c>
      <c r="E98" s="4" t="s">
        <v>210</v>
      </c>
      <c r="F98" s="4" t="s">
        <v>2960</v>
      </c>
      <c r="G98" s="6">
        <v>2.5</v>
      </c>
      <c r="H98" s="7">
        <v>45831.436712962961</v>
      </c>
      <c r="I98" s="7" t="str">
        <f>TEXT(multilingual_mobile_app_reviews_2025[[#This Row],[Review_date]],"dd-mm-yyyy")</f>
        <v>23-06-2025</v>
      </c>
      <c r="J98" s="7" t="str">
        <f>TEXT(multilingual_mobile_app_reviews_2025[[#This Row],[Review_date]],"YYYY")</f>
        <v>2025</v>
      </c>
      <c r="K98" s="7" t="str">
        <f>TEXT(multilingual_mobile_app_reviews_2025[[#This Row],[Review_date]],"MMMM")</f>
        <v>June</v>
      </c>
      <c r="L98" s="4" t="b">
        <v>1</v>
      </c>
      <c r="M98" s="4" t="s">
        <v>3</v>
      </c>
      <c r="N98" s="5">
        <v>104</v>
      </c>
      <c r="O98" s="5">
        <v>49</v>
      </c>
      <c r="P98" s="4" t="s">
        <v>34</v>
      </c>
      <c r="Q98" s="8" t="s">
        <v>5</v>
      </c>
      <c r="R98" s="4" t="s">
        <v>211</v>
      </c>
      <c r="S98" s="4"/>
      <c r="T98"/>
      <c r="U98" s="23"/>
    </row>
    <row r="99" spans="1:21" ht="15.6" x14ac:dyDescent="0.3">
      <c r="A99" s="4">
        <v>98</v>
      </c>
      <c r="B99" s="5">
        <v>9129842</v>
      </c>
      <c r="C99" s="4" t="s">
        <v>147</v>
      </c>
      <c r="D99" s="4" t="s">
        <v>1</v>
      </c>
      <c r="E99" s="4" t="s">
        <v>9</v>
      </c>
      <c r="F99" s="4" t="s">
        <v>2951</v>
      </c>
      <c r="G99" s="6">
        <v>1.8</v>
      </c>
      <c r="H99" s="7">
        <v>45719.490844907406</v>
      </c>
      <c r="I99" s="7" t="str">
        <f>TEXT(multilingual_mobile_app_reviews_2025[[#This Row],[Review_date]],"dd-mm-yyyy")</f>
        <v>03-03-2025</v>
      </c>
      <c r="J99" s="7" t="str">
        <f>TEXT(multilingual_mobile_app_reviews_2025[[#This Row],[Review_date]],"YYYY")</f>
        <v>2025</v>
      </c>
      <c r="K99" s="7" t="str">
        <f>TEXT(multilingual_mobile_app_reviews_2025[[#This Row],[Review_date]],"MMMM")</f>
        <v>March</v>
      </c>
      <c r="L99" s="4" t="b">
        <v>0</v>
      </c>
      <c r="M99" s="4" t="s">
        <v>33</v>
      </c>
      <c r="N99" s="5">
        <v>822</v>
      </c>
      <c r="O99" s="5">
        <v>45</v>
      </c>
      <c r="P99" s="4" t="s">
        <v>23</v>
      </c>
      <c r="Q99" s="8" t="s">
        <v>12</v>
      </c>
      <c r="R99" s="4" t="s">
        <v>212</v>
      </c>
      <c r="S99" s="4"/>
      <c r="T99"/>
      <c r="U99" s="23"/>
    </row>
    <row r="100" spans="1:21" ht="15.6" x14ac:dyDescent="0.3">
      <c r="A100" s="4">
        <v>99</v>
      </c>
      <c r="B100" s="5">
        <v>9262579</v>
      </c>
      <c r="C100" s="4" t="s">
        <v>192</v>
      </c>
      <c r="D100" s="4" t="s">
        <v>31</v>
      </c>
      <c r="E100" s="4" t="s">
        <v>213</v>
      </c>
      <c r="F100" s="4" t="s">
        <v>2950</v>
      </c>
      <c r="G100" s="6">
        <v>2.2999999999999998</v>
      </c>
      <c r="H100" s="7">
        <v>45471.791643518518</v>
      </c>
      <c r="I100" s="7" t="str">
        <f>TEXT(multilingual_mobile_app_reviews_2025[[#This Row],[Review_date]],"dd-mm-yyyy")</f>
        <v>28-06-2024</v>
      </c>
      <c r="J100" s="7" t="str">
        <f>TEXT(multilingual_mobile_app_reviews_2025[[#This Row],[Review_date]],"YYYY")</f>
        <v>2024</v>
      </c>
      <c r="K100" s="7" t="str">
        <f>TEXT(multilingual_mobile_app_reviews_2025[[#This Row],[Review_date]],"MMMM")</f>
        <v>June</v>
      </c>
      <c r="L100" s="4" t="b">
        <v>1</v>
      </c>
      <c r="M100" s="4" t="s">
        <v>33</v>
      </c>
      <c r="N100" s="5">
        <v>1090</v>
      </c>
      <c r="O100" s="5">
        <v>44</v>
      </c>
      <c r="P100" s="4" t="s">
        <v>61</v>
      </c>
      <c r="Q100" s="8" t="s">
        <v>2963</v>
      </c>
      <c r="R100" s="4" t="s">
        <v>214</v>
      </c>
      <c r="S100" s="4"/>
      <c r="T100"/>
      <c r="U100" s="23"/>
    </row>
    <row r="101" spans="1:21" ht="15.6" x14ac:dyDescent="0.3">
      <c r="A101" s="4">
        <v>100</v>
      </c>
      <c r="B101" s="5">
        <v>7846014</v>
      </c>
      <c r="C101" s="4" t="s">
        <v>50</v>
      </c>
      <c r="D101" s="4" t="s">
        <v>71</v>
      </c>
      <c r="E101" s="4" t="s">
        <v>215</v>
      </c>
      <c r="F101" s="4" t="s">
        <v>2950</v>
      </c>
      <c r="G101" s="6">
        <v>1.9</v>
      </c>
      <c r="H101" s="7">
        <v>45745.679907407408</v>
      </c>
      <c r="I101" s="7" t="str">
        <f>TEXT(multilingual_mobile_app_reviews_2025[[#This Row],[Review_date]],"dd-mm-yyyy")</f>
        <v>29-03-2025</v>
      </c>
      <c r="J101" s="7" t="str">
        <f>TEXT(multilingual_mobile_app_reviews_2025[[#This Row],[Review_date]],"YYYY")</f>
        <v>2025</v>
      </c>
      <c r="K101" s="7" t="str">
        <f>TEXT(multilingual_mobile_app_reviews_2025[[#This Row],[Review_date]],"MMMM")</f>
        <v>March</v>
      </c>
      <c r="L101" s="4" t="b">
        <v>0</v>
      </c>
      <c r="M101" s="4" t="s">
        <v>98</v>
      </c>
      <c r="N101" s="5">
        <v>1195</v>
      </c>
      <c r="O101" s="5">
        <v>43</v>
      </c>
      <c r="P101" s="4" t="s">
        <v>65</v>
      </c>
      <c r="Q101" s="8" t="s">
        <v>2963</v>
      </c>
      <c r="R101" s="4" t="s">
        <v>216</v>
      </c>
      <c r="S101" s="4"/>
      <c r="T101"/>
      <c r="U101" s="23"/>
    </row>
    <row r="102" spans="1:21" ht="15.6" x14ac:dyDescent="0.3">
      <c r="A102" s="4">
        <v>101</v>
      </c>
      <c r="B102" s="5">
        <v>775419</v>
      </c>
      <c r="C102" s="4" t="s">
        <v>78</v>
      </c>
      <c r="D102" s="4" t="s">
        <v>1</v>
      </c>
      <c r="E102" s="4" t="s">
        <v>27</v>
      </c>
      <c r="F102" s="4" t="s">
        <v>2945</v>
      </c>
      <c r="G102" s="6">
        <v>3</v>
      </c>
      <c r="H102" s="7">
        <v>45724.708506944444</v>
      </c>
      <c r="I102" s="7" t="str">
        <f>TEXT(multilingual_mobile_app_reviews_2025[[#This Row],[Review_date]],"dd-mm-yyyy")</f>
        <v>08-03-2025</v>
      </c>
      <c r="J102" s="7" t="str">
        <f>TEXT(multilingual_mobile_app_reviews_2025[[#This Row],[Review_date]],"YYYY")</f>
        <v>2025</v>
      </c>
      <c r="K102" s="7" t="str">
        <f>TEXT(multilingual_mobile_app_reviews_2025[[#This Row],[Review_date]],"MMMM")</f>
        <v>March</v>
      </c>
      <c r="L102" s="4" t="b">
        <v>1</v>
      </c>
      <c r="M102" s="4" t="s">
        <v>33</v>
      </c>
      <c r="N102" s="5">
        <v>965</v>
      </c>
      <c r="O102" s="5">
        <v>68</v>
      </c>
      <c r="P102" s="4" t="s">
        <v>44</v>
      </c>
      <c r="Q102" s="8" t="s">
        <v>12</v>
      </c>
      <c r="R102" s="4" t="s">
        <v>217</v>
      </c>
      <c r="S102" s="4"/>
      <c r="T102"/>
      <c r="U102" s="23"/>
    </row>
    <row r="103" spans="1:21" ht="15.6" x14ac:dyDescent="0.3">
      <c r="A103" s="4">
        <v>102</v>
      </c>
      <c r="B103" s="5">
        <v>4248725</v>
      </c>
      <c r="C103" s="4" t="s">
        <v>101</v>
      </c>
      <c r="D103" s="4" t="s">
        <v>26</v>
      </c>
      <c r="E103" s="4" t="s">
        <v>21</v>
      </c>
      <c r="F103" s="4" t="s">
        <v>2955</v>
      </c>
      <c r="G103" s="6">
        <v>2.9</v>
      </c>
      <c r="H103" s="7">
        <v>45293.726273148146</v>
      </c>
      <c r="I103" s="7" t="str">
        <f>TEXT(multilingual_mobile_app_reviews_2025[[#This Row],[Review_date]],"dd-mm-yyyy")</f>
        <v>02-01-2024</v>
      </c>
      <c r="J103" s="7" t="str">
        <f>TEXT(multilingual_mobile_app_reviews_2025[[#This Row],[Review_date]],"YYYY")</f>
        <v>2024</v>
      </c>
      <c r="K103" s="7" t="str">
        <f>TEXT(multilingual_mobile_app_reviews_2025[[#This Row],[Review_date]],"MMMM")</f>
        <v>January</v>
      </c>
      <c r="L103" s="4" t="b">
        <v>1</v>
      </c>
      <c r="M103" s="4" t="s">
        <v>22</v>
      </c>
      <c r="N103" s="5">
        <v>571</v>
      </c>
      <c r="O103" s="5">
        <v>48</v>
      </c>
      <c r="P103" s="4" t="s">
        <v>114</v>
      </c>
      <c r="Q103" s="8" t="s">
        <v>5</v>
      </c>
      <c r="R103" s="4" t="s">
        <v>218</v>
      </c>
      <c r="S103" s="4"/>
      <c r="T103"/>
      <c r="U103" s="23"/>
    </row>
    <row r="104" spans="1:21" ht="15.6" x14ac:dyDescent="0.3">
      <c r="A104" s="4">
        <v>103</v>
      </c>
      <c r="B104" s="5">
        <v>2656551</v>
      </c>
      <c r="C104" s="4" t="s">
        <v>59</v>
      </c>
      <c r="D104" s="4" t="s">
        <v>26</v>
      </c>
      <c r="E104" s="4" t="s">
        <v>64</v>
      </c>
      <c r="F104" s="4" t="s">
        <v>2960</v>
      </c>
      <c r="G104" s="6">
        <v>4.5999999999999996</v>
      </c>
      <c r="H104" s="7">
        <v>45324.161597222221</v>
      </c>
      <c r="I104" s="7" t="str">
        <f>TEXT(multilingual_mobile_app_reviews_2025[[#This Row],[Review_date]],"dd-mm-yyyy")</f>
        <v>02-02-2024</v>
      </c>
      <c r="J104" s="7" t="str">
        <f>TEXT(multilingual_mobile_app_reviews_2025[[#This Row],[Review_date]],"YYYY")</f>
        <v>2024</v>
      </c>
      <c r="K104" s="7" t="str">
        <f>TEXT(multilingual_mobile_app_reviews_2025[[#This Row],[Review_date]],"MMMM")</f>
        <v>February</v>
      </c>
      <c r="L104" s="4" t="b">
        <v>1</v>
      </c>
      <c r="M104" s="4" t="s">
        <v>3</v>
      </c>
      <c r="N104" s="5">
        <v>706</v>
      </c>
      <c r="O104" s="5">
        <v>74</v>
      </c>
      <c r="P104" s="4" t="s">
        <v>180</v>
      </c>
      <c r="Q104" s="8" t="s">
        <v>39</v>
      </c>
      <c r="R104" s="4" t="s">
        <v>219</v>
      </c>
      <c r="S104" s="4"/>
      <c r="T104"/>
      <c r="U104" s="23"/>
    </row>
    <row r="105" spans="1:21" ht="15.6" x14ac:dyDescent="0.3">
      <c r="A105" s="4">
        <v>104</v>
      </c>
      <c r="B105" s="5">
        <v>8045036</v>
      </c>
      <c r="C105" s="4" t="s">
        <v>54</v>
      </c>
      <c r="D105" s="4" t="s">
        <v>220</v>
      </c>
      <c r="E105" s="4" t="s">
        <v>93</v>
      </c>
      <c r="F105" s="4" t="s">
        <v>2961</v>
      </c>
      <c r="G105" s="6">
        <v>3.3</v>
      </c>
      <c r="H105" s="7">
        <v>45658.862314814818</v>
      </c>
      <c r="I105" s="7" t="str">
        <f>TEXT(multilingual_mobile_app_reviews_2025[[#This Row],[Review_date]],"dd-mm-yyyy")</f>
        <v>01-01-2025</v>
      </c>
      <c r="J105" s="7" t="str">
        <f>TEXT(multilingual_mobile_app_reviews_2025[[#This Row],[Review_date]],"YYYY")</f>
        <v>2025</v>
      </c>
      <c r="K105" s="7" t="str">
        <f>TEXT(multilingual_mobile_app_reviews_2025[[#This Row],[Review_date]],"MMMM")</f>
        <v>January</v>
      </c>
      <c r="L105" s="4" t="b">
        <v>1</v>
      </c>
      <c r="M105" s="4" t="s">
        <v>22</v>
      </c>
      <c r="N105" s="5">
        <v>103</v>
      </c>
      <c r="O105" s="5">
        <v>55</v>
      </c>
      <c r="P105" s="4" t="s">
        <v>85</v>
      </c>
      <c r="Q105" s="8" t="s">
        <v>5</v>
      </c>
      <c r="R105" s="4" t="s">
        <v>221</v>
      </c>
      <c r="S105" s="4"/>
      <c r="T105"/>
      <c r="U105" s="23"/>
    </row>
    <row r="106" spans="1:21" ht="15.6" x14ac:dyDescent="0.3">
      <c r="A106" s="4">
        <v>105</v>
      </c>
      <c r="B106" s="5">
        <v>9561839</v>
      </c>
      <c r="C106" s="4" t="s">
        <v>174</v>
      </c>
      <c r="D106" s="4" t="s">
        <v>42</v>
      </c>
      <c r="E106" s="4" t="s">
        <v>21</v>
      </c>
      <c r="F106" s="4" t="s">
        <v>2954</v>
      </c>
      <c r="G106" s="6">
        <v>2.1</v>
      </c>
      <c r="H106" s="7">
        <v>45308.176319444443</v>
      </c>
      <c r="I106" s="7" t="str">
        <f>TEXT(multilingual_mobile_app_reviews_2025[[#This Row],[Review_date]],"dd-mm-yyyy")</f>
        <v>17-01-2024</v>
      </c>
      <c r="J106" s="7" t="str">
        <f>TEXT(multilingual_mobile_app_reviews_2025[[#This Row],[Review_date]],"YYYY")</f>
        <v>2024</v>
      </c>
      <c r="K106" s="7" t="str">
        <f>TEXT(multilingual_mobile_app_reviews_2025[[#This Row],[Review_date]],"MMMM")</f>
        <v>January</v>
      </c>
      <c r="L106" s="4" t="b">
        <v>1</v>
      </c>
      <c r="M106" s="4" t="s">
        <v>98</v>
      </c>
      <c r="N106" s="5">
        <v>183</v>
      </c>
      <c r="O106" s="5">
        <v>54</v>
      </c>
      <c r="P106" s="4" t="s">
        <v>28</v>
      </c>
      <c r="Q106" s="8" t="s">
        <v>5</v>
      </c>
      <c r="R106" s="4" t="s">
        <v>222</v>
      </c>
      <c r="S106" s="4"/>
      <c r="T106"/>
      <c r="U106" s="23"/>
    </row>
    <row r="107" spans="1:21" ht="15.6" x14ac:dyDescent="0.3">
      <c r="A107" s="4">
        <v>106</v>
      </c>
      <c r="B107" s="5">
        <v>4399055</v>
      </c>
      <c r="C107" s="4" t="s">
        <v>92</v>
      </c>
      <c r="D107" s="4" t="s">
        <v>63</v>
      </c>
      <c r="E107" s="4" t="s">
        <v>223</v>
      </c>
      <c r="F107" s="4" t="s">
        <v>2950</v>
      </c>
      <c r="G107" s="6">
        <v>3.4</v>
      </c>
      <c r="H107" s="7">
        <v>45430.387789351851</v>
      </c>
      <c r="I107" s="7" t="str">
        <f>TEXT(multilingual_mobile_app_reviews_2025[[#This Row],[Review_date]],"dd-mm-yyyy")</f>
        <v>18-05-2024</v>
      </c>
      <c r="J107" s="7" t="str">
        <f>TEXT(multilingual_mobile_app_reviews_2025[[#This Row],[Review_date]],"YYYY")</f>
        <v>2024</v>
      </c>
      <c r="K107" s="7" t="str">
        <f>TEXT(multilingual_mobile_app_reviews_2025[[#This Row],[Review_date]],"MMMM")</f>
        <v>May</v>
      </c>
      <c r="L107" s="4" t="b">
        <v>1</v>
      </c>
      <c r="M107" s="4" t="s">
        <v>10</v>
      </c>
      <c r="N107" s="5">
        <v>582</v>
      </c>
      <c r="O107" s="5">
        <v>42</v>
      </c>
      <c r="P107" s="4" t="s">
        <v>38</v>
      </c>
      <c r="Q107" s="8" t="s">
        <v>2963</v>
      </c>
      <c r="R107" s="4" t="s">
        <v>224</v>
      </c>
      <c r="S107" s="4"/>
      <c r="T107"/>
      <c r="U107" s="23"/>
    </row>
    <row r="108" spans="1:21" ht="15.6" x14ac:dyDescent="0.3">
      <c r="A108" s="4">
        <v>107</v>
      </c>
      <c r="B108" s="5">
        <v>3427421</v>
      </c>
      <c r="C108" s="4" t="s">
        <v>14</v>
      </c>
      <c r="D108" s="4" t="s">
        <v>26</v>
      </c>
      <c r="E108" s="4" t="s">
        <v>9</v>
      </c>
      <c r="F108" s="4" t="s">
        <v>2962</v>
      </c>
      <c r="G108" s="6">
        <v>3.3</v>
      </c>
      <c r="H108" s="7">
        <v>45197.906469907408</v>
      </c>
      <c r="I108" s="7" t="str">
        <f>TEXT(multilingual_mobile_app_reviews_2025[[#This Row],[Review_date]],"dd-mm-yyyy")</f>
        <v>28-09-2023</v>
      </c>
      <c r="J108" s="7" t="str">
        <f>TEXT(multilingual_mobile_app_reviews_2025[[#This Row],[Review_date]],"YYYY")</f>
        <v>2023</v>
      </c>
      <c r="K108" s="7" t="str">
        <f>TEXT(multilingual_mobile_app_reviews_2025[[#This Row],[Review_date]],"MMMM")</f>
        <v>September</v>
      </c>
      <c r="L108" s="4" t="b">
        <v>1</v>
      </c>
      <c r="M108" s="4" t="s">
        <v>22</v>
      </c>
      <c r="N108" s="5">
        <v>359</v>
      </c>
      <c r="O108" s="5">
        <v>52</v>
      </c>
      <c r="P108" s="4" t="s">
        <v>38</v>
      </c>
      <c r="Q108" s="8" t="s">
        <v>29</v>
      </c>
      <c r="R108" s="4" t="s">
        <v>225</v>
      </c>
      <c r="S108" s="4"/>
      <c r="T108"/>
      <c r="U108" s="23"/>
    </row>
    <row r="109" spans="1:21" ht="15.6" x14ac:dyDescent="0.3">
      <c r="A109" s="4">
        <v>108</v>
      </c>
      <c r="B109" s="5">
        <v>4174336</v>
      </c>
      <c r="C109" s="4" t="s">
        <v>174</v>
      </c>
      <c r="D109" s="4" t="s">
        <v>60</v>
      </c>
      <c r="E109" s="4" t="s">
        <v>21</v>
      </c>
      <c r="F109" s="4" t="s">
        <v>2954</v>
      </c>
      <c r="G109" s="6">
        <v>2.2000000000000002</v>
      </c>
      <c r="H109" s="7">
        <v>45218.027337962965</v>
      </c>
      <c r="I109" s="7" t="str">
        <f>TEXT(multilingual_mobile_app_reviews_2025[[#This Row],[Review_date]],"dd-mm-yyyy")</f>
        <v>19-10-2023</v>
      </c>
      <c r="J109" s="7" t="str">
        <f>TEXT(multilingual_mobile_app_reviews_2025[[#This Row],[Review_date]],"YYYY")</f>
        <v>2023</v>
      </c>
      <c r="K109" s="7" t="str">
        <f>TEXT(multilingual_mobile_app_reviews_2025[[#This Row],[Review_date]],"MMMM")</f>
        <v>October</v>
      </c>
      <c r="L109" s="4" t="b">
        <v>0</v>
      </c>
      <c r="M109" s="4" t="s">
        <v>33</v>
      </c>
      <c r="N109" s="5">
        <v>23</v>
      </c>
      <c r="O109" s="5">
        <v>29</v>
      </c>
      <c r="P109" s="4" t="s">
        <v>38</v>
      </c>
      <c r="Q109" s="8" t="s">
        <v>39</v>
      </c>
      <c r="R109" s="4" t="s">
        <v>226</v>
      </c>
      <c r="S109" s="4"/>
      <c r="T109"/>
      <c r="U109" s="23"/>
    </row>
    <row r="110" spans="1:21" ht="15.6" x14ac:dyDescent="0.3">
      <c r="A110" s="4">
        <v>109</v>
      </c>
      <c r="B110" s="5">
        <v>5159717</v>
      </c>
      <c r="C110" s="4" t="s">
        <v>192</v>
      </c>
      <c r="D110" s="4" t="s">
        <v>71</v>
      </c>
      <c r="E110" s="4" t="s">
        <v>27</v>
      </c>
      <c r="F110" s="4" t="s">
        <v>2951</v>
      </c>
      <c r="G110" s="6">
        <v>2.9</v>
      </c>
      <c r="H110" s="7">
        <v>45799.320543981485</v>
      </c>
      <c r="I110" s="7" t="str">
        <f>TEXT(multilingual_mobile_app_reviews_2025[[#This Row],[Review_date]],"dd-mm-yyyy")</f>
        <v>22-05-2025</v>
      </c>
      <c r="J110" s="7" t="str">
        <f>TEXT(multilingual_mobile_app_reviews_2025[[#This Row],[Review_date]],"YYYY")</f>
        <v>2025</v>
      </c>
      <c r="K110" s="7" t="str">
        <f>TEXT(multilingual_mobile_app_reviews_2025[[#This Row],[Review_date]],"MMMM")</f>
        <v>May</v>
      </c>
      <c r="L110" s="4" t="b">
        <v>0</v>
      </c>
      <c r="M110" s="4" t="s">
        <v>3</v>
      </c>
      <c r="N110" s="5">
        <v>1240</v>
      </c>
      <c r="O110" s="5">
        <v>36</v>
      </c>
      <c r="P110" s="4" t="s">
        <v>90</v>
      </c>
      <c r="Q110" s="8" t="s">
        <v>2963</v>
      </c>
      <c r="R110" s="4" t="s">
        <v>227</v>
      </c>
      <c r="S110" s="4"/>
      <c r="T110"/>
      <c r="U110" s="23"/>
    </row>
    <row r="111" spans="1:21" ht="15.6" x14ac:dyDescent="0.3">
      <c r="A111" s="4">
        <v>110</v>
      </c>
      <c r="B111" s="5">
        <v>2130966</v>
      </c>
      <c r="C111" s="4" t="s">
        <v>137</v>
      </c>
      <c r="D111" s="4" t="s">
        <v>20</v>
      </c>
      <c r="E111" s="4" t="s">
        <v>228</v>
      </c>
      <c r="F111" s="4" t="s">
        <v>2949</v>
      </c>
      <c r="G111" s="6">
        <v>4.5999999999999996</v>
      </c>
      <c r="H111" s="7">
        <v>45777.6015625</v>
      </c>
      <c r="I111" s="7" t="str">
        <f>TEXT(multilingual_mobile_app_reviews_2025[[#This Row],[Review_date]],"dd-mm-yyyy")</f>
        <v>30-04-2025</v>
      </c>
      <c r="J111" s="7" t="str">
        <f>TEXT(multilingual_mobile_app_reviews_2025[[#This Row],[Review_date]],"YYYY")</f>
        <v>2025</v>
      </c>
      <c r="K111" s="7" t="str">
        <f>TEXT(multilingual_mobile_app_reviews_2025[[#This Row],[Review_date]],"MMMM")</f>
        <v>April</v>
      </c>
      <c r="L111" s="4" t="b">
        <v>1</v>
      </c>
      <c r="M111" s="4" t="s">
        <v>22</v>
      </c>
      <c r="N111" s="5">
        <v>1172</v>
      </c>
      <c r="O111" s="5">
        <v>47</v>
      </c>
      <c r="P111" s="4" t="s">
        <v>180</v>
      </c>
      <c r="Q111" s="8" t="s">
        <v>5</v>
      </c>
      <c r="R111" s="4" t="s">
        <v>229</v>
      </c>
      <c r="S111" s="4"/>
      <c r="T111"/>
      <c r="U111" s="23"/>
    </row>
    <row r="112" spans="1:21" ht="15.6" x14ac:dyDescent="0.3">
      <c r="A112" s="4">
        <v>111</v>
      </c>
      <c r="B112" s="5">
        <v>1870648</v>
      </c>
      <c r="C112" s="4" t="s">
        <v>106</v>
      </c>
      <c r="D112" s="4" t="s">
        <v>97</v>
      </c>
      <c r="E112" s="4" t="s">
        <v>93</v>
      </c>
      <c r="F112" s="4" t="s">
        <v>2940</v>
      </c>
      <c r="G112" s="6">
        <v>3.2</v>
      </c>
      <c r="H112" s="7">
        <v>45475.605833333335</v>
      </c>
      <c r="I112" s="7" t="str">
        <f>TEXT(multilingual_mobile_app_reviews_2025[[#This Row],[Review_date]],"dd-mm-yyyy")</f>
        <v>02-07-2024</v>
      </c>
      <c r="J112" s="7" t="str">
        <f>TEXT(multilingual_mobile_app_reviews_2025[[#This Row],[Review_date]],"YYYY")</f>
        <v>2024</v>
      </c>
      <c r="K112" s="7" t="str">
        <f>TEXT(multilingual_mobile_app_reviews_2025[[#This Row],[Review_date]],"MMMM")</f>
        <v>July</v>
      </c>
      <c r="L112" s="4" t="b">
        <v>1</v>
      </c>
      <c r="M112" s="4" t="s">
        <v>10</v>
      </c>
      <c r="N112" s="5">
        <v>44</v>
      </c>
      <c r="O112" s="5">
        <v>38</v>
      </c>
      <c r="P112" s="4" t="s">
        <v>230</v>
      </c>
      <c r="Q112" s="8" t="s">
        <v>12</v>
      </c>
      <c r="R112" s="4" t="s">
        <v>231</v>
      </c>
      <c r="S112" s="4"/>
      <c r="T112"/>
      <c r="U112" s="23"/>
    </row>
    <row r="113" spans="1:21" ht="15.6" x14ac:dyDescent="0.3">
      <c r="A113" s="4">
        <v>112</v>
      </c>
      <c r="B113" s="5">
        <v>7813146</v>
      </c>
      <c r="C113" s="4" t="s">
        <v>75</v>
      </c>
      <c r="D113" s="4" t="s">
        <v>20</v>
      </c>
      <c r="E113" s="4" t="s">
        <v>76</v>
      </c>
      <c r="F113" s="4" t="s">
        <v>2956</v>
      </c>
      <c r="G113" s="6">
        <v>4.9000000000000004</v>
      </c>
      <c r="H113" s="7">
        <v>45688.261122685188</v>
      </c>
      <c r="I113" s="7" t="str">
        <f>TEXT(multilingual_mobile_app_reviews_2025[[#This Row],[Review_date]],"dd-mm-yyyy")</f>
        <v>31-01-2025</v>
      </c>
      <c r="J113" s="7" t="str">
        <f>TEXT(multilingual_mobile_app_reviews_2025[[#This Row],[Review_date]],"YYYY")</f>
        <v>2025</v>
      </c>
      <c r="K113" s="7" t="str">
        <f>TEXT(multilingual_mobile_app_reviews_2025[[#This Row],[Review_date]],"MMMM")</f>
        <v>January</v>
      </c>
      <c r="L113" s="4" t="b">
        <v>1</v>
      </c>
      <c r="M113" s="4" t="s">
        <v>3</v>
      </c>
      <c r="N113" s="5">
        <v>766</v>
      </c>
      <c r="O113" s="5">
        <v>70</v>
      </c>
      <c r="P113" s="4" t="s">
        <v>11</v>
      </c>
      <c r="Q113" s="8" t="s">
        <v>29</v>
      </c>
      <c r="R113" s="4" t="s">
        <v>232</v>
      </c>
      <c r="S113" s="4"/>
      <c r="T113"/>
      <c r="U113" s="23"/>
    </row>
    <row r="114" spans="1:21" ht="15.6" x14ac:dyDescent="0.3">
      <c r="A114" s="4">
        <v>113</v>
      </c>
      <c r="B114" s="5">
        <v>7406261</v>
      </c>
      <c r="C114" s="4" t="s">
        <v>56</v>
      </c>
      <c r="D114" s="4" t="s">
        <v>31</v>
      </c>
      <c r="E114" s="4" t="s">
        <v>76</v>
      </c>
      <c r="F114" s="4" t="s">
        <v>2961</v>
      </c>
      <c r="G114" s="6">
        <v>4.9000000000000004</v>
      </c>
      <c r="H114" s="7">
        <v>45275.687881944446</v>
      </c>
      <c r="I114" s="7" t="str">
        <f>TEXT(multilingual_mobile_app_reviews_2025[[#This Row],[Review_date]],"dd-mm-yyyy")</f>
        <v>15-12-2023</v>
      </c>
      <c r="J114" s="7" t="str">
        <f>TEXT(multilingual_mobile_app_reviews_2025[[#This Row],[Review_date]],"YYYY")</f>
        <v>2023</v>
      </c>
      <c r="K114" s="7" t="str">
        <f>TEXT(multilingual_mobile_app_reviews_2025[[#This Row],[Review_date]],"MMMM")</f>
        <v>December</v>
      </c>
      <c r="L114" s="4" t="b">
        <v>0</v>
      </c>
      <c r="M114" s="4" t="s">
        <v>98</v>
      </c>
      <c r="N114" s="5">
        <v>46</v>
      </c>
      <c r="O114" s="5">
        <v>75</v>
      </c>
      <c r="P114" s="4" t="s">
        <v>114</v>
      </c>
      <c r="Q114" s="8" t="s">
        <v>29</v>
      </c>
      <c r="R114" s="4" t="s">
        <v>233</v>
      </c>
      <c r="S114" s="4"/>
      <c r="T114"/>
      <c r="U114" s="23"/>
    </row>
    <row r="115" spans="1:21" ht="15.6" x14ac:dyDescent="0.3">
      <c r="A115" s="4">
        <v>114</v>
      </c>
      <c r="B115" s="5">
        <v>8853457</v>
      </c>
      <c r="C115" s="4" t="s">
        <v>84</v>
      </c>
      <c r="D115" s="4" t="s">
        <v>31</v>
      </c>
      <c r="E115" s="4" t="s">
        <v>234</v>
      </c>
      <c r="F115" s="4" t="s">
        <v>2939</v>
      </c>
      <c r="G115" s="6">
        <v>2</v>
      </c>
      <c r="H115" s="7">
        <v>45356.09542824074</v>
      </c>
      <c r="I115" s="7" t="str">
        <f>TEXT(multilingual_mobile_app_reviews_2025[[#This Row],[Review_date]],"dd-mm-yyyy")</f>
        <v>05-03-2024</v>
      </c>
      <c r="J115" s="7" t="str">
        <f>TEXT(multilingual_mobile_app_reviews_2025[[#This Row],[Review_date]],"YYYY")</f>
        <v>2024</v>
      </c>
      <c r="K115" s="7" t="str">
        <f>TEXT(multilingual_mobile_app_reviews_2025[[#This Row],[Review_date]],"MMMM")</f>
        <v>March</v>
      </c>
      <c r="L115" s="4" t="b">
        <v>1</v>
      </c>
      <c r="M115" s="4" t="s">
        <v>98</v>
      </c>
      <c r="N115" s="5">
        <v>206</v>
      </c>
      <c r="O115" s="5">
        <v>51</v>
      </c>
      <c r="P115" s="4" t="s">
        <v>23</v>
      </c>
      <c r="Q115" s="8" t="s">
        <v>29</v>
      </c>
      <c r="R115" s="4" t="s">
        <v>235</v>
      </c>
      <c r="S115" s="4"/>
      <c r="T115"/>
      <c r="U115" s="23"/>
    </row>
    <row r="116" spans="1:21" ht="15.6" x14ac:dyDescent="0.3">
      <c r="A116" s="4">
        <v>115</v>
      </c>
      <c r="B116" s="5">
        <v>4735017</v>
      </c>
      <c r="C116" s="4" t="s">
        <v>154</v>
      </c>
      <c r="D116" s="4" t="s">
        <v>51</v>
      </c>
      <c r="E116" s="4" t="s">
        <v>93</v>
      </c>
      <c r="F116" s="4" t="s">
        <v>2954</v>
      </c>
      <c r="G116" s="6">
        <v>3.3</v>
      </c>
      <c r="H116" s="7">
        <v>45570.573912037034</v>
      </c>
      <c r="I116" s="7" t="str">
        <f>TEXT(multilingual_mobile_app_reviews_2025[[#This Row],[Review_date]],"dd-mm-yyyy")</f>
        <v>05-10-2024</v>
      </c>
      <c r="J116" s="7" t="str">
        <f>TEXT(multilingual_mobile_app_reviews_2025[[#This Row],[Review_date]],"YYYY")</f>
        <v>2024</v>
      </c>
      <c r="K116" s="7" t="str">
        <f>TEXT(multilingual_mobile_app_reviews_2025[[#This Row],[Review_date]],"MMMM")</f>
        <v>October</v>
      </c>
      <c r="L116" s="4" t="b">
        <v>1</v>
      </c>
      <c r="M116" s="4" t="s">
        <v>10</v>
      </c>
      <c r="N116" s="5">
        <v>485</v>
      </c>
      <c r="O116" s="5">
        <v>32</v>
      </c>
      <c r="P116" s="4" t="s">
        <v>180</v>
      </c>
      <c r="Q116" s="8" t="s">
        <v>2963</v>
      </c>
      <c r="R116" s="4" t="s">
        <v>236</v>
      </c>
      <c r="S116" s="4"/>
      <c r="T116"/>
      <c r="U116" s="23"/>
    </row>
    <row r="117" spans="1:21" ht="15.6" x14ac:dyDescent="0.3">
      <c r="A117" s="4">
        <v>116</v>
      </c>
      <c r="B117" s="5">
        <v>8767566</v>
      </c>
      <c r="C117" s="4" t="s">
        <v>92</v>
      </c>
      <c r="D117" s="4" t="s">
        <v>157</v>
      </c>
      <c r="E117" s="4" t="s">
        <v>237</v>
      </c>
      <c r="F117" s="4" t="s">
        <v>2945</v>
      </c>
      <c r="G117" s="6">
        <v>2.6</v>
      </c>
      <c r="H117" s="7">
        <v>45232.594456018516</v>
      </c>
      <c r="I117" s="7" t="str">
        <f>TEXT(multilingual_mobile_app_reviews_2025[[#This Row],[Review_date]],"dd-mm-yyyy")</f>
        <v>02-11-2023</v>
      </c>
      <c r="J117" s="7" t="str">
        <f>TEXT(multilingual_mobile_app_reviews_2025[[#This Row],[Review_date]],"YYYY")</f>
        <v>2023</v>
      </c>
      <c r="K117" s="7" t="str">
        <f>TEXT(multilingual_mobile_app_reviews_2025[[#This Row],[Review_date]],"MMMM")</f>
        <v>November</v>
      </c>
      <c r="L117" s="4" t="b">
        <v>0</v>
      </c>
      <c r="M117" s="4" t="s">
        <v>10</v>
      </c>
      <c r="N117" s="5">
        <v>770</v>
      </c>
      <c r="O117" s="5">
        <v>24</v>
      </c>
      <c r="P117" s="4" t="s">
        <v>34</v>
      </c>
      <c r="Q117" s="8" t="s">
        <v>29</v>
      </c>
      <c r="R117" s="4" t="s">
        <v>238</v>
      </c>
      <c r="S117" s="4"/>
      <c r="T117"/>
      <c r="U117" s="23"/>
    </row>
    <row r="118" spans="1:21" ht="15.6" x14ac:dyDescent="0.3">
      <c r="A118" s="4">
        <v>117</v>
      </c>
      <c r="B118" s="5">
        <v>3331028</v>
      </c>
      <c r="C118" s="4" t="s">
        <v>75</v>
      </c>
      <c r="D118" s="4" t="s">
        <v>51</v>
      </c>
      <c r="E118" s="4" t="s">
        <v>21</v>
      </c>
      <c r="F118" s="4" t="s">
        <v>2959</v>
      </c>
      <c r="G118" s="6">
        <v>2.2999999999999998</v>
      </c>
      <c r="H118" s="7">
        <v>45383.971597222226</v>
      </c>
      <c r="I118" s="7" t="str">
        <f>TEXT(multilingual_mobile_app_reviews_2025[[#This Row],[Review_date]],"dd-mm-yyyy")</f>
        <v>01-04-2024</v>
      </c>
      <c r="J118" s="7" t="str">
        <f>TEXT(multilingual_mobile_app_reviews_2025[[#This Row],[Review_date]],"YYYY")</f>
        <v>2024</v>
      </c>
      <c r="K118" s="7" t="str">
        <f>TEXT(multilingual_mobile_app_reviews_2025[[#This Row],[Review_date]],"MMMM")</f>
        <v>April</v>
      </c>
      <c r="L118" s="4" t="b">
        <v>1</v>
      </c>
      <c r="M118" s="4" t="s">
        <v>98</v>
      </c>
      <c r="N118" s="5">
        <v>921</v>
      </c>
      <c r="O118" s="5">
        <v>67</v>
      </c>
      <c r="P118" s="4" t="s">
        <v>162</v>
      </c>
      <c r="Q118" s="8" t="s">
        <v>12</v>
      </c>
      <c r="R118" s="4" t="s">
        <v>239</v>
      </c>
      <c r="S118" s="4"/>
      <c r="T118"/>
      <c r="U118" s="23"/>
    </row>
    <row r="119" spans="1:21" ht="15.6" x14ac:dyDescent="0.3">
      <c r="A119" s="4">
        <v>118</v>
      </c>
      <c r="B119" s="5">
        <v>9090305</v>
      </c>
      <c r="C119" s="4" t="s">
        <v>78</v>
      </c>
      <c r="D119" s="4" t="s">
        <v>20</v>
      </c>
      <c r="E119" s="4" t="s">
        <v>9</v>
      </c>
      <c r="F119" s="4" t="s">
        <v>2962</v>
      </c>
      <c r="G119" s="6">
        <v>4.8</v>
      </c>
      <c r="H119" s="7">
        <v>45730.888425925928</v>
      </c>
      <c r="I119" s="7" t="str">
        <f>TEXT(multilingual_mobile_app_reviews_2025[[#This Row],[Review_date]],"dd-mm-yyyy")</f>
        <v>14-03-2025</v>
      </c>
      <c r="J119" s="7" t="str">
        <f>TEXT(multilingual_mobile_app_reviews_2025[[#This Row],[Review_date]],"YYYY")</f>
        <v>2025</v>
      </c>
      <c r="K119" s="7" t="str">
        <f>TEXT(multilingual_mobile_app_reviews_2025[[#This Row],[Review_date]],"MMMM")</f>
        <v>March</v>
      </c>
      <c r="L119" s="4" t="b">
        <v>0</v>
      </c>
      <c r="M119" s="4" t="s">
        <v>98</v>
      </c>
      <c r="N119" s="5">
        <v>433</v>
      </c>
      <c r="O119" s="5">
        <v>72</v>
      </c>
      <c r="P119" s="4" t="s">
        <v>127</v>
      </c>
      <c r="Q119" s="8" t="s">
        <v>12</v>
      </c>
      <c r="R119" s="4" t="s">
        <v>201</v>
      </c>
      <c r="S119" s="4"/>
      <c r="T119"/>
      <c r="U119" s="23"/>
    </row>
    <row r="120" spans="1:21" ht="15.6" x14ac:dyDescent="0.3">
      <c r="A120" s="4">
        <v>119</v>
      </c>
      <c r="B120" s="5">
        <v>3206298</v>
      </c>
      <c r="C120" s="4" t="s">
        <v>159</v>
      </c>
      <c r="D120" s="4" t="s">
        <v>8</v>
      </c>
      <c r="E120" s="4" t="s">
        <v>9</v>
      </c>
      <c r="F120" s="4" t="s">
        <v>2962</v>
      </c>
      <c r="G120" s="6">
        <v>2</v>
      </c>
      <c r="H120" s="7">
        <v>45287.65253472222</v>
      </c>
      <c r="I120" s="7" t="str">
        <f>TEXT(multilingual_mobile_app_reviews_2025[[#This Row],[Review_date]],"dd-mm-yyyy")</f>
        <v>27-12-2023</v>
      </c>
      <c r="J120" s="7" t="str">
        <f>TEXT(multilingual_mobile_app_reviews_2025[[#This Row],[Review_date]],"YYYY")</f>
        <v>2023</v>
      </c>
      <c r="K120" s="7" t="str">
        <f>TEXT(multilingual_mobile_app_reviews_2025[[#This Row],[Review_date]],"MMMM")</f>
        <v>December</v>
      </c>
      <c r="L120" s="4" t="b">
        <v>1</v>
      </c>
      <c r="M120" s="4" t="s">
        <v>33</v>
      </c>
      <c r="N120" s="5">
        <v>1018</v>
      </c>
      <c r="O120" s="5">
        <v>42</v>
      </c>
      <c r="P120" s="4" t="s">
        <v>80</v>
      </c>
      <c r="Q120" s="8" t="s">
        <v>29</v>
      </c>
      <c r="R120" s="4" t="s">
        <v>240</v>
      </c>
      <c r="S120" s="4"/>
      <c r="T120"/>
      <c r="U120" s="23"/>
    </row>
    <row r="121" spans="1:21" ht="15.6" x14ac:dyDescent="0.3">
      <c r="A121" s="4">
        <v>120</v>
      </c>
      <c r="B121" s="5">
        <v>8223504</v>
      </c>
      <c r="C121" s="4" t="s">
        <v>154</v>
      </c>
      <c r="D121" s="4" t="s">
        <v>31</v>
      </c>
      <c r="E121" s="4" t="s">
        <v>241</v>
      </c>
      <c r="F121" s="4" t="s">
        <v>2959</v>
      </c>
      <c r="G121" s="6">
        <v>2.2999999999999998</v>
      </c>
      <c r="H121" s="7">
        <v>45289.65384259259</v>
      </c>
      <c r="I121" s="7" t="str">
        <f>TEXT(multilingual_mobile_app_reviews_2025[[#This Row],[Review_date]],"dd-mm-yyyy")</f>
        <v>29-12-2023</v>
      </c>
      <c r="J121" s="7" t="str">
        <f>TEXT(multilingual_mobile_app_reviews_2025[[#This Row],[Review_date]],"YYYY")</f>
        <v>2023</v>
      </c>
      <c r="K121" s="7" t="str">
        <f>TEXT(multilingual_mobile_app_reviews_2025[[#This Row],[Review_date]],"MMMM")</f>
        <v>December</v>
      </c>
      <c r="L121" s="4" t="b">
        <v>1</v>
      </c>
      <c r="M121" s="4" t="s">
        <v>3</v>
      </c>
      <c r="N121" s="5">
        <v>1166</v>
      </c>
      <c r="O121" s="5">
        <v>66</v>
      </c>
      <c r="P121" s="4" t="s">
        <v>17</v>
      </c>
      <c r="Q121" s="8" t="s">
        <v>29</v>
      </c>
      <c r="R121" s="4" t="s">
        <v>242</v>
      </c>
      <c r="S121" s="4"/>
      <c r="T121"/>
      <c r="U121" s="23"/>
    </row>
    <row r="122" spans="1:21" ht="15.6" x14ac:dyDescent="0.3">
      <c r="A122" s="4">
        <v>121</v>
      </c>
      <c r="B122" s="5">
        <v>3916534</v>
      </c>
      <c r="C122" s="4" t="s">
        <v>59</v>
      </c>
      <c r="D122" s="4" t="s">
        <v>57</v>
      </c>
      <c r="E122" s="4" t="s">
        <v>64</v>
      </c>
      <c r="F122" s="4" t="s">
        <v>2956</v>
      </c>
      <c r="G122" s="6">
        <v>4.8</v>
      </c>
      <c r="H122" s="7">
        <v>45419.182870370372</v>
      </c>
      <c r="I122" s="7" t="str">
        <f>TEXT(multilingual_mobile_app_reviews_2025[[#This Row],[Review_date]],"dd-mm-yyyy")</f>
        <v>07-05-2024</v>
      </c>
      <c r="J122" s="7" t="str">
        <f>TEXT(multilingual_mobile_app_reviews_2025[[#This Row],[Review_date]],"YYYY")</f>
        <v>2024</v>
      </c>
      <c r="K122" s="7" t="str">
        <f>TEXT(multilingual_mobile_app_reviews_2025[[#This Row],[Review_date]],"MMMM")</f>
        <v>May</v>
      </c>
      <c r="L122" s="4" t="b">
        <v>1</v>
      </c>
      <c r="M122" s="4" t="s">
        <v>33</v>
      </c>
      <c r="N122" s="5">
        <v>69</v>
      </c>
      <c r="O122" s="5">
        <v>66</v>
      </c>
      <c r="P122" s="4" t="s">
        <v>4</v>
      </c>
      <c r="Q122" s="8" t="s">
        <v>12</v>
      </c>
      <c r="R122" s="4" t="s">
        <v>243</v>
      </c>
      <c r="S122" s="4"/>
      <c r="T122"/>
      <c r="U122" s="23"/>
    </row>
    <row r="123" spans="1:21" ht="15.6" x14ac:dyDescent="0.3">
      <c r="A123" s="4">
        <v>122</v>
      </c>
      <c r="B123" s="5">
        <v>5171208</v>
      </c>
      <c r="C123" s="4" t="s">
        <v>244</v>
      </c>
      <c r="D123" s="4" t="s">
        <v>220</v>
      </c>
      <c r="E123" s="4" t="s">
        <v>2938</v>
      </c>
      <c r="F123" s="4" t="s">
        <v>2947</v>
      </c>
      <c r="G123" s="6">
        <v>3.6</v>
      </c>
      <c r="H123" s="7">
        <v>45149.867615740739</v>
      </c>
      <c r="I123" s="7" t="str">
        <f>TEXT(multilingual_mobile_app_reviews_2025[[#This Row],[Review_date]],"dd-mm-yyyy")</f>
        <v>11-08-2023</v>
      </c>
      <c r="J123" s="7" t="str">
        <f>TEXT(multilingual_mobile_app_reviews_2025[[#This Row],[Review_date]],"YYYY")</f>
        <v>2023</v>
      </c>
      <c r="K123" s="7" t="str">
        <f>TEXT(multilingual_mobile_app_reviews_2025[[#This Row],[Review_date]],"MMMM")</f>
        <v>August</v>
      </c>
      <c r="L123" s="4" t="b">
        <v>0</v>
      </c>
      <c r="M123" s="4" t="s">
        <v>98</v>
      </c>
      <c r="N123" s="5">
        <v>13</v>
      </c>
      <c r="O123" s="5">
        <v>47</v>
      </c>
      <c r="P123" s="4" t="s">
        <v>34</v>
      </c>
      <c r="Q123" s="8" t="s">
        <v>29</v>
      </c>
      <c r="R123" s="4" t="s">
        <v>245</v>
      </c>
      <c r="S123" s="4"/>
      <c r="T123"/>
      <c r="U123" s="23"/>
    </row>
    <row r="124" spans="1:21" ht="15.6" x14ac:dyDescent="0.3">
      <c r="A124" s="4">
        <v>123</v>
      </c>
      <c r="B124" s="5">
        <v>9061299</v>
      </c>
      <c r="C124" s="4" t="s">
        <v>165</v>
      </c>
      <c r="D124" s="4" t="s">
        <v>47</v>
      </c>
      <c r="E124" s="4" t="s">
        <v>64</v>
      </c>
      <c r="F124" s="4" t="s">
        <v>2944</v>
      </c>
      <c r="G124" s="6">
        <v>4.3</v>
      </c>
      <c r="H124" s="7">
        <v>45237.198148148149</v>
      </c>
      <c r="I124" s="7" t="str">
        <f>TEXT(multilingual_mobile_app_reviews_2025[[#This Row],[Review_date]],"dd-mm-yyyy")</f>
        <v>07-11-2023</v>
      </c>
      <c r="J124" s="7" t="str">
        <f>TEXT(multilingual_mobile_app_reviews_2025[[#This Row],[Review_date]],"YYYY")</f>
        <v>2023</v>
      </c>
      <c r="K124" s="7" t="str">
        <f>TEXT(multilingual_mobile_app_reviews_2025[[#This Row],[Review_date]],"MMMM")</f>
        <v>November</v>
      </c>
      <c r="L124" s="4" t="b">
        <v>1</v>
      </c>
      <c r="M124" s="4" t="s">
        <v>10</v>
      </c>
      <c r="N124" s="5">
        <v>812</v>
      </c>
      <c r="O124" s="5">
        <v>18</v>
      </c>
      <c r="P124" s="4" t="s">
        <v>162</v>
      </c>
      <c r="Q124" s="8" t="s">
        <v>29</v>
      </c>
      <c r="R124" s="4" t="s">
        <v>246</v>
      </c>
      <c r="S124" s="4"/>
      <c r="T124"/>
      <c r="U124" s="23"/>
    </row>
    <row r="125" spans="1:21" ht="15.6" x14ac:dyDescent="0.3">
      <c r="A125" s="4">
        <v>124</v>
      </c>
      <c r="B125" s="5">
        <v>863626</v>
      </c>
      <c r="C125" s="4" t="s">
        <v>106</v>
      </c>
      <c r="D125" s="4" t="s">
        <v>63</v>
      </c>
      <c r="E125" s="4" t="s">
        <v>109</v>
      </c>
      <c r="F125" s="4" t="s">
        <v>2958</v>
      </c>
      <c r="G125" s="6">
        <v>1.7</v>
      </c>
      <c r="H125" s="7">
        <v>45181.229872685188</v>
      </c>
      <c r="I125" s="7" t="str">
        <f>TEXT(multilingual_mobile_app_reviews_2025[[#This Row],[Review_date]],"dd-mm-yyyy")</f>
        <v>12-09-2023</v>
      </c>
      <c r="J125" s="7" t="str">
        <f>TEXT(multilingual_mobile_app_reviews_2025[[#This Row],[Review_date]],"YYYY")</f>
        <v>2023</v>
      </c>
      <c r="K125" s="7" t="str">
        <f>TEXT(multilingual_mobile_app_reviews_2025[[#This Row],[Review_date]],"MMMM")</f>
        <v>September</v>
      </c>
      <c r="L125" s="4" t="b">
        <v>1</v>
      </c>
      <c r="M125" s="4" t="s">
        <v>3</v>
      </c>
      <c r="N125" s="5">
        <v>888</v>
      </c>
      <c r="O125" s="5">
        <v>54</v>
      </c>
      <c r="P125" s="4" t="s">
        <v>73</v>
      </c>
      <c r="Q125" s="8" t="s">
        <v>2963</v>
      </c>
      <c r="R125" s="4" t="s">
        <v>247</v>
      </c>
      <c r="S125" s="4"/>
      <c r="T125"/>
      <c r="U125" s="23"/>
    </row>
    <row r="126" spans="1:21" ht="15.6" x14ac:dyDescent="0.3">
      <c r="A126" s="4">
        <v>125</v>
      </c>
      <c r="B126" s="5">
        <v>5001239</v>
      </c>
      <c r="C126" s="4" t="s">
        <v>25</v>
      </c>
      <c r="D126" s="4" t="s">
        <v>60</v>
      </c>
      <c r="E126" s="4" t="s">
        <v>109</v>
      </c>
      <c r="F126" s="4" t="s">
        <v>2952</v>
      </c>
      <c r="G126" s="6">
        <v>4.7</v>
      </c>
      <c r="H126" s="7">
        <v>45680.578356481485</v>
      </c>
      <c r="I126" s="7" t="str">
        <f>TEXT(multilingual_mobile_app_reviews_2025[[#This Row],[Review_date]],"dd-mm-yyyy")</f>
        <v>23-01-2025</v>
      </c>
      <c r="J126" s="7" t="str">
        <f>TEXT(multilingual_mobile_app_reviews_2025[[#This Row],[Review_date]],"YYYY")</f>
        <v>2025</v>
      </c>
      <c r="K126" s="7" t="str">
        <f>TEXT(multilingual_mobile_app_reviews_2025[[#This Row],[Review_date]],"MMMM")</f>
        <v>January</v>
      </c>
      <c r="L126" s="4" t="b">
        <v>1</v>
      </c>
      <c r="M126" s="4" t="s">
        <v>10</v>
      </c>
      <c r="N126" s="5">
        <v>32</v>
      </c>
      <c r="O126" s="5">
        <v>74</v>
      </c>
      <c r="P126" s="4" t="s">
        <v>127</v>
      </c>
      <c r="Q126" s="8" t="s">
        <v>2963</v>
      </c>
      <c r="R126" s="4" t="s">
        <v>248</v>
      </c>
      <c r="S126" s="4"/>
      <c r="T126"/>
      <c r="U126" s="23"/>
    </row>
    <row r="127" spans="1:21" ht="15.6" x14ac:dyDescent="0.3">
      <c r="A127" s="4">
        <v>126</v>
      </c>
      <c r="B127" s="5">
        <v>8335577</v>
      </c>
      <c r="C127" s="4" t="s">
        <v>25</v>
      </c>
      <c r="D127" s="4" t="s">
        <v>8</v>
      </c>
      <c r="E127" s="4" t="s">
        <v>76</v>
      </c>
      <c r="F127" s="4" t="s">
        <v>2958</v>
      </c>
      <c r="G127" s="6">
        <v>3.9</v>
      </c>
      <c r="H127" s="7">
        <v>45218.560439814813</v>
      </c>
      <c r="I127" s="7" t="str">
        <f>TEXT(multilingual_mobile_app_reviews_2025[[#This Row],[Review_date]],"dd-mm-yyyy")</f>
        <v>19-10-2023</v>
      </c>
      <c r="J127" s="7" t="str">
        <f>TEXT(multilingual_mobile_app_reviews_2025[[#This Row],[Review_date]],"YYYY")</f>
        <v>2023</v>
      </c>
      <c r="K127" s="7" t="str">
        <f>TEXT(multilingual_mobile_app_reviews_2025[[#This Row],[Review_date]],"MMMM")</f>
        <v>October</v>
      </c>
      <c r="L127" s="4" t="b">
        <v>1</v>
      </c>
      <c r="M127" s="4" t="s">
        <v>33</v>
      </c>
      <c r="N127" s="5">
        <v>708</v>
      </c>
      <c r="O127" s="5">
        <v>16</v>
      </c>
      <c r="P127" s="4" t="s">
        <v>80</v>
      </c>
      <c r="Q127" s="8" t="s">
        <v>29</v>
      </c>
      <c r="R127" s="4" t="s">
        <v>249</v>
      </c>
      <c r="S127" s="4"/>
      <c r="T127"/>
      <c r="U127" s="23"/>
    </row>
    <row r="128" spans="1:21" ht="15.6" x14ac:dyDescent="0.3">
      <c r="A128" s="4">
        <v>127</v>
      </c>
      <c r="B128" s="5">
        <v>9731199</v>
      </c>
      <c r="C128" s="4" t="s">
        <v>208</v>
      </c>
      <c r="D128" s="4" t="s">
        <v>42</v>
      </c>
      <c r="E128" s="4" t="s">
        <v>32</v>
      </c>
      <c r="F128" s="4" t="s">
        <v>2945</v>
      </c>
      <c r="G128" s="6">
        <v>1.7</v>
      </c>
      <c r="H128" s="7">
        <v>45359.731145833335</v>
      </c>
      <c r="I128" s="7" t="str">
        <f>TEXT(multilingual_mobile_app_reviews_2025[[#This Row],[Review_date]],"dd-mm-yyyy")</f>
        <v>08-03-2024</v>
      </c>
      <c r="J128" s="7" t="str">
        <f>TEXT(multilingual_mobile_app_reviews_2025[[#This Row],[Review_date]],"YYYY")</f>
        <v>2024</v>
      </c>
      <c r="K128" s="7" t="str">
        <f>TEXT(multilingual_mobile_app_reviews_2025[[#This Row],[Review_date]],"MMMM")</f>
        <v>March</v>
      </c>
      <c r="L128" s="4" t="b">
        <v>1</v>
      </c>
      <c r="M128" s="4" t="s">
        <v>33</v>
      </c>
      <c r="N128" s="5">
        <v>778</v>
      </c>
      <c r="O128" s="5">
        <v>18</v>
      </c>
      <c r="P128" s="4" t="s">
        <v>144</v>
      </c>
      <c r="Q128" s="8" t="s">
        <v>39</v>
      </c>
      <c r="R128" s="4" t="s">
        <v>250</v>
      </c>
      <c r="S128" s="4"/>
      <c r="T128"/>
      <c r="U128" s="23"/>
    </row>
    <row r="129" spans="1:21" ht="15.6" x14ac:dyDescent="0.3">
      <c r="A129" s="4">
        <v>128</v>
      </c>
      <c r="B129" s="5">
        <v>8131491</v>
      </c>
      <c r="C129" s="4" t="s">
        <v>0</v>
      </c>
      <c r="D129" s="4" t="s">
        <v>31</v>
      </c>
      <c r="E129" s="4" t="s">
        <v>21</v>
      </c>
      <c r="F129" s="4" t="s">
        <v>2946</v>
      </c>
      <c r="G129" s="6">
        <v>2.4</v>
      </c>
      <c r="H129" s="7">
        <v>45481.000486111108</v>
      </c>
      <c r="I129" s="7" t="str">
        <f>TEXT(multilingual_mobile_app_reviews_2025[[#This Row],[Review_date]],"dd-mm-yyyy")</f>
        <v>08-07-2024</v>
      </c>
      <c r="J129" s="7" t="str">
        <f>TEXT(multilingual_mobile_app_reviews_2025[[#This Row],[Review_date]],"YYYY")</f>
        <v>2024</v>
      </c>
      <c r="K129" s="7" t="str">
        <f>TEXT(multilingual_mobile_app_reviews_2025[[#This Row],[Review_date]],"MMMM")</f>
        <v>July</v>
      </c>
      <c r="L129" s="4" t="b">
        <v>1</v>
      </c>
      <c r="M129" s="4" t="s">
        <v>10</v>
      </c>
      <c r="N129" s="5">
        <v>209</v>
      </c>
      <c r="O129" s="5">
        <v>21</v>
      </c>
      <c r="P129" s="4" t="s">
        <v>4</v>
      </c>
      <c r="Q129" s="8" t="s">
        <v>5</v>
      </c>
      <c r="R129" s="4" t="s">
        <v>251</v>
      </c>
      <c r="S129" s="4"/>
      <c r="T129"/>
      <c r="U129" s="23"/>
    </row>
    <row r="130" spans="1:21" ht="15.6" x14ac:dyDescent="0.3">
      <c r="A130" s="4">
        <v>129</v>
      </c>
      <c r="B130" s="5">
        <v>3193109</v>
      </c>
      <c r="C130" s="4" t="s">
        <v>46</v>
      </c>
      <c r="D130" s="4" t="s">
        <v>20</v>
      </c>
      <c r="E130" s="4" t="s">
        <v>32</v>
      </c>
      <c r="F130" s="4" t="s">
        <v>2941</v>
      </c>
      <c r="G130" s="6">
        <v>3.9</v>
      </c>
      <c r="H130" s="7">
        <v>45178.783738425926</v>
      </c>
      <c r="I130" s="7" t="str">
        <f>TEXT(multilingual_mobile_app_reviews_2025[[#This Row],[Review_date]],"dd-mm-yyyy")</f>
        <v>09-09-2023</v>
      </c>
      <c r="J130" s="7" t="str">
        <f>TEXT(multilingual_mobile_app_reviews_2025[[#This Row],[Review_date]],"YYYY")</f>
        <v>2023</v>
      </c>
      <c r="K130" s="7" t="str">
        <f>TEXT(multilingual_mobile_app_reviews_2025[[#This Row],[Review_date]],"MMMM")</f>
        <v>September</v>
      </c>
      <c r="L130" s="4" t="b">
        <v>1</v>
      </c>
      <c r="M130" s="4" t="s">
        <v>33</v>
      </c>
      <c r="N130" s="5">
        <v>497</v>
      </c>
      <c r="O130" s="5">
        <v>49</v>
      </c>
      <c r="P130" s="4" t="s">
        <v>85</v>
      </c>
      <c r="Q130" s="8" t="s">
        <v>5</v>
      </c>
      <c r="R130" s="4" t="s">
        <v>252</v>
      </c>
      <c r="S130" s="4"/>
      <c r="T130"/>
      <c r="U130" s="23"/>
    </row>
    <row r="131" spans="1:21" ht="15.6" x14ac:dyDescent="0.3">
      <c r="A131" s="4">
        <v>130</v>
      </c>
      <c r="B131" s="5">
        <v>8114965</v>
      </c>
      <c r="C131" s="4" t="s">
        <v>176</v>
      </c>
      <c r="D131" s="4" t="s">
        <v>157</v>
      </c>
      <c r="E131" s="4" t="s">
        <v>27</v>
      </c>
      <c r="F131" s="4" t="s">
        <v>2961</v>
      </c>
      <c r="G131" s="6">
        <v>3.5</v>
      </c>
      <c r="H131" s="7">
        <v>45227.492361111108</v>
      </c>
      <c r="I131" s="7" t="str">
        <f>TEXT(multilingual_mobile_app_reviews_2025[[#This Row],[Review_date]],"dd-mm-yyyy")</f>
        <v>28-10-2023</v>
      </c>
      <c r="J131" s="7" t="str">
        <f>TEXT(multilingual_mobile_app_reviews_2025[[#This Row],[Review_date]],"YYYY")</f>
        <v>2023</v>
      </c>
      <c r="K131" s="7" t="str">
        <f>TEXT(multilingual_mobile_app_reviews_2025[[#This Row],[Review_date]],"MMMM")</f>
        <v>October</v>
      </c>
      <c r="L131" s="4" t="b">
        <v>1</v>
      </c>
      <c r="M131" s="4" t="s">
        <v>33</v>
      </c>
      <c r="N131" s="5">
        <v>400</v>
      </c>
      <c r="O131" s="5">
        <v>42</v>
      </c>
      <c r="P131" s="4" t="s">
        <v>80</v>
      </c>
      <c r="Q131" s="8" t="s">
        <v>5</v>
      </c>
      <c r="R131" s="4" t="s">
        <v>253</v>
      </c>
      <c r="S131" s="4"/>
      <c r="T131"/>
      <c r="U131" s="23"/>
    </row>
    <row r="132" spans="1:21" ht="15.6" x14ac:dyDescent="0.3">
      <c r="A132" s="4">
        <v>131</v>
      </c>
      <c r="B132" s="5">
        <v>6822755</v>
      </c>
      <c r="C132" s="4" t="s">
        <v>36</v>
      </c>
      <c r="D132" s="4" t="s">
        <v>57</v>
      </c>
      <c r="E132" s="4" t="s">
        <v>93</v>
      </c>
      <c r="F132" s="4" t="s">
        <v>2958</v>
      </c>
      <c r="G132" s="6">
        <v>1.8</v>
      </c>
      <c r="H132" s="7">
        <v>45520.829108796293</v>
      </c>
      <c r="I132" s="7" t="str">
        <f>TEXT(multilingual_mobile_app_reviews_2025[[#This Row],[Review_date]],"dd-mm-yyyy")</f>
        <v>16-08-2024</v>
      </c>
      <c r="J132" s="7" t="str">
        <f>TEXT(multilingual_mobile_app_reviews_2025[[#This Row],[Review_date]],"YYYY")</f>
        <v>2024</v>
      </c>
      <c r="K132" s="7" t="str">
        <f>TEXT(multilingual_mobile_app_reviews_2025[[#This Row],[Review_date]],"MMMM")</f>
        <v>August</v>
      </c>
      <c r="L132" s="4" t="b">
        <v>1</v>
      </c>
      <c r="M132" s="4" t="s">
        <v>10</v>
      </c>
      <c r="N132" s="5">
        <v>363</v>
      </c>
      <c r="O132" s="5">
        <v>74</v>
      </c>
      <c r="P132" s="4" t="s">
        <v>11</v>
      </c>
      <c r="Q132" s="8" t="s">
        <v>39</v>
      </c>
      <c r="R132" s="4" t="s">
        <v>254</v>
      </c>
      <c r="S132" s="4"/>
      <c r="T132"/>
      <c r="U132" s="23"/>
    </row>
    <row r="133" spans="1:21" ht="15.6" x14ac:dyDescent="0.3">
      <c r="A133" s="4">
        <v>132</v>
      </c>
      <c r="B133" s="5">
        <v>9780808</v>
      </c>
      <c r="C133" s="4" t="s">
        <v>101</v>
      </c>
      <c r="D133" s="4" t="s">
        <v>111</v>
      </c>
      <c r="E133" s="4" t="s">
        <v>64</v>
      </c>
      <c r="F133" s="4" t="s">
        <v>2952</v>
      </c>
      <c r="G133" s="6">
        <v>3.7</v>
      </c>
      <c r="H133" s="7">
        <v>45627.783194444448</v>
      </c>
      <c r="I133" s="7" t="str">
        <f>TEXT(multilingual_mobile_app_reviews_2025[[#This Row],[Review_date]],"dd-mm-yyyy")</f>
        <v>01-12-2024</v>
      </c>
      <c r="J133" s="7" t="str">
        <f>TEXT(multilingual_mobile_app_reviews_2025[[#This Row],[Review_date]],"YYYY")</f>
        <v>2024</v>
      </c>
      <c r="K133" s="7" t="str">
        <f>TEXT(multilingual_mobile_app_reviews_2025[[#This Row],[Review_date]],"MMMM")</f>
        <v>December</v>
      </c>
      <c r="L133" s="4" t="b">
        <v>0</v>
      </c>
      <c r="M133" s="4" t="s">
        <v>33</v>
      </c>
      <c r="N133" s="5">
        <v>55</v>
      </c>
      <c r="O133" s="5">
        <v>73</v>
      </c>
      <c r="P133" s="4" t="s">
        <v>44</v>
      </c>
      <c r="Q133" s="8" t="s">
        <v>29</v>
      </c>
      <c r="R133" s="4" t="s">
        <v>255</v>
      </c>
      <c r="S133" s="4"/>
      <c r="T133"/>
      <c r="U133" s="23"/>
    </row>
    <row r="134" spans="1:21" ht="15.6" x14ac:dyDescent="0.3">
      <c r="A134" s="4">
        <v>133</v>
      </c>
      <c r="B134" s="5">
        <v>999411</v>
      </c>
      <c r="C134" s="4" t="s">
        <v>7</v>
      </c>
      <c r="D134" s="4" t="s">
        <v>60</v>
      </c>
      <c r="E134" s="4" t="s">
        <v>256</v>
      </c>
      <c r="F134" s="4" t="s">
        <v>2941</v>
      </c>
      <c r="G134" s="6">
        <v>2.8</v>
      </c>
      <c r="H134" s="7">
        <v>45741.377245370371</v>
      </c>
      <c r="I134" s="7" t="str">
        <f>TEXT(multilingual_mobile_app_reviews_2025[[#This Row],[Review_date]],"dd-mm-yyyy")</f>
        <v>25-03-2025</v>
      </c>
      <c r="J134" s="7" t="str">
        <f>TEXT(multilingual_mobile_app_reviews_2025[[#This Row],[Review_date]],"YYYY")</f>
        <v>2025</v>
      </c>
      <c r="K134" s="7" t="str">
        <f>TEXT(multilingual_mobile_app_reviews_2025[[#This Row],[Review_date]],"MMMM")</f>
        <v>March</v>
      </c>
      <c r="L134" s="4" t="b">
        <v>1</v>
      </c>
      <c r="M134" s="4" t="s">
        <v>33</v>
      </c>
      <c r="N134" s="5">
        <v>981</v>
      </c>
      <c r="O134" s="5">
        <v>50</v>
      </c>
      <c r="P134" s="4" t="s">
        <v>11</v>
      </c>
      <c r="Q134" s="8" t="s">
        <v>2963</v>
      </c>
      <c r="R134" s="4" t="s">
        <v>257</v>
      </c>
      <c r="S134" s="4"/>
      <c r="T134"/>
      <c r="U134" s="23"/>
    </row>
    <row r="135" spans="1:21" ht="15.6" x14ac:dyDescent="0.3">
      <c r="A135" s="4">
        <v>134</v>
      </c>
      <c r="B135" s="5">
        <v>6481684</v>
      </c>
      <c r="C135" s="4" t="s">
        <v>258</v>
      </c>
      <c r="D135" s="4" t="s">
        <v>51</v>
      </c>
      <c r="E135" s="4" t="s">
        <v>2938</v>
      </c>
      <c r="F135" s="4" t="s">
        <v>2940</v>
      </c>
      <c r="G135" s="6">
        <v>3.3</v>
      </c>
      <c r="H135" s="7">
        <v>45488.803182870368</v>
      </c>
      <c r="I135" s="7" t="str">
        <f>TEXT(multilingual_mobile_app_reviews_2025[[#This Row],[Review_date]],"dd-mm-yyyy")</f>
        <v>15-07-2024</v>
      </c>
      <c r="J135" s="7" t="str">
        <f>TEXT(multilingual_mobile_app_reviews_2025[[#This Row],[Review_date]],"YYYY")</f>
        <v>2024</v>
      </c>
      <c r="K135" s="7" t="str">
        <f>TEXT(multilingual_mobile_app_reviews_2025[[#This Row],[Review_date]],"MMMM")</f>
        <v>July</v>
      </c>
      <c r="L135" s="4" t="b">
        <v>1</v>
      </c>
      <c r="M135" s="4" t="s">
        <v>3</v>
      </c>
      <c r="N135" s="5">
        <v>679</v>
      </c>
      <c r="O135" s="5">
        <v>74</v>
      </c>
      <c r="P135" s="4" t="s">
        <v>90</v>
      </c>
      <c r="Q135" s="8" t="s">
        <v>12</v>
      </c>
      <c r="R135" s="4" t="s">
        <v>259</v>
      </c>
      <c r="S135" s="4"/>
      <c r="T135"/>
      <c r="U135" s="23"/>
    </row>
    <row r="136" spans="1:21" ht="15.6" x14ac:dyDescent="0.3">
      <c r="A136" s="4">
        <v>135</v>
      </c>
      <c r="B136" s="5">
        <v>5088757</v>
      </c>
      <c r="C136" s="4" t="s">
        <v>25</v>
      </c>
      <c r="D136" s="4" t="s">
        <v>8</v>
      </c>
      <c r="E136" s="4" t="s">
        <v>76</v>
      </c>
      <c r="F136" s="4" t="s">
        <v>2943</v>
      </c>
      <c r="G136" s="6">
        <v>5</v>
      </c>
      <c r="H136" s="7">
        <v>45806.98945601852</v>
      </c>
      <c r="I136" s="7" t="str">
        <f>TEXT(multilingual_mobile_app_reviews_2025[[#This Row],[Review_date]],"dd-mm-yyyy")</f>
        <v>29-05-2025</v>
      </c>
      <c r="J136" s="7" t="str">
        <f>TEXT(multilingual_mobile_app_reviews_2025[[#This Row],[Review_date]],"YYYY")</f>
        <v>2025</v>
      </c>
      <c r="K136" s="7" t="str">
        <f>TEXT(multilingual_mobile_app_reviews_2025[[#This Row],[Review_date]],"MMMM")</f>
        <v>May</v>
      </c>
      <c r="L136" s="4" t="b">
        <v>1</v>
      </c>
      <c r="M136" s="4" t="s">
        <v>3</v>
      </c>
      <c r="N136" s="5">
        <v>214</v>
      </c>
      <c r="O136" s="5">
        <v>31</v>
      </c>
      <c r="P136" s="4" t="s">
        <v>90</v>
      </c>
      <c r="Q136" s="8" t="s">
        <v>12</v>
      </c>
      <c r="R136" s="4" t="s">
        <v>260</v>
      </c>
      <c r="S136" s="4"/>
      <c r="T136"/>
      <c r="U136" s="23"/>
    </row>
    <row r="137" spans="1:21" ht="15.6" x14ac:dyDescent="0.3">
      <c r="A137" s="4">
        <v>136</v>
      </c>
      <c r="B137" s="5">
        <v>7294570</v>
      </c>
      <c r="C137" s="4" t="s">
        <v>113</v>
      </c>
      <c r="D137" s="4" t="s">
        <v>97</v>
      </c>
      <c r="E137" s="4" t="s">
        <v>261</v>
      </c>
      <c r="F137" s="4" t="s">
        <v>2941</v>
      </c>
      <c r="G137" s="6">
        <v>2.2000000000000002</v>
      </c>
      <c r="H137" s="7">
        <v>45365.106041666666</v>
      </c>
      <c r="I137" s="7" t="str">
        <f>TEXT(multilingual_mobile_app_reviews_2025[[#This Row],[Review_date]],"dd-mm-yyyy")</f>
        <v>14-03-2024</v>
      </c>
      <c r="J137" s="7" t="str">
        <f>TEXT(multilingual_mobile_app_reviews_2025[[#This Row],[Review_date]],"YYYY")</f>
        <v>2024</v>
      </c>
      <c r="K137" s="7" t="str">
        <f>TEXT(multilingual_mobile_app_reviews_2025[[#This Row],[Review_date]],"MMMM")</f>
        <v>March</v>
      </c>
      <c r="L137" s="4" t="b">
        <v>1</v>
      </c>
      <c r="M137" s="4" t="s">
        <v>98</v>
      </c>
      <c r="N137" s="5">
        <v>46</v>
      </c>
      <c r="O137" s="5">
        <v>67</v>
      </c>
      <c r="P137" s="4" t="s">
        <v>73</v>
      </c>
      <c r="Q137" s="8" t="s">
        <v>12</v>
      </c>
      <c r="R137" s="4" t="s">
        <v>262</v>
      </c>
      <c r="S137" s="4"/>
      <c r="T137"/>
      <c r="U137" s="23"/>
    </row>
    <row r="138" spans="1:21" ht="15.6" x14ac:dyDescent="0.3">
      <c r="A138" s="4">
        <v>137</v>
      </c>
      <c r="B138" s="5">
        <v>3983526</v>
      </c>
      <c r="C138" s="4" t="s">
        <v>176</v>
      </c>
      <c r="D138" s="4" t="s">
        <v>26</v>
      </c>
      <c r="E138" s="4" t="s">
        <v>76</v>
      </c>
      <c r="F138" s="4" t="s">
        <v>2956</v>
      </c>
      <c r="G138" s="6">
        <v>3.6</v>
      </c>
      <c r="H138" s="7">
        <v>45362.6559375</v>
      </c>
      <c r="I138" s="7" t="str">
        <f>TEXT(multilingual_mobile_app_reviews_2025[[#This Row],[Review_date]],"dd-mm-yyyy")</f>
        <v>11-03-2024</v>
      </c>
      <c r="J138" s="7" t="str">
        <f>TEXT(multilingual_mobile_app_reviews_2025[[#This Row],[Review_date]],"YYYY")</f>
        <v>2024</v>
      </c>
      <c r="K138" s="7" t="str">
        <f>TEXT(multilingual_mobile_app_reviews_2025[[#This Row],[Review_date]],"MMMM")</f>
        <v>March</v>
      </c>
      <c r="L138" s="4" t="b">
        <v>0</v>
      </c>
      <c r="M138" s="4" t="s">
        <v>3</v>
      </c>
      <c r="N138" s="5">
        <v>59</v>
      </c>
      <c r="O138" s="5">
        <v>60</v>
      </c>
      <c r="P138" s="4" t="s">
        <v>2963</v>
      </c>
      <c r="Q138" s="8" t="s">
        <v>5</v>
      </c>
      <c r="R138" s="4" t="s">
        <v>263</v>
      </c>
      <c r="S138" s="4"/>
      <c r="T138"/>
      <c r="U138" s="23"/>
    </row>
    <row r="139" spans="1:21" ht="15.6" x14ac:dyDescent="0.3">
      <c r="A139" s="4">
        <v>138</v>
      </c>
      <c r="B139" s="5">
        <v>4843227</v>
      </c>
      <c r="C139" s="4" t="s">
        <v>264</v>
      </c>
      <c r="D139" s="4" t="s">
        <v>1</v>
      </c>
      <c r="E139" s="4" t="s">
        <v>16</v>
      </c>
      <c r="F139" s="4" t="s">
        <v>2944</v>
      </c>
      <c r="G139" s="6">
        <v>3.7</v>
      </c>
      <c r="H139" s="7">
        <v>45684.90483796296</v>
      </c>
      <c r="I139" s="7" t="str">
        <f>TEXT(multilingual_mobile_app_reviews_2025[[#This Row],[Review_date]],"dd-mm-yyyy")</f>
        <v>27-01-2025</v>
      </c>
      <c r="J139" s="7" t="str">
        <f>TEXT(multilingual_mobile_app_reviews_2025[[#This Row],[Review_date]],"YYYY")</f>
        <v>2025</v>
      </c>
      <c r="K139" s="7" t="str">
        <f>TEXT(multilingual_mobile_app_reviews_2025[[#This Row],[Review_date]],"MMMM")</f>
        <v>January</v>
      </c>
      <c r="L139" s="4" t="b">
        <v>1</v>
      </c>
      <c r="M139" s="4" t="s">
        <v>3</v>
      </c>
      <c r="N139" s="5">
        <v>1080</v>
      </c>
      <c r="O139" s="5">
        <v>74</v>
      </c>
      <c r="P139" s="4" t="s">
        <v>38</v>
      </c>
      <c r="Q139" s="8" t="s">
        <v>39</v>
      </c>
      <c r="R139" s="4" t="s">
        <v>265</v>
      </c>
      <c r="S139" s="4"/>
      <c r="T139"/>
      <c r="U139" s="23"/>
    </row>
    <row r="140" spans="1:21" ht="15.6" x14ac:dyDescent="0.3">
      <c r="A140" s="4">
        <v>139</v>
      </c>
      <c r="B140" s="5">
        <v>1294198</v>
      </c>
      <c r="C140" s="4" t="s">
        <v>147</v>
      </c>
      <c r="D140" s="4" t="s">
        <v>47</v>
      </c>
      <c r="E140" s="4" t="s">
        <v>9</v>
      </c>
      <c r="F140" s="4" t="s">
        <v>2942</v>
      </c>
      <c r="G140" s="6">
        <v>2</v>
      </c>
      <c r="H140" s="7">
        <v>45672.785914351851</v>
      </c>
      <c r="I140" s="7" t="str">
        <f>TEXT(multilingual_mobile_app_reviews_2025[[#This Row],[Review_date]],"dd-mm-yyyy")</f>
        <v>15-01-2025</v>
      </c>
      <c r="J140" s="7" t="str">
        <f>TEXT(multilingual_mobile_app_reviews_2025[[#This Row],[Review_date]],"YYYY")</f>
        <v>2025</v>
      </c>
      <c r="K140" s="7" t="str">
        <f>TEXT(multilingual_mobile_app_reviews_2025[[#This Row],[Review_date]],"MMMM")</f>
        <v>January</v>
      </c>
      <c r="L140" s="4" t="b">
        <v>1</v>
      </c>
      <c r="M140" s="4" t="s">
        <v>98</v>
      </c>
      <c r="N140" s="5">
        <v>374</v>
      </c>
      <c r="O140" s="5">
        <v>36</v>
      </c>
      <c r="P140" s="4" t="s">
        <v>61</v>
      </c>
      <c r="Q140" s="8" t="s">
        <v>5</v>
      </c>
      <c r="R140" s="4" t="s">
        <v>266</v>
      </c>
      <c r="S140" s="4"/>
      <c r="T140"/>
      <c r="U140" s="23"/>
    </row>
    <row r="141" spans="1:21" ht="15.6" x14ac:dyDescent="0.3">
      <c r="A141" s="4">
        <v>140</v>
      </c>
      <c r="B141" s="5">
        <v>4538490</v>
      </c>
      <c r="C141" s="4" t="s">
        <v>0</v>
      </c>
      <c r="D141" s="4" t="s">
        <v>51</v>
      </c>
      <c r="E141" s="4" t="s">
        <v>76</v>
      </c>
      <c r="F141" s="4" t="s">
        <v>2954</v>
      </c>
      <c r="G141" s="6">
        <v>4.4000000000000004</v>
      </c>
      <c r="H141" s="7">
        <v>45750.802372685182</v>
      </c>
      <c r="I141" s="7" t="str">
        <f>TEXT(multilingual_mobile_app_reviews_2025[[#This Row],[Review_date]],"dd-mm-yyyy")</f>
        <v>03-04-2025</v>
      </c>
      <c r="J141" s="7" t="str">
        <f>TEXT(multilingual_mobile_app_reviews_2025[[#This Row],[Review_date]],"YYYY")</f>
        <v>2025</v>
      </c>
      <c r="K141" s="7" t="str">
        <f>TEXT(multilingual_mobile_app_reviews_2025[[#This Row],[Review_date]],"MMMM")</f>
        <v>April</v>
      </c>
      <c r="L141" s="4" t="b">
        <v>0</v>
      </c>
      <c r="M141" s="4" t="s">
        <v>33</v>
      </c>
      <c r="N141" s="5">
        <v>109</v>
      </c>
      <c r="O141" s="5">
        <v>68</v>
      </c>
      <c r="P141" s="4" t="s">
        <v>162</v>
      </c>
      <c r="Q141" s="8" t="s">
        <v>12</v>
      </c>
      <c r="R141" s="4" t="s">
        <v>267</v>
      </c>
      <c r="S141" s="4"/>
      <c r="T141"/>
      <c r="U141" s="23"/>
    </row>
    <row r="142" spans="1:21" ht="15.6" x14ac:dyDescent="0.3">
      <c r="A142" s="4">
        <v>141</v>
      </c>
      <c r="B142" s="5">
        <v>9995027</v>
      </c>
      <c r="C142" s="4" t="s">
        <v>7</v>
      </c>
      <c r="D142" s="4" t="s">
        <v>60</v>
      </c>
      <c r="E142" s="4" t="s">
        <v>27</v>
      </c>
      <c r="F142" s="4" t="s">
        <v>2962</v>
      </c>
      <c r="G142" s="6">
        <v>1.1000000000000001</v>
      </c>
      <c r="H142" s="7">
        <v>45652.434305555558</v>
      </c>
      <c r="I142" s="7" t="str">
        <f>TEXT(multilingual_mobile_app_reviews_2025[[#This Row],[Review_date]],"dd-mm-yyyy")</f>
        <v>26-12-2024</v>
      </c>
      <c r="J142" s="7" t="str">
        <f>TEXT(multilingual_mobile_app_reviews_2025[[#This Row],[Review_date]],"YYYY")</f>
        <v>2024</v>
      </c>
      <c r="K142" s="7" t="str">
        <f>TEXT(multilingual_mobile_app_reviews_2025[[#This Row],[Review_date]],"MMMM")</f>
        <v>December</v>
      </c>
      <c r="L142" s="4" t="b">
        <v>1</v>
      </c>
      <c r="M142" s="4" t="s">
        <v>22</v>
      </c>
      <c r="N142" s="5">
        <v>1101</v>
      </c>
      <c r="O142" s="5">
        <v>31</v>
      </c>
      <c r="P142" s="4" t="s">
        <v>65</v>
      </c>
      <c r="Q142" s="8" t="s">
        <v>29</v>
      </c>
      <c r="R142" s="4" t="s">
        <v>268</v>
      </c>
      <c r="S142" s="4"/>
      <c r="T142"/>
      <c r="U142" s="23"/>
    </row>
    <row r="143" spans="1:21" ht="15.6" x14ac:dyDescent="0.3">
      <c r="A143" s="4">
        <v>142</v>
      </c>
      <c r="B143" s="5">
        <v>7232648</v>
      </c>
      <c r="C143" s="4" t="s">
        <v>19</v>
      </c>
      <c r="D143" s="4" t="s">
        <v>51</v>
      </c>
      <c r="E143" s="4" t="s">
        <v>32</v>
      </c>
      <c r="F143" s="4" t="s">
        <v>2942</v>
      </c>
      <c r="G143" s="6">
        <v>3.9</v>
      </c>
      <c r="H143" s="7">
        <v>45228.027650462966</v>
      </c>
      <c r="I143" s="7" t="str">
        <f>TEXT(multilingual_mobile_app_reviews_2025[[#This Row],[Review_date]],"dd-mm-yyyy")</f>
        <v>29-10-2023</v>
      </c>
      <c r="J143" s="7" t="str">
        <f>TEXT(multilingual_mobile_app_reviews_2025[[#This Row],[Review_date]],"YYYY")</f>
        <v>2023</v>
      </c>
      <c r="K143" s="7" t="str">
        <f>TEXT(multilingual_mobile_app_reviews_2025[[#This Row],[Review_date]],"MMMM")</f>
        <v>October</v>
      </c>
      <c r="L143" s="4" t="b">
        <v>1</v>
      </c>
      <c r="M143" s="4" t="s">
        <v>22</v>
      </c>
      <c r="N143" s="5">
        <v>609</v>
      </c>
      <c r="O143" s="5">
        <v>68</v>
      </c>
      <c r="P143" s="4" t="s">
        <v>23</v>
      </c>
      <c r="Q143" s="8" t="s">
        <v>29</v>
      </c>
      <c r="R143" s="4" t="s">
        <v>269</v>
      </c>
      <c r="S143" s="4"/>
      <c r="T143"/>
      <c r="U143" s="23"/>
    </row>
    <row r="144" spans="1:21" ht="15.6" x14ac:dyDescent="0.3">
      <c r="A144" s="4">
        <v>143</v>
      </c>
      <c r="B144" s="5">
        <v>3871676</v>
      </c>
      <c r="C144" s="4" t="s">
        <v>67</v>
      </c>
      <c r="D144" s="4" t="s">
        <v>220</v>
      </c>
      <c r="E144" s="4" t="s">
        <v>76</v>
      </c>
      <c r="F144" s="4" t="s">
        <v>2955</v>
      </c>
      <c r="G144" s="6">
        <v>1.6</v>
      </c>
      <c r="H144" s="7">
        <v>45641.91101851852</v>
      </c>
      <c r="I144" s="7" t="str">
        <f>TEXT(multilingual_mobile_app_reviews_2025[[#This Row],[Review_date]],"dd-mm-yyyy")</f>
        <v>15-12-2024</v>
      </c>
      <c r="J144" s="7" t="str">
        <f>TEXT(multilingual_mobile_app_reviews_2025[[#This Row],[Review_date]],"YYYY")</f>
        <v>2024</v>
      </c>
      <c r="K144" s="7" t="str">
        <f>TEXT(multilingual_mobile_app_reviews_2025[[#This Row],[Review_date]],"MMMM")</f>
        <v>December</v>
      </c>
      <c r="L144" s="4" t="b">
        <v>1</v>
      </c>
      <c r="M144" s="4" t="s">
        <v>22</v>
      </c>
      <c r="N144" s="5">
        <v>423</v>
      </c>
      <c r="O144" s="5">
        <v>64</v>
      </c>
      <c r="P144" s="4" t="s">
        <v>23</v>
      </c>
      <c r="Q144" s="8" t="s">
        <v>2963</v>
      </c>
      <c r="R144" s="4" t="s">
        <v>270</v>
      </c>
      <c r="S144" s="4"/>
      <c r="T144"/>
      <c r="U144" s="23"/>
    </row>
    <row r="145" spans="1:21" ht="15.6" x14ac:dyDescent="0.3">
      <c r="A145" s="4">
        <v>144</v>
      </c>
      <c r="B145" s="5">
        <v>4556573</v>
      </c>
      <c r="C145" s="4" t="s">
        <v>96</v>
      </c>
      <c r="D145" s="4" t="s">
        <v>111</v>
      </c>
      <c r="E145" s="4" t="s">
        <v>271</v>
      </c>
      <c r="F145" s="4" t="s">
        <v>2940</v>
      </c>
      <c r="G145" s="6">
        <v>5</v>
      </c>
      <c r="H145" s="7">
        <v>45478.895624999997</v>
      </c>
      <c r="I145" s="7" t="str">
        <f>TEXT(multilingual_mobile_app_reviews_2025[[#This Row],[Review_date]],"dd-mm-yyyy")</f>
        <v>05-07-2024</v>
      </c>
      <c r="J145" s="7" t="str">
        <f>TEXT(multilingual_mobile_app_reviews_2025[[#This Row],[Review_date]],"YYYY")</f>
        <v>2024</v>
      </c>
      <c r="K145" s="7" t="str">
        <f>TEXT(multilingual_mobile_app_reviews_2025[[#This Row],[Review_date]],"MMMM")</f>
        <v>July</v>
      </c>
      <c r="L145" s="4" t="b">
        <v>1</v>
      </c>
      <c r="M145" s="4" t="s">
        <v>22</v>
      </c>
      <c r="N145" s="5">
        <v>271</v>
      </c>
      <c r="O145" s="5">
        <v>28</v>
      </c>
      <c r="P145" s="4" t="s">
        <v>180</v>
      </c>
      <c r="Q145" s="8" t="s">
        <v>39</v>
      </c>
      <c r="R145" s="4" t="s">
        <v>272</v>
      </c>
      <c r="S145" s="4"/>
      <c r="T145"/>
      <c r="U145" s="23"/>
    </row>
    <row r="146" spans="1:21" ht="15.6" x14ac:dyDescent="0.3">
      <c r="A146" s="4">
        <v>145</v>
      </c>
      <c r="B146" s="5">
        <v>768752</v>
      </c>
      <c r="C146" s="4" t="s">
        <v>19</v>
      </c>
      <c r="D146" s="4" t="s">
        <v>157</v>
      </c>
      <c r="E146" s="4" t="s">
        <v>21</v>
      </c>
      <c r="F146" s="4" t="s">
        <v>2958</v>
      </c>
      <c r="G146" s="6">
        <v>4.7</v>
      </c>
      <c r="H146" s="7">
        <v>45829.713437500002</v>
      </c>
      <c r="I146" s="7" t="str">
        <f>TEXT(multilingual_mobile_app_reviews_2025[[#This Row],[Review_date]],"dd-mm-yyyy")</f>
        <v>21-06-2025</v>
      </c>
      <c r="J146" s="7" t="str">
        <f>TEXT(multilingual_mobile_app_reviews_2025[[#This Row],[Review_date]],"YYYY")</f>
        <v>2025</v>
      </c>
      <c r="K146" s="7" t="str">
        <f>TEXT(multilingual_mobile_app_reviews_2025[[#This Row],[Review_date]],"MMMM")</f>
        <v>June</v>
      </c>
      <c r="L146" s="4" t="b">
        <v>1</v>
      </c>
      <c r="M146" s="4" t="s">
        <v>10</v>
      </c>
      <c r="N146" s="5">
        <v>931</v>
      </c>
      <c r="O146" s="5">
        <v>73</v>
      </c>
      <c r="P146" s="4" t="s">
        <v>99</v>
      </c>
      <c r="Q146" s="8" t="s">
        <v>39</v>
      </c>
      <c r="R146" s="4" t="s">
        <v>273</v>
      </c>
      <c r="S146" s="4"/>
      <c r="T146"/>
      <c r="U146" s="23"/>
    </row>
    <row r="147" spans="1:21" ht="15.6" x14ac:dyDescent="0.3">
      <c r="A147" s="4">
        <v>146</v>
      </c>
      <c r="B147" s="5">
        <v>5507658</v>
      </c>
      <c r="C147" s="4" t="s">
        <v>0</v>
      </c>
      <c r="D147" s="4" t="s">
        <v>79</v>
      </c>
      <c r="E147" s="4" t="s">
        <v>274</v>
      </c>
      <c r="F147" s="4" t="s">
        <v>2947</v>
      </c>
      <c r="G147" s="6">
        <v>2.1</v>
      </c>
      <c r="H147" s="7">
        <v>45348.21365740741</v>
      </c>
      <c r="I147" s="7" t="str">
        <f>TEXT(multilingual_mobile_app_reviews_2025[[#This Row],[Review_date]],"dd-mm-yyyy")</f>
        <v>26-02-2024</v>
      </c>
      <c r="J147" s="7" t="str">
        <f>TEXT(multilingual_mobile_app_reviews_2025[[#This Row],[Review_date]],"YYYY")</f>
        <v>2024</v>
      </c>
      <c r="K147" s="7" t="str">
        <f>TEXT(multilingual_mobile_app_reviews_2025[[#This Row],[Review_date]],"MMMM")</f>
        <v>February</v>
      </c>
      <c r="L147" s="4" t="b">
        <v>1</v>
      </c>
      <c r="M147" s="4" t="s">
        <v>10</v>
      </c>
      <c r="N147" s="5">
        <v>691</v>
      </c>
      <c r="O147" s="5">
        <v>48</v>
      </c>
      <c r="P147" s="4" t="s">
        <v>28</v>
      </c>
      <c r="Q147" s="8" t="s">
        <v>5</v>
      </c>
      <c r="R147" s="4" t="s">
        <v>275</v>
      </c>
      <c r="S147" s="4"/>
      <c r="T147"/>
      <c r="U147" s="23"/>
    </row>
    <row r="148" spans="1:21" ht="15.6" x14ac:dyDescent="0.3">
      <c r="A148" s="4">
        <v>147</v>
      </c>
      <c r="B148" s="5">
        <v>774975</v>
      </c>
      <c r="C148" s="4" t="s">
        <v>134</v>
      </c>
      <c r="D148" s="4" t="s">
        <v>57</v>
      </c>
      <c r="E148" s="4" t="s">
        <v>32</v>
      </c>
      <c r="F148" s="4" t="s">
        <v>2959</v>
      </c>
      <c r="G148" s="6">
        <v>5</v>
      </c>
      <c r="H148" s="7">
        <v>45731.602546296293</v>
      </c>
      <c r="I148" s="7" t="str">
        <f>TEXT(multilingual_mobile_app_reviews_2025[[#This Row],[Review_date]],"dd-mm-yyyy")</f>
        <v>15-03-2025</v>
      </c>
      <c r="J148" s="7" t="str">
        <f>TEXT(multilingual_mobile_app_reviews_2025[[#This Row],[Review_date]],"YYYY")</f>
        <v>2025</v>
      </c>
      <c r="K148" s="7" t="str">
        <f>TEXT(multilingual_mobile_app_reviews_2025[[#This Row],[Review_date]],"MMMM")</f>
        <v>March</v>
      </c>
      <c r="L148" s="4" t="b">
        <v>0</v>
      </c>
      <c r="M148" s="4" t="s">
        <v>22</v>
      </c>
      <c r="N148" s="5">
        <v>618</v>
      </c>
      <c r="O148" s="5">
        <v>23</v>
      </c>
      <c r="P148" s="4" t="s">
        <v>230</v>
      </c>
      <c r="Q148" s="8" t="s">
        <v>12</v>
      </c>
      <c r="R148" s="4" t="s">
        <v>276</v>
      </c>
      <c r="S148" s="4"/>
      <c r="T148"/>
      <c r="U148" s="23"/>
    </row>
    <row r="149" spans="1:21" ht="15.6" x14ac:dyDescent="0.3">
      <c r="A149" s="4">
        <v>148</v>
      </c>
      <c r="B149" s="5">
        <v>3039212</v>
      </c>
      <c r="C149" s="4" t="s">
        <v>159</v>
      </c>
      <c r="D149" s="4" t="s">
        <v>71</v>
      </c>
      <c r="E149" s="4" t="s">
        <v>2938</v>
      </c>
      <c r="F149" s="4" t="s">
        <v>2941</v>
      </c>
      <c r="G149" s="6">
        <v>1.5</v>
      </c>
      <c r="H149" s="7">
        <v>45504.327048611114</v>
      </c>
      <c r="I149" s="7" t="str">
        <f>TEXT(multilingual_mobile_app_reviews_2025[[#This Row],[Review_date]],"dd-mm-yyyy")</f>
        <v>31-07-2024</v>
      </c>
      <c r="J149" s="7" t="str">
        <f>TEXT(multilingual_mobile_app_reviews_2025[[#This Row],[Review_date]],"YYYY")</f>
        <v>2024</v>
      </c>
      <c r="K149" s="7" t="str">
        <f>TEXT(multilingual_mobile_app_reviews_2025[[#This Row],[Review_date]],"MMMM")</f>
        <v>July</v>
      </c>
      <c r="L149" s="4" t="b">
        <v>1</v>
      </c>
      <c r="M149" s="4" t="s">
        <v>22</v>
      </c>
      <c r="N149" s="5">
        <v>1063</v>
      </c>
      <c r="O149" s="5">
        <v>56</v>
      </c>
      <c r="P149" s="4" t="s">
        <v>70</v>
      </c>
      <c r="Q149" s="8" t="s">
        <v>12</v>
      </c>
      <c r="R149" s="4" t="s">
        <v>277</v>
      </c>
      <c r="S149" s="4"/>
      <c r="T149"/>
      <c r="U149" s="23"/>
    </row>
    <row r="150" spans="1:21" ht="15.6" x14ac:dyDescent="0.3">
      <c r="A150" s="4">
        <v>149</v>
      </c>
      <c r="B150" s="5">
        <v>7519378</v>
      </c>
      <c r="C150" s="4" t="s">
        <v>54</v>
      </c>
      <c r="D150" s="4" t="s">
        <v>20</v>
      </c>
      <c r="E150" s="4" t="s">
        <v>2938</v>
      </c>
      <c r="F150" s="4" t="s">
        <v>2951</v>
      </c>
      <c r="G150" s="6">
        <v>2.5</v>
      </c>
      <c r="H150" s="7">
        <v>45850.413032407407</v>
      </c>
      <c r="I150" s="7" t="str">
        <f>TEXT(multilingual_mobile_app_reviews_2025[[#This Row],[Review_date]],"dd-mm-yyyy")</f>
        <v>12-07-2025</v>
      </c>
      <c r="J150" s="7" t="str">
        <f>TEXT(multilingual_mobile_app_reviews_2025[[#This Row],[Review_date]],"YYYY")</f>
        <v>2025</v>
      </c>
      <c r="K150" s="7" t="str">
        <f>TEXT(multilingual_mobile_app_reviews_2025[[#This Row],[Review_date]],"MMMM")</f>
        <v>July</v>
      </c>
      <c r="L150" s="4" t="b">
        <v>1</v>
      </c>
      <c r="M150" s="4" t="s">
        <v>22</v>
      </c>
      <c r="N150" s="5">
        <v>292</v>
      </c>
      <c r="O150" s="5">
        <v>17</v>
      </c>
      <c r="P150" s="4" t="s">
        <v>85</v>
      </c>
      <c r="Q150" s="8" t="s">
        <v>2963</v>
      </c>
      <c r="R150" s="4" t="s">
        <v>278</v>
      </c>
      <c r="S150" s="4"/>
      <c r="T150"/>
      <c r="U150" s="23"/>
    </row>
    <row r="151" spans="1:21" ht="15.6" x14ac:dyDescent="0.3">
      <c r="A151" s="4">
        <v>150</v>
      </c>
      <c r="B151" s="5">
        <v>3144882</v>
      </c>
      <c r="C151" s="4" t="s">
        <v>199</v>
      </c>
      <c r="D151" s="4" t="s">
        <v>157</v>
      </c>
      <c r="E151" s="4" t="s">
        <v>16</v>
      </c>
      <c r="F151" s="4" t="s">
        <v>2950</v>
      </c>
      <c r="G151" s="6">
        <v>3.9</v>
      </c>
      <c r="H151" s="7">
        <v>45593.517222222225</v>
      </c>
      <c r="I151" s="7" t="str">
        <f>TEXT(multilingual_mobile_app_reviews_2025[[#This Row],[Review_date]],"dd-mm-yyyy")</f>
        <v>28-10-2024</v>
      </c>
      <c r="J151" s="7" t="str">
        <f>TEXT(multilingual_mobile_app_reviews_2025[[#This Row],[Review_date]],"YYYY")</f>
        <v>2024</v>
      </c>
      <c r="K151" s="7" t="str">
        <f>TEXT(multilingual_mobile_app_reviews_2025[[#This Row],[Review_date]],"MMMM")</f>
        <v>October</v>
      </c>
      <c r="L151" s="4" t="b">
        <v>1</v>
      </c>
      <c r="M151" s="4" t="s">
        <v>10</v>
      </c>
      <c r="N151" s="5">
        <v>879</v>
      </c>
      <c r="O151" s="5">
        <v>33</v>
      </c>
      <c r="P151" s="4" t="s">
        <v>180</v>
      </c>
      <c r="Q151" s="8" t="s">
        <v>5</v>
      </c>
      <c r="R151" s="4" t="s">
        <v>279</v>
      </c>
      <c r="S151" s="4"/>
      <c r="T151"/>
      <c r="U151" s="23"/>
    </row>
    <row r="152" spans="1:21" ht="15.6" x14ac:dyDescent="0.3">
      <c r="A152" s="4">
        <v>151</v>
      </c>
      <c r="B152" s="5">
        <v>8349789</v>
      </c>
      <c r="C152" s="4" t="s">
        <v>132</v>
      </c>
      <c r="D152" s="4" t="s">
        <v>71</v>
      </c>
      <c r="E152" s="4" t="s">
        <v>280</v>
      </c>
      <c r="F152" s="4" t="s">
        <v>2940</v>
      </c>
      <c r="G152" s="6">
        <v>4.0999999999999996</v>
      </c>
      <c r="H152" s="7">
        <v>45139.772314814814</v>
      </c>
      <c r="I152" s="7" t="str">
        <f>TEXT(multilingual_mobile_app_reviews_2025[[#This Row],[Review_date]],"dd-mm-yyyy")</f>
        <v>01-08-2023</v>
      </c>
      <c r="J152" s="7" t="str">
        <f>TEXT(multilingual_mobile_app_reviews_2025[[#This Row],[Review_date]],"YYYY")</f>
        <v>2023</v>
      </c>
      <c r="K152" s="7" t="str">
        <f>TEXT(multilingual_mobile_app_reviews_2025[[#This Row],[Review_date]],"MMMM")</f>
        <v>August</v>
      </c>
      <c r="L152" s="4" t="b">
        <v>0</v>
      </c>
      <c r="M152" s="4" t="s">
        <v>22</v>
      </c>
      <c r="N152" s="5">
        <v>1013</v>
      </c>
      <c r="O152" s="5">
        <v>37</v>
      </c>
      <c r="P152" s="4" t="s">
        <v>80</v>
      </c>
      <c r="Q152" s="8" t="s">
        <v>5</v>
      </c>
      <c r="R152" s="4" t="s">
        <v>281</v>
      </c>
      <c r="S152" s="4"/>
      <c r="T152"/>
      <c r="U152" s="23"/>
    </row>
    <row r="153" spans="1:21" ht="15.6" x14ac:dyDescent="0.3">
      <c r="A153" s="4">
        <v>152</v>
      </c>
      <c r="B153" s="5">
        <v>9203209</v>
      </c>
      <c r="C153" s="4" t="s">
        <v>208</v>
      </c>
      <c r="D153" s="4" t="s">
        <v>31</v>
      </c>
      <c r="E153" s="4" t="s">
        <v>130</v>
      </c>
      <c r="F153" s="4" t="s">
        <v>2941</v>
      </c>
      <c r="G153" s="6">
        <v>1.1000000000000001</v>
      </c>
      <c r="H153" s="7">
        <v>45497.705891203703</v>
      </c>
      <c r="I153" s="7" t="str">
        <f>TEXT(multilingual_mobile_app_reviews_2025[[#This Row],[Review_date]],"dd-mm-yyyy")</f>
        <v>24-07-2024</v>
      </c>
      <c r="J153" s="7" t="str">
        <f>TEXT(multilingual_mobile_app_reviews_2025[[#This Row],[Review_date]],"YYYY")</f>
        <v>2024</v>
      </c>
      <c r="K153" s="7" t="str">
        <f>TEXT(multilingual_mobile_app_reviews_2025[[#This Row],[Review_date]],"MMMM")</f>
        <v>July</v>
      </c>
      <c r="L153" s="4" t="b">
        <v>1</v>
      </c>
      <c r="M153" s="4" t="s">
        <v>98</v>
      </c>
      <c r="N153" s="5">
        <v>28</v>
      </c>
      <c r="O153" s="5">
        <v>29</v>
      </c>
      <c r="P153" s="4" t="s">
        <v>127</v>
      </c>
      <c r="Q153" s="8" t="s">
        <v>12</v>
      </c>
      <c r="R153" s="4" t="s">
        <v>282</v>
      </c>
      <c r="S153" s="4"/>
      <c r="T153"/>
      <c r="U153" s="23"/>
    </row>
    <row r="154" spans="1:21" ht="15.6" x14ac:dyDescent="0.3">
      <c r="A154" s="4">
        <v>153</v>
      </c>
      <c r="B154" s="5">
        <v>1009393</v>
      </c>
      <c r="C154" s="4" t="s">
        <v>7</v>
      </c>
      <c r="D154" s="4" t="s">
        <v>157</v>
      </c>
      <c r="E154" s="4" t="s">
        <v>21</v>
      </c>
      <c r="F154" s="4" t="s">
        <v>2941</v>
      </c>
      <c r="G154" s="6">
        <v>2.2000000000000002</v>
      </c>
      <c r="H154" s="7">
        <v>45284.577928240738</v>
      </c>
      <c r="I154" s="7" t="str">
        <f>TEXT(multilingual_mobile_app_reviews_2025[[#This Row],[Review_date]],"dd-mm-yyyy")</f>
        <v>24-12-2023</v>
      </c>
      <c r="J154" s="7" t="str">
        <f>TEXT(multilingual_mobile_app_reviews_2025[[#This Row],[Review_date]],"YYYY")</f>
        <v>2023</v>
      </c>
      <c r="K154" s="7" t="str">
        <f>TEXT(multilingual_mobile_app_reviews_2025[[#This Row],[Review_date]],"MMMM")</f>
        <v>December</v>
      </c>
      <c r="L154" s="4" t="b">
        <v>1</v>
      </c>
      <c r="M154" s="4" t="s">
        <v>33</v>
      </c>
      <c r="N154" s="5">
        <v>416</v>
      </c>
      <c r="O154" s="5">
        <v>75</v>
      </c>
      <c r="P154" s="4" t="s">
        <v>180</v>
      </c>
      <c r="Q154" s="8" t="s">
        <v>2963</v>
      </c>
      <c r="R154" s="4" t="s">
        <v>283</v>
      </c>
      <c r="S154" s="4"/>
      <c r="T154"/>
      <c r="U154" s="23"/>
    </row>
    <row r="155" spans="1:21" ht="15.6" x14ac:dyDescent="0.3">
      <c r="A155" s="4">
        <v>154</v>
      </c>
      <c r="B155" s="5">
        <v>6169650</v>
      </c>
      <c r="C155" s="4" t="s">
        <v>123</v>
      </c>
      <c r="D155" s="4" t="s">
        <v>157</v>
      </c>
      <c r="E155" s="4" t="s">
        <v>284</v>
      </c>
      <c r="F155" s="4" t="s">
        <v>2955</v>
      </c>
      <c r="G155" s="6">
        <v>3.4</v>
      </c>
      <c r="H155" s="7">
        <v>45380.245023148149</v>
      </c>
      <c r="I155" s="7" t="str">
        <f>TEXT(multilingual_mobile_app_reviews_2025[[#This Row],[Review_date]],"dd-mm-yyyy")</f>
        <v>29-03-2024</v>
      </c>
      <c r="J155" s="7" t="str">
        <f>TEXT(multilingual_mobile_app_reviews_2025[[#This Row],[Review_date]],"YYYY")</f>
        <v>2024</v>
      </c>
      <c r="K155" s="7" t="str">
        <f>TEXT(multilingual_mobile_app_reviews_2025[[#This Row],[Review_date]],"MMMM")</f>
        <v>March</v>
      </c>
      <c r="L155" s="4" t="b">
        <v>1</v>
      </c>
      <c r="M155" s="4" t="s">
        <v>10</v>
      </c>
      <c r="N155" s="5">
        <v>359</v>
      </c>
      <c r="O155" s="5">
        <v>20</v>
      </c>
      <c r="P155" s="4" t="s">
        <v>118</v>
      </c>
      <c r="Q155" s="8" t="s">
        <v>5</v>
      </c>
      <c r="R155" s="4" t="s">
        <v>285</v>
      </c>
      <c r="S155" s="4"/>
      <c r="T155"/>
      <c r="U155" s="23"/>
    </row>
    <row r="156" spans="1:21" ht="15.6" x14ac:dyDescent="0.3">
      <c r="A156" s="4">
        <v>155</v>
      </c>
      <c r="B156" s="5">
        <v>329419</v>
      </c>
      <c r="C156" s="4" t="s">
        <v>87</v>
      </c>
      <c r="D156" s="4" t="s">
        <v>47</v>
      </c>
      <c r="E156" s="4" t="s">
        <v>286</v>
      </c>
      <c r="F156" s="4" t="s">
        <v>2945</v>
      </c>
      <c r="G156" s="6">
        <v>2.1</v>
      </c>
      <c r="H156" s="7">
        <v>45567.058506944442</v>
      </c>
      <c r="I156" s="7" t="str">
        <f>TEXT(multilingual_mobile_app_reviews_2025[[#This Row],[Review_date]],"dd-mm-yyyy")</f>
        <v>02-10-2024</v>
      </c>
      <c r="J156" s="7" t="str">
        <f>TEXT(multilingual_mobile_app_reviews_2025[[#This Row],[Review_date]],"YYYY")</f>
        <v>2024</v>
      </c>
      <c r="K156" s="7" t="str">
        <f>TEXT(multilingual_mobile_app_reviews_2025[[#This Row],[Review_date]],"MMMM")</f>
        <v>October</v>
      </c>
      <c r="L156" s="4" t="b">
        <v>1</v>
      </c>
      <c r="M156" s="4" t="s">
        <v>98</v>
      </c>
      <c r="N156" s="5">
        <v>538</v>
      </c>
      <c r="O156" s="5">
        <v>58</v>
      </c>
      <c r="P156" s="4" t="s">
        <v>28</v>
      </c>
      <c r="Q156" s="8" t="s">
        <v>12</v>
      </c>
      <c r="R156" s="4" t="s">
        <v>287</v>
      </c>
      <c r="S156" s="4"/>
      <c r="T156"/>
      <c r="U156" s="23"/>
    </row>
    <row r="157" spans="1:21" ht="15.6" x14ac:dyDescent="0.3">
      <c r="A157" s="4">
        <v>156</v>
      </c>
      <c r="B157" s="5">
        <v>6535505</v>
      </c>
      <c r="C157" s="4" t="s">
        <v>176</v>
      </c>
      <c r="D157" s="4" t="s">
        <v>111</v>
      </c>
      <c r="E157" s="4" t="s">
        <v>288</v>
      </c>
      <c r="F157" s="4" t="s">
        <v>2939</v>
      </c>
      <c r="G157" s="6">
        <v>2</v>
      </c>
      <c r="H157" s="7">
        <v>45752.494201388887</v>
      </c>
      <c r="I157" s="7" t="str">
        <f>TEXT(multilingual_mobile_app_reviews_2025[[#This Row],[Review_date]],"dd-mm-yyyy")</f>
        <v>05-04-2025</v>
      </c>
      <c r="J157" s="7" t="str">
        <f>TEXT(multilingual_mobile_app_reviews_2025[[#This Row],[Review_date]],"YYYY")</f>
        <v>2025</v>
      </c>
      <c r="K157" s="7" t="str">
        <f>TEXT(multilingual_mobile_app_reviews_2025[[#This Row],[Review_date]],"MMMM")</f>
        <v>April</v>
      </c>
      <c r="L157" s="4" t="b">
        <v>1</v>
      </c>
      <c r="M157" s="4" t="s">
        <v>3</v>
      </c>
      <c r="N157" s="5">
        <v>745</v>
      </c>
      <c r="O157" s="5">
        <v>37</v>
      </c>
      <c r="P157" s="4" t="s">
        <v>180</v>
      </c>
      <c r="Q157" s="8" t="s">
        <v>5</v>
      </c>
      <c r="R157" s="4" t="s">
        <v>289</v>
      </c>
      <c r="S157" s="4"/>
      <c r="T157"/>
      <c r="U157" s="23"/>
    </row>
    <row r="158" spans="1:21" ht="15.6" x14ac:dyDescent="0.3">
      <c r="A158" s="4">
        <v>157</v>
      </c>
      <c r="B158" s="5">
        <v>5802160</v>
      </c>
      <c r="C158" s="4" t="s">
        <v>7</v>
      </c>
      <c r="D158" s="4" t="s">
        <v>8</v>
      </c>
      <c r="E158" s="4" t="s">
        <v>290</v>
      </c>
      <c r="F158" s="4" t="s">
        <v>2942</v>
      </c>
      <c r="G158" s="6">
        <v>3</v>
      </c>
      <c r="H158" s="7">
        <v>45680.64130787037</v>
      </c>
      <c r="I158" s="7" t="str">
        <f>TEXT(multilingual_mobile_app_reviews_2025[[#This Row],[Review_date]],"dd-mm-yyyy")</f>
        <v>23-01-2025</v>
      </c>
      <c r="J158" s="7" t="str">
        <f>TEXT(multilingual_mobile_app_reviews_2025[[#This Row],[Review_date]],"YYYY")</f>
        <v>2025</v>
      </c>
      <c r="K158" s="7" t="str">
        <f>TEXT(multilingual_mobile_app_reviews_2025[[#This Row],[Review_date]],"MMMM")</f>
        <v>January</v>
      </c>
      <c r="L158" s="4" t="b">
        <v>1</v>
      </c>
      <c r="M158" s="4" t="s">
        <v>98</v>
      </c>
      <c r="N158" s="5">
        <v>367</v>
      </c>
      <c r="O158" s="5">
        <v>27</v>
      </c>
      <c r="P158" s="4" t="s">
        <v>85</v>
      </c>
      <c r="Q158" s="8" t="s">
        <v>12</v>
      </c>
      <c r="R158" s="4" t="s">
        <v>291</v>
      </c>
      <c r="S158" s="4"/>
      <c r="T158"/>
      <c r="U158" s="23"/>
    </row>
    <row r="159" spans="1:21" ht="15.6" x14ac:dyDescent="0.3">
      <c r="A159" s="4">
        <v>158</v>
      </c>
      <c r="B159" s="5">
        <v>9693172</v>
      </c>
      <c r="C159" s="4" t="s">
        <v>208</v>
      </c>
      <c r="D159" s="4" t="s">
        <v>20</v>
      </c>
      <c r="E159" s="4" t="s">
        <v>21</v>
      </c>
      <c r="F159" s="4" t="s">
        <v>2961</v>
      </c>
      <c r="G159" s="6">
        <v>3.5</v>
      </c>
      <c r="H159" s="7">
        <v>45436.340509259258</v>
      </c>
      <c r="I159" s="7" t="str">
        <f>TEXT(multilingual_mobile_app_reviews_2025[[#This Row],[Review_date]],"dd-mm-yyyy")</f>
        <v>24-05-2024</v>
      </c>
      <c r="J159" s="7" t="str">
        <f>TEXT(multilingual_mobile_app_reviews_2025[[#This Row],[Review_date]],"YYYY")</f>
        <v>2024</v>
      </c>
      <c r="K159" s="7" t="str">
        <f>TEXT(multilingual_mobile_app_reviews_2025[[#This Row],[Review_date]],"MMMM")</f>
        <v>May</v>
      </c>
      <c r="L159" s="4" t="b">
        <v>1</v>
      </c>
      <c r="M159" s="4" t="s">
        <v>3</v>
      </c>
      <c r="N159" s="5">
        <v>754</v>
      </c>
      <c r="O159" s="5">
        <v>50</v>
      </c>
      <c r="P159" s="4" t="s">
        <v>99</v>
      </c>
      <c r="Q159" s="8" t="s">
        <v>5</v>
      </c>
      <c r="R159" s="4" t="s">
        <v>292</v>
      </c>
      <c r="S159" s="4"/>
      <c r="T159"/>
      <c r="U159" s="23"/>
    </row>
    <row r="160" spans="1:21" ht="15.6" x14ac:dyDescent="0.3">
      <c r="A160" s="4">
        <v>159</v>
      </c>
      <c r="B160" s="5">
        <v>6991662</v>
      </c>
      <c r="C160" s="4" t="s">
        <v>132</v>
      </c>
      <c r="D160" s="4" t="s">
        <v>8</v>
      </c>
      <c r="E160" s="4" t="s">
        <v>32</v>
      </c>
      <c r="F160" s="4" t="s">
        <v>2961</v>
      </c>
      <c r="G160" s="6">
        <v>3.9</v>
      </c>
      <c r="H160" s="7">
        <v>45172.780115740738</v>
      </c>
      <c r="I160" s="7" t="str">
        <f>TEXT(multilingual_mobile_app_reviews_2025[[#This Row],[Review_date]],"dd-mm-yyyy")</f>
        <v>03-09-2023</v>
      </c>
      <c r="J160" s="7" t="str">
        <f>TEXT(multilingual_mobile_app_reviews_2025[[#This Row],[Review_date]],"YYYY")</f>
        <v>2023</v>
      </c>
      <c r="K160" s="7" t="str">
        <f>TEXT(multilingual_mobile_app_reviews_2025[[#This Row],[Review_date]],"MMMM")</f>
        <v>September</v>
      </c>
      <c r="L160" s="4" t="b">
        <v>1</v>
      </c>
      <c r="M160" s="4" t="s">
        <v>98</v>
      </c>
      <c r="N160" s="5">
        <v>420</v>
      </c>
      <c r="O160" s="5">
        <v>46</v>
      </c>
      <c r="P160" s="4" t="s">
        <v>17</v>
      </c>
      <c r="Q160" s="8" t="s">
        <v>29</v>
      </c>
      <c r="R160" s="4" t="s">
        <v>293</v>
      </c>
      <c r="S160" s="4"/>
      <c r="T160"/>
      <c r="U160" s="23"/>
    </row>
    <row r="161" spans="1:21" ht="15.6" x14ac:dyDescent="0.3">
      <c r="A161" s="4">
        <v>160</v>
      </c>
      <c r="B161" s="5">
        <v>8035224</v>
      </c>
      <c r="C161" s="4" t="s">
        <v>154</v>
      </c>
      <c r="D161" s="4" t="s">
        <v>97</v>
      </c>
      <c r="E161" s="4" t="s">
        <v>76</v>
      </c>
      <c r="F161" s="4" t="s">
        <v>2956</v>
      </c>
      <c r="G161" s="6">
        <v>4.3</v>
      </c>
      <c r="H161" s="7">
        <v>45686.644942129627</v>
      </c>
      <c r="I161" s="7" t="str">
        <f>TEXT(multilingual_mobile_app_reviews_2025[[#This Row],[Review_date]],"dd-mm-yyyy")</f>
        <v>29-01-2025</v>
      </c>
      <c r="J161" s="7" t="str">
        <f>TEXT(multilingual_mobile_app_reviews_2025[[#This Row],[Review_date]],"YYYY")</f>
        <v>2025</v>
      </c>
      <c r="K161" s="7" t="str">
        <f>TEXT(multilingual_mobile_app_reviews_2025[[#This Row],[Review_date]],"MMMM")</f>
        <v>January</v>
      </c>
      <c r="L161" s="4" t="b">
        <v>1</v>
      </c>
      <c r="M161" s="4" t="s">
        <v>98</v>
      </c>
      <c r="N161" s="5">
        <v>1212</v>
      </c>
      <c r="O161" s="5">
        <v>49</v>
      </c>
      <c r="P161" s="4" t="s">
        <v>23</v>
      </c>
      <c r="Q161" s="8" t="s">
        <v>29</v>
      </c>
      <c r="R161" s="4" t="s">
        <v>294</v>
      </c>
      <c r="S161" s="4"/>
      <c r="T161"/>
      <c r="U161" s="23"/>
    </row>
    <row r="162" spans="1:21" ht="15.6" x14ac:dyDescent="0.3">
      <c r="A162" s="4">
        <v>161</v>
      </c>
      <c r="B162" s="5">
        <v>6577326</v>
      </c>
      <c r="C162" s="4" t="s">
        <v>159</v>
      </c>
      <c r="D162" s="4" t="s">
        <v>26</v>
      </c>
      <c r="E162" s="4" t="s">
        <v>295</v>
      </c>
      <c r="F162" s="4" t="s">
        <v>2942</v>
      </c>
      <c r="G162" s="6">
        <v>1.6</v>
      </c>
      <c r="H162" s="7">
        <v>45344.727534722224</v>
      </c>
      <c r="I162" s="7" t="str">
        <f>TEXT(multilingual_mobile_app_reviews_2025[[#This Row],[Review_date]],"dd-mm-yyyy")</f>
        <v>22-02-2024</v>
      </c>
      <c r="J162" s="7" t="str">
        <f>TEXT(multilingual_mobile_app_reviews_2025[[#This Row],[Review_date]],"YYYY")</f>
        <v>2024</v>
      </c>
      <c r="K162" s="7" t="str">
        <f>TEXT(multilingual_mobile_app_reviews_2025[[#This Row],[Review_date]],"MMMM")</f>
        <v>February</v>
      </c>
      <c r="L162" s="4" t="b">
        <v>1</v>
      </c>
      <c r="M162" s="4" t="s">
        <v>22</v>
      </c>
      <c r="N162" s="5">
        <v>920</v>
      </c>
      <c r="O162" s="5">
        <v>42</v>
      </c>
      <c r="P162" s="4" t="s">
        <v>73</v>
      </c>
      <c r="Q162" s="8" t="s">
        <v>29</v>
      </c>
      <c r="R162" s="4" t="s">
        <v>296</v>
      </c>
      <c r="S162" s="4"/>
      <c r="T162"/>
      <c r="U162" s="23"/>
    </row>
    <row r="163" spans="1:21" ht="15.6" x14ac:dyDescent="0.3">
      <c r="A163" s="4">
        <v>162</v>
      </c>
      <c r="B163" s="5">
        <v>6768663</v>
      </c>
      <c r="C163" s="4" t="s">
        <v>14</v>
      </c>
      <c r="D163" s="4" t="s">
        <v>20</v>
      </c>
      <c r="E163" s="4" t="s">
        <v>9</v>
      </c>
      <c r="F163" s="4" t="s">
        <v>2951</v>
      </c>
      <c r="G163" s="6">
        <v>1.4</v>
      </c>
      <c r="H163" s="7">
        <v>45643.621307870373</v>
      </c>
      <c r="I163" s="7" t="str">
        <f>TEXT(multilingual_mobile_app_reviews_2025[[#This Row],[Review_date]],"dd-mm-yyyy")</f>
        <v>17-12-2024</v>
      </c>
      <c r="J163" s="7" t="str">
        <f>TEXT(multilingual_mobile_app_reviews_2025[[#This Row],[Review_date]],"YYYY")</f>
        <v>2024</v>
      </c>
      <c r="K163" s="7" t="str">
        <f>TEXT(multilingual_mobile_app_reviews_2025[[#This Row],[Review_date]],"MMMM")</f>
        <v>December</v>
      </c>
      <c r="L163" s="4" t="b">
        <v>1</v>
      </c>
      <c r="M163" s="4" t="s">
        <v>22</v>
      </c>
      <c r="N163" s="5">
        <v>728</v>
      </c>
      <c r="O163" s="5">
        <v>38</v>
      </c>
      <c r="P163" s="4" t="s">
        <v>85</v>
      </c>
      <c r="Q163" s="8" t="s">
        <v>2963</v>
      </c>
      <c r="R163" s="4" t="s">
        <v>297</v>
      </c>
      <c r="S163" s="4"/>
      <c r="T163"/>
      <c r="U163" s="23"/>
    </row>
    <row r="164" spans="1:21" ht="15.6" x14ac:dyDescent="0.3">
      <c r="A164" s="4">
        <v>163</v>
      </c>
      <c r="B164" s="5">
        <v>5612415</v>
      </c>
      <c r="C164" s="4" t="s">
        <v>104</v>
      </c>
      <c r="D164" s="4" t="s">
        <v>51</v>
      </c>
      <c r="E164" s="4" t="s">
        <v>76</v>
      </c>
      <c r="F164" s="4" t="s">
        <v>2942</v>
      </c>
      <c r="G164" s="6">
        <v>1</v>
      </c>
      <c r="H164" s="7">
        <v>45800.91134259259</v>
      </c>
      <c r="I164" s="7" t="str">
        <f>TEXT(multilingual_mobile_app_reviews_2025[[#This Row],[Review_date]],"dd-mm-yyyy")</f>
        <v>23-05-2025</v>
      </c>
      <c r="J164" s="7" t="str">
        <f>TEXT(multilingual_mobile_app_reviews_2025[[#This Row],[Review_date]],"YYYY")</f>
        <v>2025</v>
      </c>
      <c r="K164" s="7" t="str">
        <f>TEXT(multilingual_mobile_app_reviews_2025[[#This Row],[Review_date]],"MMMM")</f>
        <v>May</v>
      </c>
      <c r="L164" s="4" t="b">
        <v>0</v>
      </c>
      <c r="M164" s="4" t="s">
        <v>22</v>
      </c>
      <c r="N164" s="5">
        <v>267</v>
      </c>
      <c r="O164" s="5">
        <v>25</v>
      </c>
      <c r="P164" s="4" t="s">
        <v>11</v>
      </c>
      <c r="Q164" s="8" t="s">
        <v>39</v>
      </c>
      <c r="R164" s="4" t="s">
        <v>298</v>
      </c>
      <c r="S164" s="4"/>
      <c r="T164"/>
      <c r="U164" s="23"/>
    </row>
    <row r="165" spans="1:21" ht="15.6" x14ac:dyDescent="0.3">
      <c r="A165" s="4">
        <v>164</v>
      </c>
      <c r="B165" s="5">
        <v>9052696</v>
      </c>
      <c r="C165" s="4" t="s">
        <v>264</v>
      </c>
      <c r="D165" s="4" t="s">
        <v>42</v>
      </c>
      <c r="E165" s="4" t="s">
        <v>9</v>
      </c>
      <c r="F165" s="4" t="s">
        <v>2942</v>
      </c>
      <c r="G165" s="6">
        <v>1.2</v>
      </c>
      <c r="H165" s="7">
        <v>45434.040277777778</v>
      </c>
      <c r="I165" s="7" t="str">
        <f>TEXT(multilingual_mobile_app_reviews_2025[[#This Row],[Review_date]],"dd-mm-yyyy")</f>
        <v>22-05-2024</v>
      </c>
      <c r="J165" s="7" t="str">
        <f>TEXT(multilingual_mobile_app_reviews_2025[[#This Row],[Review_date]],"YYYY")</f>
        <v>2024</v>
      </c>
      <c r="K165" s="7" t="str">
        <f>TEXT(multilingual_mobile_app_reviews_2025[[#This Row],[Review_date]],"MMMM")</f>
        <v>May</v>
      </c>
      <c r="L165" s="4" t="b">
        <v>1</v>
      </c>
      <c r="M165" s="4" t="s">
        <v>3</v>
      </c>
      <c r="N165" s="5">
        <v>103</v>
      </c>
      <c r="O165" s="5">
        <v>23</v>
      </c>
      <c r="P165" s="4" t="s">
        <v>28</v>
      </c>
      <c r="Q165" s="8" t="s">
        <v>29</v>
      </c>
      <c r="R165" s="4" t="s">
        <v>299</v>
      </c>
      <c r="S165" s="4"/>
      <c r="T165"/>
      <c r="U165" s="23"/>
    </row>
    <row r="166" spans="1:21" ht="15.6" x14ac:dyDescent="0.3">
      <c r="A166" s="4">
        <v>165</v>
      </c>
      <c r="B166" s="5">
        <v>8286400</v>
      </c>
      <c r="C166" s="4" t="s">
        <v>113</v>
      </c>
      <c r="D166" s="4" t="s">
        <v>47</v>
      </c>
      <c r="E166" s="4" t="s">
        <v>93</v>
      </c>
      <c r="F166" s="4" t="s">
        <v>2953</v>
      </c>
      <c r="G166" s="6">
        <v>3.6</v>
      </c>
      <c r="H166" s="7">
        <v>45816.478182870371</v>
      </c>
      <c r="I166" s="7" t="str">
        <f>TEXT(multilingual_mobile_app_reviews_2025[[#This Row],[Review_date]],"dd-mm-yyyy")</f>
        <v>08-06-2025</v>
      </c>
      <c r="J166" s="7" t="str">
        <f>TEXT(multilingual_mobile_app_reviews_2025[[#This Row],[Review_date]],"YYYY")</f>
        <v>2025</v>
      </c>
      <c r="K166" s="7" t="str">
        <f>TEXT(multilingual_mobile_app_reviews_2025[[#This Row],[Review_date]],"MMMM")</f>
        <v>June</v>
      </c>
      <c r="L166" s="4" t="b">
        <v>1</v>
      </c>
      <c r="M166" s="4" t="s">
        <v>3</v>
      </c>
      <c r="N166" s="5">
        <v>843</v>
      </c>
      <c r="O166" s="5">
        <v>69</v>
      </c>
      <c r="P166" s="4" t="s">
        <v>34</v>
      </c>
      <c r="Q166" s="8" t="s">
        <v>29</v>
      </c>
      <c r="R166" s="4" t="s">
        <v>300</v>
      </c>
      <c r="S166" s="4"/>
      <c r="T166"/>
      <c r="U166" s="23"/>
    </row>
    <row r="167" spans="1:21" ht="15.6" x14ac:dyDescent="0.3">
      <c r="A167" s="4">
        <v>166</v>
      </c>
      <c r="B167" s="5">
        <v>702286</v>
      </c>
      <c r="C167" s="4" t="s">
        <v>41</v>
      </c>
      <c r="D167" s="4" t="s">
        <v>8</v>
      </c>
      <c r="E167" s="4" t="s">
        <v>130</v>
      </c>
      <c r="F167" s="4" t="s">
        <v>2943</v>
      </c>
      <c r="G167" s="6">
        <v>4.7</v>
      </c>
      <c r="H167" s="7">
        <v>45618.47320601852</v>
      </c>
      <c r="I167" s="7" t="str">
        <f>TEXT(multilingual_mobile_app_reviews_2025[[#This Row],[Review_date]],"dd-mm-yyyy")</f>
        <v>22-11-2024</v>
      </c>
      <c r="J167" s="7" t="str">
        <f>TEXT(multilingual_mobile_app_reviews_2025[[#This Row],[Review_date]],"YYYY")</f>
        <v>2024</v>
      </c>
      <c r="K167" s="7" t="str">
        <f>TEXT(multilingual_mobile_app_reviews_2025[[#This Row],[Review_date]],"MMMM")</f>
        <v>November</v>
      </c>
      <c r="L167" s="4" t="b">
        <v>1</v>
      </c>
      <c r="M167" s="4" t="s">
        <v>33</v>
      </c>
      <c r="N167" s="5">
        <v>658</v>
      </c>
      <c r="O167" s="5">
        <v>37</v>
      </c>
      <c r="P167" s="4" t="s">
        <v>230</v>
      </c>
      <c r="Q167" s="8" t="s">
        <v>5</v>
      </c>
      <c r="R167" s="4" t="s">
        <v>301</v>
      </c>
      <c r="S167" s="4"/>
      <c r="T167"/>
      <c r="U167" s="23"/>
    </row>
    <row r="168" spans="1:21" ht="15.6" x14ac:dyDescent="0.3">
      <c r="A168" s="4">
        <v>167</v>
      </c>
      <c r="B168" s="5">
        <v>4038791</v>
      </c>
      <c r="C168" s="4" t="s">
        <v>54</v>
      </c>
      <c r="D168" s="4" t="s">
        <v>97</v>
      </c>
      <c r="E168" s="4" t="s">
        <v>27</v>
      </c>
      <c r="F168" s="4" t="s">
        <v>2944</v>
      </c>
      <c r="G168" s="6">
        <v>3.1</v>
      </c>
      <c r="H168" s="7">
        <v>45629.11550925926</v>
      </c>
      <c r="I168" s="7" t="str">
        <f>TEXT(multilingual_mobile_app_reviews_2025[[#This Row],[Review_date]],"dd-mm-yyyy")</f>
        <v>03-12-2024</v>
      </c>
      <c r="J168" s="7" t="str">
        <f>TEXT(multilingual_mobile_app_reviews_2025[[#This Row],[Review_date]],"YYYY")</f>
        <v>2024</v>
      </c>
      <c r="K168" s="7" t="str">
        <f>TEXT(multilingual_mobile_app_reviews_2025[[#This Row],[Review_date]],"MMMM")</f>
        <v>December</v>
      </c>
      <c r="L168" s="4" t="b">
        <v>0</v>
      </c>
      <c r="M168" s="4" t="s">
        <v>98</v>
      </c>
      <c r="N168" s="5">
        <v>449</v>
      </c>
      <c r="O168" s="5">
        <v>49</v>
      </c>
      <c r="P168" s="4" t="s">
        <v>11</v>
      </c>
      <c r="Q168" s="8" t="s">
        <v>39</v>
      </c>
      <c r="R168" s="4" t="s">
        <v>302</v>
      </c>
      <c r="S168" s="4"/>
      <c r="T168"/>
      <c r="U168" s="23"/>
    </row>
    <row r="169" spans="1:21" ht="15.6" x14ac:dyDescent="0.3">
      <c r="A169" s="4">
        <v>168</v>
      </c>
      <c r="B169" s="5">
        <v>4921419</v>
      </c>
      <c r="C169" s="4" t="s">
        <v>84</v>
      </c>
      <c r="D169" s="4" t="s">
        <v>42</v>
      </c>
      <c r="E169" s="4" t="s">
        <v>27</v>
      </c>
      <c r="F169" s="4" t="s">
        <v>2947</v>
      </c>
      <c r="G169" s="6">
        <v>3.2</v>
      </c>
      <c r="H169" s="7">
        <v>45315.572071759256</v>
      </c>
      <c r="I169" s="7" t="str">
        <f>TEXT(multilingual_mobile_app_reviews_2025[[#This Row],[Review_date]],"dd-mm-yyyy")</f>
        <v>24-01-2024</v>
      </c>
      <c r="J169" s="7" t="str">
        <f>TEXT(multilingual_mobile_app_reviews_2025[[#This Row],[Review_date]],"YYYY")</f>
        <v>2024</v>
      </c>
      <c r="K169" s="7" t="str">
        <f>TEXT(multilingual_mobile_app_reviews_2025[[#This Row],[Review_date]],"MMMM")</f>
        <v>January</v>
      </c>
      <c r="L169" s="4" t="b">
        <v>0</v>
      </c>
      <c r="M169" s="4" t="s">
        <v>22</v>
      </c>
      <c r="N169" s="5">
        <v>1004</v>
      </c>
      <c r="O169" s="5">
        <v>15</v>
      </c>
      <c r="P169" s="4" t="s">
        <v>4</v>
      </c>
      <c r="Q169" s="8" t="s">
        <v>2963</v>
      </c>
      <c r="R169" s="4" t="s">
        <v>303</v>
      </c>
      <c r="S169" s="4"/>
      <c r="T169"/>
      <c r="U169" s="23"/>
    </row>
    <row r="170" spans="1:21" ht="15.6" x14ac:dyDescent="0.3">
      <c r="A170" s="4">
        <v>169</v>
      </c>
      <c r="B170" s="5">
        <v>1616313</v>
      </c>
      <c r="C170" s="4" t="s">
        <v>89</v>
      </c>
      <c r="D170" s="4" t="s">
        <v>31</v>
      </c>
      <c r="E170" s="4" t="s">
        <v>76</v>
      </c>
      <c r="F170" s="4" t="s">
        <v>2942</v>
      </c>
      <c r="G170" s="6">
        <v>4.4000000000000004</v>
      </c>
      <c r="H170" s="7">
        <v>45475.953865740739</v>
      </c>
      <c r="I170" s="7" t="str">
        <f>TEXT(multilingual_mobile_app_reviews_2025[[#This Row],[Review_date]],"dd-mm-yyyy")</f>
        <v>02-07-2024</v>
      </c>
      <c r="J170" s="7" t="str">
        <f>TEXT(multilingual_mobile_app_reviews_2025[[#This Row],[Review_date]],"YYYY")</f>
        <v>2024</v>
      </c>
      <c r="K170" s="7" t="str">
        <f>TEXT(multilingual_mobile_app_reviews_2025[[#This Row],[Review_date]],"MMMM")</f>
        <v>July</v>
      </c>
      <c r="L170" s="4" t="b">
        <v>1</v>
      </c>
      <c r="M170" s="4" t="s">
        <v>10</v>
      </c>
      <c r="N170" s="5">
        <v>148</v>
      </c>
      <c r="O170" s="5">
        <v>36</v>
      </c>
      <c r="P170" s="4" t="s">
        <v>61</v>
      </c>
      <c r="Q170" s="8" t="s">
        <v>29</v>
      </c>
      <c r="R170" s="4" t="s">
        <v>304</v>
      </c>
      <c r="S170" s="4"/>
      <c r="T170"/>
      <c r="U170" s="23"/>
    </row>
    <row r="171" spans="1:21" ht="15.6" x14ac:dyDescent="0.3">
      <c r="A171" s="4">
        <v>170</v>
      </c>
      <c r="B171" s="5">
        <v>1786231</v>
      </c>
      <c r="C171" s="4" t="s">
        <v>165</v>
      </c>
      <c r="D171" s="4" t="s">
        <v>60</v>
      </c>
      <c r="E171" s="4" t="s">
        <v>305</v>
      </c>
      <c r="F171" s="4" t="s">
        <v>2950</v>
      </c>
      <c r="G171" s="6">
        <v>4.3</v>
      </c>
      <c r="H171" s="7">
        <v>45337.196377314816</v>
      </c>
      <c r="I171" s="7" t="str">
        <f>TEXT(multilingual_mobile_app_reviews_2025[[#This Row],[Review_date]],"dd-mm-yyyy")</f>
        <v>15-02-2024</v>
      </c>
      <c r="J171" s="7" t="str">
        <f>TEXT(multilingual_mobile_app_reviews_2025[[#This Row],[Review_date]],"YYYY")</f>
        <v>2024</v>
      </c>
      <c r="K171" s="7" t="str">
        <f>TEXT(multilingual_mobile_app_reviews_2025[[#This Row],[Review_date]],"MMMM")</f>
        <v>February</v>
      </c>
      <c r="L171" s="4" t="b">
        <v>0</v>
      </c>
      <c r="M171" s="4" t="s">
        <v>3</v>
      </c>
      <c r="N171" s="5">
        <v>628</v>
      </c>
      <c r="O171" s="5">
        <v>59</v>
      </c>
      <c r="P171" s="4" t="s">
        <v>61</v>
      </c>
      <c r="Q171" s="8" t="s">
        <v>39</v>
      </c>
      <c r="R171" s="4" t="s">
        <v>306</v>
      </c>
      <c r="S171" s="4"/>
      <c r="T171"/>
      <c r="U171" s="23"/>
    </row>
    <row r="172" spans="1:21" ht="15.6" x14ac:dyDescent="0.3">
      <c r="A172" s="4">
        <v>171</v>
      </c>
      <c r="B172" s="5">
        <v>257662</v>
      </c>
      <c r="C172" s="4" t="s">
        <v>25</v>
      </c>
      <c r="D172" s="4" t="s">
        <v>63</v>
      </c>
      <c r="E172" s="4" t="s">
        <v>130</v>
      </c>
      <c r="F172" s="4" t="s">
        <v>2951</v>
      </c>
      <c r="G172" s="6">
        <v>2.2999999999999998</v>
      </c>
      <c r="H172" s="7">
        <v>45837.081157407411</v>
      </c>
      <c r="I172" s="7" t="str">
        <f>TEXT(multilingual_mobile_app_reviews_2025[[#This Row],[Review_date]],"dd-mm-yyyy")</f>
        <v>29-06-2025</v>
      </c>
      <c r="J172" s="7" t="str">
        <f>TEXT(multilingual_mobile_app_reviews_2025[[#This Row],[Review_date]],"YYYY")</f>
        <v>2025</v>
      </c>
      <c r="K172" s="7" t="str">
        <f>TEXT(multilingual_mobile_app_reviews_2025[[#This Row],[Review_date]],"MMMM")</f>
        <v>June</v>
      </c>
      <c r="L172" s="4" t="b">
        <v>1</v>
      </c>
      <c r="M172" s="4" t="s">
        <v>98</v>
      </c>
      <c r="N172" s="5">
        <v>487</v>
      </c>
      <c r="O172" s="5">
        <v>35</v>
      </c>
      <c r="P172" s="4" t="s">
        <v>73</v>
      </c>
      <c r="Q172" s="8" t="s">
        <v>5</v>
      </c>
      <c r="R172" s="4" t="s">
        <v>307</v>
      </c>
      <c r="S172" s="4"/>
      <c r="T172"/>
      <c r="U172" s="23"/>
    </row>
    <row r="173" spans="1:21" ht="15.6" x14ac:dyDescent="0.3">
      <c r="A173" s="4">
        <v>172</v>
      </c>
      <c r="B173" s="5">
        <v>4925658</v>
      </c>
      <c r="C173" s="4" t="s">
        <v>36</v>
      </c>
      <c r="D173" s="4" t="s">
        <v>57</v>
      </c>
      <c r="E173" s="4" t="s">
        <v>16</v>
      </c>
      <c r="F173" s="4" t="s">
        <v>2961</v>
      </c>
      <c r="G173" s="6">
        <v>1</v>
      </c>
      <c r="H173" s="7">
        <v>45665.194189814814</v>
      </c>
      <c r="I173" s="7" t="str">
        <f>TEXT(multilingual_mobile_app_reviews_2025[[#This Row],[Review_date]],"dd-mm-yyyy")</f>
        <v>08-01-2025</v>
      </c>
      <c r="J173" s="7" t="str">
        <f>TEXT(multilingual_mobile_app_reviews_2025[[#This Row],[Review_date]],"YYYY")</f>
        <v>2025</v>
      </c>
      <c r="K173" s="7" t="str">
        <f>TEXT(multilingual_mobile_app_reviews_2025[[#This Row],[Review_date]],"MMMM")</f>
        <v>January</v>
      </c>
      <c r="L173" s="4" t="b">
        <v>1</v>
      </c>
      <c r="M173" s="4" t="s">
        <v>3</v>
      </c>
      <c r="N173" s="5">
        <v>897</v>
      </c>
      <c r="O173" s="5">
        <v>59</v>
      </c>
      <c r="P173" s="4" t="s">
        <v>90</v>
      </c>
      <c r="Q173" s="8" t="s">
        <v>5</v>
      </c>
      <c r="R173" s="4" t="s">
        <v>308</v>
      </c>
      <c r="S173" s="4"/>
      <c r="T173"/>
      <c r="U173" s="23"/>
    </row>
    <row r="174" spans="1:21" ht="15.6" x14ac:dyDescent="0.3">
      <c r="A174" s="4">
        <v>173</v>
      </c>
      <c r="B174" s="5">
        <v>2750391</v>
      </c>
      <c r="C174" s="4" t="s">
        <v>54</v>
      </c>
      <c r="D174" s="4" t="s">
        <v>8</v>
      </c>
      <c r="E174" s="4" t="s">
        <v>21</v>
      </c>
      <c r="F174" s="4" t="s">
        <v>2942</v>
      </c>
      <c r="G174" s="6">
        <v>1.3</v>
      </c>
      <c r="H174" s="7">
        <v>45196.248495370368</v>
      </c>
      <c r="I174" s="7" t="str">
        <f>TEXT(multilingual_mobile_app_reviews_2025[[#This Row],[Review_date]],"dd-mm-yyyy")</f>
        <v>27-09-2023</v>
      </c>
      <c r="J174" s="7" t="str">
        <f>TEXT(multilingual_mobile_app_reviews_2025[[#This Row],[Review_date]],"YYYY")</f>
        <v>2023</v>
      </c>
      <c r="K174" s="7" t="str">
        <f>TEXT(multilingual_mobile_app_reviews_2025[[#This Row],[Review_date]],"MMMM")</f>
        <v>September</v>
      </c>
      <c r="L174" s="4" t="b">
        <v>1</v>
      </c>
      <c r="M174" s="4" t="s">
        <v>22</v>
      </c>
      <c r="N174" s="5">
        <v>768</v>
      </c>
      <c r="O174" s="5">
        <v>23</v>
      </c>
      <c r="P174" s="4" t="s">
        <v>44</v>
      </c>
      <c r="Q174" s="8" t="s">
        <v>12</v>
      </c>
      <c r="R174" s="4" t="s">
        <v>309</v>
      </c>
      <c r="S174" s="4"/>
      <c r="T174"/>
      <c r="U174" s="23"/>
    </row>
    <row r="175" spans="1:21" ht="15.6" x14ac:dyDescent="0.3">
      <c r="A175" s="4">
        <v>174</v>
      </c>
      <c r="B175" s="5">
        <v>5897629</v>
      </c>
      <c r="C175" s="4" t="s">
        <v>54</v>
      </c>
      <c r="D175" s="4" t="s">
        <v>42</v>
      </c>
      <c r="E175" s="4" t="s">
        <v>9</v>
      </c>
      <c r="F175" s="4" t="s">
        <v>2959</v>
      </c>
      <c r="G175" s="6">
        <v>4.9000000000000004</v>
      </c>
      <c r="H175" s="7">
        <v>45595.258692129632</v>
      </c>
      <c r="I175" s="7" t="str">
        <f>TEXT(multilingual_mobile_app_reviews_2025[[#This Row],[Review_date]],"dd-mm-yyyy")</f>
        <v>30-10-2024</v>
      </c>
      <c r="J175" s="7" t="str">
        <f>TEXT(multilingual_mobile_app_reviews_2025[[#This Row],[Review_date]],"YYYY")</f>
        <v>2024</v>
      </c>
      <c r="K175" s="7" t="str">
        <f>TEXT(multilingual_mobile_app_reviews_2025[[#This Row],[Review_date]],"MMMM")</f>
        <v>October</v>
      </c>
      <c r="L175" s="4" t="b">
        <v>1</v>
      </c>
      <c r="M175" s="4" t="s">
        <v>3</v>
      </c>
      <c r="N175" s="5">
        <v>1134</v>
      </c>
      <c r="O175" s="5">
        <v>59</v>
      </c>
      <c r="P175" s="4" t="s">
        <v>44</v>
      </c>
      <c r="Q175" s="8" t="s">
        <v>2963</v>
      </c>
      <c r="R175" s="4" t="s">
        <v>310</v>
      </c>
      <c r="S175" s="4"/>
      <c r="T175"/>
      <c r="U175" s="23"/>
    </row>
    <row r="176" spans="1:21" ht="15.6" x14ac:dyDescent="0.3">
      <c r="A176" s="4">
        <v>175</v>
      </c>
      <c r="B176" s="5">
        <v>7218722</v>
      </c>
      <c r="C176" s="4" t="s">
        <v>59</v>
      </c>
      <c r="D176" s="4" t="s">
        <v>31</v>
      </c>
      <c r="E176" s="4" t="s">
        <v>93</v>
      </c>
      <c r="F176" s="4" t="s">
        <v>2947</v>
      </c>
      <c r="G176" s="6">
        <v>1.8</v>
      </c>
      <c r="H176" s="7">
        <v>45675.060613425929</v>
      </c>
      <c r="I176" s="7" t="str">
        <f>TEXT(multilingual_mobile_app_reviews_2025[[#This Row],[Review_date]],"dd-mm-yyyy")</f>
        <v>18-01-2025</v>
      </c>
      <c r="J176" s="7" t="str">
        <f>TEXT(multilingual_mobile_app_reviews_2025[[#This Row],[Review_date]],"YYYY")</f>
        <v>2025</v>
      </c>
      <c r="K176" s="7" t="str">
        <f>TEXT(multilingual_mobile_app_reviews_2025[[#This Row],[Review_date]],"MMMM")</f>
        <v>January</v>
      </c>
      <c r="L176" s="4" t="b">
        <v>1</v>
      </c>
      <c r="M176" s="4" t="s">
        <v>98</v>
      </c>
      <c r="N176" s="5">
        <v>423</v>
      </c>
      <c r="O176" s="5">
        <v>23</v>
      </c>
      <c r="P176" s="4" t="s">
        <v>38</v>
      </c>
      <c r="Q176" s="8" t="s">
        <v>39</v>
      </c>
      <c r="R176" s="4" t="s">
        <v>311</v>
      </c>
      <c r="S176" s="4"/>
      <c r="T176"/>
      <c r="U176" s="23"/>
    </row>
    <row r="177" spans="1:21" ht="15.6" x14ac:dyDescent="0.3">
      <c r="A177" s="4">
        <v>176</v>
      </c>
      <c r="B177" s="5">
        <v>7764433</v>
      </c>
      <c r="C177" s="4" t="s">
        <v>87</v>
      </c>
      <c r="D177" s="4" t="s">
        <v>20</v>
      </c>
      <c r="E177" s="4" t="s">
        <v>312</v>
      </c>
      <c r="F177" s="4" t="s">
        <v>2946</v>
      </c>
      <c r="G177" s="6">
        <v>1.2</v>
      </c>
      <c r="H177" s="7">
        <v>45585.347881944443</v>
      </c>
      <c r="I177" s="7" t="str">
        <f>TEXT(multilingual_mobile_app_reviews_2025[[#This Row],[Review_date]],"dd-mm-yyyy")</f>
        <v>20-10-2024</v>
      </c>
      <c r="J177" s="7" t="str">
        <f>TEXT(multilingual_mobile_app_reviews_2025[[#This Row],[Review_date]],"YYYY")</f>
        <v>2024</v>
      </c>
      <c r="K177" s="7" t="str">
        <f>TEXT(multilingual_mobile_app_reviews_2025[[#This Row],[Review_date]],"MMMM")</f>
        <v>October</v>
      </c>
      <c r="L177" s="4" t="b">
        <v>1</v>
      </c>
      <c r="M177" s="4" t="s">
        <v>3</v>
      </c>
      <c r="N177" s="5">
        <v>952</v>
      </c>
      <c r="O177" s="5">
        <v>29</v>
      </c>
      <c r="P177" s="4" t="s">
        <v>17</v>
      </c>
      <c r="Q177" s="8" t="s">
        <v>39</v>
      </c>
      <c r="R177" s="4" t="s">
        <v>313</v>
      </c>
      <c r="S177" s="4"/>
      <c r="T177"/>
      <c r="U177" s="23"/>
    </row>
    <row r="178" spans="1:21" ht="15.6" x14ac:dyDescent="0.3">
      <c r="A178" s="4">
        <v>177</v>
      </c>
      <c r="B178" s="5">
        <v>5053150</v>
      </c>
      <c r="C178" s="4" t="s">
        <v>56</v>
      </c>
      <c r="D178" s="4" t="s">
        <v>157</v>
      </c>
      <c r="E178" s="4" t="s">
        <v>314</v>
      </c>
      <c r="F178" s="4" t="s">
        <v>2945</v>
      </c>
      <c r="G178" s="6">
        <v>4.9000000000000004</v>
      </c>
      <c r="H178" s="7">
        <v>45698.839884259258</v>
      </c>
      <c r="I178" s="7" t="str">
        <f>TEXT(multilingual_mobile_app_reviews_2025[[#This Row],[Review_date]],"dd-mm-yyyy")</f>
        <v>10-02-2025</v>
      </c>
      <c r="J178" s="7" t="str">
        <f>TEXT(multilingual_mobile_app_reviews_2025[[#This Row],[Review_date]],"YYYY")</f>
        <v>2025</v>
      </c>
      <c r="K178" s="7" t="str">
        <f>TEXT(multilingual_mobile_app_reviews_2025[[#This Row],[Review_date]],"MMMM")</f>
        <v>February</v>
      </c>
      <c r="L178" s="4" t="b">
        <v>0</v>
      </c>
      <c r="M178" s="4" t="s">
        <v>3</v>
      </c>
      <c r="N178" s="5">
        <v>1172</v>
      </c>
      <c r="O178" s="5">
        <v>69</v>
      </c>
      <c r="P178" s="4" t="s">
        <v>17</v>
      </c>
      <c r="Q178" s="8" t="s">
        <v>2963</v>
      </c>
      <c r="R178" s="4" t="s">
        <v>315</v>
      </c>
      <c r="S178" s="4"/>
      <c r="T178"/>
      <c r="U178" s="23"/>
    </row>
    <row r="179" spans="1:21" ht="15.6" x14ac:dyDescent="0.3">
      <c r="A179" s="4">
        <v>178</v>
      </c>
      <c r="B179" s="5">
        <v>2394774</v>
      </c>
      <c r="C179" s="4" t="s">
        <v>41</v>
      </c>
      <c r="D179" s="4" t="s">
        <v>31</v>
      </c>
      <c r="E179" s="4" t="s">
        <v>316</v>
      </c>
      <c r="F179" s="4" t="s">
        <v>2945</v>
      </c>
      <c r="G179" s="6">
        <v>1.3</v>
      </c>
      <c r="H179" s="7">
        <v>45392.648506944446</v>
      </c>
      <c r="I179" s="7" t="str">
        <f>TEXT(multilingual_mobile_app_reviews_2025[[#This Row],[Review_date]],"dd-mm-yyyy")</f>
        <v>10-04-2024</v>
      </c>
      <c r="J179" s="7" t="str">
        <f>TEXT(multilingual_mobile_app_reviews_2025[[#This Row],[Review_date]],"YYYY")</f>
        <v>2024</v>
      </c>
      <c r="K179" s="7" t="str">
        <f>TEXT(multilingual_mobile_app_reviews_2025[[#This Row],[Review_date]],"MMMM")</f>
        <v>April</v>
      </c>
      <c r="L179" s="4" t="b">
        <v>0</v>
      </c>
      <c r="M179" s="4" t="s">
        <v>3</v>
      </c>
      <c r="N179" s="5">
        <v>413</v>
      </c>
      <c r="O179" s="5">
        <v>65</v>
      </c>
      <c r="P179" s="4" t="s">
        <v>38</v>
      </c>
      <c r="Q179" s="8" t="s">
        <v>5</v>
      </c>
      <c r="R179" s="4" t="s">
        <v>317</v>
      </c>
      <c r="S179" s="4"/>
      <c r="T179"/>
      <c r="U179" s="23"/>
    </row>
    <row r="180" spans="1:21" ht="15.6" x14ac:dyDescent="0.3">
      <c r="A180" s="4">
        <v>179</v>
      </c>
      <c r="B180" s="5">
        <v>7070985</v>
      </c>
      <c r="C180" s="4" t="s">
        <v>101</v>
      </c>
      <c r="D180" s="4" t="s">
        <v>51</v>
      </c>
      <c r="E180" s="4" t="s">
        <v>109</v>
      </c>
      <c r="F180" s="4" t="s">
        <v>2958</v>
      </c>
      <c r="G180" s="6">
        <v>3.5</v>
      </c>
      <c r="H180" s="7">
        <v>45275.301932870374</v>
      </c>
      <c r="I180" s="7" t="str">
        <f>TEXT(multilingual_mobile_app_reviews_2025[[#This Row],[Review_date]],"dd-mm-yyyy")</f>
        <v>15-12-2023</v>
      </c>
      <c r="J180" s="7" t="str">
        <f>TEXT(multilingual_mobile_app_reviews_2025[[#This Row],[Review_date]],"YYYY")</f>
        <v>2023</v>
      </c>
      <c r="K180" s="7" t="str">
        <f>TEXT(multilingual_mobile_app_reviews_2025[[#This Row],[Review_date]],"MMMM")</f>
        <v>December</v>
      </c>
      <c r="L180" s="4" t="b">
        <v>1</v>
      </c>
      <c r="M180" s="4" t="s">
        <v>33</v>
      </c>
      <c r="N180" s="5">
        <v>859</v>
      </c>
      <c r="O180" s="5">
        <v>20</v>
      </c>
      <c r="P180" s="4" t="s">
        <v>90</v>
      </c>
      <c r="Q180" s="8" t="s">
        <v>5</v>
      </c>
      <c r="R180" s="4" t="s">
        <v>318</v>
      </c>
      <c r="S180" s="4"/>
      <c r="T180"/>
      <c r="U180" s="23"/>
    </row>
    <row r="181" spans="1:21" ht="15.6" x14ac:dyDescent="0.3">
      <c r="A181" s="4">
        <v>180</v>
      </c>
      <c r="B181" s="5">
        <v>2317273</v>
      </c>
      <c r="C181" s="4" t="s">
        <v>25</v>
      </c>
      <c r="D181" s="4" t="s">
        <v>1</v>
      </c>
      <c r="E181" s="4" t="s">
        <v>130</v>
      </c>
      <c r="F181" s="4" t="s">
        <v>2950</v>
      </c>
      <c r="G181" s="6">
        <v>3.4</v>
      </c>
      <c r="H181" s="7">
        <v>45749.780821759261</v>
      </c>
      <c r="I181" s="7" t="str">
        <f>TEXT(multilingual_mobile_app_reviews_2025[[#This Row],[Review_date]],"dd-mm-yyyy")</f>
        <v>02-04-2025</v>
      </c>
      <c r="J181" s="7" t="str">
        <f>TEXT(multilingual_mobile_app_reviews_2025[[#This Row],[Review_date]],"YYYY")</f>
        <v>2025</v>
      </c>
      <c r="K181" s="7" t="str">
        <f>TEXT(multilingual_mobile_app_reviews_2025[[#This Row],[Review_date]],"MMMM")</f>
        <v>April</v>
      </c>
      <c r="L181" s="4" t="b">
        <v>1</v>
      </c>
      <c r="M181" s="4" t="s">
        <v>98</v>
      </c>
      <c r="N181" s="5">
        <v>352</v>
      </c>
      <c r="O181" s="5">
        <v>30</v>
      </c>
      <c r="P181" s="4" t="s">
        <v>11</v>
      </c>
      <c r="Q181" s="8" t="s">
        <v>5</v>
      </c>
      <c r="R181" s="4" t="s">
        <v>319</v>
      </c>
      <c r="S181" s="4"/>
      <c r="T181"/>
      <c r="U181" s="23"/>
    </row>
    <row r="182" spans="1:21" ht="15.6" x14ac:dyDescent="0.3">
      <c r="A182" s="4">
        <v>181</v>
      </c>
      <c r="B182" s="5">
        <v>6238070</v>
      </c>
      <c r="C182" s="4" t="s">
        <v>67</v>
      </c>
      <c r="D182" s="4" t="s">
        <v>63</v>
      </c>
      <c r="E182" s="4" t="s">
        <v>21</v>
      </c>
      <c r="F182" s="4" t="s">
        <v>2962</v>
      </c>
      <c r="G182" s="6">
        <v>2.1</v>
      </c>
      <c r="H182" s="7">
        <v>45551.203483796293</v>
      </c>
      <c r="I182" s="7" t="str">
        <f>TEXT(multilingual_mobile_app_reviews_2025[[#This Row],[Review_date]],"dd-mm-yyyy")</f>
        <v>16-09-2024</v>
      </c>
      <c r="J182" s="7" t="str">
        <f>TEXT(multilingual_mobile_app_reviews_2025[[#This Row],[Review_date]],"YYYY")</f>
        <v>2024</v>
      </c>
      <c r="K182" s="7" t="str">
        <f>TEXT(multilingual_mobile_app_reviews_2025[[#This Row],[Review_date]],"MMMM")</f>
        <v>September</v>
      </c>
      <c r="L182" s="4" t="b">
        <v>1</v>
      </c>
      <c r="M182" s="4" t="s">
        <v>3</v>
      </c>
      <c r="N182" s="5">
        <v>201</v>
      </c>
      <c r="O182" s="5">
        <v>75</v>
      </c>
      <c r="P182" s="4" t="s">
        <v>17</v>
      </c>
      <c r="Q182" s="8" t="s">
        <v>5</v>
      </c>
      <c r="R182" s="4" t="s">
        <v>320</v>
      </c>
      <c r="S182" s="4"/>
      <c r="T182"/>
      <c r="U182" s="23"/>
    </row>
    <row r="183" spans="1:21" ht="15.6" x14ac:dyDescent="0.3">
      <c r="A183" s="4">
        <v>182</v>
      </c>
      <c r="B183" s="5">
        <v>4672250</v>
      </c>
      <c r="C183" s="4" t="s">
        <v>137</v>
      </c>
      <c r="D183" s="4" t="s">
        <v>20</v>
      </c>
      <c r="E183" s="4" t="s">
        <v>321</v>
      </c>
      <c r="F183" s="4" t="s">
        <v>2940</v>
      </c>
      <c r="G183" s="6">
        <v>3.1</v>
      </c>
      <c r="H183" s="7">
        <v>45662.705057870371</v>
      </c>
      <c r="I183" s="7" t="str">
        <f>TEXT(multilingual_mobile_app_reviews_2025[[#This Row],[Review_date]],"dd-mm-yyyy")</f>
        <v>05-01-2025</v>
      </c>
      <c r="J183" s="7" t="str">
        <f>TEXT(multilingual_mobile_app_reviews_2025[[#This Row],[Review_date]],"YYYY")</f>
        <v>2025</v>
      </c>
      <c r="K183" s="7" t="str">
        <f>TEXT(multilingual_mobile_app_reviews_2025[[#This Row],[Review_date]],"MMMM")</f>
        <v>January</v>
      </c>
      <c r="L183" s="4" t="b">
        <v>1</v>
      </c>
      <c r="M183" s="4" t="s">
        <v>22</v>
      </c>
      <c r="N183" s="5">
        <v>134</v>
      </c>
      <c r="O183" s="5">
        <v>32</v>
      </c>
      <c r="P183" s="4" t="s">
        <v>61</v>
      </c>
      <c r="Q183" s="8" t="s">
        <v>2963</v>
      </c>
      <c r="R183" s="4" t="s">
        <v>322</v>
      </c>
      <c r="S183" s="4"/>
      <c r="T183"/>
      <c r="U183" s="23"/>
    </row>
    <row r="184" spans="1:21" ht="15.6" x14ac:dyDescent="0.3">
      <c r="A184" s="4">
        <v>183</v>
      </c>
      <c r="B184" s="5">
        <v>9450154</v>
      </c>
      <c r="C184" s="4" t="s">
        <v>89</v>
      </c>
      <c r="D184" s="4" t="s">
        <v>63</v>
      </c>
      <c r="E184" s="4" t="s">
        <v>323</v>
      </c>
      <c r="F184" s="4" t="s">
        <v>2946</v>
      </c>
      <c r="G184" s="6">
        <v>3</v>
      </c>
      <c r="H184" s="7">
        <v>45158.315474537034</v>
      </c>
      <c r="I184" s="7" t="str">
        <f>TEXT(multilingual_mobile_app_reviews_2025[[#This Row],[Review_date]],"dd-mm-yyyy")</f>
        <v>20-08-2023</v>
      </c>
      <c r="J184" s="7" t="str">
        <f>TEXT(multilingual_mobile_app_reviews_2025[[#This Row],[Review_date]],"YYYY")</f>
        <v>2023</v>
      </c>
      <c r="K184" s="7" t="str">
        <f>TEXT(multilingual_mobile_app_reviews_2025[[#This Row],[Review_date]],"MMMM")</f>
        <v>August</v>
      </c>
      <c r="L184" s="4" t="b">
        <v>0</v>
      </c>
      <c r="M184" s="4" t="s">
        <v>98</v>
      </c>
      <c r="N184" s="5">
        <v>62</v>
      </c>
      <c r="O184" s="5">
        <v>28</v>
      </c>
      <c r="P184" s="4" t="s">
        <v>162</v>
      </c>
      <c r="Q184" s="8" t="s">
        <v>29</v>
      </c>
      <c r="R184" s="4" t="s">
        <v>324</v>
      </c>
      <c r="S184" s="4"/>
      <c r="T184"/>
      <c r="U184" s="23"/>
    </row>
    <row r="185" spans="1:21" ht="15.6" x14ac:dyDescent="0.3">
      <c r="A185" s="4">
        <v>184</v>
      </c>
      <c r="B185" s="5">
        <v>9518852</v>
      </c>
      <c r="C185" s="4" t="s">
        <v>176</v>
      </c>
      <c r="D185" s="4" t="s">
        <v>111</v>
      </c>
      <c r="E185" s="4" t="s">
        <v>93</v>
      </c>
      <c r="F185" s="4" t="s">
        <v>2959</v>
      </c>
      <c r="G185" s="6">
        <v>4.4000000000000004</v>
      </c>
      <c r="H185" s="7">
        <v>45393.648263888892</v>
      </c>
      <c r="I185" s="7" t="str">
        <f>TEXT(multilingual_mobile_app_reviews_2025[[#This Row],[Review_date]],"dd-mm-yyyy")</f>
        <v>11-04-2024</v>
      </c>
      <c r="J185" s="7" t="str">
        <f>TEXT(multilingual_mobile_app_reviews_2025[[#This Row],[Review_date]],"YYYY")</f>
        <v>2024</v>
      </c>
      <c r="K185" s="7" t="str">
        <f>TEXT(multilingual_mobile_app_reviews_2025[[#This Row],[Review_date]],"MMMM")</f>
        <v>April</v>
      </c>
      <c r="L185" s="4" t="b">
        <v>0</v>
      </c>
      <c r="M185" s="4" t="s">
        <v>22</v>
      </c>
      <c r="N185" s="5">
        <v>423</v>
      </c>
      <c r="O185" s="5">
        <v>30</v>
      </c>
      <c r="P185" s="4" t="s">
        <v>38</v>
      </c>
      <c r="Q185" s="8" t="s">
        <v>29</v>
      </c>
      <c r="R185" s="4" t="s">
        <v>325</v>
      </c>
      <c r="S185" s="4"/>
      <c r="T185"/>
      <c r="U185" s="23"/>
    </row>
    <row r="186" spans="1:21" ht="15.6" x14ac:dyDescent="0.3">
      <c r="A186" s="4">
        <v>185</v>
      </c>
      <c r="B186" s="5">
        <v>3813925</v>
      </c>
      <c r="C186" s="4" t="s">
        <v>174</v>
      </c>
      <c r="D186" s="4" t="s">
        <v>47</v>
      </c>
      <c r="E186" s="4" t="s">
        <v>326</v>
      </c>
      <c r="F186" s="4" t="s">
        <v>2958</v>
      </c>
      <c r="G186" s="6">
        <v>3.6</v>
      </c>
      <c r="H186" s="7">
        <v>45716.092256944445</v>
      </c>
      <c r="I186" s="7" t="str">
        <f>TEXT(multilingual_mobile_app_reviews_2025[[#This Row],[Review_date]],"dd-mm-yyyy")</f>
        <v>28-02-2025</v>
      </c>
      <c r="J186" s="7" t="str">
        <f>TEXT(multilingual_mobile_app_reviews_2025[[#This Row],[Review_date]],"YYYY")</f>
        <v>2025</v>
      </c>
      <c r="K186" s="7" t="str">
        <f>TEXT(multilingual_mobile_app_reviews_2025[[#This Row],[Review_date]],"MMMM")</f>
        <v>February</v>
      </c>
      <c r="L186" s="4" t="b">
        <v>0</v>
      </c>
      <c r="M186" s="4" t="s">
        <v>3</v>
      </c>
      <c r="N186" s="5">
        <v>771</v>
      </c>
      <c r="O186" s="5">
        <v>67</v>
      </c>
      <c r="P186" s="4" t="s">
        <v>162</v>
      </c>
      <c r="Q186" s="8" t="s">
        <v>29</v>
      </c>
      <c r="R186" s="4" t="s">
        <v>327</v>
      </c>
      <c r="S186" s="4"/>
      <c r="T186"/>
      <c r="U186" s="23"/>
    </row>
    <row r="187" spans="1:21" ht="15.6" x14ac:dyDescent="0.3">
      <c r="A187" s="4">
        <v>186</v>
      </c>
      <c r="B187" s="5">
        <v>9162926</v>
      </c>
      <c r="C187" s="4" t="s">
        <v>134</v>
      </c>
      <c r="D187" s="4" t="s">
        <v>42</v>
      </c>
      <c r="E187" s="4" t="s">
        <v>16</v>
      </c>
      <c r="F187" s="4" t="s">
        <v>2947</v>
      </c>
      <c r="G187" s="6">
        <v>1.3</v>
      </c>
      <c r="H187" s="7">
        <v>45464.423634259256</v>
      </c>
      <c r="I187" s="7" t="str">
        <f>TEXT(multilingual_mobile_app_reviews_2025[[#This Row],[Review_date]],"dd-mm-yyyy")</f>
        <v>21-06-2024</v>
      </c>
      <c r="J187" s="7" t="str">
        <f>TEXT(multilingual_mobile_app_reviews_2025[[#This Row],[Review_date]],"YYYY")</f>
        <v>2024</v>
      </c>
      <c r="K187" s="7" t="str">
        <f>TEXT(multilingual_mobile_app_reviews_2025[[#This Row],[Review_date]],"MMMM")</f>
        <v>June</v>
      </c>
      <c r="L187" s="4" t="b">
        <v>1</v>
      </c>
      <c r="M187" s="4" t="s">
        <v>10</v>
      </c>
      <c r="N187" s="5">
        <v>665</v>
      </c>
      <c r="O187" s="5">
        <v>68</v>
      </c>
      <c r="P187" s="4" t="s">
        <v>230</v>
      </c>
      <c r="Q187" s="8" t="s">
        <v>39</v>
      </c>
      <c r="R187" s="4" t="s">
        <v>328</v>
      </c>
      <c r="S187" s="4"/>
      <c r="T187"/>
      <c r="U187" s="23"/>
    </row>
    <row r="188" spans="1:21" ht="15.6" x14ac:dyDescent="0.3">
      <c r="A188" s="4">
        <v>187</v>
      </c>
      <c r="B188" s="5">
        <v>2692464</v>
      </c>
      <c r="C188" s="4" t="s">
        <v>67</v>
      </c>
      <c r="D188" s="4" t="s">
        <v>63</v>
      </c>
      <c r="E188" s="4" t="s">
        <v>329</v>
      </c>
      <c r="F188" s="4" t="s">
        <v>2962</v>
      </c>
      <c r="G188" s="6">
        <v>2</v>
      </c>
      <c r="H188" s="7">
        <v>45561.777395833335</v>
      </c>
      <c r="I188" s="7" t="str">
        <f>TEXT(multilingual_mobile_app_reviews_2025[[#This Row],[Review_date]],"dd-mm-yyyy")</f>
        <v>26-09-2024</v>
      </c>
      <c r="J188" s="7" t="str">
        <f>TEXT(multilingual_mobile_app_reviews_2025[[#This Row],[Review_date]],"YYYY")</f>
        <v>2024</v>
      </c>
      <c r="K188" s="7" t="str">
        <f>TEXT(multilingual_mobile_app_reviews_2025[[#This Row],[Review_date]],"MMMM")</f>
        <v>September</v>
      </c>
      <c r="L188" s="4" t="b">
        <v>0</v>
      </c>
      <c r="M188" s="4" t="s">
        <v>3</v>
      </c>
      <c r="N188" s="5">
        <v>828</v>
      </c>
      <c r="O188" s="5">
        <v>37</v>
      </c>
      <c r="P188" s="4" t="s">
        <v>44</v>
      </c>
      <c r="Q188" s="8" t="s">
        <v>12</v>
      </c>
      <c r="R188" s="4" t="s">
        <v>163</v>
      </c>
      <c r="S188" s="4"/>
      <c r="T188"/>
      <c r="U188" s="23"/>
    </row>
    <row r="189" spans="1:21" ht="15.6" x14ac:dyDescent="0.3">
      <c r="A189" s="4">
        <v>188</v>
      </c>
      <c r="B189" s="5">
        <v>6117548</v>
      </c>
      <c r="C189" s="4" t="s">
        <v>56</v>
      </c>
      <c r="D189" s="4" t="s">
        <v>60</v>
      </c>
      <c r="E189" s="4" t="s">
        <v>330</v>
      </c>
      <c r="F189" s="4" t="s">
        <v>2962</v>
      </c>
      <c r="G189" s="6">
        <v>1.4</v>
      </c>
      <c r="H189" s="7">
        <v>45492.067685185182</v>
      </c>
      <c r="I189" s="7" t="str">
        <f>TEXT(multilingual_mobile_app_reviews_2025[[#This Row],[Review_date]],"dd-mm-yyyy")</f>
        <v>19-07-2024</v>
      </c>
      <c r="J189" s="7" t="str">
        <f>TEXT(multilingual_mobile_app_reviews_2025[[#This Row],[Review_date]],"YYYY")</f>
        <v>2024</v>
      </c>
      <c r="K189" s="7" t="str">
        <f>TEXT(multilingual_mobile_app_reviews_2025[[#This Row],[Review_date]],"MMMM")</f>
        <v>July</v>
      </c>
      <c r="L189" s="4" t="b">
        <v>1</v>
      </c>
      <c r="M189" s="4" t="s">
        <v>22</v>
      </c>
      <c r="N189" s="5">
        <v>529</v>
      </c>
      <c r="O189" s="5">
        <v>59</v>
      </c>
      <c r="P189" s="4" t="s">
        <v>34</v>
      </c>
      <c r="Q189" s="8" t="s">
        <v>5</v>
      </c>
      <c r="R189" s="4" t="s">
        <v>331</v>
      </c>
      <c r="S189" s="4"/>
      <c r="T189"/>
      <c r="U189" s="23"/>
    </row>
    <row r="190" spans="1:21" ht="15.6" x14ac:dyDescent="0.3">
      <c r="A190" s="4">
        <v>189</v>
      </c>
      <c r="B190" s="5">
        <v>3658545</v>
      </c>
      <c r="C190" s="4" t="s">
        <v>123</v>
      </c>
      <c r="D190" s="4" t="s">
        <v>157</v>
      </c>
      <c r="E190" s="4" t="s">
        <v>16</v>
      </c>
      <c r="F190" s="4" t="s">
        <v>2947</v>
      </c>
      <c r="G190" s="6">
        <v>1.2</v>
      </c>
      <c r="H190" s="7">
        <v>45637.304849537039</v>
      </c>
      <c r="I190" s="7" t="str">
        <f>TEXT(multilingual_mobile_app_reviews_2025[[#This Row],[Review_date]],"dd-mm-yyyy")</f>
        <v>11-12-2024</v>
      </c>
      <c r="J190" s="7" t="str">
        <f>TEXT(multilingual_mobile_app_reviews_2025[[#This Row],[Review_date]],"YYYY")</f>
        <v>2024</v>
      </c>
      <c r="K190" s="7" t="str">
        <f>TEXT(multilingual_mobile_app_reviews_2025[[#This Row],[Review_date]],"MMMM")</f>
        <v>December</v>
      </c>
      <c r="L190" s="4" t="b">
        <v>0</v>
      </c>
      <c r="M190" s="4" t="s">
        <v>33</v>
      </c>
      <c r="N190" s="5">
        <v>1188</v>
      </c>
      <c r="O190" s="5">
        <v>73</v>
      </c>
      <c r="P190" s="4" t="s">
        <v>144</v>
      </c>
      <c r="Q190" s="8" t="s">
        <v>12</v>
      </c>
      <c r="R190" s="4" t="s">
        <v>332</v>
      </c>
      <c r="S190" s="4"/>
      <c r="T190"/>
      <c r="U190" s="23"/>
    </row>
    <row r="191" spans="1:21" ht="15.6" x14ac:dyDescent="0.3">
      <c r="A191" s="4">
        <v>190</v>
      </c>
      <c r="B191" s="5">
        <v>458318</v>
      </c>
      <c r="C191" s="4" t="s">
        <v>7</v>
      </c>
      <c r="D191" s="4" t="s">
        <v>63</v>
      </c>
      <c r="E191" s="4" t="s">
        <v>93</v>
      </c>
      <c r="F191" s="4" t="s">
        <v>2946</v>
      </c>
      <c r="G191" s="6">
        <v>1.6</v>
      </c>
      <c r="H191" s="7">
        <v>45178.16375</v>
      </c>
      <c r="I191" s="7" t="str">
        <f>TEXT(multilingual_mobile_app_reviews_2025[[#This Row],[Review_date]],"dd-mm-yyyy")</f>
        <v>09-09-2023</v>
      </c>
      <c r="J191" s="7" t="str">
        <f>TEXT(multilingual_mobile_app_reviews_2025[[#This Row],[Review_date]],"YYYY")</f>
        <v>2023</v>
      </c>
      <c r="K191" s="7" t="str">
        <f>TEXT(multilingual_mobile_app_reviews_2025[[#This Row],[Review_date]],"MMMM")</f>
        <v>September</v>
      </c>
      <c r="L191" s="4" t="b">
        <v>1</v>
      </c>
      <c r="M191" s="4" t="s">
        <v>22</v>
      </c>
      <c r="N191" s="5">
        <v>165</v>
      </c>
      <c r="O191" s="5">
        <v>44</v>
      </c>
      <c r="P191" s="4" t="s">
        <v>73</v>
      </c>
      <c r="Q191" s="8" t="s">
        <v>5</v>
      </c>
      <c r="R191" s="4" t="s">
        <v>333</v>
      </c>
      <c r="S191" s="4"/>
      <c r="T191"/>
      <c r="U191" s="23"/>
    </row>
    <row r="192" spans="1:21" ht="15.6" x14ac:dyDescent="0.3">
      <c r="A192" s="4">
        <v>191</v>
      </c>
      <c r="B192" s="5">
        <v>4186407</v>
      </c>
      <c r="C192" s="4" t="s">
        <v>25</v>
      </c>
      <c r="D192" s="4" t="s">
        <v>47</v>
      </c>
      <c r="E192" s="4" t="s">
        <v>130</v>
      </c>
      <c r="F192" s="4" t="s">
        <v>2960</v>
      </c>
      <c r="G192" s="6">
        <v>1</v>
      </c>
      <c r="H192" s="7">
        <v>45236.686226851853</v>
      </c>
      <c r="I192" s="7" t="str">
        <f>TEXT(multilingual_mobile_app_reviews_2025[[#This Row],[Review_date]],"dd-mm-yyyy")</f>
        <v>06-11-2023</v>
      </c>
      <c r="J192" s="7" t="str">
        <f>TEXT(multilingual_mobile_app_reviews_2025[[#This Row],[Review_date]],"YYYY")</f>
        <v>2023</v>
      </c>
      <c r="K192" s="7" t="str">
        <f>TEXT(multilingual_mobile_app_reviews_2025[[#This Row],[Review_date]],"MMMM")</f>
        <v>November</v>
      </c>
      <c r="L192" s="4" t="b">
        <v>1</v>
      </c>
      <c r="M192" s="4" t="s">
        <v>33</v>
      </c>
      <c r="N192" s="5">
        <v>408</v>
      </c>
      <c r="O192" s="5">
        <v>59</v>
      </c>
      <c r="P192" s="4" t="s">
        <v>162</v>
      </c>
      <c r="Q192" s="8" t="s">
        <v>2963</v>
      </c>
      <c r="R192" s="4" t="s">
        <v>2963</v>
      </c>
      <c r="S192" s="4"/>
      <c r="T192"/>
      <c r="U192" s="23"/>
    </row>
    <row r="193" spans="1:21" ht="15.6" x14ac:dyDescent="0.3">
      <c r="A193" s="4">
        <v>192</v>
      </c>
      <c r="B193" s="5">
        <v>3542778</v>
      </c>
      <c r="C193" s="4" t="s">
        <v>67</v>
      </c>
      <c r="D193" s="4" t="s">
        <v>8</v>
      </c>
      <c r="E193" s="4" t="s">
        <v>93</v>
      </c>
      <c r="F193" s="4" t="s">
        <v>2962</v>
      </c>
      <c r="G193" s="6">
        <v>1.7</v>
      </c>
      <c r="H193" s="7">
        <v>45192.169340277775</v>
      </c>
      <c r="I193" s="7" t="str">
        <f>TEXT(multilingual_mobile_app_reviews_2025[[#This Row],[Review_date]],"dd-mm-yyyy")</f>
        <v>23-09-2023</v>
      </c>
      <c r="J193" s="7" t="str">
        <f>TEXT(multilingual_mobile_app_reviews_2025[[#This Row],[Review_date]],"YYYY")</f>
        <v>2023</v>
      </c>
      <c r="K193" s="7" t="str">
        <f>TEXT(multilingual_mobile_app_reviews_2025[[#This Row],[Review_date]],"MMMM")</f>
        <v>September</v>
      </c>
      <c r="L193" s="4" t="b">
        <v>0</v>
      </c>
      <c r="M193" s="4" t="s">
        <v>98</v>
      </c>
      <c r="N193" s="5">
        <v>610</v>
      </c>
      <c r="O193" s="5">
        <v>73</v>
      </c>
      <c r="P193" s="4" t="s">
        <v>114</v>
      </c>
      <c r="Q193" s="8" t="s">
        <v>29</v>
      </c>
      <c r="R193" s="4" t="s">
        <v>334</v>
      </c>
      <c r="S193" s="4"/>
      <c r="T193"/>
      <c r="U193" s="23"/>
    </row>
    <row r="194" spans="1:21" ht="15.6" x14ac:dyDescent="0.3">
      <c r="A194" s="4">
        <v>193</v>
      </c>
      <c r="B194" s="5">
        <v>9398063</v>
      </c>
      <c r="C194" s="4" t="s">
        <v>36</v>
      </c>
      <c r="D194" s="4" t="s">
        <v>60</v>
      </c>
      <c r="E194" s="4" t="s">
        <v>76</v>
      </c>
      <c r="F194" s="4" t="s">
        <v>2959</v>
      </c>
      <c r="G194" s="6">
        <v>3.9</v>
      </c>
      <c r="H194" s="7">
        <v>45299.782141203701</v>
      </c>
      <c r="I194" s="7" t="str">
        <f>TEXT(multilingual_mobile_app_reviews_2025[[#This Row],[Review_date]],"dd-mm-yyyy")</f>
        <v>08-01-2024</v>
      </c>
      <c r="J194" s="7" t="str">
        <f>TEXT(multilingual_mobile_app_reviews_2025[[#This Row],[Review_date]],"YYYY")</f>
        <v>2024</v>
      </c>
      <c r="K194" s="7" t="str">
        <f>TEXT(multilingual_mobile_app_reviews_2025[[#This Row],[Review_date]],"MMMM")</f>
        <v>January</v>
      </c>
      <c r="L194" s="4" t="b">
        <v>1</v>
      </c>
      <c r="M194" s="4" t="s">
        <v>33</v>
      </c>
      <c r="N194" s="5">
        <v>1033</v>
      </c>
      <c r="O194" s="5">
        <v>23</v>
      </c>
      <c r="P194" s="4" t="s">
        <v>80</v>
      </c>
      <c r="Q194" s="8" t="s">
        <v>39</v>
      </c>
      <c r="R194" s="4" t="s">
        <v>335</v>
      </c>
      <c r="S194" s="4"/>
      <c r="T194"/>
      <c r="U194" s="23"/>
    </row>
    <row r="195" spans="1:21" ht="15.6" x14ac:dyDescent="0.3">
      <c r="A195" s="4">
        <v>194</v>
      </c>
      <c r="B195" s="5">
        <v>3723062</v>
      </c>
      <c r="C195" s="4" t="s">
        <v>147</v>
      </c>
      <c r="D195" s="4" t="s">
        <v>63</v>
      </c>
      <c r="E195" s="4" t="s">
        <v>16</v>
      </c>
      <c r="F195" s="4" t="s">
        <v>2945</v>
      </c>
      <c r="G195" s="6">
        <v>2.8</v>
      </c>
      <c r="H195" s="7">
        <v>45770.395173611112</v>
      </c>
      <c r="I195" s="7" t="str">
        <f>TEXT(multilingual_mobile_app_reviews_2025[[#This Row],[Review_date]],"dd-mm-yyyy")</f>
        <v>23-04-2025</v>
      </c>
      <c r="J195" s="7" t="str">
        <f>TEXT(multilingual_mobile_app_reviews_2025[[#This Row],[Review_date]],"YYYY")</f>
        <v>2025</v>
      </c>
      <c r="K195" s="7" t="str">
        <f>TEXT(multilingual_mobile_app_reviews_2025[[#This Row],[Review_date]],"MMMM")</f>
        <v>April</v>
      </c>
      <c r="L195" s="4" t="b">
        <v>1</v>
      </c>
      <c r="M195" s="4" t="s">
        <v>98</v>
      </c>
      <c r="N195" s="5">
        <v>1120</v>
      </c>
      <c r="O195" s="5">
        <v>29</v>
      </c>
      <c r="P195" s="4" t="s">
        <v>2963</v>
      </c>
      <c r="Q195" s="8" t="s">
        <v>5</v>
      </c>
      <c r="R195" s="4" t="s">
        <v>336</v>
      </c>
      <c r="S195" s="4"/>
      <c r="T195"/>
      <c r="U195" s="23"/>
    </row>
    <row r="196" spans="1:21" ht="15.6" x14ac:dyDescent="0.3">
      <c r="A196" s="4">
        <v>195</v>
      </c>
      <c r="B196" s="5">
        <v>5612314</v>
      </c>
      <c r="C196" s="4" t="s">
        <v>41</v>
      </c>
      <c r="D196" s="4" t="s">
        <v>111</v>
      </c>
      <c r="E196" s="4" t="s">
        <v>337</v>
      </c>
      <c r="F196" s="4" t="s">
        <v>2961</v>
      </c>
      <c r="G196" s="6">
        <v>3.5</v>
      </c>
      <c r="H196" s="7">
        <v>45274.219282407408</v>
      </c>
      <c r="I196" s="7" t="str">
        <f>TEXT(multilingual_mobile_app_reviews_2025[[#This Row],[Review_date]],"dd-mm-yyyy")</f>
        <v>14-12-2023</v>
      </c>
      <c r="J196" s="7" t="str">
        <f>TEXT(multilingual_mobile_app_reviews_2025[[#This Row],[Review_date]],"YYYY")</f>
        <v>2023</v>
      </c>
      <c r="K196" s="7" t="str">
        <f>TEXT(multilingual_mobile_app_reviews_2025[[#This Row],[Review_date]],"MMMM")</f>
        <v>December</v>
      </c>
      <c r="L196" s="4" t="b">
        <v>1</v>
      </c>
      <c r="M196" s="4" t="s">
        <v>10</v>
      </c>
      <c r="N196" s="5">
        <v>233</v>
      </c>
      <c r="O196" s="5">
        <v>63</v>
      </c>
      <c r="P196" s="4" t="s">
        <v>80</v>
      </c>
      <c r="Q196" s="8" t="s">
        <v>29</v>
      </c>
      <c r="R196" s="4" t="s">
        <v>338</v>
      </c>
      <c r="S196" s="4"/>
      <c r="T196"/>
      <c r="U196" s="23"/>
    </row>
    <row r="197" spans="1:21" ht="15.6" x14ac:dyDescent="0.3">
      <c r="A197" s="4">
        <v>196</v>
      </c>
      <c r="B197" s="5">
        <v>979109</v>
      </c>
      <c r="C197" s="4" t="s">
        <v>7</v>
      </c>
      <c r="D197" s="4" t="s">
        <v>71</v>
      </c>
      <c r="E197" s="4" t="s">
        <v>130</v>
      </c>
      <c r="F197" s="4" t="s">
        <v>2954</v>
      </c>
      <c r="G197" s="6">
        <v>1.9</v>
      </c>
      <c r="H197" s="7">
        <v>45237.33452546296</v>
      </c>
      <c r="I197" s="7" t="str">
        <f>TEXT(multilingual_mobile_app_reviews_2025[[#This Row],[Review_date]],"dd-mm-yyyy")</f>
        <v>07-11-2023</v>
      </c>
      <c r="J197" s="7" t="str">
        <f>TEXT(multilingual_mobile_app_reviews_2025[[#This Row],[Review_date]],"YYYY")</f>
        <v>2023</v>
      </c>
      <c r="K197" s="7" t="str">
        <f>TEXT(multilingual_mobile_app_reviews_2025[[#This Row],[Review_date]],"MMMM")</f>
        <v>November</v>
      </c>
      <c r="L197" s="4" t="b">
        <v>0</v>
      </c>
      <c r="M197" s="4" t="s">
        <v>98</v>
      </c>
      <c r="N197" s="5">
        <v>182</v>
      </c>
      <c r="O197" s="5">
        <v>71</v>
      </c>
      <c r="P197" s="4" t="s">
        <v>80</v>
      </c>
      <c r="Q197" s="8" t="s">
        <v>2963</v>
      </c>
      <c r="R197" s="4" t="s">
        <v>339</v>
      </c>
      <c r="S197" s="4"/>
      <c r="T197"/>
      <c r="U197" s="23"/>
    </row>
    <row r="198" spans="1:21" ht="15.6" x14ac:dyDescent="0.3">
      <c r="A198" s="4">
        <v>197</v>
      </c>
      <c r="B198" s="5">
        <v>7162546</v>
      </c>
      <c r="C198" s="4" t="s">
        <v>134</v>
      </c>
      <c r="D198" s="4" t="s">
        <v>111</v>
      </c>
      <c r="E198" s="4" t="s">
        <v>16</v>
      </c>
      <c r="F198" s="4" t="s">
        <v>2952</v>
      </c>
      <c r="G198" s="6">
        <v>4.5</v>
      </c>
      <c r="H198" s="7">
        <v>45547.500972222224</v>
      </c>
      <c r="I198" s="7" t="str">
        <f>TEXT(multilingual_mobile_app_reviews_2025[[#This Row],[Review_date]],"dd-mm-yyyy")</f>
        <v>12-09-2024</v>
      </c>
      <c r="J198" s="7" t="str">
        <f>TEXT(multilingual_mobile_app_reviews_2025[[#This Row],[Review_date]],"YYYY")</f>
        <v>2024</v>
      </c>
      <c r="K198" s="7" t="str">
        <f>TEXT(multilingual_mobile_app_reviews_2025[[#This Row],[Review_date]],"MMMM")</f>
        <v>September</v>
      </c>
      <c r="L198" s="4" t="b">
        <v>1</v>
      </c>
      <c r="M198" s="4" t="s">
        <v>10</v>
      </c>
      <c r="N198" s="5">
        <v>737</v>
      </c>
      <c r="O198" s="5">
        <v>64</v>
      </c>
      <c r="P198" s="4" t="s">
        <v>94</v>
      </c>
      <c r="Q198" s="8" t="s">
        <v>39</v>
      </c>
      <c r="R198" s="4" t="s">
        <v>2963</v>
      </c>
      <c r="S198" s="4"/>
      <c r="T198"/>
      <c r="U198" s="23"/>
    </row>
    <row r="199" spans="1:21" ht="15.6" x14ac:dyDescent="0.3">
      <c r="A199" s="4">
        <v>198</v>
      </c>
      <c r="B199" s="5">
        <v>1166326</v>
      </c>
      <c r="C199" s="4" t="s">
        <v>174</v>
      </c>
      <c r="D199" s="4" t="s">
        <v>47</v>
      </c>
      <c r="E199" s="4" t="s">
        <v>9</v>
      </c>
      <c r="F199" s="4" t="s">
        <v>2952</v>
      </c>
      <c r="G199" s="6">
        <v>1.5</v>
      </c>
      <c r="H199" s="7">
        <v>45508.78943287037</v>
      </c>
      <c r="I199" s="7" t="str">
        <f>TEXT(multilingual_mobile_app_reviews_2025[[#This Row],[Review_date]],"dd-mm-yyyy")</f>
        <v>04-08-2024</v>
      </c>
      <c r="J199" s="7" t="str">
        <f>TEXT(multilingual_mobile_app_reviews_2025[[#This Row],[Review_date]],"YYYY")</f>
        <v>2024</v>
      </c>
      <c r="K199" s="7" t="str">
        <f>TEXT(multilingual_mobile_app_reviews_2025[[#This Row],[Review_date]],"MMMM")</f>
        <v>August</v>
      </c>
      <c r="L199" s="4" t="b">
        <v>1</v>
      </c>
      <c r="M199" s="4" t="s">
        <v>3</v>
      </c>
      <c r="N199" s="5">
        <v>934</v>
      </c>
      <c r="O199" s="5">
        <v>30</v>
      </c>
      <c r="P199" s="4" t="s">
        <v>11</v>
      </c>
      <c r="Q199" s="8" t="s">
        <v>29</v>
      </c>
      <c r="R199" s="4" t="s">
        <v>340</v>
      </c>
      <c r="S199" s="4"/>
      <c r="T199"/>
      <c r="U199" s="23"/>
    </row>
    <row r="200" spans="1:21" ht="15.6" x14ac:dyDescent="0.3">
      <c r="A200" s="4">
        <v>199</v>
      </c>
      <c r="B200" s="5">
        <v>6174006</v>
      </c>
      <c r="C200" s="4" t="s">
        <v>75</v>
      </c>
      <c r="D200" s="4" t="s">
        <v>47</v>
      </c>
      <c r="E200" s="4" t="s">
        <v>76</v>
      </c>
      <c r="F200" s="4" t="s">
        <v>2955</v>
      </c>
      <c r="G200" s="6">
        <v>2.5</v>
      </c>
      <c r="H200" s="7">
        <v>45537.521967592591</v>
      </c>
      <c r="I200" s="7" t="str">
        <f>TEXT(multilingual_mobile_app_reviews_2025[[#This Row],[Review_date]],"dd-mm-yyyy")</f>
        <v>02-09-2024</v>
      </c>
      <c r="J200" s="7" t="str">
        <f>TEXT(multilingual_mobile_app_reviews_2025[[#This Row],[Review_date]],"YYYY")</f>
        <v>2024</v>
      </c>
      <c r="K200" s="7" t="str">
        <f>TEXT(multilingual_mobile_app_reviews_2025[[#This Row],[Review_date]],"MMMM")</f>
        <v>September</v>
      </c>
      <c r="L200" s="4" t="b">
        <v>1</v>
      </c>
      <c r="M200" s="4" t="s">
        <v>10</v>
      </c>
      <c r="N200" s="5">
        <v>59</v>
      </c>
      <c r="O200" s="5">
        <v>68</v>
      </c>
      <c r="P200" s="4" t="s">
        <v>94</v>
      </c>
      <c r="Q200" s="8" t="s">
        <v>5</v>
      </c>
      <c r="R200" s="4" t="s">
        <v>341</v>
      </c>
      <c r="S200" s="4"/>
      <c r="T200"/>
      <c r="U200" s="23"/>
    </row>
    <row r="201" spans="1:21" ht="15.6" x14ac:dyDescent="0.3">
      <c r="A201" s="4">
        <v>200</v>
      </c>
      <c r="B201" s="5">
        <v>1929622</v>
      </c>
      <c r="C201" s="4" t="s">
        <v>208</v>
      </c>
      <c r="D201" s="4" t="s">
        <v>42</v>
      </c>
      <c r="E201" s="4" t="s">
        <v>9</v>
      </c>
      <c r="F201" s="4" t="s">
        <v>2948</v>
      </c>
      <c r="G201" s="6">
        <v>3.1</v>
      </c>
      <c r="H201" s="7">
        <v>45489.96125</v>
      </c>
      <c r="I201" s="7" t="str">
        <f>TEXT(multilingual_mobile_app_reviews_2025[[#This Row],[Review_date]],"dd-mm-yyyy")</f>
        <v>16-07-2024</v>
      </c>
      <c r="J201" s="7" t="str">
        <f>TEXT(multilingual_mobile_app_reviews_2025[[#This Row],[Review_date]],"YYYY")</f>
        <v>2024</v>
      </c>
      <c r="K201" s="7" t="str">
        <f>TEXT(multilingual_mobile_app_reviews_2025[[#This Row],[Review_date]],"MMMM")</f>
        <v>July</v>
      </c>
      <c r="L201" s="4" t="b">
        <v>1</v>
      </c>
      <c r="M201" s="4" t="s">
        <v>33</v>
      </c>
      <c r="N201" s="5">
        <v>195</v>
      </c>
      <c r="O201" s="5">
        <v>40</v>
      </c>
      <c r="P201" s="4" t="s">
        <v>94</v>
      </c>
      <c r="Q201" s="8" t="s">
        <v>5</v>
      </c>
      <c r="R201" s="4" t="s">
        <v>342</v>
      </c>
      <c r="S201" s="4"/>
      <c r="T201"/>
      <c r="U201" s="23"/>
    </row>
    <row r="202" spans="1:21" ht="15.6" x14ac:dyDescent="0.3">
      <c r="A202" s="4">
        <v>201</v>
      </c>
      <c r="B202" s="5">
        <v>3816988</v>
      </c>
      <c r="C202" s="4" t="s">
        <v>147</v>
      </c>
      <c r="D202" s="4" t="s">
        <v>63</v>
      </c>
      <c r="E202" s="4" t="s">
        <v>343</v>
      </c>
      <c r="F202" s="4" t="s">
        <v>2954</v>
      </c>
      <c r="G202" s="6">
        <v>2</v>
      </c>
      <c r="H202" s="7">
        <v>45254.092546296299</v>
      </c>
      <c r="I202" s="7" t="str">
        <f>TEXT(multilingual_mobile_app_reviews_2025[[#This Row],[Review_date]],"dd-mm-yyyy")</f>
        <v>24-11-2023</v>
      </c>
      <c r="J202" s="7" t="str">
        <f>TEXT(multilingual_mobile_app_reviews_2025[[#This Row],[Review_date]],"YYYY")</f>
        <v>2023</v>
      </c>
      <c r="K202" s="7" t="str">
        <f>TEXT(multilingual_mobile_app_reviews_2025[[#This Row],[Review_date]],"MMMM")</f>
        <v>November</v>
      </c>
      <c r="L202" s="4" t="b">
        <v>1</v>
      </c>
      <c r="M202" s="4" t="s">
        <v>10</v>
      </c>
      <c r="N202" s="5">
        <v>103</v>
      </c>
      <c r="O202" s="5">
        <v>45</v>
      </c>
      <c r="P202" s="4" t="s">
        <v>17</v>
      </c>
      <c r="Q202" s="8" t="s">
        <v>2963</v>
      </c>
      <c r="R202" s="4" t="s">
        <v>344</v>
      </c>
      <c r="S202" s="4"/>
      <c r="T202"/>
      <c r="U202" s="23"/>
    </row>
    <row r="203" spans="1:21" ht="15.6" x14ac:dyDescent="0.3">
      <c r="A203" s="4">
        <v>202</v>
      </c>
      <c r="B203" s="5">
        <v>2217143</v>
      </c>
      <c r="C203" s="4" t="s">
        <v>104</v>
      </c>
      <c r="D203" s="4" t="s">
        <v>20</v>
      </c>
      <c r="E203" s="4" t="s">
        <v>345</v>
      </c>
      <c r="F203" s="4" t="s">
        <v>2939</v>
      </c>
      <c r="G203" s="6">
        <v>1.4</v>
      </c>
      <c r="H203" s="7">
        <v>45212.733611111114</v>
      </c>
      <c r="I203" s="7" t="str">
        <f>TEXT(multilingual_mobile_app_reviews_2025[[#This Row],[Review_date]],"dd-mm-yyyy")</f>
        <v>13-10-2023</v>
      </c>
      <c r="J203" s="7" t="str">
        <f>TEXT(multilingual_mobile_app_reviews_2025[[#This Row],[Review_date]],"YYYY")</f>
        <v>2023</v>
      </c>
      <c r="K203" s="7" t="str">
        <f>TEXT(multilingual_mobile_app_reviews_2025[[#This Row],[Review_date]],"MMMM")</f>
        <v>October</v>
      </c>
      <c r="L203" s="4" t="b">
        <v>1</v>
      </c>
      <c r="M203" s="4" t="s">
        <v>3</v>
      </c>
      <c r="N203" s="5">
        <v>73</v>
      </c>
      <c r="O203" s="5">
        <v>48</v>
      </c>
      <c r="P203" s="4" t="s">
        <v>34</v>
      </c>
      <c r="Q203" s="8" t="s">
        <v>12</v>
      </c>
      <c r="R203" s="4" t="s">
        <v>346</v>
      </c>
      <c r="S203" s="4"/>
      <c r="T203"/>
      <c r="U203" s="23"/>
    </row>
    <row r="204" spans="1:21" ht="15.6" x14ac:dyDescent="0.3">
      <c r="A204" s="4">
        <v>203</v>
      </c>
      <c r="B204" s="5">
        <v>7259911</v>
      </c>
      <c r="C204" s="4" t="s">
        <v>46</v>
      </c>
      <c r="D204" s="4" t="s">
        <v>220</v>
      </c>
      <c r="E204" s="4" t="s">
        <v>347</v>
      </c>
      <c r="F204" s="4" t="s">
        <v>2954</v>
      </c>
      <c r="G204" s="6">
        <v>3.2</v>
      </c>
      <c r="H204" s="7">
        <v>45185.466863425929</v>
      </c>
      <c r="I204" s="7" t="str">
        <f>TEXT(multilingual_mobile_app_reviews_2025[[#This Row],[Review_date]],"dd-mm-yyyy")</f>
        <v>16-09-2023</v>
      </c>
      <c r="J204" s="7" t="str">
        <f>TEXT(multilingual_mobile_app_reviews_2025[[#This Row],[Review_date]],"YYYY")</f>
        <v>2023</v>
      </c>
      <c r="K204" s="7" t="str">
        <f>TEXT(multilingual_mobile_app_reviews_2025[[#This Row],[Review_date]],"MMMM")</f>
        <v>September</v>
      </c>
      <c r="L204" s="4" t="b">
        <v>1</v>
      </c>
      <c r="M204" s="4" t="s">
        <v>33</v>
      </c>
      <c r="N204" s="5">
        <v>1228</v>
      </c>
      <c r="O204" s="5">
        <v>43</v>
      </c>
      <c r="P204" s="4" t="s">
        <v>61</v>
      </c>
      <c r="Q204" s="8" t="s">
        <v>39</v>
      </c>
      <c r="R204" s="4" t="s">
        <v>348</v>
      </c>
      <c r="S204" s="4"/>
      <c r="T204"/>
      <c r="U204" s="23"/>
    </row>
    <row r="205" spans="1:21" ht="15.6" x14ac:dyDescent="0.3">
      <c r="A205" s="4">
        <v>204</v>
      </c>
      <c r="B205" s="5">
        <v>9521856</v>
      </c>
      <c r="C205" s="4" t="s">
        <v>0</v>
      </c>
      <c r="D205" s="4" t="s">
        <v>71</v>
      </c>
      <c r="E205" s="4" t="s">
        <v>349</v>
      </c>
      <c r="F205" s="4" t="s">
        <v>2958</v>
      </c>
      <c r="G205" s="6">
        <v>4</v>
      </c>
      <c r="H205" s="7">
        <v>45362.286620370367</v>
      </c>
      <c r="I205" s="7" t="str">
        <f>TEXT(multilingual_mobile_app_reviews_2025[[#This Row],[Review_date]],"dd-mm-yyyy")</f>
        <v>11-03-2024</v>
      </c>
      <c r="J205" s="7" t="str">
        <f>TEXT(multilingual_mobile_app_reviews_2025[[#This Row],[Review_date]],"YYYY")</f>
        <v>2024</v>
      </c>
      <c r="K205" s="7" t="str">
        <f>TEXT(multilingual_mobile_app_reviews_2025[[#This Row],[Review_date]],"MMMM")</f>
        <v>March</v>
      </c>
      <c r="L205" s="4" t="b">
        <v>1</v>
      </c>
      <c r="M205" s="4" t="s">
        <v>3</v>
      </c>
      <c r="N205" s="5">
        <v>219</v>
      </c>
      <c r="O205" s="5">
        <v>29</v>
      </c>
      <c r="P205" s="4" t="s">
        <v>144</v>
      </c>
      <c r="Q205" s="8" t="s">
        <v>5</v>
      </c>
      <c r="R205" s="4" t="s">
        <v>350</v>
      </c>
      <c r="S205" s="4"/>
      <c r="T205"/>
      <c r="U205" s="23"/>
    </row>
    <row r="206" spans="1:21" ht="15.6" x14ac:dyDescent="0.3">
      <c r="A206" s="4">
        <v>205</v>
      </c>
      <c r="B206" s="5">
        <v>5342022</v>
      </c>
      <c r="C206" s="4" t="s">
        <v>36</v>
      </c>
      <c r="D206" s="4" t="s">
        <v>1</v>
      </c>
      <c r="E206" s="4" t="s">
        <v>351</v>
      </c>
      <c r="F206" s="4" t="s">
        <v>2957</v>
      </c>
      <c r="G206" s="6">
        <v>3.4</v>
      </c>
      <c r="H206" s="7">
        <v>45615.454710648148</v>
      </c>
      <c r="I206" s="7" t="str">
        <f>TEXT(multilingual_mobile_app_reviews_2025[[#This Row],[Review_date]],"dd-mm-yyyy")</f>
        <v>19-11-2024</v>
      </c>
      <c r="J206" s="7" t="str">
        <f>TEXT(multilingual_mobile_app_reviews_2025[[#This Row],[Review_date]],"YYYY")</f>
        <v>2024</v>
      </c>
      <c r="K206" s="7" t="str">
        <f>TEXT(multilingual_mobile_app_reviews_2025[[#This Row],[Review_date]],"MMMM")</f>
        <v>November</v>
      </c>
      <c r="L206" s="4" t="b">
        <v>0</v>
      </c>
      <c r="M206" s="4" t="s">
        <v>33</v>
      </c>
      <c r="N206" s="5">
        <v>275</v>
      </c>
      <c r="O206" s="5">
        <v>74</v>
      </c>
      <c r="P206" s="4" t="s">
        <v>99</v>
      </c>
      <c r="Q206" s="8" t="s">
        <v>12</v>
      </c>
      <c r="R206" s="4" t="s">
        <v>352</v>
      </c>
      <c r="S206" s="4"/>
      <c r="T206"/>
      <c r="U206" s="23"/>
    </row>
    <row r="207" spans="1:21" ht="15.6" x14ac:dyDescent="0.3">
      <c r="A207" s="4">
        <v>206</v>
      </c>
      <c r="B207" s="5">
        <v>9440543</v>
      </c>
      <c r="C207" s="4" t="s">
        <v>192</v>
      </c>
      <c r="D207" s="4" t="s">
        <v>47</v>
      </c>
      <c r="E207" s="4" t="s">
        <v>93</v>
      </c>
      <c r="F207" s="4" t="s">
        <v>2955</v>
      </c>
      <c r="G207" s="6">
        <v>4.5</v>
      </c>
      <c r="H207" s="7">
        <v>45159.270208333335</v>
      </c>
      <c r="I207" s="7" t="str">
        <f>TEXT(multilingual_mobile_app_reviews_2025[[#This Row],[Review_date]],"dd-mm-yyyy")</f>
        <v>21-08-2023</v>
      </c>
      <c r="J207" s="7" t="str">
        <f>TEXT(multilingual_mobile_app_reviews_2025[[#This Row],[Review_date]],"YYYY")</f>
        <v>2023</v>
      </c>
      <c r="K207" s="7" t="str">
        <f>TEXT(multilingual_mobile_app_reviews_2025[[#This Row],[Review_date]],"MMMM")</f>
        <v>August</v>
      </c>
      <c r="L207" s="4" t="b">
        <v>1</v>
      </c>
      <c r="M207" s="4" t="s">
        <v>33</v>
      </c>
      <c r="N207" s="5">
        <v>787</v>
      </c>
      <c r="O207" s="5">
        <v>39</v>
      </c>
      <c r="P207" s="4" t="s">
        <v>144</v>
      </c>
      <c r="Q207" s="8" t="s">
        <v>5</v>
      </c>
      <c r="R207" s="4" t="s">
        <v>353</v>
      </c>
      <c r="S207" s="4"/>
      <c r="T207"/>
      <c r="U207" s="23"/>
    </row>
    <row r="208" spans="1:21" ht="15.6" x14ac:dyDescent="0.3">
      <c r="A208" s="4">
        <v>207</v>
      </c>
      <c r="B208" s="5">
        <v>4587028</v>
      </c>
      <c r="C208" s="4" t="s">
        <v>7</v>
      </c>
      <c r="D208" s="4" t="s">
        <v>97</v>
      </c>
      <c r="E208" s="4" t="s">
        <v>93</v>
      </c>
      <c r="F208" s="4" t="s">
        <v>2958</v>
      </c>
      <c r="G208" s="6">
        <v>2.2000000000000002</v>
      </c>
      <c r="H208" s="7">
        <v>45161.366863425923</v>
      </c>
      <c r="I208" s="7" t="str">
        <f>TEXT(multilingual_mobile_app_reviews_2025[[#This Row],[Review_date]],"dd-mm-yyyy")</f>
        <v>23-08-2023</v>
      </c>
      <c r="J208" s="7" t="str">
        <f>TEXT(multilingual_mobile_app_reviews_2025[[#This Row],[Review_date]],"YYYY")</f>
        <v>2023</v>
      </c>
      <c r="K208" s="7" t="str">
        <f>TEXT(multilingual_mobile_app_reviews_2025[[#This Row],[Review_date]],"MMMM")</f>
        <v>August</v>
      </c>
      <c r="L208" s="4" t="b">
        <v>1</v>
      </c>
      <c r="M208" s="4" t="s">
        <v>10</v>
      </c>
      <c r="N208" s="5">
        <v>271</v>
      </c>
      <c r="O208" s="5">
        <v>75</v>
      </c>
      <c r="P208" s="4" t="s">
        <v>61</v>
      </c>
      <c r="Q208" s="8" t="s">
        <v>5</v>
      </c>
      <c r="R208" s="4" t="s">
        <v>49</v>
      </c>
      <c r="S208" s="4"/>
      <c r="T208"/>
      <c r="U208" s="23"/>
    </row>
    <row r="209" spans="1:21" ht="15.6" x14ac:dyDescent="0.3">
      <c r="A209" s="4">
        <v>208</v>
      </c>
      <c r="B209" s="5">
        <v>4684716</v>
      </c>
      <c r="C209" s="4" t="s">
        <v>54</v>
      </c>
      <c r="D209" s="4" t="s">
        <v>157</v>
      </c>
      <c r="E209" s="4" t="s">
        <v>109</v>
      </c>
      <c r="F209" s="4" t="s">
        <v>2960</v>
      </c>
      <c r="G209" s="6">
        <v>1.6</v>
      </c>
      <c r="H209" s="7">
        <v>45684.680532407408</v>
      </c>
      <c r="I209" s="7" t="str">
        <f>TEXT(multilingual_mobile_app_reviews_2025[[#This Row],[Review_date]],"dd-mm-yyyy")</f>
        <v>27-01-2025</v>
      </c>
      <c r="J209" s="7" t="str">
        <f>TEXT(multilingual_mobile_app_reviews_2025[[#This Row],[Review_date]],"YYYY")</f>
        <v>2025</v>
      </c>
      <c r="K209" s="7" t="str">
        <f>TEXT(multilingual_mobile_app_reviews_2025[[#This Row],[Review_date]],"MMMM")</f>
        <v>January</v>
      </c>
      <c r="L209" s="4" t="b">
        <v>0</v>
      </c>
      <c r="M209" s="4" t="s">
        <v>98</v>
      </c>
      <c r="N209" s="5">
        <v>409</v>
      </c>
      <c r="O209" s="5">
        <v>30</v>
      </c>
      <c r="P209" s="4" t="s">
        <v>65</v>
      </c>
      <c r="Q209" s="8" t="s">
        <v>39</v>
      </c>
      <c r="R209" s="4" t="s">
        <v>354</v>
      </c>
      <c r="S209" s="4"/>
      <c r="T209"/>
      <c r="U209" s="23"/>
    </row>
    <row r="210" spans="1:21" ht="15.6" x14ac:dyDescent="0.3">
      <c r="A210" s="4">
        <v>209</v>
      </c>
      <c r="B210" s="5">
        <v>5283902</v>
      </c>
      <c r="C210" s="4" t="s">
        <v>56</v>
      </c>
      <c r="D210" s="4" t="s">
        <v>63</v>
      </c>
      <c r="E210" s="4" t="s">
        <v>355</v>
      </c>
      <c r="F210" s="4" t="s">
        <v>2953</v>
      </c>
      <c r="G210" s="6">
        <v>3</v>
      </c>
      <c r="H210" s="7">
        <v>45491.235358796293</v>
      </c>
      <c r="I210" s="7" t="str">
        <f>TEXT(multilingual_mobile_app_reviews_2025[[#This Row],[Review_date]],"dd-mm-yyyy")</f>
        <v>18-07-2024</v>
      </c>
      <c r="J210" s="7" t="str">
        <f>TEXT(multilingual_mobile_app_reviews_2025[[#This Row],[Review_date]],"YYYY")</f>
        <v>2024</v>
      </c>
      <c r="K210" s="7" t="str">
        <f>TEXT(multilingual_mobile_app_reviews_2025[[#This Row],[Review_date]],"MMMM")</f>
        <v>July</v>
      </c>
      <c r="L210" s="4" t="b">
        <v>1</v>
      </c>
      <c r="M210" s="4" t="s">
        <v>10</v>
      </c>
      <c r="N210" s="5">
        <v>96</v>
      </c>
      <c r="O210" s="5">
        <v>72</v>
      </c>
      <c r="P210" s="4" t="s">
        <v>11</v>
      </c>
      <c r="Q210" s="8" t="s">
        <v>29</v>
      </c>
      <c r="R210" s="4" t="s">
        <v>356</v>
      </c>
      <c r="S210" s="4"/>
      <c r="T210"/>
      <c r="U210" s="23"/>
    </row>
    <row r="211" spans="1:21" ht="15.6" x14ac:dyDescent="0.3">
      <c r="A211" s="4">
        <v>210</v>
      </c>
      <c r="B211" s="5">
        <v>2740889</v>
      </c>
      <c r="C211" s="4" t="s">
        <v>87</v>
      </c>
      <c r="D211" s="4" t="s">
        <v>220</v>
      </c>
      <c r="E211" s="4" t="s">
        <v>93</v>
      </c>
      <c r="F211" s="4" t="s">
        <v>2959</v>
      </c>
      <c r="G211" s="6">
        <v>4.0999999999999996</v>
      </c>
      <c r="H211" s="7">
        <v>45426.306990740741</v>
      </c>
      <c r="I211" s="7" t="str">
        <f>TEXT(multilingual_mobile_app_reviews_2025[[#This Row],[Review_date]],"dd-mm-yyyy")</f>
        <v>14-05-2024</v>
      </c>
      <c r="J211" s="7" t="str">
        <f>TEXT(multilingual_mobile_app_reviews_2025[[#This Row],[Review_date]],"YYYY")</f>
        <v>2024</v>
      </c>
      <c r="K211" s="7" t="str">
        <f>TEXT(multilingual_mobile_app_reviews_2025[[#This Row],[Review_date]],"MMMM")</f>
        <v>May</v>
      </c>
      <c r="L211" s="4" t="b">
        <v>1</v>
      </c>
      <c r="M211" s="4" t="s">
        <v>22</v>
      </c>
      <c r="N211" s="5">
        <v>602</v>
      </c>
      <c r="O211" s="5">
        <v>41</v>
      </c>
      <c r="P211" s="4" t="s">
        <v>65</v>
      </c>
      <c r="Q211" s="8" t="s">
        <v>12</v>
      </c>
      <c r="R211" s="4" t="s">
        <v>357</v>
      </c>
      <c r="S211" s="4"/>
      <c r="T211"/>
      <c r="U211" s="23"/>
    </row>
    <row r="212" spans="1:21" ht="15.6" x14ac:dyDescent="0.3">
      <c r="A212" s="4">
        <v>211</v>
      </c>
      <c r="B212" s="5">
        <v>5542241</v>
      </c>
      <c r="C212" s="4" t="s">
        <v>46</v>
      </c>
      <c r="D212" s="4" t="s">
        <v>111</v>
      </c>
      <c r="E212" s="4" t="s">
        <v>76</v>
      </c>
      <c r="F212" s="4" t="s">
        <v>2940</v>
      </c>
      <c r="G212" s="6">
        <v>1.6</v>
      </c>
      <c r="H212" s="7">
        <v>45742.264317129629</v>
      </c>
      <c r="I212" s="7" t="str">
        <f>TEXT(multilingual_mobile_app_reviews_2025[[#This Row],[Review_date]],"dd-mm-yyyy")</f>
        <v>26-03-2025</v>
      </c>
      <c r="J212" s="7" t="str">
        <f>TEXT(multilingual_mobile_app_reviews_2025[[#This Row],[Review_date]],"YYYY")</f>
        <v>2025</v>
      </c>
      <c r="K212" s="7" t="str">
        <f>TEXT(multilingual_mobile_app_reviews_2025[[#This Row],[Review_date]],"MMMM")</f>
        <v>March</v>
      </c>
      <c r="L212" s="4" t="b">
        <v>1</v>
      </c>
      <c r="M212" s="4" t="s">
        <v>10</v>
      </c>
      <c r="N212" s="5">
        <v>1222</v>
      </c>
      <c r="O212" s="5">
        <v>16</v>
      </c>
      <c r="P212" s="4" t="s">
        <v>38</v>
      </c>
      <c r="Q212" s="8" t="s">
        <v>2963</v>
      </c>
      <c r="R212" s="4" t="s">
        <v>358</v>
      </c>
      <c r="S212" s="4"/>
      <c r="T212"/>
      <c r="U212" s="23"/>
    </row>
    <row r="213" spans="1:21" ht="15.6" x14ac:dyDescent="0.3">
      <c r="A213" s="4">
        <v>212</v>
      </c>
      <c r="B213" s="5">
        <v>1525342</v>
      </c>
      <c r="C213" s="4" t="s">
        <v>208</v>
      </c>
      <c r="D213" s="4" t="s">
        <v>97</v>
      </c>
      <c r="E213" s="4" t="s">
        <v>64</v>
      </c>
      <c r="F213" s="4" t="s">
        <v>2949</v>
      </c>
      <c r="G213" s="6">
        <v>2.6</v>
      </c>
      <c r="H213" s="7">
        <v>45824.990416666667</v>
      </c>
      <c r="I213" s="7" t="str">
        <f>TEXT(multilingual_mobile_app_reviews_2025[[#This Row],[Review_date]],"dd-mm-yyyy")</f>
        <v>16-06-2025</v>
      </c>
      <c r="J213" s="7" t="str">
        <f>TEXT(multilingual_mobile_app_reviews_2025[[#This Row],[Review_date]],"YYYY")</f>
        <v>2025</v>
      </c>
      <c r="K213" s="7" t="str">
        <f>TEXT(multilingual_mobile_app_reviews_2025[[#This Row],[Review_date]],"MMMM")</f>
        <v>June</v>
      </c>
      <c r="L213" s="4" t="b">
        <v>1</v>
      </c>
      <c r="M213" s="4" t="s">
        <v>10</v>
      </c>
      <c r="N213" s="5">
        <v>453</v>
      </c>
      <c r="O213" s="5">
        <v>69</v>
      </c>
      <c r="P213" s="4" t="s">
        <v>127</v>
      </c>
      <c r="Q213" s="8" t="s">
        <v>39</v>
      </c>
      <c r="R213" s="4" t="s">
        <v>359</v>
      </c>
      <c r="S213" s="4"/>
      <c r="T213"/>
      <c r="U213" s="23"/>
    </row>
    <row r="214" spans="1:21" ht="15.6" x14ac:dyDescent="0.3">
      <c r="A214" s="4">
        <v>213</v>
      </c>
      <c r="B214" s="5">
        <v>2710197</v>
      </c>
      <c r="C214" s="4" t="s">
        <v>46</v>
      </c>
      <c r="D214" s="4" t="s">
        <v>42</v>
      </c>
      <c r="E214" s="4" t="s">
        <v>360</v>
      </c>
      <c r="F214" s="4" t="s">
        <v>2957</v>
      </c>
      <c r="G214" s="6">
        <v>4.5</v>
      </c>
      <c r="H214" s="7">
        <v>45468.220266203702</v>
      </c>
      <c r="I214" s="7" t="str">
        <f>TEXT(multilingual_mobile_app_reviews_2025[[#This Row],[Review_date]],"dd-mm-yyyy")</f>
        <v>25-06-2024</v>
      </c>
      <c r="J214" s="7" t="str">
        <f>TEXT(multilingual_mobile_app_reviews_2025[[#This Row],[Review_date]],"YYYY")</f>
        <v>2024</v>
      </c>
      <c r="K214" s="7" t="str">
        <f>TEXT(multilingual_mobile_app_reviews_2025[[#This Row],[Review_date]],"MMMM")</f>
        <v>June</v>
      </c>
      <c r="L214" s="4" t="b">
        <v>1</v>
      </c>
      <c r="M214" s="4" t="s">
        <v>3</v>
      </c>
      <c r="N214" s="5">
        <v>232</v>
      </c>
      <c r="O214" s="5">
        <v>37</v>
      </c>
      <c r="P214" s="4" t="s">
        <v>230</v>
      </c>
      <c r="Q214" s="8" t="s">
        <v>2963</v>
      </c>
      <c r="R214" s="4" t="s">
        <v>361</v>
      </c>
      <c r="S214" s="4"/>
      <c r="T214"/>
      <c r="U214" s="23"/>
    </row>
    <row r="215" spans="1:21" ht="15.6" x14ac:dyDescent="0.3">
      <c r="A215" s="4">
        <v>214</v>
      </c>
      <c r="B215" s="5">
        <v>7516270</v>
      </c>
      <c r="C215" s="4" t="s">
        <v>192</v>
      </c>
      <c r="D215" s="4" t="s">
        <v>57</v>
      </c>
      <c r="E215" s="4" t="s">
        <v>16</v>
      </c>
      <c r="F215" s="4" t="s">
        <v>2952</v>
      </c>
      <c r="G215" s="6">
        <v>4.9000000000000004</v>
      </c>
      <c r="H215" s="7">
        <v>45460.584282407406</v>
      </c>
      <c r="I215" s="7" t="str">
        <f>TEXT(multilingual_mobile_app_reviews_2025[[#This Row],[Review_date]],"dd-mm-yyyy")</f>
        <v>17-06-2024</v>
      </c>
      <c r="J215" s="7" t="str">
        <f>TEXT(multilingual_mobile_app_reviews_2025[[#This Row],[Review_date]],"YYYY")</f>
        <v>2024</v>
      </c>
      <c r="K215" s="7" t="str">
        <f>TEXT(multilingual_mobile_app_reviews_2025[[#This Row],[Review_date]],"MMMM")</f>
        <v>June</v>
      </c>
      <c r="L215" s="4" t="b">
        <v>1</v>
      </c>
      <c r="M215" s="4" t="s">
        <v>33</v>
      </c>
      <c r="N215" s="5">
        <v>1092</v>
      </c>
      <c r="O215" s="5">
        <v>13</v>
      </c>
      <c r="P215" s="4" t="s">
        <v>38</v>
      </c>
      <c r="Q215" s="8" t="s">
        <v>12</v>
      </c>
      <c r="R215" s="4" t="s">
        <v>362</v>
      </c>
      <c r="S215" s="4"/>
      <c r="T215"/>
      <c r="U215" s="23"/>
    </row>
    <row r="216" spans="1:21" ht="15.6" x14ac:dyDescent="0.3">
      <c r="A216" s="4">
        <v>215</v>
      </c>
      <c r="B216" s="5">
        <v>3716647</v>
      </c>
      <c r="C216" s="4" t="s">
        <v>113</v>
      </c>
      <c r="D216" s="4" t="s">
        <v>51</v>
      </c>
      <c r="E216" s="4" t="s">
        <v>9</v>
      </c>
      <c r="F216" s="4" t="s">
        <v>2940</v>
      </c>
      <c r="G216" s="6">
        <v>1.4</v>
      </c>
      <c r="H216" s="7">
        <v>45725.259930555556</v>
      </c>
      <c r="I216" s="7" t="str">
        <f>TEXT(multilingual_mobile_app_reviews_2025[[#This Row],[Review_date]],"dd-mm-yyyy")</f>
        <v>09-03-2025</v>
      </c>
      <c r="J216" s="7" t="str">
        <f>TEXT(multilingual_mobile_app_reviews_2025[[#This Row],[Review_date]],"YYYY")</f>
        <v>2025</v>
      </c>
      <c r="K216" s="7" t="str">
        <f>TEXT(multilingual_mobile_app_reviews_2025[[#This Row],[Review_date]],"MMMM")</f>
        <v>March</v>
      </c>
      <c r="L216" s="4" t="b">
        <v>1</v>
      </c>
      <c r="M216" s="4" t="s">
        <v>98</v>
      </c>
      <c r="N216" s="5">
        <v>364</v>
      </c>
      <c r="O216" s="5">
        <v>63</v>
      </c>
      <c r="P216" s="4" t="s">
        <v>230</v>
      </c>
      <c r="Q216" s="8" t="s">
        <v>2963</v>
      </c>
      <c r="R216" s="4" t="s">
        <v>363</v>
      </c>
      <c r="S216" s="4"/>
      <c r="T216"/>
      <c r="U216" s="23"/>
    </row>
    <row r="217" spans="1:21" ht="15.6" x14ac:dyDescent="0.3">
      <c r="A217" s="4">
        <v>216</v>
      </c>
      <c r="B217" s="5">
        <v>2009540</v>
      </c>
      <c r="C217" s="4" t="s">
        <v>159</v>
      </c>
      <c r="D217" s="4" t="s">
        <v>157</v>
      </c>
      <c r="E217" s="4" t="s">
        <v>93</v>
      </c>
      <c r="F217" s="4" t="s">
        <v>2941</v>
      </c>
      <c r="G217" s="6">
        <v>4</v>
      </c>
      <c r="H217" s="7">
        <v>45406.981944444444</v>
      </c>
      <c r="I217" s="7" t="str">
        <f>TEXT(multilingual_mobile_app_reviews_2025[[#This Row],[Review_date]],"dd-mm-yyyy")</f>
        <v>24-04-2024</v>
      </c>
      <c r="J217" s="7" t="str">
        <f>TEXT(multilingual_mobile_app_reviews_2025[[#This Row],[Review_date]],"YYYY")</f>
        <v>2024</v>
      </c>
      <c r="K217" s="7" t="str">
        <f>TEXT(multilingual_mobile_app_reviews_2025[[#This Row],[Review_date]],"MMMM")</f>
        <v>April</v>
      </c>
      <c r="L217" s="4" t="b">
        <v>1</v>
      </c>
      <c r="M217" s="4" t="s">
        <v>33</v>
      </c>
      <c r="N217" s="5">
        <v>93</v>
      </c>
      <c r="O217" s="5">
        <v>57</v>
      </c>
      <c r="P217" s="4" t="s">
        <v>4</v>
      </c>
      <c r="Q217" s="8" t="s">
        <v>39</v>
      </c>
      <c r="R217" s="4" t="s">
        <v>364</v>
      </c>
      <c r="S217" s="4"/>
      <c r="T217"/>
      <c r="U217" s="23"/>
    </row>
    <row r="218" spans="1:21" ht="15.6" x14ac:dyDescent="0.3">
      <c r="A218" s="4">
        <v>217</v>
      </c>
      <c r="B218" s="5">
        <v>1960421</v>
      </c>
      <c r="C218" s="4" t="s">
        <v>104</v>
      </c>
      <c r="D218" s="4" t="s">
        <v>15</v>
      </c>
      <c r="E218" s="4" t="s">
        <v>32</v>
      </c>
      <c r="F218" s="4" t="s">
        <v>2949</v>
      </c>
      <c r="G218" s="6">
        <v>3</v>
      </c>
      <c r="H218" s="7">
        <v>45358.882291666669</v>
      </c>
      <c r="I218" s="7" t="str">
        <f>TEXT(multilingual_mobile_app_reviews_2025[[#This Row],[Review_date]],"dd-mm-yyyy")</f>
        <v>07-03-2024</v>
      </c>
      <c r="J218" s="7" t="str">
        <f>TEXT(multilingual_mobile_app_reviews_2025[[#This Row],[Review_date]],"YYYY")</f>
        <v>2024</v>
      </c>
      <c r="K218" s="7" t="str">
        <f>TEXT(multilingual_mobile_app_reviews_2025[[#This Row],[Review_date]],"MMMM")</f>
        <v>March</v>
      </c>
      <c r="L218" s="4" t="b">
        <v>0</v>
      </c>
      <c r="M218" s="4" t="s">
        <v>22</v>
      </c>
      <c r="N218" s="5">
        <v>610</v>
      </c>
      <c r="O218" s="5">
        <v>56</v>
      </c>
      <c r="P218" s="4" t="s">
        <v>44</v>
      </c>
      <c r="Q218" s="8" t="s">
        <v>39</v>
      </c>
      <c r="R218" s="4" t="s">
        <v>365</v>
      </c>
      <c r="S218" s="4"/>
      <c r="T218"/>
      <c r="U218" s="23"/>
    </row>
    <row r="219" spans="1:21" ht="15.6" x14ac:dyDescent="0.3">
      <c r="A219" s="4">
        <v>218</v>
      </c>
      <c r="B219" s="5">
        <v>8264342</v>
      </c>
      <c r="C219" s="4" t="s">
        <v>25</v>
      </c>
      <c r="D219" s="4" t="s">
        <v>15</v>
      </c>
      <c r="E219" s="4" t="s">
        <v>366</v>
      </c>
      <c r="F219" s="4" t="s">
        <v>2959</v>
      </c>
      <c r="G219" s="6">
        <v>2.7</v>
      </c>
      <c r="H219" s="7">
        <v>45473.377893518518</v>
      </c>
      <c r="I219" s="7" t="str">
        <f>TEXT(multilingual_mobile_app_reviews_2025[[#This Row],[Review_date]],"dd-mm-yyyy")</f>
        <v>30-06-2024</v>
      </c>
      <c r="J219" s="7" t="str">
        <f>TEXT(multilingual_mobile_app_reviews_2025[[#This Row],[Review_date]],"YYYY")</f>
        <v>2024</v>
      </c>
      <c r="K219" s="7" t="str">
        <f>TEXT(multilingual_mobile_app_reviews_2025[[#This Row],[Review_date]],"MMMM")</f>
        <v>June</v>
      </c>
      <c r="L219" s="4" t="b">
        <v>1</v>
      </c>
      <c r="M219" s="4" t="s">
        <v>33</v>
      </c>
      <c r="N219" s="5">
        <v>291</v>
      </c>
      <c r="O219" s="5">
        <v>23</v>
      </c>
      <c r="P219" s="4" t="s">
        <v>65</v>
      </c>
      <c r="Q219" s="8" t="s">
        <v>5</v>
      </c>
      <c r="R219" s="4" t="s">
        <v>367</v>
      </c>
      <c r="S219" s="4"/>
      <c r="T219"/>
      <c r="U219" s="23"/>
    </row>
    <row r="220" spans="1:21" ht="15.6" x14ac:dyDescent="0.3">
      <c r="A220" s="4">
        <v>219</v>
      </c>
      <c r="B220" s="5">
        <v>2267376</v>
      </c>
      <c r="C220" s="4" t="s">
        <v>75</v>
      </c>
      <c r="D220" s="4" t="s">
        <v>51</v>
      </c>
      <c r="E220" s="4" t="s">
        <v>27</v>
      </c>
      <c r="F220" s="4" t="s">
        <v>2961</v>
      </c>
      <c r="G220" s="6">
        <v>3.3</v>
      </c>
      <c r="H220" s="7">
        <v>45434.194108796299</v>
      </c>
      <c r="I220" s="7" t="str">
        <f>TEXT(multilingual_mobile_app_reviews_2025[[#This Row],[Review_date]],"dd-mm-yyyy")</f>
        <v>22-05-2024</v>
      </c>
      <c r="J220" s="7" t="str">
        <f>TEXT(multilingual_mobile_app_reviews_2025[[#This Row],[Review_date]],"YYYY")</f>
        <v>2024</v>
      </c>
      <c r="K220" s="7" t="str">
        <f>TEXT(multilingual_mobile_app_reviews_2025[[#This Row],[Review_date]],"MMMM")</f>
        <v>May</v>
      </c>
      <c r="L220" s="4" t="b">
        <v>1</v>
      </c>
      <c r="M220" s="4" t="s">
        <v>10</v>
      </c>
      <c r="N220" s="5">
        <v>731</v>
      </c>
      <c r="O220" s="5">
        <v>21</v>
      </c>
      <c r="P220" s="4" t="s">
        <v>94</v>
      </c>
      <c r="Q220" s="8" t="s">
        <v>5</v>
      </c>
      <c r="R220" s="4" t="s">
        <v>368</v>
      </c>
      <c r="S220" s="4"/>
      <c r="T220"/>
      <c r="U220" s="23"/>
    </row>
    <row r="221" spans="1:21" ht="15.6" x14ac:dyDescent="0.3">
      <c r="A221" s="4">
        <v>220</v>
      </c>
      <c r="B221" s="5">
        <v>3960617</v>
      </c>
      <c r="C221" s="4" t="s">
        <v>147</v>
      </c>
      <c r="D221" s="4" t="s">
        <v>71</v>
      </c>
      <c r="E221" s="4" t="s">
        <v>9</v>
      </c>
      <c r="F221" s="4" t="s">
        <v>2945</v>
      </c>
      <c r="G221" s="6">
        <v>1.7</v>
      </c>
      <c r="H221" s="7">
        <v>45527.443506944444</v>
      </c>
      <c r="I221" s="7" t="str">
        <f>TEXT(multilingual_mobile_app_reviews_2025[[#This Row],[Review_date]],"dd-mm-yyyy")</f>
        <v>23-08-2024</v>
      </c>
      <c r="J221" s="7" t="str">
        <f>TEXT(multilingual_mobile_app_reviews_2025[[#This Row],[Review_date]],"YYYY")</f>
        <v>2024</v>
      </c>
      <c r="K221" s="7" t="str">
        <f>TEXT(multilingual_mobile_app_reviews_2025[[#This Row],[Review_date]],"MMMM")</f>
        <v>August</v>
      </c>
      <c r="L221" s="4" t="b">
        <v>1</v>
      </c>
      <c r="M221" s="4" t="s">
        <v>10</v>
      </c>
      <c r="N221" s="5">
        <v>504</v>
      </c>
      <c r="O221" s="5">
        <v>63</v>
      </c>
      <c r="P221" s="4" t="s">
        <v>17</v>
      </c>
      <c r="Q221" s="8" t="s">
        <v>29</v>
      </c>
      <c r="R221" s="4" t="s">
        <v>369</v>
      </c>
      <c r="S221" s="4"/>
      <c r="T221"/>
      <c r="U221" s="23"/>
    </row>
    <row r="222" spans="1:21" ht="15.6" x14ac:dyDescent="0.3">
      <c r="A222" s="4">
        <v>221</v>
      </c>
      <c r="B222" s="5">
        <v>6041939</v>
      </c>
      <c r="C222" s="4" t="s">
        <v>104</v>
      </c>
      <c r="D222" s="4" t="s">
        <v>79</v>
      </c>
      <c r="E222" s="4" t="s">
        <v>93</v>
      </c>
      <c r="F222" s="4" t="s">
        <v>2941</v>
      </c>
      <c r="G222" s="6">
        <v>4.4000000000000004</v>
      </c>
      <c r="H222" s="7">
        <v>45194.860949074071</v>
      </c>
      <c r="I222" s="7" t="str">
        <f>TEXT(multilingual_mobile_app_reviews_2025[[#This Row],[Review_date]],"dd-mm-yyyy")</f>
        <v>25-09-2023</v>
      </c>
      <c r="J222" s="7" t="str">
        <f>TEXT(multilingual_mobile_app_reviews_2025[[#This Row],[Review_date]],"YYYY")</f>
        <v>2023</v>
      </c>
      <c r="K222" s="7" t="str">
        <f>TEXT(multilingual_mobile_app_reviews_2025[[#This Row],[Review_date]],"MMMM")</f>
        <v>September</v>
      </c>
      <c r="L222" s="4" t="b">
        <v>1</v>
      </c>
      <c r="M222" s="4" t="s">
        <v>22</v>
      </c>
      <c r="N222" s="5">
        <v>1103</v>
      </c>
      <c r="O222" s="5">
        <v>25</v>
      </c>
      <c r="P222" s="4" t="s">
        <v>230</v>
      </c>
      <c r="Q222" s="8" t="s">
        <v>12</v>
      </c>
      <c r="R222" s="4" t="s">
        <v>370</v>
      </c>
      <c r="S222" s="4"/>
      <c r="T222"/>
      <c r="U222" s="23"/>
    </row>
    <row r="223" spans="1:21" ht="15.6" x14ac:dyDescent="0.3">
      <c r="A223" s="4">
        <v>222</v>
      </c>
      <c r="B223" s="5">
        <v>809714</v>
      </c>
      <c r="C223" s="4" t="s">
        <v>50</v>
      </c>
      <c r="D223" s="4" t="s">
        <v>15</v>
      </c>
      <c r="E223" s="4" t="s">
        <v>64</v>
      </c>
      <c r="F223" s="4" t="s">
        <v>2947</v>
      </c>
      <c r="G223" s="6">
        <v>3.6</v>
      </c>
      <c r="H223" s="7">
        <v>45477.70003472222</v>
      </c>
      <c r="I223" s="7" t="str">
        <f>TEXT(multilingual_mobile_app_reviews_2025[[#This Row],[Review_date]],"dd-mm-yyyy")</f>
        <v>04-07-2024</v>
      </c>
      <c r="J223" s="7" t="str">
        <f>TEXT(multilingual_mobile_app_reviews_2025[[#This Row],[Review_date]],"YYYY")</f>
        <v>2024</v>
      </c>
      <c r="K223" s="7" t="str">
        <f>TEXT(multilingual_mobile_app_reviews_2025[[#This Row],[Review_date]],"MMMM")</f>
        <v>July</v>
      </c>
      <c r="L223" s="4" t="b">
        <v>1</v>
      </c>
      <c r="M223" s="4" t="s">
        <v>22</v>
      </c>
      <c r="N223" s="5">
        <v>749</v>
      </c>
      <c r="O223" s="5">
        <v>38</v>
      </c>
      <c r="P223" s="4" t="s">
        <v>17</v>
      </c>
      <c r="Q223" s="8" t="s">
        <v>2963</v>
      </c>
      <c r="R223" s="4" t="s">
        <v>371</v>
      </c>
      <c r="S223" s="4"/>
      <c r="T223"/>
      <c r="U223" s="23"/>
    </row>
    <row r="224" spans="1:21" ht="15.6" x14ac:dyDescent="0.3">
      <c r="A224" s="4">
        <v>223</v>
      </c>
      <c r="B224" s="5">
        <v>7813396</v>
      </c>
      <c r="C224" s="4" t="s">
        <v>192</v>
      </c>
      <c r="D224" s="4" t="s">
        <v>42</v>
      </c>
      <c r="E224" s="4" t="s">
        <v>76</v>
      </c>
      <c r="F224" s="4" t="s">
        <v>2952</v>
      </c>
      <c r="G224" s="6">
        <v>3.3</v>
      </c>
      <c r="H224" s="7">
        <v>45854.366273148145</v>
      </c>
      <c r="I224" s="7" t="str">
        <f>TEXT(multilingual_mobile_app_reviews_2025[[#This Row],[Review_date]],"dd-mm-yyyy")</f>
        <v>16-07-2025</v>
      </c>
      <c r="J224" s="7" t="str">
        <f>TEXT(multilingual_mobile_app_reviews_2025[[#This Row],[Review_date]],"YYYY")</f>
        <v>2025</v>
      </c>
      <c r="K224" s="7" t="str">
        <f>TEXT(multilingual_mobile_app_reviews_2025[[#This Row],[Review_date]],"MMMM")</f>
        <v>July</v>
      </c>
      <c r="L224" s="4" t="b">
        <v>1</v>
      </c>
      <c r="M224" s="4" t="s">
        <v>33</v>
      </c>
      <c r="N224" s="5">
        <v>299</v>
      </c>
      <c r="O224" s="5">
        <v>60</v>
      </c>
      <c r="P224" s="4" t="s">
        <v>44</v>
      </c>
      <c r="Q224" s="8" t="s">
        <v>29</v>
      </c>
      <c r="R224" s="4" t="s">
        <v>372</v>
      </c>
      <c r="S224" s="4"/>
      <c r="T224"/>
      <c r="U224" s="23"/>
    </row>
    <row r="225" spans="1:21" ht="15.6" x14ac:dyDescent="0.3">
      <c r="A225" s="4">
        <v>224</v>
      </c>
      <c r="B225" s="5">
        <v>5352285</v>
      </c>
      <c r="C225" s="4" t="s">
        <v>154</v>
      </c>
      <c r="D225" s="4" t="s">
        <v>63</v>
      </c>
      <c r="E225" s="4" t="s">
        <v>130</v>
      </c>
      <c r="F225" s="4" t="s">
        <v>2940</v>
      </c>
      <c r="G225" s="6">
        <v>1.2</v>
      </c>
      <c r="H225" s="7">
        <v>45586.083622685182</v>
      </c>
      <c r="I225" s="7" t="str">
        <f>TEXT(multilingual_mobile_app_reviews_2025[[#This Row],[Review_date]],"dd-mm-yyyy")</f>
        <v>21-10-2024</v>
      </c>
      <c r="J225" s="7" t="str">
        <f>TEXT(multilingual_mobile_app_reviews_2025[[#This Row],[Review_date]],"YYYY")</f>
        <v>2024</v>
      </c>
      <c r="K225" s="7" t="str">
        <f>TEXT(multilingual_mobile_app_reviews_2025[[#This Row],[Review_date]],"MMMM")</f>
        <v>October</v>
      </c>
      <c r="L225" s="4" t="b">
        <v>1</v>
      </c>
      <c r="M225" s="4" t="s">
        <v>10</v>
      </c>
      <c r="N225" s="5">
        <v>211</v>
      </c>
      <c r="O225" s="5">
        <v>58</v>
      </c>
      <c r="P225" s="4" t="s">
        <v>85</v>
      </c>
      <c r="Q225" s="8" t="s">
        <v>39</v>
      </c>
      <c r="R225" s="4" t="s">
        <v>373</v>
      </c>
      <c r="S225" s="4"/>
      <c r="T225"/>
      <c r="U225" s="23"/>
    </row>
    <row r="226" spans="1:21" ht="15.6" x14ac:dyDescent="0.3">
      <c r="A226" s="4">
        <v>225</v>
      </c>
      <c r="B226" s="5">
        <v>9720050</v>
      </c>
      <c r="C226" s="4" t="s">
        <v>258</v>
      </c>
      <c r="D226" s="4" t="s">
        <v>20</v>
      </c>
      <c r="E226" s="4" t="s">
        <v>9</v>
      </c>
      <c r="F226" s="4" t="s">
        <v>2947</v>
      </c>
      <c r="G226" s="6">
        <v>4.2</v>
      </c>
      <c r="H226" s="7">
        <v>45453.002800925926</v>
      </c>
      <c r="I226" s="7" t="str">
        <f>TEXT(multilingual_mobile_app_reviews_2025[[#This Row],[Review_date]],"dd-mm-yyyy")</f>
        <v>10-06-2024</v>
      </c>
      <c r="J226" s="7" t="str">
        <f>TEXT(multilingual_mobile_app_reviews_2025[[#This Row],[Review_date]],"YYYY")</f>
        <v>2024</v>
      </c>
      <c r="K226" s="7" t="str">
        <f>TEXT(multilingual_mobile_app_reviews_2025[[#This Row],[Review_date]],"MMMM")</f>
        <v>June</v>
      </c>
      <c r="L226" s="4" t="b">
        <v>0</v>
      </c>
      <c r="M226" s="4" t="s">
        <v>33</v>
      </c>
      <c r="N226" s="5">
        <v>13</v>
      </c>
      <c r="O226" s="5">
        <v>45</v>
      </c>
      <c r="P226" s="4" t="s">
        <v>180</v>
      </c>
      <c r="Q226" s="8" t="s">
        <v>29</v>
      </c>
      <c r="R226" s="4" t="s">
        <v>374</v>
      </c>
      <c r="S226" s="4"/>
      <c r="T226"/>
      <c r="U226" s="23"/>
    </row>
    <row r="227" spans="1:21" ht="15.6" x14ac:dyDescent="0.3">
      <c r="A227" s="4">
        <v>226</v>
      </c>
      <c r="B227" s="5">
        <v>7107741</v>
      </c>
      <c r="C227" s="4" t="s">
        <v>258</v>
      </c>
      <c r="D227" s="4" t="s">
        <v>1</v>
      </c>
      <c r="E227" s="4" t="s">
        <v>130</v>
      </c>
      <c r="F227" s="4" t="s">
        <v>2947</v>
      </c>
      <c r="G227" s="6">
        <v>1.8</v>
      </c>
      <c r="H227" s="7">
        <v>45363.75136574074</v>
      </c>
      <c r="I227" s="7" t="str">
        <f>TEXT(multilingual_mobile_app_reviews_2025[[#This Row],[Review_date]],"dd-mm-yyyy")</f>
        <v>12-03-2024</v>
      </c>
      <c r="J227" s="7" t="str">
        <f>TEXT(multilingual_mobile_app_reviews_2025[[#This Row],[Review_date]],"YYYY")</f>
        <v>2024</v>
      </c>
      <c r="K227" s="7" t="str">
        <f>TEXT(multilingual_mobile_app_reviews_2025[[#This Row],[Review_date]],"MMMM")</f>
        <v>March</v>
      </c>
      <c r="L227" s="4" t="b">
        <v>1</v>
      </c>
      <c r="M227" s="4" t="s">
        <v>22</v>
      </c>
      <c r="N227" s="5">
        <v>841</v>
      </c>
      <c r="O227" s="5">
        <v>14</v>
      </c>
      <c r="P227" s="4" t="s">
        <v>17</v>
      </c>
      <c r="Q227" s="8" t="s">
        <v>12</v>
      </c>
      <c r="R227" s="4" t="s">
        <v>375</v>
      </c>
      <c r="S227" s="4"/>
      <c r="T227"/>
      <c r="U227" s="23"/>
    </row>
    <row r="228" spans="1:21" ht="15.6" x14ac:dyDescent="0.3">
      <c r="A228" s="4">
        <v>227</v>
      </c>
      <c r="B228" s="5">
        <v>6895314</v>
      </c>
      <c r="C228" s="4" t="s">
        <v>199</v>
      </c>
      <c r="D228" s="4" t="s">
        <v>63</v>
      </c>
      <c r="E228" s="4" t="s">
        <v>93</v>
      </c>
      <c r="F228" s="4" t="s">
        <v>2956</v>
      </c>
      <c r="G228" s="6">
        <v>1.1000000000000001</v>
      </c>
      <c r="H228" s="7">
        <v>45155.078020833331</v>
      </c>
      <c r="I228" s="7" t="str">
        <f>TEXT(multilingual_mobile_app_reviews_2025[[#This Row],[Review_date]],"dd-mm-yyyy")</f>
        <v>17-08-2023</v>
      </c>
      <c r="J228" s="7" t="str">
        <f>TEXT(multilingual_mobile_app_reviews_2025[[#This Row],[Review_date]],"YYYY")</f>
        <v>2023</v>
      </c>
      <c r="K228" s="7" t="str">
        <f>TEXT(multilingual_mobile_app_reviews_2025[[#This Row],[Review_date]],"MMMM")</f>
        <v>August</v>
      </c>
      <c r="L228" s="4" t="b">
        <v>1</v>
      </c>
      <c r="M228" s="4" t="s">
        <v>10</v>
      </c>
      <c r="N228" s="5">
        <v>175</v>
      </c>
      <c r="O228" s="5">
        <v>26</v>
      </c>
      <c r="P228" s="4" t="s">
        <v>70</v>
      </c>
      <c r="Q228" s="8" t="s">
        <v>2963</v>
      </c>
      <c r="R228" s="4" t="s">
        <v>376</v>
      </c>
      <c r="S228" s="4"/>
      <c r="T228"/>
      <c r="U228" s="23"/>
    </row>
    <row r="229" spans="1:21" ht="15.6" x14ac:dyDescent="0.3">
      <c r="A229" s="4">
        <v>228</v>
      </c>
      <c r="B229" s="5">
        <v>2983553</v>
      </c>
      <c r="C229" s="4" t="s">
        <v>50</v>
      </c>
      <c r="D229" s="4" t="s">
        <v>47</v>
      </c>
      <c r="E229" s="4" t="s">
        <v>377</v>
      </c>
      <c r="F229" s="4" t="s">
        <v>2941</v>
      </c>
      <c r="G229" s="6">
        <v>1.9</v>
      </c>
      <c r="H229" s="7">
        <v>45252.624849537038</v>
      </c>
      <c r="I229" s="7" t="str">
        <f>TEXT(multilingual_mobile_app_reviews_2025[[#This Row],[Review_date]],"dd-mm-yyyy")</f>
        <v>22-11-2023</v>
      </c>
      <c r="J229" s="7" t="str">
        <f>TEXT(multilingual_mobile_app_reviews_2025[[#This Row],[Review_date]],"YYYY")</f>
        <v>2023</v>
      </c>
      <c r="K229" s="7" t="str">
        <f>TEXT(multilingual_mobile_app_reviews_2025[[#This Row],[Review_date]],"MMMM")</f>
        <v>November</v>
      </c>
      <c r="L229" s="4" t="b">
        <v>1</v>
      </c>
      <c r="M229" s="4" t="s">
        <v>3</v>
      </c>
      <c r="N229" s="5">
        <v>270</v>
      </c>
      <c r="O229" s="5">
        <v>19</v>
      </c>
      <c r="P229" s="4" t="s">
        <v>118</v>
      </c>
      <c r="Q229" s="8" t="s">
        <v>5</v>
      </c>
      <c r="R229" s="4" t="s">
        <v>378</v>
      </c>
      <c r="S229" s="4"/>
      <c r="T229"/>
      <c r="U229" s="23"/>
    </row>
    <row r="230" spans="1:21" ht="15.6" x14ac:dyDescent="0.3">
      <c r="A230" s="4">
        <v>229</v>
      </c>
      <c r="B230" s="5">
        <v>3409671</v>
      </c>
      <c r="C230" s="4" t="s">
        <v>92</v>
      </c>
      <c r="D230" s="4" t="s">
        <v>60</v>
      </c>
      <c r="E230" s="4" t="s">
        <v>16</v>
      </c>
      <c r="F230" s="4" t="s">
        <v>2941</v>
      </c>
      <c r="G230" s="6">
        <v>2.9</v>
      </c>
      <c r="H230" s="7">
        <v>45273.638935185183</v>
      </c>
      <c r="I230" s="7" t="str">
        <f>TEXT(multilingual_mobile_app_reviews_2025[[#This Row],[Review_date]],"dd-mm-yyyy")</f>
        <v>13-12-2023</v>
      </c>
      <c r="J230" s="7" t="str">
        <f>TEXT(multilingual_mobile_app_reviews_2025[[#This Row],[Review_date]],"YYYY")</f>
        <v>2023</v>
      </c>
      <c r="K230" s="7" t="str">
        <f>TEXT(multilingual_mobile_app_reviews_2025[[#This Row],[Review_date]],"MMMM")</f>
        <v>December</v>
      </c>
      <c r="L230" s="4" t="b">
        <v>1</v>
      </c>
      <c r="M230" s="4" t="s">
        <v>22</v>
      </c>
      <c r="N230" s="5">
        <v>1235</v>
      </c>
      <c r="O230" s="5">
        <v>47</v>
      </c>
      <c r="P230" s="4" t="s">
        <v>118</v>
      </c>
      <c r="Q230" s="8" t="s">
        <v>29</v>
      </c>
      <c r="R230" s="4" t="s">
        <v>379</v>
      </c>
      <c r="S230" s="4"/>
      <c r="T230"/>
      <c r="U230" s="23"/>
    </row>
    <row r="231" spans="1:21" ht="15.6" x14ac:dyDescent="0.3">
      <c r="A231" s="4">
        <v>230</v>
      </c>
      <c r="B231" s="5">
        <v>2664729</v>
      </c>
      <c r="C231" s="4" t="s">
        <v>54</v>
      </c>
      <c r="D231" s="4" t="s">
        <v>15</v>
      </c>
      <c r="E231" s="4" t="s">
        <v>21</v>
      </c>
      <c r="F231" s="4" t="s">
        <v>2947</v>
      </c>
      <c r="G231" s="6">
        <v>3</v>
      </c>
      <c r="H231" s="7">
        <v>45729.354930555557</v>
      </c>
      <c r="I231" s="7" t="str">
        <f>TEXT(multilingual_mobile_app_reviews_2025[[#This Row],[Review_date]],"dd-mm-yyyy")</f>
        <v>13-03-2025</v>
      </c>
      <c r="J231" s="7" t="str">
        <f>TEXT(multilingual_mobile_app_reviews_2025[[#This Row],[Review_date]],"YYYY")</f>
        <v>2025</v>
      </c>
      <c r="K231" s="7" t="str">
        <f>TEXT(multilingual_mobile_app_reviews_2025[[#This Row],[Review_date]],"MMMM")</f>
        <v>March</v>
      </c>
      <c r="L231" s="4" t="b">
        <v>0</v>
      </c>
      <c r="M231" s="4" t="s">
        <v>98</v>
      </c>
      <c r="N231" s="5">
        <v>580</v>
      </c>
      <c r="O231" s="5">
        <v>51</v>
      </c>
      <c r="P231" s="4" t="s">
        <v>34</v>
      </c>
      <c r="Q231" s="8" t="s">
        <v>2963</v>
      </c>
      <c r="R231" s="4" t="s">
        <v>380</v>
      </c>
      <c r="S231" s="4"/>
      <c r="T231"/>
      <c r="U231" s="23"/>
    </row>
    <row r="232" spans="1:21" ht="15.6" x14ac:dyDescent="0.3">
      <c r="A232" s="4">
        <v>231</v>
      </c>
      <c r="B232" s="5">
        <v>1364218</v>
      </c>
      <c r="C232" s="4" t="s">
        <v>41</v>
      </c>
      <c r="D232" s="4" t="s">
        <v>42</v>
      </c>
      <c r="E232" s="4" t="s">
        <v>76</v>
      </c>
      <c r="F232" s="4" t="s">
        <v>2945</v>
      </c>
      <c r="G232" s="6">
        <v>3.6</v>
      </c>
      <c r="H232" s="7">
        <v>45276.471724537034</v>
      </c>
      <c r="I232" s="7" t="str">
        <f>TEXT(multilingual_mobile_app_reviews_2025[[#This Row],[Review_date]],"dd-mm-yyyy")</f>
        <v>16-12-2023</v>
      </c>
      <c r="J232" s="7" t="str">
        <f>TEXT(multilingual_mobile_app_reviews_2025[[#This Row],[Review_date]],"YYYY")</f>
        <v>2023</v>
      </c>
      <c r="K232" s="7" t="str">
        <f>TEXT(multilingual_mobile_app_reviews_2025[[#This Row],[Review_date]],"MMMM")</f>
        <v>December</v>
      </c>
      <c r="L232" s="4" t="b">
        <v>0</v>
      </c>
      <c r="M232" s="4" t="s">
        <v>10</v>
      </c>
      <c r="N232" s="5">
        <v>535</v>
      </c>
      <c r="O232" s="5">
        <v>67</v>
      </c>
      <c r="P232" s="4" t="s">
        <v>34</v>
      </c>
      <c r="Q232" s="8" t="s">
        <v>29</v>
      </c>
      <c r="R232" s="4" t="s">
        <v>381</v>
      </c>
      <c r="S232" s="4"/>
      <c r="T232"/>
      <c r="U232" s="23"/>
    </row>
    <row r="233" spans="1:21" ht="15.6" x14ac:dyDescent="0.3">
      <c r="A233" s="4">
        <v>232</v>
      </c>
      <c r="B233" s="5">
        <v>8389908</v>
      </c>
      <c r="C233" s="4" t="s">
        <v>46</v>
      </c>
      <c r="D233" s="4" t="s">
        <v>51</v>
      </c>
      <c r="E233" s="4" t="s">
        <v>21</v>
      </c>
      <c r="F233" s="4" t="s">
        <v>2950</v>
      </c>
      <c r="G233" s="6">
        <v>2.4</v>
      </c>
      <c r="H233" s="7">
        <v>45499.241261574076</v>
      </c>
      <c r="I233" s="7" t="str">
        <f>TEXT(multilingual_mobile_app_reviews_2025[[#This Row],[Review_date]],"dd-mm-yyyy")</f>
        <v>26-07-2024</v>
      </c>
      <c r="J233" s="7" t="str">
        <f>TEXT(multilingual_mobile_app_reviews_2025[[#This Row],[Review_date]],"YYYY")</f>
        <v>2024</v>
      </c>
      <c r="K233" s="7" t="str">
        <f>TEXT(multilingual_mobile_app_reviews_2025[[#This Row],[Review_date]],"MMMM")</f>
        <v>July</v>
      </c>
      <c r="L233" s="4" t="b">
        <v>0</v>
      </c>
      <c r="M233" s="4" t="s">
        <v>3</v>
      </c>
      <c r="N233" s="5">
        <v>282</v>
      </c>
      <c r="O233" s="5">
        <v>67</v>
      </c>
      <c r="P233" s="4" t="s">
        <v>94</v>
      </c>
      <c r="Q233" s="8" t="s">
        <v>12</v>
      </c>
      <c r="R233" s="4" t="s">
        <v>382</v>
      </c>
      <c r="S233" s="4"/>
      <c r="T233"/>
      <c r="U233" s="23"/>
    </row>
    <row r="234" spans="1:21" ht="15.6" x14ac:dyDescent="0.3">
      <c r="A234" s="4">
        <v>233</v>
      </c>
      <c r="B234" s="5">
        <v>9557911</v>
      </c>
      <c r="C234" s="4" t="s">
        <v>159</v>
      </c>
      <c r="D234" s="4" t="s">
        <v>26</v>
      </c>
      <c r="E234" s="4" t="s">
        <v>109</v>
      </c>
      <c r="F234" s="4" t="s">
        <v>2941</v>
      </c>
      <c r="G234" s="6">
        <v>4.3</v>
      </c>
      <c r="H234" s="7">
        <v>45729.092291666668</v>
      </c>
      <c r="I234" s="7" t="str">
        <f>TEXT(multilingual_mobile_app_reviews_2025[[#This Row],[Review_date]],"dd-mm-yyyy")</f>
        <v>13-03-2025</v>
      </c>
      <c r="J234" s="7" t="str">
        <f>TEXT(multilingual_mobile_app_reviews_2025[[#This Row],[Review_date]],"YYYY")</f>
        <v>2025</v>
      </c>
      <c r="K234" s="7" t="str">
        <f>TEXT(multilingual_mobile_app_reviews_2025[[#This Row],[Review_date]],"MMMM")</f>
        <v>March</v>
      </c>
      <c r="L234" s="4" t="b">
        <v>1</v>
      </c>
      <c r="M234" s="4" t="s">
        <v>3</v>
      </c>
      <c r="N234" s="5">
        <v>1229</v>
      </c>
      <c r="O234" s="5">
        <v>40</v>
      </c>
      <c r="P234" s="4" t="s">
        <v>4</v>
      </c>
      <c r="Q234" s="8" t="s">
        <v>12</v>
      </c>
      <c r="R234" s="4" t="s">
        <v>383</v>
      </c>
      <c r="S234" s="4"/>
      <c r="T234"/>
      <c r="U234" s="23"/>
    </row>
    <row r="235" spans="1:21" ht="15.6" x14ac:dyDescent="0.3">
      <c r="A235" s="4">
        <v>234</v>
      </c>
      <c r="B235" s="5">
        <v>7631380</v>
      </c>
      <c r="C235" s="4" t="s">
        <v>159</v>
      </c>
      <c r="D235" s="4" t="s">
        <v>97</v>
      </c>
      <c r="E235" s="4" t="s">
        <v>27</v>
      </c>
      <c r="F235" s="4" t="s">
        <v>2957</v>
      </c>
      <c r="G235" s="6">
        <v>4.7</v>
      </c>
      <c r="H235" s="7">
        <v>45667.930266203701</v>
      </c>
      <c r="I235" s="7" t="str">
        <f>TEXT(multilingual_mobile_app_reviews_2025[[#This Row],[Review_date]],"dd-mm-yyyy")</f>
        <v>10-01-2025</v>
      </c>
      <c r="J235" s="7" t="str">
        <f>TEXT(multilingual_mobile_app_reviews_2025[[#This Row],[Review_date]],"YYYY")</f>
        <v>2025</v>
      </c>
      <c r="K235" s="7" t="str">
        <f>TEXT(multilingual_mobile_app_reviews_2025[[#This Row],[Review_date]],"MMMM")</f>
        <v>January</v>
      </c>
      <c r="L235" s="4" t="b">
        <v>1</v>
      </c>
      <c r="M235" s="4" t="s">
        <v>33</v>
      </c>
      <c r="N235" s="5">
        <v>585</v>
      </c>
      <c r="O235" s="5">
        <v>25</v>
      </c>
      <c r="P235" s="4" t="s">
        <v>23</v>
      </c>
      <c r="Q235" s="8" t="s">
        <v>2963</v>
      </c>
      <c r="R235" s="4" t="s">
        <v>384</v>
      </c>
      <c r="S235" s="4"/>
      <c r="T235"/>
      <c r="U235" s="23"/>
    </row>
    <row r="236" spans="1:21" ht="15.6" x14ac:dyDescent="0.3">
      <c r="A236" s="4">
        <v>235</v>
      </c>
      <c r="B236" s="5">
        <v>5522534</v>
      </c>
      <c r="C236" s="4" t="s">
        <v>244</v>
      </c>
      <c r="D236" s="4" t="s">
        <v>47</v>
      </c>
      <c r="E236" s="4" t="s">
        <v>32</v>
      </c>
      <c r="F236" s="4" t="s">
        <v>2950</v>
      </c>
      <c r="G236" s="6">
        <v>1.8</v>
      </c>
      <c r="H236" s="7">
        <v>45810.158645833333</v>
      </c>
      <c r="I236" s="7" t="str">
        <f>TEXT(multilingual_mobile_app_reviews_2025[[#This Row],[Review_date]],"dd-mm-yyyy")</f>
        <v>02-06-2025</v>
      </c>
      <c r="J236" s="7" t="str">
        <f>TEXT(multilingual_mobile_app_reviews_2025[[#This Row],[Review_date]],"YYYY")</f>
        <v>2025</v>
      </c>
      <c r="K236" s="7" t="str">
        <f>TEXT(multilingual_mobile_app_reviews_2025[[#This Row],[Review_date]],"MMMM")</f>
        <v>June</v>
      </c>
      <c r="L236" s="4" t="b">
        <v>0</v>
      </c>
      <c r="M236" s="4" t="s">
        <v>98</v>
      </c>
      <c r="N236" s="5">
        <v>140</v>
      </c>
      <c r="O236" s="5">
        <v>71</v>
      </c>
      <c r="P236" s="4" t="s">
        <v>4</v>
      </c>
      <c r="Q236" s="8" t="s">
        <v>2963</v>
      </c>
      <c r="R236" s="4" t="s">
        <v>385</v>
      </c>
      <c r="S236" s="4"/>
      <c r="T236"/>
      <c r="U236" s="23"/>
    </row>
    <row r="237" spans="1:21" ht="15.6" x14ac:dyDescent="0.3">
      <c r="A237" s="4">
        <v>236</v>
      </c>
      <c r="B237" s="5">
        <v>5403930</v>
      </c>
      <c r="C237" s="4" t="s">
        <v>19</v>
      </c>
      <c r="D237" s="4" t="s">
        <v>8</v>
      </c>
      <c r="E237" s="4" t="s">
        <v>76</v>
      </c>
      <c r="F237" s="4" t="s">
        <v>2945</v>
      </c>
      <c r="G237" s="6">
        <v>3</v>
      </c>
      <c r="H237" s="7">
        <v>45256.130335648151</v>
      </c>
      <c r="I237" s="7" t="str">
        <f>TEXT(multilingual_mobile_app_reviews_2025[[#This Row],[Review_date]],"dd-mm-yyyy")</f>
        <v>26-11-2023</v>
      </c>
      <c r="J237" s="7" t="str">
        <f>TEXT(multilingual_mobile_app_reviews_2025[[#This Row],[Review_date]],"YYYY")</f>
        <v>2023</v>
      </c>
      <c r="K237" s="7" t="str">
        <f>TEXT(multilingual_mobile_app_reviews_2025[[#This Row],[Review_date]],"MMMM")</f>
        <v>November</v>
      </c>
      <c r="L237" s="4" t="b">
        <v>1</v>
      </c>
      <c r="M237" s="4" t="s">
        <v>33</v>
      </c>
      <c r="N237" s="5">
        <v>148</v>
      </c>
      <c r="O237" s="5">
        <v>45</v>
      </c>
      <c r="P237" s="4" t="s">
        <v>114</v>
      </c>
      <c r="Q237" s="8" t="s">
        <v>39</v>
      </c>
      <c r="R237" s="4" t="s">
        <v>386</v>
      </c>
      <c r="S237" s="4"/>
      <c r="T237"/>
      <c r="U237" s="23"/>
    </row>
    <row r="238" spans="1:21" ht="15.6" x14ac:dyDescent="0.3">
      <c r="A238" s="4">
        <v>237</v>
      </c>
      <c r="B238" s="5">
        <v>1245653</v>
      </c>
      <c r="C238" s="4" t="s">
        <v>25</v>
      </c>
      <c r="D238" s="4" t="s">
        <v>111</v>
      </c>
      <c r="E238" s="4" t="s">
        <v>387</v>
      </c>
      <c r="F238" s="4" t="s">
        <v>2946</v>
      </c>
      <c r="G238" s="6">
        <v>3.7</v>
      </c>
      <c r="H238" s="7">
        <v>45209.013622685183</v>
      </c>
      <c r="I238" s="7" t="str">
        <f>TEXT(multilingual_mobile_app_reviews_2025[[#This Row],[Review_date]],"dd-mm-yyyy")</f>
        <v>10-10-2023</v>
      </c>
      <c r="J238" s="7" t="str">
        <f>TEXT(multilingual_mobile_app_reviews_2025[[#This Row],[Review_date]],"YYYY")</f>
        <v>2023</v>
      </c>
      <c r="K238" s="7" t="str">
        <f>TEXT(multilingual_mobile_app_reviews_2025[[#This Row],[Review_date]],"MMMM")</f>
        <v>October</v>
      </c>
      <c r="L238" s="4" t="b">
        <v>0</v>
      </c>
      <c r="M238" s="4" t="s">
        <v>33</v>
      </c>
      <c r="N238" s="5">
        <v>56</v>
      </c>
      <c r="O238" s="5">
        <v>43</v>
      </c>
      <c r="P238" s="4" t="s">
        <v>80</v>
      </c>
      <c r="Q238" s="8" t="s">
        <v>39</v>
      </c>
      <c r="R238" s="4" t="s">
        <v>388</v>
      </c>
      <c r="S238" s="4"/>
      <c r="T238"/>
      <c r="U238" s="23"/>
    </row>
    <row r="239" spans="1:21" ht="15.6" x14ac:dyDescent="0.3">
      <c r="A239" s="4">
        <v>238</v>
      </c>
      <c r="B239" s="5">
        <v>8607186</v>
      </c>
      <c r="C239" s="4" t="s">
        <v>208</v>
      </c>
      <c r="D239" s="4" t="s">
        <v>157</v>
      </c>
      <c r="E239" s="4" t="s">
        <v>16</v>
      </c>
      <c r="F239" s="4" t="s">
        <v>2960</v>
      </c>
      <c r="G239" s="6">
        <v>3.7</v>
      </c>
      <c r="H239" s="7">
        <v>45437.51462962963</v>
      </c>
      <c r="I239" s="7" t="str">
        <f>TEXT(multilingual_mobile_app_reviews_2025[[#This Row],[Review_date]],"dd-mm-yyyy")</f>
        <v>25-05-2024</v>
      </c>
      <c r="J239" s="7" t="str">
        <f>TEXT(multilingual_mobile_app_reviews_2025[[#This Row],[Review_date]],"YYYY")</f>
        <v>2024</v>
      </c>
      <c r="K239" s="7" t="str">
        <f>TEXT(multilingual_mobile_app_reviews_2025[[#This Row],[Review_date]],"MMMM")</f>
        <v>May</v>
      </c>
      <c r="L239" s="4" t="b">
        <v>1</v>
      </c>
      <c r="M239" s="4" t="s">
        <v>10</v>
      </c>
      <c r="N239" s="5">
        <v>155</v>
      </c>
      <c r="O239" s="5">
        <v>48</v>
      </c>
      <c r="P239" s="4" t="s">
        <v>65</v>
      </c>
      <c r="Q239" s="8" t="s">
        <v>29</v>
      </c>
      <c r="R239" s="4" t="s">
        <v>389</v>
      </c>
      <c r="S239" s="4"/>
      <c r="T239"/>
      <c r="U239" s="23"/>
    </row>
    <row r="240" spans="1:21" ht="15.6" x14ac:dyDescent="0.3">
      <c r="A240" s="4">
        <v>239</v>
      </c>
      <c r="B240" s="5">
        <v>9836311</v>
      </c>
      <c r="C240" s="4" t="s">
        <v>89</v>
      </c>
      <c r="D240" s="4" t="s">
        <v>60</v>
      </c>
      <c r="E240" s="4" t="s">
        <v>27</v>
      </c>
      <c r="F240" s="4" t="s">
        <v>2953</v>
      </c>
      <c r="G240" s="6">
        <v>4.3</v>
      </c>
      <c r="H240" s="7">
        <v>45569.428506944445</v>
      </c>
      <c r="I240" s="7" t="str">
        <f>TEXT(multilingual_mobile_app_reviews_2025[[#This Row],[Review_date]],"dd-mm-yyyy")</f>
        <v>04-10-2024</v>
      </c>
      <c r="J240" s="7" t="str">
        <f>TEXT(multilingual_mobile_app_reviews_2025[[#This Row],[Review_date]],"YYYY")</f>
        <v>2024</v>
      </c>
      <c r="K240" s="7" t="str">
        <f>TEXT(multilingual_mobile_app_reviews_2025[[#This Row],[Review_date]],"MMMM")</f>
        <v>October</v>
      </c>
      <c r="L240" s="4" t="b">
        <v>0</v>
      </c>
      <c r="M240" s="4" t="s">
        <v>10</v>
      </c>
      <c r="N240" s="5">
        <v>319</v>
      </c>
      <c r="O240" s="5">
        <v>62</v>
      </c>
      <c r="P240" s="4" t="s">
        <v>80</v>
      </c>
      <c r="Q240" s="8" t="s">
        <v>12</v>
      </c>
      <c r="R240" s="4" t="s">
        <v>390</v>
      </c>
      <c r="S240" s="4"/>
      <c r="T240"/>
      <c r="U240" s="23"/>
    </row>
    <row r="241" spans="1:21" ht="15.6" x14ac:dyDescent="0.3">
      <c r="A241" s="4">
        <v>240</v>
      </c>
      <c r="B241" s="5">
        <v>788246</v>
      </c>
      <c r="C241" s="4" t="s">
        <v>56</v>
      </c>
      <c r="D241" s="4" t="s">
        <v>63</v>
      </c>
      <c r="E241" s="4" t="s">
        <v>391</v>
      </c>
      <c r="F241" s="4" t="s">
        <v>2947</v>
      </c>
      <c r="G241" s="6">
        <v>1.7</v>
      </c>
      <c r="H241" s="7">
        <v>45545.934340277781</v>
      </c>
      <c r="I241" s="7" t="str">
        <f>TEXT(multilingual_mobile_app_reviews_2025[[#This Row],[Review_date]],"dd-mm-yyyy")</f>
        <v>10-09-2024</v>
      </c>
      <c r="J241" s="7" t="str">
        <f>TEXT(multilingual_mobile_app_reviews_2025[[#This Row],[Review_date]],"YYYY")</f>
        <v>2024</v>
      </c>
      <c r="K241" s="7" t="str">
        <f>TEXT(multilingual_mobile_app_reviews_2025[[#This Row],[Review_date]],"MMMM")</f>
        <v>September</v>
      </c>
      <c r="L241" s="4" t="b">
        <v>1</v>
      </c>
      <c r="M241" s="4" t="s">
        <v>33</v>
      </c>
      <c r="N241" s="5">
        <v>573</v>
      </c>
      <c r="O241" s="5">
        <v>38</v>
      </c>
      <c r="P241" s="4" t="s">
        <v>17</v>
      </c>
      <c r="Q241" s="8" t="s">
        <v>2963</v>
      </c>
      <c r="R241" s="4" t="s">
        <v>392</v>
      </c>
      <c r="S241" s="4"/>
      <c r="T241"/>
      <c r="U241" s="23"/>
    </row>
    <row r="242" spans="1:21" ht="15.6" x14ac:dyDescent="0.3">
      <c r="A242" s="4">
        <v>241</v>
      </c>
      <c r="B242" s="5">
        <v>2763319</v>
      </c>
      <c r="C242" s="4" t="s">
        <v>84</v>
      </c>
      <c r="D242" s="4" t="s">
        <v>15</v>
      </c>
      <c r="E242" s="4" t="s">
        <v>109</v>
      </c>
      <c r="F242" s="4" t="s">
        <v>2939</v>
      </c>
      <c r="G242" s="6">
        <v>3.7</v>
      </c>
      <c r="H242" s="7">
        <v>45421.52615740741</v>
      </c>
      <c r="I242" s="7" t="str">
        <f>TEXT(multilingual_mobile_app_reviews_2025[[#This Row],[Review_date]],"dd-mm-yyyy")</f>
        <v>09-05-2024</v>
      </c>
      <c r="J242" s="7" t="str">
        <f>TEXT(multilingual_mobile_app_reviews_2025[[#This Row],[Review_date]],"YYYY")</f>
        <v>2024</v>
      </c>
      <c r="K242" s="7" t="str">
        <f>TEXT(multilingual_mobile_app_reviews_2025[[#This Row],[Review_date]],"MMMM")</f>
        <v>May</v>
      </c>
      <c r="L242" s="4" t="b">
        <v>1</v>
      </c>
      <c r="M242" s="4" t="s">
        <v>3</v>
      </c>
      <c r="N242" s="5">
        <v>1189</v>
      </c>
      <c r="O242" s="5">
        <v>19</v>
      </c>
      <c r="P242" s="4" t="s">
        <v>73</v>
      </c>
      <c r="Q242" s="8" t="s">
        <v>39</v>
      </c>
      <c r="R242" s="4" t="s">
        <v>393</v>
      </c>
      <c r="S242" s="4"/>
      <c r="T242"/>
      <c r="U242" s="23"/>
    </row>
    <row r="243" spans="1:21" ht="15.6" x14ac:dyDescent="0.3">
      <c r="A243" s="4">
        <v>242</v>
      </c>
      <c r="B243" s="5">
        <v>4846166</v>
      </c>
      <c r="C243" s="4" t="s">
        <v>147</v>
      </c>
      <c r="D243" s="4" t="s">
        <v>26</v>
      </c>
      <c r="E243" s="4" t="s">
        <v>9</v>
      </c>
      <c r="F243" s="4" t="s">
        <v>2943</v>
      </c>
      <c r="G243" s="6">
        <v>4.4000000000000004</v>
      </c>
      <c r="H243" s="7">
        <v>45439.793599537035</v>
      </c>
      <c r="I243" s="7" t="str">
        <f>TEXT(multilingual_mobile_app_reviews_2025[[#This Row],[Review_date]],"dd-mm-yyyy")</f>
        <v>27-05-2024</v>
      </c>
      <c r="J243" s="7" t="str">
        <f>TEXT(multilingual_mobile_app_reviews_2025[[#This Row],[Review_date]],"YYYY")</f>
        <v>2024</v>
      </c>
      <c r="K243" s="7" t="str">
        <f>TEXT(multilingual_mobile_app_reviews_2025[[#This Row],[Review_date]],"MMMM")</f>
        <v>May</v>
      </c>
      <c r="L243" s="4" t="b">
        <v>1</v>
      </c>
      <c r="M243" s="4" t="s">
        <v>10</v>
      </c>
      <c r="N243" s="5">
        <v>923</v>
      </c>
      <c r="O243" s="5">
        <v>24</v>
      </c>
      <c r="P243" s="4" t="s">
        <v>28</v>
      </c>
      <c r="Q243" s="8" t="s">
        <v>5</v>
      </c>
      <c r="R243" s="4" t="s">
        <v>394</v>
      </c>
      <c r="S243" s="4"/>
      <c r="T243"/>
      <c r="U243" s="23"/>
    </row>
    <row r="244" spans="1:21" ht="15.6" x14ac:dyDescent="0.3">
      <c r="A244" s="4">
        <v>243</v>
      </c>
      <c r="B244" s="5">
        <v>5776858</v>
      </c>
      <c r="C244" s="4" t="s">
        <v>46</v>
      </c>
      <c r="D244" s="4" t="s">
        <v>157</v>
      </c>
      <c r="E244" s="4" t="s">
        <v>109</v>
      </c>
      <c r="F244" s="4" t="s">
        <v>2952</v>
      </c>
      <c r="G244" s="6">
        <v>2.7</v>
      </c>
      <c r="H244" s="7">
        <v>45666.193703703706</v>
      </c>
      <c r="I244" s="7" t="str">
        <f>TEXT(multilingual_mobile_app_reviews_2025[[#This Row],[Review_date]],"dd-mm-yyyy")</f>
        <v>09-01-2025</v>
      </c>
      <c r="J244" s="7" t="str">
        <f>TEXT(multilingual_mobile_app_reviews_2025[[#This Row],[Review_date]],"YYYY")</f>
        <v>2025</v>
      </c>
      <c r="K244" s="7" t="str">
        <f>TEXT(multilingual_mobile_app_reviews_2025[[#This Row],[Review_date]],"MMMM")</f>
        <v>January</v>
      </c>
      <c r="L244" s="4" t="b">
        <v>1</v>
      </c>
      <c r="M244" s="4" t="s">
        <v>22</v>
      </c>
      <c r="N244" s="5">
        <v>1058</v>
      </c>
      <c r="O244" s="5">
        <v>47</v>
      </c>
      <c r="P244" s="4" t="s">
        <v>44</v>
      </c>
      <c r="Q244" s="8" t="s">
        <v>39</v>
      </c>
      <c r="R244" s="4" t="s">
        <v>363</v>
      </c>
      <c r="S244" s="4"/>
      <c r="T244"/>
      <c r="U244" s="23"/>
    </row>
    <row r="245" spans="1:21" ht="15.6" x14ac:dyDescent="0.3">
      <c r="A245" s="4">
        <v>244</v>
      </c>
      <c r="B245" s="5">
        <v>978547</v>
      </c>
      <c r="C245" s="4" t="s">
        <v>176</v>
      </c>
      <c r="D245" s="4" t="s">
        <v>63</v>
      </c>
      <c r="E245" s="4" t="s">
        <v>395</v>
      </c>
      <c r="F245" s="4" t="s">
        <v>2943</v>
      </c>
      <c r="G245" s="6">
        <v>3.2</v>
      </c>
      <c r="H245" s="7">
        <v>45648.451018518521</v>
      </c>
      <c r="I245" s="7" t="str">
        <f>TEXT(multilingual_mobile_app_reviews_2025[[#This Row],[Review_date]],"dd-mm-yyyy")</f>
        <v>22-12-2024</v>
      </c>
      <c r="J245" s="7" t="str">
        <f>TEXT(multilingual_mobile_app_reviews_2025[[#This Row],[Review_date]],"YYYY")</f>
        <v>2024</v>
      </c>
      <c r="K245" s="7" t="str">
        <f>TEXT(multilingual_mobile_app_reviews_2025[[#This Row],[Review_date]],"MMMM")</f>
        <v>December</v>
      </c>
      <c r="L245" s="4" t="b">
        <v>0</v>
      </c>
      <c r="M245" s="4" t="s">
        <v>10</v>
      </c>
      <c r="N245" s="5">
        <v>704</v>
      </c>
      <c r="O245" s="5">
        <v>14</v>
      </c>
      <c r="P245" s="4" t="s">
        <v>90</v>
      </c>
      <c r="Q245" s="8" t="s">
        <v>12</v>
      </c>
      <c r="R245" s="4" t="s">
        <v>396</v>
      </c>
      <c r="S245" s="4"/>
      <c r="T245"/>
      <c r="U245" s="23"/>
    </row>
    <row r="246" spans="1:21" ht="15.6" x14ac:dyDescent="0.3">
      <c r="A246" s="4">
        <v>245</v>
      </c>
      <c r="B246" s="5">
        <v>6675963</v>
      </c>
      <c r="C246" s="4" t="s">
        <v>56</v>
      </c>
      <c r="D246" s="4" t="s">
        <v>47</v>
      </c>
      <c r="E246" s="4" t="s">
        <v>130</v>
      </c>
      <c r="F246" s="4" t="s">
        <v>2941</v>
      </c>
      <c r="G246" s="6">
        <v>2.5</v>
      </c>
      <c r="H246" s="7">
        <v>45239.037974537037</v>
      </c>
      <c r="I246" s="7" t="str">
        <f>TEXT(multilingual_mobile_app_reviews_2025[[#This Row],[Review_date]],"dd-mm-yyyy")</f>
        <v>09-11-2023</v>
      </c>
      <c r="J246" s="7" t="str">
        <f>TEXT(multilingual_mobile_app_reviews_2025[[#This Row],[Review_date]],"YYYY")</f>
        <v>2023</v>
      </c>
      <c r="K246" s="7" t="str">
        <f>TEXT(multilingual_mobile_app_reviews_2025[[#This Row],[Review_date]],"MMMM")</f>
        <v>November</v>
      </c>
      <c r="L246" s="4" t="b">
        <v>1</v>
      </c>
      <c r="M246" s="4" t="s">
        <v>10</v>
      </c>
      <c r="N246" s="5">
        <v>949</v>
      </c>
      <c r="O246" s="5">
        <v>53</v>
      </c>
      <c r="P246" s="4" t="s">
        <v>180</v>
      </c>
      <c r="Q246" s="8" t="s">
        <v>5</v>
      </c>
      <c r="R246" s="4" t="s">
        <v>397</v>
      </c>
      <c r="S246" s="4"/>
      <c r="T246"/>
      <c r="U246" s="23"/>
    </row>
    <row r="247" spans="1:21" ht="15.6" x14ac:dyDescent="0.3">
      <c r="A247" s="4">
        <v>246</v>
      </c>
      <c r="B247" s="5">
        <v>1521349</v>
      </c>
      <c r="C247" s="4" t="s">
        <v>264</v>
      </c>
      <c r="D247" s="4" t="s">
        <v>20</v>
      </c>
      <c r="E247" s="4" t="s">
        <v>21</v>
      </c>
      <c r="F247" s="4" t="s">
        <v>2955</v>
      </c>
      <c r="G247" s="6">
        <v>3.6</v>
      </c>
      <c r="H247" s="7">
        <v>45379.33761574074</v>
      </c>
      <c r="I247" s="7" t="str">
        <f>TEXT(multilingual_mobile_app_reviews_2025[[#This Row],[Review_date]],"dd-mm-yyyy")</f>
        <v>28-03-2024</v>
      </c>
      <c r="J247" s="7" t="str">
        <f>TEXT(multilingual_mobile_app_reviews_2025[[#This Row],[Review_date]],"YYYY")</f>
        <v>2024</v>
      </c>
      <c r="K247" s="7" t="str">
        <f>TEXT(multilingual_mobile_app_reviews_2025[[#This Row],[Review_date]],"MMMM")</f>
        <v>March</v>
      </c>
      <c r="L247" s="4" t="b">
        <v>1</v>
      </c>
      <c r="M247" s="4" t="s">
        <v>10</v>
      </c>
      <c r="N247" s="5">
        <v>911</v>
      </c>
      <c r="O247" s="5">
        <v>62</v>
      </c>
      <c r="P247" s="4" t="s">
        <v>162</v>
      </c>
      <c r="Q247" s="8" t="s">
        <v>2963</v>
      </c>
      <c r="R247" s="4" t="s">
        <v>398</v>
      </c>
      <c r="S247" s="4"/>
      <c r="T247"/>
      <c r="U247" s="23"/>
    </row>
    <row r="248" spans="1:21" ht="15.6" x14ac:dyDescent="0.3">
      <c r="A248" s="4">
        <v>247</v>
      </c>
      <c r="B248" s="5">
        <v>6419630</v>
      </c>
      <c r="C248" s="4" t="s">
        <v>67</v>
      </c>
      <c r="D248" s="4" t="s">
        <v>111</v>
      </c>
      <c r="E248" s="4" t="s">
        <v>16</v>
      </c>
      <c r="F248" s="4" t="s">
        <v>2947</v>
      </c>
      <c r="G248" s="6">
        <v>3.2</v>
      </c>
      <c r="H248" s="7">
        <v>45638.694247685184</v>
      </c>
      <c r="I248" s="7" t="str">
        <f>TEXT(multilingual_mobile_app_reviews_2025[[#This Row],[Review_date]],"dd-mm-yyyy")</f>
        <v>12-12-2024</v>
      </c>
      <c r="J248" s="7" t="str">
        <f>TEXT(multilingual_mobile_app_reviews_2025[[#This Row],[Review_date]],"YYYY")</f>
        <v>2024</v>
      </c>
      <c r="K248" s="7" t="str">
        <f>TEXT(multilingual_mobile_app_reviews_2025[[#This Row],[Review_date]],"MMMM")</f>
        <v>December</v>
      </c>
      <c r="L248" s="4" t="b">
        <v>1</v>
      </c>
      <c r="M248" s="4" t="s">
        <v>98</v>
      </c>
      <c r="N248" s="5">
        <v>813</v>
      </c>
      <c r="O248" s="5">
        <v>46</v>
      </c>
      <c r="P248" s="4" t="s">
        <v>4</v>
      </c>
      <c r="Q248" s="8" t="s">
        <v>12</v>
      </c>
      <c r="R248" s="4" t="s">
        <v>399</v>
      </c>
      <c r="S248" s="4"/>
      <c r="T248"/>
      <c r="U248" s="23"/>
    </row>
    <row r="249" spans="1:21" ht="15.6" x14ac:dyDescent="0.3">
      <c r="A249" s="4">
        <v>248</v>
      </c>
      <c r="B249" s="5">
        <v>2244023</v>
      </c>
      <c r="C249" s="4" t="s">
        <v>67</v>
      </c>
      <c r="D249" s="4" t="s">
        <v>71</v>
      </c>
      <c r="E249" s="4" t="s">
        <v>9</v>
      </c>
      <c r="F249" s="4" t="s">
        <v>2954</v>
      </c>
      <c r="G249" s="6">
        <v>4.5</v>
      </c>
      <c r="H249" s="7">
        <v>45659.373055555552</v>
      </c>
      <c r="I249" s="7" t="str">
        <f>TEXT(multilingual_mobile_app_reviews_2025[[#This Row],[Review_date]],"dd-mm-yyyy")</f>
        <v>02-01-2025</v>
      </c>
      <c r="J249" s="7" t="str">
        <f>TEXT(multilingual_mobile_app_reviews_2025[[#This Row],[Review_date]],"YYYY")</f>
        <v>2025</v>
      </c>
      <c r="K249" s="7" t="str">
        <f>TEXT(multilingual_mobile_app_reviews_2025[[#This Row],[Review_date]],"MMMM")</f>
        <v>January</v>
      </c>
      <c r="L249" s="4" t="b">
        <v>0</v>
      </c>
      <c r="M249" s="4" t="s">
        <v>3</v>
      </c>
      <c r="N249" s="5">
        <v>1107</v>
      </c>
      <c r="O249" s="5">
        <v>72</v>
      </c>
      <c r="P249" s="4" t="s">
        <v>230</v>
      </c>
      <c r="Q249" s="8" t="s">
        <v>2963</v>
      </c>
      <c r="R249" s="4" t="s">
        <v>400</v>
      </c>
      <c r="S249" s="4"/>
      <c r="T249"/>
      <c r="U249" s="23"/>
    </row>
    <row r="250" spans="1:21" ht="15.6" x14ac:dyDescent="0.3">
      <c r="A250" s="4">
        <v>249</v>
      </c>
      <c r="B250" s="5">
        <v>8931414</v>
      </c>
      <c r="C250" s="4" t="s">
        <v>0</v>
      </c>
      <c r="D250" s="4" t="s">
        <v>157</v>
      </c>
      <c r="E250" s="4" t="s">
        <v>2938</v>
      </c>
      <c r="F250" s="4" t="s">
        <v>2946</v>
      </c>
      <c r="G250" s="6">
        <v>2.2000000000000002</v>
      </c>
      <c r="H250" s="7">
        <v>45211.465324074074</v>
      </c>
      <c r="I250" s="7" t="str">
        <f>TEXT(multilingual_mobile_app_reviews_2025[[#This Row],[Review_date]],"dd-mm-yyyy")</f>
        <v>12-10-2023</v>
      </c>
      <c r="J250" s="7" t="str">
        <f>TEXT(multilingual_mobile_app_reviews_2025[[#This Row],[Review_date]],"YYYY")</f>
        <v>2023</v>
      </c>
      <c r="K250" s="7" t="str">
        <f>TEXT(multilingual_mobile_app_reviews_2025[[#This Row],[Review_date]],"MMMM")</f>
        <v>October</v>
      </c>
      <c r="L250" s="4" t="b">
        <v>0</v>
      </c>
      <c r="M250" s="4" t="s">
        <v>3</v>
      </c>
      <c r="N250" s="5">
        <v>532</v>
      </c>
      <c r="O250" s="5">
        <v>22</v>
      </c>
      <c r="P250" s="4" t="s">
        <v>114</v>
      </c>
      <c r="Q250" s="8" t="s">
        <v>12</v>
      </c>
      <c r="R250" s="4" t="s">
        <v>401</v>
      </c>
      <c r="S250" s="4"/>
      <c r="T250"/>
      <c r="U250" s="23"/>
    </row>
    <row r="251" spans="1:21" ht="15.6" x14ac:dyDescent="0.3">
      <c r="A251" s="4">
        <v>250</v>
      </c>
      <c r="B251" s="5">
        <v>7203580</v>
      </c>
      <c r="C251" s="4" t="s">
        <v>244</v>
      </c>
      <c r="D251" s="4" t="s">
        <v>60</v>
      </c>
      <c r="E251" s="4" t="s">
        <v>402</v>
      </c>
      <c r="F251" s="4" t="s">
        <v>2939</v>
      </c>
      <c r="G251" s="6">
        <v>3.2</v>
      </c>
      <c r="H251" s="7">
        <v>45245.728425925925</v>
      </c>
      <c r="I251" s="7" t="str">
        <f>TEXT(multilingual_mobile_app_reviews_2025[[#This Row],[Review_date]],"dd-mm-yyyy")</f>
        <v>15-11-2023</v>
      </c>
      <c r="J251" s="7" t="str">
        <f>TEXT(multilingual_mobile_app_reviews_2025[[#This Row],[Review_date]],"YYYY")</f>
        <v>2023</v>
      </c>
      <c r="K251" s="7" t="str">
        <f>TEXT(multilingual_mobile_app_reviews_2025[[#This Row],[Review_date]],"MMMM")</f>
        <v>November</v>
      </c>
      <c r="L251" s="4" t="b">
        <v>1</v>
      </c>
      <c r="M251" s="4" t="s">
        <v>22</v>
      </c>
      <c r="N251" s="5">
        <v>843</v>
      </c>
      <c r="O251" s="5">
        <v>69</v>
      </c>
      <c r="P251" s="4" t="s">
        <v>34</v>
      </c>
      <c r="Q251" s="8" t="s">
        <v>29</v>
      </c>
      <c r="R251" s="4" t="s">
        <v>403</v>
      </c>
      <c r="S251" s="4"/>
      <c r="T251"/>
      <c r="U251" s="23"/>
    </row>
    <row r="252" spans="1:21" ht="15.6" x14ac:dyDescent="0.3">
      <c r="A252" s="4">
        <v>251</v>
      </c>
      <c r="B252" s="5">
        <v>1394615</v>
      </c>
      <c r="C252" s="4" t="s">
        <v>87</v>
      </c>
      <c r="D252" s="4" t="s">
        <v>20</v>
      </c>
      <c r="E252" s="4" t="s">
        <v>64</v>
      </c>
      <c r="F252" s="4" t="s">
        <v>2944</v>
      </c>
      <c r="G252" s="6">
        <v>2.7</v>
      </c>
      <c r="H252" s="7">
        <v>45368.626770833333</v>
      </c>
      <c r="I252" s="7" t="str">
        <f>TEXT(multilingual_mobile_app_reviews_2025[[#This Row],[Review_date]],"dd-mm-yyyy")</f>
        <v>17-03-2024</v>
      </c>
      <c r="J252" s="7" t="str">
        <f>TEXT(multilingual_mobile_app_reviews_2025[[#This Row],[Review_date]],"YYYY")</f>
        <v>2024</v>
      </c>
      <c r="K252" s="7" t="str">
        <f>TEXT(multilingual_mobile_app_reviews_2025[[#This Row],[Review_date]],"MMMM")</f>
        <v>March</v>
      </c>
      <c r="L252" s="4" t="b">
        <v>1</v>
      </c>
      <c r="M252" s="4" t="s">
        <v>98</v>
      </c>
      <c r="N252" s="5">
        <v>373</v>
      </c>
      <c r="O252" s="5">
        <v>21</v>
      </c>
      <c r="P252" s="4" t="s">
        <v>114</v>
      </c>
      <c r="Q252" s="8" t="s">
        <v>12</v>
      </c>
      <c r="R252" s="4" t="s">
        <v>404</v>
      </c>
      <c r="S252" s="4"/>
      <c r="T252"/>
      <c r="U252" s="23"/>
    </row>
    <row r="253" spans="1:21" ht="15.6" x14ac:dyDescent="0.3">
      <c r="A253" s="4">
        <v>252</v>
      </c>
      <c r="B253" s="5">
        <v>8617619</v>
      </c>
      <c r="C253" s="4" t="s">
        <v>132</v>
      </c>
      <c r="D253" s="4" t="s">
        <v>31</v>
      </c>
      <c r="E253" s="4" t="s">
        <v>76</v>
      </c>
      <c r="F253" s="4" t="s">
        <v>2958</v>
      </c>
      <c r="G253" s="6">
        <v>2.8</v>
      </c>
      <c r="H253" s="7">
        <v>45737.634351851855</v>
      </c>
      <c r="I253" s="7" t="str">
        <f>TEXT(multilingual_mobile_app_reviews_2025[[#This Row],[Review_date]],"dd-mm-yyyy")</f>
        <v>21-03-2025</v>
      </c>
      <c r="J253" s="7" t="str">
        <f>TEXT(multilingual_mobile_app_reviews_2025[[#This Row],[Review_date]],"YYYY")</f>
        <v>2025</v>
      </c>
      <c r="K253" s="7" t="str">
        <f>TEXT(multilingual_mobile_app_reviews_2025[[#This Row],[Review_date]],"MMMM")</f>
        <v>March</v>
      </c>
      <c r="L253" s="4" t="b">
        <v>1</v>
      </c>
      <c r="M253" s="4" t="s">
        <v>98</v>
      </c>
      <c r="N253" s="5">
        <v>476</v>
      </c>
      <c r="O253" s="5">
        <v>18</v>
      </c>
      <c r="P253" s="4" t="s">
        <v>180</v>
      </c>
      <c r="Q253" s="8" t="s">
        <v>12</v>
      </c>
      <c r="R253" s="4" t="s">
        <v>405</v>
      </c>
      <c r="S253" s="4"/>
      <c r="T253"/>
      <c r="U253" s="23"/>
    </row>
    <row r="254" spans="1:21" ht="15.6" x14ac:dyDescent="0.3">
      <c r="A254" s="4">
        <v>253</v>
      </c>
      <c r="B254" s="5">
        <v>8933734</v>
      </c>
      <c r="C254" s="4" t="s">
        <v>69</v>
      </c>
      <c r="D254" s="4" t="s">
        <v>63</v>
      </c>
      <c r="E254" s="4" t="s">
        <v>32</v>
      </c>
      <c r="F254" s="4" t="s">
        <v>2941</v>
      </c>
      <c r="G254" s="6">
        <v>3.2</v>
      </c>
      <c r="H254" s="7">
        <v>45168.197604166664</v>
      </c>
      <c r="I254" s="7" t="str">
        <f>TEXT(multilingual_mobile_app_reviews_2025[[#This Row],[Review_date]],"dd-mm-yyyy")</f>
        <v>30-08-2023</v>
      </c>
      <c r="J254" s="7" t="str">
        <f>TEXT(multilingual_mobile_app_reviews_2025[[#This Row],[Review_date]],"YYYY")</f>
        <v>2023</v>
      </c>
      <c r="K254" s="7" t="str">
        <f>TEXT(multilingual_mobile_app_reviews_2025[[#This Row],[Review_date]],"MMMM")</f>
        <v>August</v>
      </c>
      <c r="L254" s="4" t="b">
        <v>0</v>
      </c>
      <c r="M254" s="4" t="s">
        <v>22</v>
      </c>
      <c r="N254" s="5">
        <v>393</v>
      </c>
      <c r="O254" s="5">
        <v>70</v>
      </c>
      <c r="P254" s="4" t="s">
        <v>230</v>
      </c>
      <c r="Q254" s="8" t="s">
        <v>29</v>
      </c>
      <c r="R254" s="4" t="s">
        <v>406</v>
      </c>
      <c r="S254" s="4"/>
      <c r="T254"/>
      <c r="U254" s="23"/>
    </row>
    <row r="255" spans="1:21" ht="15.6" x14ac:dyDescent="0.3">
      <c r="A255" s="4">
        <v>254</v>
      </c>
      <c r="B255" s="5">
        <v>5749968</v>
      </c>
      <c r="C255" s="4" t="s">
        <v>104</v>
      </c>
      <c r="D255" s="4" t="s">
        <v>8</v>
      </c>
      <c r="E255" s="4" t="s">
        <v>27</v>
      </c>
      <c r="F255" s="4" t="s">
        <v>2947</v>
      </c>
      <c r="G255" s="6">
        <v>2.6</v>
      </c>
      <c r="H255" s="7">
        <v>45819.592650462961</v>
      </c>
      <c r="I255" s="7" t="str">
        <f>TEXT(multilingual_mobile_app_reviews_2025[[#This Row],[Review_date]],"dd-mm-yyyy")</f>
        <v>11-06-2025</v>
      </c>
      <c r="J255" s="7" t="str">
        <f>TEXT(multilingual_mobile_app_reviews_2025[[#This Row],[Review_date]],"YYYY")</f>
        <v>2025</v>
      </c>
      <c r="K255" s="7" t="str">
        <f>TEXT(multilingual_mobile_app_reviews_2025[[#This Row],[Review_date]],"MMMM")</f>
        <v>June</v>
      </c>
      <c r="L255" s="4" t="b">
        <v>0</v>
      </c>
      <c r="M255" s="4" t="s">
        <v>10</v>
      </c>
      <c r="N255" s="5">
        <v>661</v>
      </c>
      <c r="O255" s="5">
        <v>23</v>
      </c>
      <c r="P255" s="4" t="s">
        <v>38</v>
      </c>
      <c r="Q255" s="8" t="s">
        <v>12</v>
      </c>
      <c r="R255" s="4" t="s">
        <v>407</v>
      </c>
      <c r="S255" s="4"/>
      <c r="T255"/>
      <c r="U255" s="23"/>
    </row>
    <row r="256" spans="1:21" ht="15.6" x14ac:dyDescent="0.3">
      <c r="A256" s="4">
        <v>255</v>
      </c>
      <c r="B256" s="5">
        <v>2298638</v>
      </c>
      <c r="C256" s="4" t="s">
        <v>258</v>
      </c>
      <c r="D256" s="4" t="s">
        <v>63</v>
      </c>
      <c r="E256" s="4" t="s">
        <v>76</v>
      </c>
      <c r="F256" s="4" t="s">
        <v>2944</v>
      </c>
      <c r="G256" s="6">
        <v>3.3</v>
      </c>
      <c r="H256" s="7">
        <v>45602.773287037038</v>
      </c>
      <c r="I256" s="7" t="str">
        <f>TEXT(multilingual_mobile_app_reviews_2025[[#This Row],[Review_date]],"dd-mm-yyyy")</f>
        <v>06-11-2024</v>
      </c>
      <c r="J256" s="7" t="str">
        <f>TEXT(multilingual_mobile_app_reviews_2025[[#This Row],[Review_date]],"YYYY")</f>
        <v>2024</v>
      </c>
      <c r="K256" s="7" t="str">
        <f>TEXT(multilingual_mobile_app_reviews_2025[[#This Row],[Review_date]],"MMMM")</f>
        <v>November</v>
      </c>
      <c r="L256" s="4" t="b">
        <v>1</v>
      </c>
      <c r="M256" s="4" t="s">
        <v>3</v>
      </c>
      <c r="N256" s="5">
        <v>497</v>
      </c>
      <c r="O256" s="5">
        <v>13</v>
      </c>
      <c r="P256" s="4" t="s">
        <v>23</v>
      </c>
      <c r="Q256" s="8" t="s">
        <v>2963</v>
      </c>
      <c r="R256" s="4" t="s">
        <v>408</v>
      </c>
      <c r="S256" s="4"/>
      <c r="T256"/>
      <c r="U256" s="23"/>
    </row>
    <row r="257" spans="1:21" ht="15.6" x14ac:dyDescent="0.3">
      <c r="A257" s="4">
        <v>256</v>
      </c>
      <c r="B257" s="5">
        <v>2687931</v>
      </c>
      <c r="C257" s="4" t="s">
        <v>176</v>
      </c>
      <c r="D257" s="4" t="s">
        <v>60</v>
      </c>
      <c r="E257" s="4" t="s">
        <v>76</v>
      </c>
      <c r="F257" s="4" t="s">
        <v>2958</v>
      </c>
      <c r="G257" s="6">
        <v>3.1</v>
      </c>
      <c r="H257" s="7">
        <v>45264.899398148147</v>
      </c>
      <c r="I257" s="7" t="str">
        <f>TEXT(multilingual_mobile_app_reviews_2025[[#This Row],[Review_date]],"dd-mm-yyyy")</f>
        <v>04-12-2023</v>
      </c>
      <c r="J257" s="7" t="str">
        <f>TEXT(multilingual_mobile_app_reviews_2025[[#This Row],[Review_date]],"YYYY")</f>
        <v>2023</v>
      </c>
      <c r="K257" s="7" t="str">
        <f>TEXT(multilingual_mobile_app_reviews_2025[[#This Row],[Review_date]],"MMMM")</f>
        <v>December</v>
      </c>
      <c r="L257" s="4" t="b">
        <v>1</v>
      </c>
      <c r="M257" s="4" t="s">
        <v>98</v>
      </c>
      <c r="N257" s="5">
        <v>257</v>
      </c>
      <c r="O257" s="5">
        <v>44</v>
      </c>
      <c r="P257" s="4" t="s">
        <v>17</v>
      </c>
      <c r="Q257" s="8" t="s">
        <v>39</v>
      </c>
      <c r="R257" s="4" t="s">
        <v>409</v>
      </c>
      <c r="S257" s="4"/>
      <c r="T257"/>
      <c r="U257" s="23"/>
    </row>
    <row r="258" spans="1:21" ht="15.6" x14ac:dyDescent="0.3">
      <c r="A258" s="4">
        <v>257</v>
      </c>
      <c r="B258" s="5">
        <v>2877286</v>
      </c>
      <c r="C258" s="4" t="s">
        <v>89</v>
      </c>
      <c r="D258" s="4" t="s">
        <v>42</v>
      </c>
      <c r="E258" s="4" t="s">
        <v>410</v>
      </c>
      <c r="F258" s="4" t="s">
        <v>2946</v>
      </c>
      <c r="G258" s="6">
        <v>3.2</v>
      </c>
      <c r="H258" s="7">
        <v>45761.234699074077</v>
      </c>
      <c r="I258" s="7" t="str">
        <f>TEXT(multilingual_mobile_app_reviews_2025[[#This Row],[Review_date]],"dd-mm-yyyy")</f>
        <v>14-04-2025</v>
      </c>
      <c r="J258" s="7" t="str">
        <f>TEXT(multilingual_mobile_app_reviews_2025[[#This Row],[Review_date]],"YYYY")</f>
        <v>2025</v>
      </c>
      <c r="K258" s="7" t="str">
        <f>TEXT(multilingual_mobile_app_reviews_2025[[#This Row],[Review_date]],"MMMM")</f>
        <v>April</v>
      </c>
      <c r="L258" s="4" t="b">
        <v>1</v>
      </c>
      <c r="M258" s="4" t="s">
        <v>33</v>
      </c>
      <c r="N258" s="5">
        <v>1003</v>
      </c>
      <c r="O258" s="5">
        <v>25</v>
      </c>
      <c r="P258" s="4" t="s">
        <v>28</v>
      </c>
      <c r="Q258" s="8" t="s">
        <v>5</v>
      </c>
      <c r="R258" s="4" t="s">
        <v>411</v>
      </c>
      <c r="S258" s="4"/>
      <c r="T258"/>
      <c r="U258" s="23"/>
    </row>
    <row r="259" spans="1:21" ht="15.6" x14ac:dyDescent="0.3">
      <c r="A259" s="4">
        <v>258</v>
      </c>
      <c r="B259" s="5">
        <v>2421942</v>
      </c>
      <c r="C259" s="4" t="s">
        <v>46</v>
      </c>
      <c r="D259" s="4" t="s">
        <v>47</v>
      </c>
      <c r="E259" s="4" t="s">
        <v>412</v>
      </c>
      <c r="F259" s="4" t="s">
        <v>2946</v>
      </c>
      <c r="G259" s="6">
        <v>1</v>
      </c>
      <c r="H259" s="7">
        <v>45846.088368055556</v>
      </c>
      <c r="I259" s="7" t="str">
        <f>TEXT(multilingual_mobile_app_reviews_2025[[#This Row],[Review_date]],"dd-mm-yyyy")</f>
        <v>08-07-2025</v>
      </c>
      <c r="J259" s="7" t="str">
        <f>TEXT(multilingual_mobile_app_reviews_2025[[#This Row],[Review_date]],"YYYY")</f>
        <v>2025</v>
      </c>
      <c r="K259" s="7" t="str">
        <f>TEXT(multilingual_mobile_app_reviews_2025[[#This Row],[Review_date]],"MMMM")</f>
        <v>July</v>
      </c>
      <c r="L259" s="4" t="b">
        <v>1</v>
      </c>
      <c r="M259" s="4" t="s">
        <v>33</v>
      </c>
      <c r="N259" s="5">
        <v>776</v>
      </c>
      <c r="O259" s="5">
        <v>59</v>
      </c>
      <c r="P259" s="4" t="s">
        <v>65</v>
      </c>
      <c r="Q259" s="8" t="s">
        <v>12</v>
      </c>
      <c r="R259" s="4" t="s">
        <v>413</v>
      </c>
      <c r="S259" s="4"/>
      <c r="T259"/>
      <c r="U259" s="23"/>
    </row>
    <row r="260" spans="1:21" ht="15.6" x14ac:dyDescent="0.3">
      <c r="A260" s="4">
        <v>259</v>
      </c>
      <c r="B260" s="5">
        <v>7668671</v>
      </c>
      <c r="C260" s="4" t="s">
        <v>56</v>
      </c>
      <c r="D260" s="4" t="s">
        <v>15</v>
      </c>
      <c r="E260" s="4" t="s">
        <v>21</v>
      </c>
      <c r="F260" s="4" t="s">
        <v>2954</v>
      </c>
      <c r="G260" s="6">
        <v>2.6</v>
      </c>
      <c r="H260" s="7">
        <v>45825.990520833337</v>
      </c>
      <c r="I260" s="7" t="str">
        <f>TEXT(multilingual_mobile_app_reviews_2025[[#This Row],[Review_date]],"dd-mm-yyyy")</f>
        <v>17-06-2025</v>
      </c>
      <c r="J260" s="7" t="str">
        <f>TEXT(multilingual_mobile_app_reviews_2025[[#This Row],[Review_date]],"YYYY")</f>
        <v>2025</v>
      </c>
      <c r="K260" s="7" t="str">
        <f>TEXT(multilingual_mobile_app_reviews_2025[[#This Row],[Review_date]],"MMMM")</f>
        <v>June</v>
      </c>
      <c r="L260" s="4" t="b">
        <v>1</v>
      </c>
      <c r="M260" s="4" t="s">
        <v>10</v>
      </c>
      <c r="N260" s="5">
        <v>226</v>
      </c>
      <c r="O260" s="5">
        <v>19</v>
      </c>
      <c r="P260" s="4" t="s">
        <v>85</v>
      </c>
      <c r="Q260" s="8" t="s">
        <v>2963</v>
      </c>
      <c r="R260" s="4" t="s">
        <v>414</v>
      </c>
      <c r="S260" s="4"/>
      <c r="T260"/>
      <c r="U260" s="23"/>
    </row>
    <row r="261" spans="1:21" ht="15.6" x14ac:dyDescent="0.3">
      <c r="A261" s="4">
        <v>260</v>
      </c>
      <c r="B261" s="5">
        <v>547451</v>
      </c>
      <c r="C261" s="4" t="s">
        <v>89</v>
      </c>
      <c r="D261" s="4" t="s">
        <v>1</v>
      </c>
      <c r="E261" s="4" t="s">
        <v>93</v>
      </c>
      <c r="F261" s="4" t="s">
        <v>2944</v>
      </c>
      <c r="G261" s="6">
        <v>1.2</v>
      </c>
      <c r="H261" s="7">
        <v>45461.13821759259</v>
      </c>
      <c r="I261" s="7" t="str">
        <f>TEXT(multilingual_mobile_app_reviews_2025[[#This Row],[Review_date]],"dd-mm-yyyy")</f>
        <v>18-06-2024</v>
      </c>
      <c r="J261" s="7" t="str">
        <f>TEXT(multilingual_mobile_app_reviews_2025[[#This Row],[Review_date]],"YYYY")</f>
        <v>2024</v>
      </c>
      <c r="K261" s="7" t="str">
        <f>TEXT(multilingual_mobile_app_reviews_2025[[#This Row],[Review_date]],"MMMM")</f>
        <v>June</v>
      </c>
      <c r="L261" s="4" t="b">
        <v>1</v>
      </c>
      <c r="M261" s="4" t="s">
        <v>22</v>
      </c>
      <c r="N261" s="5">
        <v>1240</v>
      </c>
      <c r="O261" s="5">
        <v>58</v>
      </c>
      <c r="P261" s="4" t="s">
        <v>4</v>
      </c>
      <c r="Q261" s="8" t="s">
        <v>12</v>
      </c>
      <c r="R261" s="4" t="s">
        <v>415</v>
      </c>
      <c r="S261" s="4"/>
      <c r="T261"/>
      <c r="U261" s="23"/>
    </row>
    <row r="262" spans="1:21" ht="15.6" x14ac:dyDescent="0.3">
      <c r="A262" s="4">
        <v>261</v>
      </c>
      <c r="B262" s="5">
        <v>6751393</v>
      </c>
      <c r="C262" s="4" t="s">
        <v>0</v>
      </c>
      <c r="D262" s="4" t="s">
        <v>63</v>
      </c>
      <c r="E262" s="4" t="s">
        <v>416</v>
      </c>
      <c r="F262" s="4" t="s">
        <v>2944</v>
      </c>
      <c r="G262" s="6">
        <v>3.1</v>
      </c>
      <c r="H262" s="7">
        <v>45548.81050925926</v>
      </c>
      <c r="I262" s="7" t="str">
        <f>TEXT(multilingual_mobile_app_reviews_2025[[#This Row],[Review_date]],"dd-mm-yyyy")</f>
        <v>13-09-2024</v>
      </c>
      <c r="J262" s="7" t="str">
        <f>TEXT(multilingual_mobile_app_reviews_2025[[#This Row],[Review_date]],"YYYY")</f>
        <v>2024</v>
      </c>
      <c r="K262" s="7" t="str">
        <f>TEXT(multilingual_mobile_app_reviews_2025[[#This Row],[Review_date]],"MMMM")</f>
        <v>September</v>
      </c>
      <c r="L262" s="4" t="b">
        <v>1</v>
      </c>
      <c r="M262" s="4" t="s">
        <v>98</v>
      </c>
      <c r="N262" s="5">
        <v>622</v>
      </c>
      <c r="O262" s="5">
        <v>17</v>
      </c>
      <c r="P262" s="4" t="s">
        <v>127</v>
      </c>
      <c r="Q262" s="8" t="s">
        <v>2963</v>
      </c>
      <c r="R262" s="4" t="s">
        <v>417</v>
      </c>
      <c r="S262" s="4"/>
      <c r="T262"/>
      <c r="U262" s="23"/>
    </row>
    <row r="263" spans="1:21" ht="15.6" x14ac:dyDescent="0.3">
      <c r="A263" s="4">
        <v>262</v>
      </c>
      <c r="B263" s="5">
        <v>1965405</v>
      </c>
      <c r="C263" s="4" t="s">
        <v>67</v>
      </c>
      <c r="D263" s="4" t="s">
        <v>47</v>
      </c>
      <c r="E263" s="4" t="s">
        <v>130</v>
      </c>
      <c r="F263" s="4" t="s">
        <v>2958</v>
      </c>
      <c r="G263" s="6">
        <v>3.7</v>
      </c>
      <c r="H263" s="7">
        <v>45741.749363425923</v>
      </c>
      <c r="I263" s="7" t="str">
        <f>TEXT(multilingual_mobile_app_reviews_2025[[#This Row],[Review_date]],"dd-mm-yyyy")</f>
        <v>25-03-2025</v>
      </c>
      <c r="J263" s="7" t="str">
        <f>TEXT(multilingual_mobile_app_reviews_2025[[#This Row],[Review_date]],"YYYY")</f>
        <v>2025</v>
      </c>
      <c r="K263" s="7" t="str">
        <f>TEXT(multilingual_mobile_app_reviews_2025[[#This Row],[Review_date]],"MMMM")</f>
        <v>March</v>
      </c>
      <c r="L263" s="4" t="b">
        <v>1</v>
      </c>
      <c r="M263" s="4" t="s">
        <v>98</v>
      </c>
      <c r="N263" s="5">
        <v>341</v>
      </c>
      <c r="O263" s="5">
        <v>63</v>
      </c>
      <c r="P263" s="4" t="s">
        <v>65</v>
      </c>
      <c r="Q263" s="8" t="s">
        <v>2963</v>
      </c>
      <c r="R263" s="4" t="s">
        <v>418</v>
      </c>
      <c r="S263" s="4"/>
      <c r="T263"/>
      <c r="U263" s="23"/>
    </row>
    <row r="264" spans="1:21" ht="15.6" x14ac:dyDescent="0.3">
      <c r="A264" s="4">
        <v>263</v>
      </c>
      <c r="B264" s="5">
        <v>4086941</v>
      </c>
      <c r="C264" s="4" t="s">
        <v>84</v>
      </c>
      <c r="D264" s="4" t="s">
        <v>26</v>
      </c>
      <c r="E264" s="4" t="s">
        <v>419</v>
      </c>
      <c r="F264" s="4" t="s">
        <v>2953</v>
      </c>
      <c r="G264" s="6">
        <v>3.3</v>
      </c>
      <c r="H264" s="7">
        <v>45547.480706018519</v>
      </c>
      <c r="I264" s="7" t="str">
        <f>TEXT(multilingual_mobile_app_reviews_2025[[#This Row],[Review_date]],"dd-mm-yyyy")</f>
        <v>12-09-2024</v>
      </c>
      <c r="J264" s="7" t="str">
        <f>TEXT(multilingual_mobile_app_reviews_2025[[#This Row],[Review_date]],"YYYY")</f>
        <v>2024</v>
      </c>
      <c r="K264" s="7" t="str">
        <f>TEXT(multilingual_mobile_app_reviews_2025[[#This Row],[Review_date]],"MMMM")</f>
        <v>September</v>
      </c>
      <c r="L264" s="4" t="b">
        <v>1</v>
      </c>
      <c r="M264" s="4" t="s">
        <v>22</v>
      </c>
      <c r="N264" s="5">
        <v>768</v>
      </c>
      <c r="O264" s="5">
        <v>62</v>
      </c>
      <c r="P264" s="4" t="s">
        <v>34</v>
      </c>
      <c r="Q264" s="8" t="s">
        <v>2963</v>
      </c>
      <c r="R264" s="4" t="s">
        <v>420</v>
      </c>
      <c r="S264" s="4"/>
      <c r="T264"/>
      <c r="U264" s="23"/>
    </row>
    <row r="265" spans="1:21" ht="15.6" x14ac:dyDescent="0.3">
      <c r="A265" s="4">
        <v>264</v>
      </c>
      <c r="B265" s="5">
        <v>8611546</v>
      </c>
      <c r="C265" s="4" t="s">
        <v>96</v>
      </c>
      <c r="D265" s="4" t="s">
        <v>42</v>
      </c>
      <c r="E265" s="4" t="s">
        <v>421</v>
      </c>
      <c r="F265" s="4" t="s">
        <v>2939</v>
      </c>
      <c r="G265" s="6">
        <v>4.0999999999999996</v>
      </c>
      <c r="H265" s="7">
        <v>45709.914872685185</v>
      </c>
      <c r="I265" s="7" t="str">
        <f>TEXT(multilingual_mobile_app_reviews_2025[[#This Row],[Review_date]],"dd-mm-yyyy")</f>
        <v>21-02-2025</v>
      </c>
      <c r="J265" s="7" t="str">
        <f>TEXT(multilingual_mobile_app_reviews_2025[[#This Row],[Review_date]],"YYYY")</f>
        <v>2025</v>
      </c>
      <c r="K265" s="7" t="str">
        <f>TEXT(multilingual_mobile_app_reviews_2025[[#This Row],[Review_date]],"MMMM")</f>
        <v>February</v>
      </c>
      <c r="L265" s="4" t="b">
        <v>0</v>
      </c>
      <c r="M265" s="4" t="s">
        <v>10</v>
      </c>
      <c r="N265" s="5">
        <v>1133</v>
      </c>
      <c r="O265" s="5">
        <v>45</v>
      </c>
      <c r="P265" s="4" t="s">
        <v>34</v>
      </c>
      <c r="Q265" s="8" t="s">
        <v>2963</v>
      </c>
      <c r="R265" s="4" t="s">
        <v>422</v>
      </c>
      <c r="S265" s="4"/>
      <c r="T265"/>
      <c r="U265" s="23"/>
    </row>
    <row r="266" spans="1:21" ht="15.6" x14ac:dyDescent="0.3">
      <c r="A266" s="4">
        <v>265</v>
      </c>
      <c r="B266" s="5">
        <v>5678736</v>
      </c>
      <c r="C266" s="4" t="s">
        <v>258</v>
      </c>
      <c r="D266" s="4" t="s">
        <v>8</v>
      </c>
      <c r="E266" s="4" t="s">
        <v>27</v>
      </c>
      <c r="F266" s="4" t="s">
        <v>2961</v>
      </c>
      <c r="G266" s="6">
        <v>1.3</v>
      </c>
      <c r="H266" s="7">
        <v>45242.500555555554</v>
      </c>
      <c r="I266" s="7" t="str">
        <f>TEXT(multilingual_mobile_app_reviews_2025[[#This Row],[Review_date]],"dd-mm-yyyy")</f>
        <v>12-11-2023</v>
      </c>
      <c r="J266" s="7" t="str">
        <f>TEXT(multilingual_mobile_app_reviews_2025[[#This Row],[Review_date]],"YYYY")</f>
        <v>2023</v>
      </c>
      <c r="K266" s="7" t="str">
        <f>TEXT(multilingual_mobile_app_reviews_2025[[#This Row],[Review_date]],"MMMM")</f>
        <v>November</v>
      </c>
      <c r="L266" s="4" t="b">
        <v>1</v>
      </c>
      <c r="M266" s="4" t="s">
        <v>10</v>
      </c>
      <c r="N266" s="5">
        <v>988</v>
      </c>
      <c r="O266" s="5">
        <v>24</v>
      </c>
      <c r="P266" s="4" t="s">
        <v>99</v>
      </c>
      <c r="Q266" s="8" t="s">
        <v>2963</v>
      </c>
      <c r="R266" s="4" t="s">
        <v>423</v>
      </c>
      <c r="S266" s="4"/>
      <c r="T266"/>
      <c r="U266" s="23"/>
    </row>
    <row r="267" spans="1:21" ht="15.6" x14ac:dyDescent="0.3">
      <c r="A267" s="4">
        <v>266</v>
      </c>
      <c r="B267" s="5">
        <v>6010597</v>
      </c>
      <c r="C267" s="4" t="s">
        <v>101</v>
      </c>
      <c r="D267" s="4" t="s">
        <v>20</v>
      </c>
      <c r="E267" s="4" t="s">
        <v>424</v>
      </c>
      <c r="F267" s="4" t="s">
        <v>2942</v>
      </c>
      <c r="G267" s="6">
        <v>4.5</v>
      </c>
      <c r="H267" s="7">
        <v>45172.903599537036</v>
      </c>
      <c r="I267" s="7" t="str">
        <f>TEXT(multilingual_mobile_app_reviews_2025[[#This Row],[Review_date]],"dd-mm-yyyy")</f>
        <v>03-09-2023</v>
      </c>
      <c r="J267" s="7" t="str">
        <f>TEXT(multilingual_mobile_app_reviews_2025[[#This Row],[Review_date]],"YYYY")</f>
        <v>2023</v>
      </c>
      <c r="K267" s="7" t="str">
        <f>TEXT(multilingual_mobile_app_reviews_2025[[#This Row],[Review_date]],"MMMM")</f>
        <v>September</v>
      </c>
      <c r="L267" s="4" t="b">
        <v>1</v>
      </c>
      <c r="M267" s="4" t="s">
        <v>22</v>
      </c>
      <c r="N267" s="5">
        <v>1233</v>
      </c>
      <c r="O267" s="5">
        <v>72</v>
      </c>
      <c r="P267" s="4" t="s">
        <v>118</v>
      </c>
      <c r="Q267" s="8" t="s">
        <v>29</v>
      </c>
      <c r="R267" s="4" t="s">
        <v>425</v>
      </c>
      <c r="S267" s="4"/>
      <c r="T267"/>
      <c r="U267" s="23"/>
    </row>
    <row r="268" spans="1:21" ht="15.6" x14ac:dyDescent="0.3">
      <c r="A268" s="4">
        <v>267</v>
      </c>
      <c r="B268" s="5">
        <v>803065</v>
      </c>
      <c r="C268" s="4" t="s">
        <v>154</v>
      </c>
      <c r="D268" s="4" t="s">
        <v>31</v>
      </c>
      <c r="E268" s="4" t="s">
        <v>27</v>
      </c>
      <c r="F268" s="4" t="s">
        <v>2945</v>
      </c>
      <c r="G268" s="6">
        <v>2.2000000000000002</v>
      </c>
      <c r="H268" s="7">
        <v>45384.008773148147</v>
      </c>
      <c r="I268" s="7" t="str">
        <f>TEXT(multilingual_mobile_app_reviews_2025[[#This Row],[Review_date]],"dd-mm-yyyy")</f>
        <v>02-04-2024</v>
      </c>
      <c r="J268" s="7" t="str">
        <f>TEXT(multilingual_mobile_app_reviews_2025[[#This Row],[Review_date]],"YYYY")</f>
        <v>2024</v>
      </c>
      <c r="K268" s="7" t="str">
        <f>TEXT(multilingual_mobile_app_reviews_2025[[#This Row],[Review_date]],"MMMM")</f>
        <v>April</v>
      </c>
      <c r="L268" s="4" t="b">
        <v>1</v>
      </c>
      <c r="M268" s="4" t="s">
        <v>3</v>
      </c>
      <c r="N268" s="5">
        <v>303</v>
      </c>
      <c r="O268" s="5">
        <v>21</v>
      </c>
      <c r="P268" s="4" t="s">
        <v>73</v>
      </c>
      <c r="Q268" s="8" t="s">
        <v>12</v>
      </c>
      <c r="R268" s="4" t="s">
        <v>426</v>
      </c>
      <c r="S268" s="4"/>
      <c r="T268"/>
      <c r="U268" s="23"/>
    </row>
    <row r="269" spans="1:21" ht="15.6" x14ac:dyDescent="0.3">
      <c r="A269" s="4">
        <v>268</v>
      </c>
      <c r="B269" s="5">
        <v>8746701</v>
      </c>
      <c r="C269" s="4" t="s">
        <v>165</v>
      </c>
      <c r="D269" s="4" t="s">
        <v>31</v>
      </c>
      <c r="E269" s="4" t="s">
        <v>93</v>
      </c>
      <c r="F269" s="4" t="s">
        <v>2959</v>
      </c>
      <c r="G269" s="6">
        <v>3.2</v>
      </c>
      <c r="H269" s="7">
        <v>45448.188020833331</v>
      </c>
      <c r="I269" s="7" t="str">
        <f>TEXT(multilingual_mobile_app_reviews_2025[[#This Row],[Review_date]],"dd-mm-yyyy")</f>
        <v>05-06-2024</v>
      </c>
      <c r="J269" s="7" t="str">
        <f>TEXT(multilingual_mobile_app_reviews_2025[[#This Row],[Review_date]],"YYYY")</f>
        <v>2024</v>
      </c>
      <c r="K269" s="7" t="str">
        <f>TEXT(multilingual_mobile_app_reviews_2025[[#This Row],[Review_date]],"MMMM")</f>
        <v>June</v>
      </c>
      <c r="L269" s="4" t="b">
        <v>1</v>
      </c>
      <c r="M269" s="4" t="s">
        <v>33</v>
      </c>
      <c r="N269" s="5">
        <v>504</v>
      </c>
      <c r="O269" s="5">
        <v>28</v>
      </c>
      <c r="P269" s="4" t="s">
        <v>4</v>
      </c>
      <c r="Q269" s="8" t="s">
        <v>39</v>
      </c>
      <c r="R269" s="4" t="s">
        <v>83</v>
      </c>
      <c r="S269" s="4"/>
      <c r="T269"/>
      <c r="U269" s="23"/>
    </row>
    <row r="270" spans="1:21" ht="15.6" x14ac:dyDescent="0.3">
      <c r="A270" s="4">
        <v>269</v>
      </c>
      <c r="B270" s="5">
        <v>8042330</v>
      </c>
      <c r="C270" s="4" t="s">
        <v>165</v>
      </c>
      <c r="D270" s="4" t="s">
        <v>79</v>
      </c>
      <c r="E270" s="4" t="s">
        <v>21</v>
      </c>
      <c r="F270" s="4" t="s">
        <v>2952</v>
      </c>
      <c r="G270" s="6">
        <v>5</v>
      </c>
      <c r="H270" s="7">
        <v>45335.632881944446</v>
      </c>
      <c r="I270" s="7" t="str">
        <f>TEXT(multilingual_mobile_app_reviews_2025[[#This Row],[Review_date]],"dd-mm-yyyy")</f>
        <v>13-02-2024</v>
      </c>
      <c r="J270" s="7" t="str">
        <f>TEXT(multilingual_mobile_app_reviews_2025[[#This Row],[Review_date]],"YYYY")</f>
        <v>2024</v>
      </c>
      <c r="K270" s="7" t="str">
        <f>TEXT(multilingual_mobile_app_reviews_2025[[#This Row],[Review_date]],"MMMM")</f>
        <v>February</v>
      </c>
      <c r="L270" s="4" t="b">
        <v>1</v>
      </c>
      <c r="M270" s="4" t="s">
        <v>33</v>
      </c>
      <c r="N270" s="5">
        <v>905</v>
      </c>
      <c r="O270" s="5">
        <v>52</v>
      </c>
      <c r="P270" s="4" t="s">
        <v>180</v>
      </c>
      <c r="Q270" s="8" t="s">
        <v>29</v>
      </c>
      <c r="R270" s="4" t="s">
        <v>427</v>
      </c>
      <c r="S270" s="4"/>
      <c r="T270"/>
      <c r="U270" s="23"/>
    </row>
    <row r="271" spans="1:21" ht="15.6" x14ac:dyDescent="0.3">
      <c r="A271" s="4">
        <v>270</v>
      </c>
      <c r="B271" s="5">
        <v>3306183</v>
      </c>
      <c r="C271" s="4" t="s">
        <v>106</v>
      </c>
      <c r="D271" s="4" t="s">
        <v>1</v>
      </c>
      <c r="E271" s="4" t="s">
        <v>16</v>
      </c>
      <c r="F271" s="4" t="s">
        <v>2962</v>
      </c>
      <c r="G271" s="6">
        <v>2.8</v>
      </c>
      <c r="H271" s="7">
        <v>45361.107164351852</v>
      </c>
      <c r="I271" s="7" t="str">
        <f>TEXT(multilingual_mobile_app_reviews_2025[[#This Row],[Review_date]],"dd-mm-yyyy")</f>
        <v>10-03-2024</v>
      </c>
      <c r="J271" s="7" t="str">
        <f>TEXT(multilingual_mobile_app_reviews_2025[[#This Row],[Review_date]],"YYYY")</f>
        <v>2024</v>
      </c>
      <c r="K271" s="7" t="str">
        <f>TEXT(multilingual_mobile_app_reviews_2025[[#This Row],[Review_date]],"MMMM")</f>
        <v>March</v>
      </c>
      <c r="L271" s="4" t="b">
        <v>1</v>
      </c>
      <c r="M271" s="4" t="s">
        <v>98</v>
      </c>
      <c r="N271" s="5">
        <v>679</v>
      </c>
      <c r="O271" s="5">
        <v>26</v>
      </c>
      <c r="P271" s="4" t="s">
        <v>44</v>
      </c>
      <c r="Q271" s="8" t="s">
        <v>2963</v>
      </c>
      <c r="R271" s="4" t="s">
        <v>428</v>
      </c>
      <c r="S271" s="4"/>
      <c r="T271"/>
      <c r="U271" s="23"/>
    </row>
    <row r="272" spans="1:21" ht="15.6" x14ac:dyDescent="0.3">
      <c r="A272" s="4">
        <v>271</v>
      </c>
      <c r="B272" s="5">
        <v>902018</v>
      </c>
      <c r="C272" s="4" t="s">
        <v>199</v>
      </c>
      <c r="D272" s="4" t="s">
        <v>42</v>
      </c>
      <c r="E272" s="4" t="s">
        <v>109</v>
      </c>
      <c r="F272" s="4" t="s">
        <v>2962</v>
      </c>
      <c r="G272" s="6">
        <v>1.8</v>
      </c>
      <c r="H272" s="7">
        <v>45811.363657407404</v>
      </c>
      <c r="I272" s="7" t="str">
        <f>TEXT(multilingual_mobile_app_reviews_2025[[#This Row],[Review_date]],"dd-mm-yyyy")</f>
        <v>03-06-2025</v>
      </c>
      <c r="J272" s="7" t="str">
        <f>TEXT(multilingual_mobile_app_reviews_2025[[#This Row],[Review_date]],"YYYY")</f>
        <v>2025</v>
      </c>
      <c r="K272" s="7" t="str">
        <f>TEXT(multilingual_mobile_app_reviews_2025[[#This Row],[Review_date]],"MMMM")</f>
        <v>June</v>
      </c>
      <c r="L272" s="4" t="b">
        <v>0</v>
      </c>
      <c r="M272" s="4" t="s">
        <v>33</v>
      </c>
      <c r="N272" s="5">
        <v>555</v>
      </c>
      <c r="O272" s="5">
        <v>16</v>
      </c>
      <c r="P272" s="4" t="s">
        <v>70</v>
      </c>
      <c r="Q272" s="8" t="s">
        <v>12</v>
      </c>
      <c r="R272" s="4" t="s">
        <v>429</v>
      </c>
      <c r="S272" s="4"/>
      <c r="T272"/>
      <c r="U272" s="23"/>
    </row>
    <row r="273" spans="1:21" ht="15.6" x14ac:dyDescent="0.3">
      <c r="A273" s="4">
        <v>272</v>
      </c>
      <c r="B273" s="5">
        <v>5668772</v>
      </c>
      <c r="C273" s="4" t="s">
        <v>134</v>
      </c>
      <c r="D273" s="4" t="s">
        <v>42</v>
      </c>
      <c r="E273" s="4" t="s">
        <v>430</v>
      </c>
      <c r="F273" s="4" t="s">
        <v>2947</v>
      </c>
      <c r="G273" s="6">
        <v>4.5</v>
      </c>
      <c r="H273" s="7">
        <v>45203.04451388889</v>
      </c>
      <c r="I273" s="7" t="str">
        <f>TEXT(multilingual_mobile_app_reviews_2025[[#This Row],[Review_date]],"dd-mm-yyyy")</f>
        <v>04-10-2023</v>
      </c>
      <c r="J273" s="7" t="str">
        <f>TEXT(multilingual_mobile_app_reviews_2025[[#This Row],[Review_date]],"YYYY")</f>
        <v>2023</v>
      </c>
      <c r="K273" s="7" t="str">
        <f>TEXT(multilingual_mobile_app_reviews_2025[[#This Row],[Review_date]],"MMMM")</f>
        <v>October</v>
      </c>
      <c r="L273" s="4" t="b">
        <v>0</v>
      </c>
      <c r="M273" s="4" t="s">
        <v>33</v>
      </c>
      <c r="N273" s="5">
        <v>180</v>
      </c>
      <c r="O273" s="5">
        <v>24</v>
      </c>
      <c r="P273" s="4" t="s">
        <v>127</v>
      </c>
      <c r="Q273" s="8" t="s">
        <v>2963</v>
      </c>
      <c r="R273" s="4" t="s">
        <v>431</v>
      </c>
      <c r="S273" s="4"/>
      <c r="T273"/>
      <c r="U273" s="23"/>
    </row>
    <row r="274" spans="1:21" ht="15.6" x14ac:dyDescent="0.3">
      <c r="A274" s="4">
        <v>273</v>
      </c>
      <c r="B274" s="5">
        <v>7221922</v>
      </c>
      <c r="C274" s="4" t="s">
        <v>123</v>
      </c>
      <c r="D274" s="4" t="s">
        <v>26</v>
      </c>
      <c r="E274" s="4" t="s">
        <v>9</v>
      </c>
      <c r="F274" s="4" t="s">
        <v>2943</v>
      </c>
      <c r="G274" s="6">
        <v>3.5</v>
      </c>
      <c r="H274" s="7">
        <v>45200.182673611111</v>
      </c>
      <c r="I274" s="7" t="str">
        <f>TEXT(multilingual_mobile_app_reviews_2025[[#This Row],[Review_date]],"dd-mm-yyyy")</f>
        <v>01-10-2023</v>
      </c>
      <c r="J274" s="7" t="str">
        <f>TEXT(multilingual_mobile_app_reviews_2025[[#This Row],[Review_date]],"YYYY")</f>
        <v>2023</v>
      </c>
      <c r="K274" s="7" t="str">
        <f>TEXT(multilingual_mobile_app_reviews_2025[[#This Row],[Review_date]],"MMMM")</f>
        <v>October</v>
      </c>
      <c r="L274" s="4" t="b">
        <v>1</v>
      </c>
      <c r="M274" s="4" t="s">
        <v>22</v>
      </c>
      <c r="N274" s="5">
        <v>1026</v>
      </c>
      <c r="O274" s="5">
        <v>30</v>
      </c>
      <c r="P274" s="4" t="s">
        <v>23</v>
      </c>
      <c r="Q274" s="8" t="s">
        <v>2963</v>
      </c>
      <c r="R274" s="4" t="s">
        <v>432</v>
      </c>
      <c r="S274" s="4"/>
      <c r="T274"/>
      <c r="U274" s="23"/>
    </row>
    <row r="275" spans="1:21" ht="15.6" x14ac:dyDescent="0.3">
      <c r="A275" s="4">
        <v>274</v>
      </c>
      <c r="B275" s="5">
        <v>3127557</v>
      </c>
      <c r="C275" s="4" t="s">
        <v>19</v>
      </c>
      <c r="D275" s="4" t="s">
        <v>8</v>
      </c>
      <c r="E275" s="4" t="s">
        <v>433</v>
      </c>
      <c r="F275" s="4" t="s">
        <v>2955</v>
      </c>
      <c r="G275" s="6">
        <v>4.5</v>
      </c>
      <c r="H275" s="7">
        <v>45666.592083333337</v>
      </c>
      <c r="I275" s="7" t="str">
        <f>TEXT(multilingual_mobile_app_reviews_2025[[#This Row],[Review_date]],"dd-mm-yyyy")</f>
        <v>09-01-2025</v>
      </c>
      <c r="J275" s="7" t="str">
        <f>TEXT(multilingual_mobile_app_reviews_2025[[#This Row],[Review_date]],"YYYY")</f>
        <v>2025</v>
      </c>
      <c r="K275" s="7" t="str">
        <f>TEXT(multilingual_mobile_app_reviews_2025[[#This Row],[Review_date]],"MMMM")</f>
        <v>January</v>
      </c>
      <c r="L275" s="4" t="b">
        <v>1</v>
      </c>
      <c r="M275" s="4" t="s">
        <v>22</v>
      </c>
      <c r="N275" s="5">
        <v>854</v>
      </c>
      <c r="O275" s="5">
        <v>28</v>
      </c>
      <c r="P275" s="4" t="s">
        <v>28</v>
      </c>
      <c r="Q275" s="8" t="s">
        <v>5</v>
      </c>
      <c r="R275" s="4" t="s">
        <v>434</v>
      </c>
      <c r="S275" s="4"/>
      <c r="T275"/>
      <c r="U275" s="23"/>
    </row>
    <row r="276" spans="1:21" ht="15.6" x14ac:dyDescent="0.3">
      <c r="A276" s="4">
        <v>275</v>
      </c>
      <c r="B276" s="5">
        <v>622452</v>
      </c>
      <c r="C276" s="4" t="s">
        <v>174</v>
      </c>
      <c r="D276" s="4" t="s">
        <v>51</v>
      </c>
      <c r="E276" s="4" t="s">
        <v>435</v>
      </c>
      <c r="F276" s="4" t="s">
        <v>2956</v>
      </c>
      <c r="G276" s="6">
        <v>4.7</v>
      </c>
      <c r="H276" s="7">
        <v>45322.181284722225</v>
      </c>
      <c r="I276" s="7" t="str">
        <f>TEXT(multilingual_mobile_app_reviews_2025[[#This Row],[Review_date]],"dd-mm-yyyy")</f>
        <v>31-01-2024</v>
      </c>
      <c r="J276" s="7" t="str">
        <f>TEXT(multilingual_mobile_app_reviews_2025[[#This Row],[Review_date]],"YYYY")</f>
        <v>2024</v>
      </c>
      <c r="K276" s="7" t="str">
        <f>TEXT(multilingual_mobile_app_reviews_2025[[#This Row],[Review_date]],"MMMM")</f>
        <v>January</v>
      </c>
      <c r="L276" s="4" t="b">
        <v>0</v>
      </c>
      <c r="M276" s="4" t="s">
        <v>22</v>
      </c>
      <c r="N276" s="5">
        <v>650</v>
      </c>
      <c r="O276" s="5">
        <v>17</v>
      </c>
      <c r="P276" s="4" t="s">
        <v>34</v>
      </c>
      <c r="Q276" s="8" t="s">
        <v>2963</v>
      </c>
      <c r="R276" s="4" t="s">
        <v>436</v>
      </c>
      <c r="S276" s="4"/>
      <c r="T276"/>
      <c r="U276" s="23"/>
    </row>
    <row r="277" spans="1:21" ht="15.6" x14ac:dyDescent="0.3">
      <c r="A277" s="4">
        <v>276</v>
      </c>
      <c r="B277" s="5">
        <v>6245971</v>
      </c>
      <c r="C277" s="4" t="s">
        <v>208</v>
      </c>
      <c r="D277" s="4" t="s">
        <v>157</v>
      </c>
      <c r="E277" s="4" t="s">
        <v>437</v>
      </c>
      <c r="F277" s="4" t="s">
        <v>2952</v>
      </c>
      <c r="G277" s="6">
        <v>1.1000000000000001</v>
      </c>
      <c r="H277" s="7">
        <v>45731.583495370367</v>
      </c>
      <c r="I277" s="7" t="str">
        <f>TEXT(multilingual_mobile_app_reviews_2025[[#This Row],[Review_date]],"dd-mm-yyyy")</f>
        <v>15-03-2025</v>
      </c>
      <c r="J277" s="7" t="str">
        <f>TEXT(multilingual_mobile_app_reviews_2025[[#This Row],[Review_date]],"YYYY")</f>
        <v>2025</v>
      </c>
      <c r="K277" s="7" t="str">
        <f>TEXT(multilingual_mobile_app_reviews_2025[[#This Row],[Review_date]],"MMMM")</f>
        <v>March</v>
      </c>
      <c r="L277" s="4" t="b">
        <v>1</v>
      </c>
      <c r="M277" s="4" t="s">
        <v>33</v>
      </c>
      <c r="N277" s="5">
        <v>546</v>
      </c>
      <c r="O277" s="5">
        <v>51</v>
      </c>
      <c r="P277" s="4" t="s">
        <v>28</v>
      </c>
      <c r="Q277" s="8" t="s">
        <v>2963</v>
      </c>
      <c r="R277" s="4" t="s">
        <v>438</v>
      </c>
      <c r="S277" s="4"/>
      <c r="T277"/>
      <c r="U277" s="23"/>
    </row>
    <row r="278" spans="1:21" ht="15.6" x14ac:dyDescent="0.3">
      <c r="A278" s="4">
        <v>277</v>
      </c>
      <c r="B278" s="5">
        <v>9728809</v>
      </c>
      <c r="C278" s="4" t="s">
        <v>54</v>
      </c>
      <c r="D278" s="4" t="s">
        <v>31</v>
      </c>
      <c r="E278" s="4" t="s">
        <v>439</v>
      </c>
      <c r="F278" s="4" t="s">
        <v>2951</v>
      </c>
      <c r="G278" s="6">
        <v>1.7</v>
      </c>
      <c r="H278" s="7">
        <v>45230.345925925925</v>
      </c>
      <c r="I278" s="7" t="str">
        <f>TEXT(multilingual_mobile_app_reviews_2025[[#This Row],[Review_date]],"dd-mm-yyyy")</f>
        <v>31-10-2023</v>
      </c>
      <c r="J278" s="7" t="str">
        <f>TEXT(multilingual_mobile_app_reviews_2025[[#This Row],[Review_date]],"YYYY")</f>
        <v>2023</v>
      </c>
      <c r="K278" s="7" t="str">
        <f>TEXT(multilingual_mobile_app_reviews_2025[[#This Row],[Review_date]],"MMMM")</f>
        <v>October</v>
      </c>
      <c r="L278" s="4" t="b">
        <v>1</v>
      </c>
      <c r="M278" s="4" t="s">
        <v>22</v>
      </c>
      <c r="N278" s="5">
        <v>66</v>
      </c>
      <c r="O278" s="5">
        <v>39</v>
      </c>
      <c r="P278" s="4" t="s">
        <v>118</v>
      </c>
      <c r="Q278" s="8" t="s">
        <v>39</v>
      </c>
      <c r="R278" s="4" t="s">
        <v>440</v>
      </c>
      <c r="S278" s="4"/>
      <c r="T278"/>
      <c r="U278" s="23"/>
    </row>
    <row r="279" spans="1:21" ht="15.6" x14ac:dyDescent="0.3">
      <c r="A279" s="4">
        <v>278</v>
      </c>
      <c r="B279" s="5">
        <v>4466937</v>
      </c>
      <c r="C279" s="4" t="s">
        <v>92</v>
      </c>
      <c r="D279" s="4" t="s">
        <v>57</v>
      </c>
      <c r="E279" s="4" t="s">
        <v>441</v>
      </c>
      <c r="F279" s="4" t="s">
        <v>2940</v>
      </c>
      <c r="G279" s="6">
        <v>3.4</v>
      </c>
      <c r="H279" s="7">
        <v>45795.614004629628</v>
      </c>
      <c r="I279" s="7" t="str">
        <f>TEXT(multilingual_mobile_app_reviews_2025[[#This Row],[Review_date]],"dd-mm-yyyy")</f>
        <v>18-05-2025</v>
      </c>
      <c r="J279" s="7" t="str">
        <f>TEXT(multilingual_mobile_app_reviews_2025[[#This Row],[Review_date]],"YYYY")</f>
        <v>2025</v>
      </c>
      <c r="K279" s="7" t="str">
        <f>TEXT(multilingual_mobile_app_reviews_2025[[#This Row],[Review_date]],"MMMM")</f>
        <v>May</v>
      </c>
      <c r="L279" s="4" t="b">
        <v>1</v>
      </c>
      <c r="M279" s="4" t="s">
        <v>3</v>
      </c>
      <c r="N279" s="5">
        <v>640</v>
      </c>
      <c r="O279" s="5">
        <v>38</v>
      </c>
      <c r="P279" s="4" t="s">
        <v>144</v>
      </c>
      <c r="Q279" s="8" t="s">
        <v>2963</v>
      </c>
      <c r="R279" s="4" t="s">
        <v>442</v>
      </c>
      <c r="S279" s="4"/>
      <c r="T279"/>
      <c r="U279" s="23"/>
    </row>
    <row r="280" spans="1:21" ht="15.6" x14ac:dyDescent="0.3">
      <c r="A280" s="4">
        <v>279</v>
      </c>
      <c r="B280" s="5">
        <v>5928829</v>
      </c>
      <c r="C280" s="4" t="s">
        <v>104</v>
      </c>
      <c r="D280" s="4" t="s">
        <v>57</v>
      </c>
      <c r="E280" s="4" t="s">
        <v>109</v>
      </c>
      <c r="F280" s="4" t="s">
        <v>2949</v>
      </c>
      <c r="G280" s="6">
        <v>2.5</v>
      </c>
      <c r="H280" s="7">
        <v>45689.994652777779</v>
      </c>
      <c r="I280" s="7" t="str">
        <f>TEXT(multilingual_mobile_app_reviews_2025[[#This Row],[Review_date]],"dd-mm-yyyy")</f>
        <v>01-02-2025</v>
      </c>
      <c r="J280" s="7" t="str">
        <f>TEXT(multilingual_mobile_app_reviews_2025[[#This Row],[Review_date]],"YYYY")</f>
        <v>2025</v>
      </c>
      <c r="K280" s="7" t="str">
        <f>TEXT(multilingual_mobile_app_reviews_2025[[#This Row],[Review_date]],"MMMM")</f>
        <v>February</v>
      </c>
      <c r="L280" s="4" t="b">
        <v>1</v>
      </c>
      <c r="M280" s="4" t="s">
        <v>98</v>
      </c>
      <c r="N280" s="5">
        <v>388</v>
      </c>
      <c r="O280" s="5">
        <v>31</v>
      </c>
      <c r="P280" s="4" t="s">
        <v>70</v>
      </c>
      <c r="Q280" s="8" t="s">
        <v>29</v>
      </c>
      <c r="R280" s="4" t="s">
        <v>443</v>
      </c>
      <c r="S280" s="4"/>
      <c r="T280"/>
      <c r="U280" s="23"/>
    </row>
    <row r="281" spans="1:21" ht="15.6" x14ac:dyDescent="0.3">
      <c r="A281" s="4">
        <v>280</v>
      </c>
      <c r="B281" s="5">
        <v>9327420</v>
      </c>
      <c r="C281" s="4" t="s">
        <v>75</v>
      </c>
      <c r="D281" s="4" t="s">
        <v>97</v>
      </c>
      <c r="E281" s="4" t="s">
        <v>444</v>
      </c>
      <c r="F281" s="4" t="s">
        <v>2950</v>
      </c>
      <c r="G281" s="6">
        <v>4.8</v>
      </c>
      <c r="H281" s="7">
        <v>45313.051874999997</v>
      </c>
      <c r="I281" s="7" t="str">
        <f>TEXT(multilingual_mobile_app_reviews_2025[[#This Row],[Review_date]],"dd-mm-yyyy")</f>
        <v>22-01-2024</v>
      </c>
      <c r="J281" s="7" t="str">
        <f>TEXT(multilingual_mobile_app_reviews_2025[[#This Row],[Review_date]],"YYYY")</f>
        <v>2024</v>
      </c>
      <c r="K281" s="7" t="str">
        <f>TEXT(multilingual_mobile_app_reviews_2025[[#This Row],[Review_date]],"MMMM")</f>
        <v>January</v>
      </c>
      <c r="L281" s="4" t="b">
        <v>1</v>
      </c>
      <c r="M281" s="4" t="s">
        <v>33</v>
      </c>
      <c r="N281" s="5">
        <v>277</v>
      </c>
      <c r="O281" s="5">
        <v>38</v>
      </c>
      <c r="P281" s="4" t="s">
        <v>90</v>
      </c>
      <c r="Q281" s="8" t="s">
        <v>39</v>
      </c>
      <c r="R281" s="4" t="s">
        <v>445</v>
      </c>
      <c r="S281" s="4"/>
      <c r="T281"/>
      <c r="U281" s="23"/>
    </row>
    <row r="282" spans="1:21" ht="15.6" x14ac:dyDescent="0.3">
      <c r="A282" s="4">
        <v>281</v>
      </c>
      <c r="B282" s="5">
        <v>3471891</v>
      </c>
      <c r="C282" s="4" t="s">
        <v>69</v>
      </c>
      <c r="D282" s="4" t="s">
        <v>20</v>
      </c>
      <c r="E282" s="4" t="s">
        <v>130</v>
      </c>
      <c r="F282" s="4" t="s">
        <v>2956</v>
      </c>
      <c r="G282" s="6">
        <v>2.5</v>
      </c>
      <c r="H282" s="7">
        <v>45754.093854166669</v>
      </c>
      <c r="I282" s="7" t="str">
        <f>TEXT(multilingual_mobile_app_reviews_2025[[#This Row],[Review_date]],"dd-mm-yyyy")</f>
        <v>07-04-2025</v>
      </c>
      <c r="J282" s="7" t="str">
        <f>TEXT(multilingual_mobile_app_reviews_2025[[#This Row],[Review_date]],"YYYY")</f>
        <v>2025</v>
      </c>
      <c r="K282" s="7" t="str">
        <f>TEXT(multilingual_mobile_app_reviews_2025[[#This Row],[Review_date]],"MMMM")</f>
        <v>April</v>
      </c>
      <c r="L282" s="4" t="b">
        <v>1</v>
      </c>
      <c r="M282" s="4" t="s">
        <v>33</v>
      </c>
      <c r="N282" s="5">
        <v>786</v>
      </c>
      <c r="O282" s="5">
        <v>59</v>
      </c>
      <c r="P282" s="4" t="s">
        <v>85</v>
      </c>
      <c r="Q282" s="8" t="s">
        <v>2963</v>
      </c>
      <c r="R282" s="4" t="s">
        <v>446</v>
      </c>
      <c r="S282" s="4"/>
      <c r="T282"/>
      <c r="U282" s="23"/>
    </row>
    <row r="283" spans="1:21" ht="15.6" x14ac:dyDescent="0.3">
      <c r="A283" s="4">
        <v>282</v>
      </c>
      <c r="B283" s="5">
        <v>4071774</v>
      </c>
      <c r="C283" s="4" t="s">
        <v>25</v>
      </c>
      <c r="D283" s="4" t="s">
        <v>31</v>
      </c>
      <c r="E283" s="4" t="s">
        <v>130</v>
      </c>
      <c r="F283" s="4" t="s">
        <v>2962</v>
      </c>
      <c r="G283" s="6">
        <v>3.5</v>
      </c>
      <c r="H283" s="7">
        <v>45752.779166666667</v>
      </c>
      <c r="I283" s="7" t="str">
        <f>TEXT(multilingual_mobile_app_reviews_2025[[#This Row],[Review_date]],"dd-mm-yyyy")</f>
        <v>05-04-2025</v>
      </c>
      <c r="J283" s="7" t="str">
        <f>TEXT(multilingual_mobile_app_reviews_2025[[#This Row],[Review_date]],"YYYY")</f>
        <v>2025</v>
      </c>
      <c r="K283" s="7" t="str">
        <f>TEXT(multilingual_mobile_app_reviews_2025[[#This Row],[Review_date]],"MMMM")</f>
        <v>April</v>
      </c>
      <c r="L283" s="4" t="b">
        <v>1</v>
      </c>
      <c r="M283" s="4" t="s">
        <v>98</v>
      </c>
      <c r="N283" s="5">
        <v>269</v>
      </c>
      <c r="O283" s="5">
        <v>74</v>
      </c>
      <c r="P283" s="4" t="s">
        <v>127</v>
      </c>
      <c r="Q283" s="8" t="s">
        <v>12</v>
      </c>
      <c r="R283" s="4" t="s">
        <v>447</v>
      </c>
      <c r="S283" s="4"/>
      <c r="T283"/>
      <c r="U283" s="23"/>
    </row>
    <row r="284" spans="1:21" ht="15.6" x14ac:dyDescent="0.3">
      <c r="A284" s="4">
        <v>283</v>
      </c>
      <c r="B284" s="5">
        <v>540972</v>
      </c>
      <c r="C284" s="4" t="s">
        <v>244</v>
      </c>
      <c r="D284" s="4" t="s">
        <v>60</v>
      </c>
      <c r="E284" s="4" t="s">
        <v>16</v>
      </c>
      <c r="F284" s="4" t="s">
        <v>2955</v>
      </c>
      <c r="G284" s="6">
        <v>3.4</v>
      </c>
      <c r="H284" s="7">
        <v>45419.194872685184</v>
      </c>
      <c r="I284" s="7" t="str">
        <f>TEXT(multilingual_mobile_app_reviews_2025[[#This Row],[Review_date]],"dd-mm-yyyy")</f>
        <v>07-05-2024</v>
      </c>
      <c r="J284" s="7" t="str">
        <f>TEXT(multilingual_mobile_app_reviews_2025[[#This Row],[Review_date]],"YYYY")</f>
        <v>2024</v>
      </c>
      <c r="K284" s="7" t="str">
        <f>TEXT(multilingual_mobile_app_reviews_2025[[#This Row],[Review_date]],"MMMM")</f>
        <v>May</v>
      </c>
      <c r="L284" s="4" t="b">
        <v>1</v>
      </c>
      <c r="M284" s="4" t="s">
        <v>22</v>
      </c>
      <c r="N284" s="5">
        <v>1120</v>
      </c>
      <c r="O284" s="5">
        <v>30</v>
      </c>
      <c r="P284" s="4" t="s">
        <v>144</v>
      </c>
      <c r="Q284" s="8" t="s">
        <v>2963</v>
      </c>
      <c r="R284" s="4" t="s">
        <v>448</v>
      </c>
      <c r="S284" s="4"/>
      <c r="T284"/>
      <c r="U284" s="23"/>
    </row>
    <row r="285" spans="1:21" ht="15.6" x14ac:dyDescent="0.3">
      <c r="A285" s="4">
        <v>284</v>
      </c>
      <c r="B285" s="5">
        <v>9701221</v>
      </c>
      <c r="C285" s="4" t="s">
        <v>199</v>
      </c>
      <c r="D285" s="4" t="s">
        <v>63</v>
      </c>
      <c r="E285" s="4" t="s">
        <v>449</v>
      </c>
      <c r="F285" s="4" t="s">
        <v>2945</v>
      </c>
      <c r="G285" s="6">
        <v>5</v>
      </c>
      <c r="H285" s="7">
        <v>45695.73704861111</v>
      </c>
      <c r="I285" s="7" t="str">
        <f>TEXT(multilingual_mobile_app_reviews_2025[[#This Row],[Review_date]],"dd-mm-yyyy")</f>
        <v>07-02-2025</v>
      </c>
      <c r="J285" s="7" t="str">
        <f>TEXT(multilingual_mobile_app_reviews_2025[[#This Row],[Review_date]],"YYYY")</f>
        <v>2025</v>
      </c>
      <c r="K285" s="7" t="str">
        <f>TEXT(multilingual_mobile_app_reviews_2025[[#This Row],[Review_date]],"MMMM")</f>
        <v>February</v>
      </c>
      <c r="L285" s="4" t="b">
        <v>0</v>
      </c>
      <c r="M285" s="4" t="s">
        <v>22</v>
      </c>
      <c r="N285" s="5">
        <v>582</v>
      </c>
      <c r="O285" s="5">
        <v>52</v>
      </c>
      <c r="P285" s="4" t="s">
        <v>94</v>
      </c>
      <c r="Q285" s="8" t="s">
        <v>2963</v>
      </c>
      <c r="R285" s="4" t="s">
        <v>450</v>
      </c>
      <c r="S285" s="4"/>
      <c r="T285"/>
      <c r="U285" s="23"/>
    </row>
    <row r="286" spans="1:21" ht="15.6" x14ac:dyDescent="0.3">
      <c r="A286" s="4">
        <v>285</v>
      </c>
      <c r="B286" s="5">
        <v>8130667</v>
      </c>
      <c r="C286" s="4" t="s">
        <v>78</v>
      </c>
      <c r="D286" s="4" t="s">
        <v>20</v>
      </c>
      <c r="E286" s="4" t="s">
        <v>451</v>
      </c>
      <c r="F286" s="4" t="s">
        <v>2949</v>
      </c>
      <c r="G286" s="6">
        <v>1.3</v>
      </c>
      <c r="H286" s="7">
        <v>45846.249386574076</v>
      </c>
      <c r="I286" s="7" t="str">
        <f>TEXT(multilingual_mobile_app_reviews_2025[[#This Row],[Review_date]],"dd-mm-yyyy")</f>
        <v>08-07-2025</v>
      </c>
      <c r="J286" s="7" t="str">
        <f>TEXT(multilingual_mobile_app_reviews_2025[[#This Row],[Review_date]],"YYYY")</f>
        <v>2025</v>
      </c>
      <c r="K286" s="7" t="str">
        <f>TEXT(multilingual_mobile_app_reviews_2025[[#This Row],[Review_date]],"MMMM")</f>
        <v>July</v>
      </c>
      <c r="L286" s="4" t="b">
        <v>1</v>
      </c>
      <c r="M286" s="4" t="s">
        <v>3</v>
      </c>
      <c r="N286" s="5">
        <v>275</v>
      </c>
      <c r="O286" s="5">
        <v>20</v>
      </c>
      <c r="P286" s="4" t="s">
        <v>61</v>
      </c>
      <c r="Q286" s="8" t="s">
        <v>39</v>
      </c>
      <c r="R286" s="4" t="s">
        <v>452</v>
      </c>
      <c r="S286" s="4"/>
      <c r="T286"/>
      <c r="U286" s="23"/>
    </row>
    <row r="287" spans="1:21" ht="15.6" x14ac:dyDescent="0.3">
      <c r="A287" s="4">
        <v>286</v>
      </c>
      <c r="B287" s="5">
        <v>2183077</v>
      </c>
      <c r="C287" s="4" t="s">
        <v>25</v>
      </c>
      <c r="D287" s="4" t="s">
        <v>97</v>
      </c>
      <c r="E287" s="4" t="s">
        <v>9</v>
      </c>
      <c r="F287" s="4" t="s">
        <v>2944</v>
      </c>
      <c r="G287" s="6">
        <v>3.1</v>
      </c>
      <c r="H287" s="7">
        <v>45541.300081018519</v>
      </c>
      <c r="I287" s="7" t="str">
        <f>TEXT(multilingual_mobile_app_reviews_2025[[#This Row],[Review_date]],"dd-mm-yyyy")</f>
        <v>06-09-2024</v>
      </c>
      <c r="J287" s="7" t="str">
        <f>TEXT(multilingual_mobile_app_reviews_2025[[#This Row],[Review_date]],"YYYY")</f>
        <v>2024</v>
      </c>
      <c r="K287" s="7" t="str">
        <f>TEXT(multilingual_mobile_app_reviews_2025[[#This Row],[Review_date]],"MMMM")</f>
        <v>September</v>
      </c>
      <c r="L287" s="4" t="b">
        <v>1</v>
      </c>
      <c r="M287" s="4" t="s">
        <v>33</v>
      </c>
      <c r="N287" s="5">
        <v>724</v>
      </c>
      <c r="O287" s="5">
        <v>72</v>
      </c>
      <c r="P287" s="4" t="s">
        <v>180</v>
      </c>
      <c r="Q287" s="8" t="s">
        <v>2963</v>
      </c>
      <c r="R287" s="4" t="s">
        <v>453</v>
      </c>
      <c r="S287" s="4"/>
      <c r="T287"/>
      <c r="U287" s="23"/>
    </row>
    <row r="288" spans="1:21" ht="15.6" x14ac:dyDescent="0.3">
      <c r="A288" s="4">
        <v>287</v>
      </c>
      <c r="B288" s="5">
        <v>5202363</v>
      </c>
      <c r="C288" s="4" t="s">
        <v>147</v>
      </c>
      <c r="D288" s="4" t="s">
        <v>8</v>
      </c>
      <c r="E288" s="4" t="s">
        <v>16</v>
      </c>
      <c r="F288" s="4" t="s">
        <v>2961</v>
      </c>
      <c r="G288" s="6">
        <v>4.4000000000000004</v>
      </c>
      <c r="H288" s="7">
        <v>45266.771192129629</v>
      </c>
      <c r="I288" s="7" t="str">
        <f>TEXT(multilingual_mobile_app_reviews_2025[[#This Row],[Review_date]],"dd-mm-yyyy")</f>
        <v>06-12-2023</v>
      </c>
      <c r="J288" s="7" t="str">
        <f>TEXT(multilingual_mobile_app_reviews_2025[[#This Row],[Review_date]],"YYYY")</f>
        <v>2023</v>
      </c>
      <c r="K288" s="7" t="str">
        <f>TEXT(multilingual_mobile_app_reviews_2025[[#This Row],[Review_date]],"MMMM")</f>
        <v>December</v>
      </c>
      <c r="L288" s="4" t="b">
        <v>1</v>
      </c>
      <c r="M288" s="4" t="s">
        <v>33</v>
      </c>
      <c r="N288" s="5">
        <v>849</v>
      </c>
      <c r="O288" s="5">
        <v>39</v>
      </c>
      <c r="P288" s="4" t="s">
        <v>23</v>
      </c>
      <c r="Q288" s="8" t="s">
        <v>39</v>
      </c>
      <c r="R288" s="4" t="s">
        <v>454</v>
      </c>
      <c r="S288" s="4"/>
      <c r="T288"/>
      <c r="U288" s="23"/>
    </row>
    <row r="289" spans="1:21" ht="15.6" x14ac:dyDescent="0.3">
      <c r="A289" s="4">
        <v>288</v>
      </c>
      <c r="B289" s="5">
        <v>5513349</v>
      </c>
      <c r="C289" s="4" t="s">
        <v>87</v>
      </c>
      <c r="D289" s="4" t="s">
        <v>20</v>
      </c>
      <c r="E289" s="4" t="s">
        <v>455</v>
      </c>
      <c r="F289" s="4" t="s">
        <v>2954</v>
      </c>
      <c r="G289" s="6">
        <v>2.4</v>
      </c>
      <c r="H289" s="7">
        <v>45576.653333333335</v>
      </c>
      <c r="I289" s="7" t="str">
        <f>TEXT(multilingual_mobile_app_reviews_2025[[#This Row],[Review_date]],"dd-mm-yyyy")</f>
        <v>11-10-2024</v>
      </c>
      <c r="J289" s="7" t="str">
        <f>TEXT(multilingual_mobile_app_reviews_2025[[#This Row],[Review_date]],"YYYY")</f>
        <v>2024</v>
      </c>
      <c r="K289" s="7" t="str">
        <f>TEXT(multilingual_mobile_app_reviews_2025[[#This Row],[Review_date]],"MMMM")</f>
        <v>October</v>
      </c>
      <c r="L289" s="4" t="b">
        <v>1</v>
      </c>
      <c r="M289" s="4" t="s">
        <v>33</v>
      </c>
      <c r="N289" s="5">
        <v>59</v>
      </c>
      <c r="O289" s="5">
        <v>66</v>
      </c>
      <c r="P289" s="4" t="s">
        <v>65</v>
      </c>
      <c r="Q289" s="8" t="s">
        <v>5</v>
      </c>
      <c r="R289" s="4" t="s">
        <v>456</v>
      </c>
      <c r="S289" s="4"/>
      <c r="T289"/>
      <c r="U289" s="23"/>
    </row>
    <row r="290" spans="1:21" ht="15.6" x14ac:dyDescent="0.3">
      <c r="A290" s="4">
        <v>289</v>
      </c>
      <c r="B290" s="5">
        <v>576028</v>
      </c>
      <c r="C290" s="4" t="s">
        <v>174</v>
      </c>
      <c r="D290" s="4" t="s">
        <v>60</v>
      </c>
      <c r="E290" s="4" t="s">
        <v>457</v>
      </c>
      <c r="F290" s="4" t="s">
        <v>2940</v>
      </c>
      <c r="G290" s="6">
        <v>4.3</v>
      </c>
      <c r="H290" s="7">
        <v>45610.085219907407</v>
      </c>
      <c r="I290" s="7" t="str">
        <f>TEXT(multilingual_mobile_app_reviews_2025[[#This Row],[Review_date]],"dd-mm-yyyy")</f>
        <v>14-11-2024</v>
      </c>
      <c r="J290" s="7" t="str">
        <f>TEXT(multilingual_mobile_app_reviews_2025[[#This Row],[Review_date]],"YYYY")</f>
        <v>2024</v>
      </c>
      <c r="K290" s="7" t="str">
        <f>TEXT(multilingual_mobile_app_reviews_2025[[#This Row],[Review_date]],"MMMM")</f>
        <v>November</v>
      </c>
      <c r="L290" s="4" t="b">
        <v>1</v>
      </c>
      <c r="M290" s="4" t="s">
        <v>10</v>
      </c>
      <c r="N290" s="5">
        <v>1157</v>
      </c>
      <c r="O290" s="5">
        <v>59</v>
      </c>
      <c r="P290" s="4" t="s">
        <v>94</v>
      </c>
      <c r="Q290" s="8" t="s">
        <v>39</v>
      </c>
      <c r="R290" s="4" t="s">
        <v>458</v>
      </c>
      <c r="S290" s="4"/>
      <c r="T290"/>
      <c r="U290" s="23"/>
    </row>
    <row r="291" spans="1:21" ht="15.6" x14ac:dyDescent="0.3">
      <c r="A291" s="4">
        <v>290</v>
      </c>
      <c r="B291" s="5">
        <v>5344264</v>
      </c>
      <c r="C291" s="4" t="s">
        <v>84</v>
      </c>
      <c r="D291" s="4" t="s">
        <v>20</v>
      </c>
      <c r="E291" s="4" t="s">
        <v>76</v>
      </c>
      <c r="F291" s="4" t="s">
        <v>2950</v>
      </c>
      <c r="G291" s="6">
        <v>3.4</v>
      </c>
      <c r="H291" s="7">
        <v>45808.013495370367</v>
      </c>
      <c r="I291" s="7" t="str">
        <f>TEXT(multilingual_mobile_app_reviews_2025[[#This Row],[Review_date]],"dd-mm-yyyy")</f>
        <v>31-05-2025</v>
      </c>
      <c r="J291" s="7" t="str">
        <f>TEXT(multilingual_mobile_app_reviews_2025[[#This Row],[Review_date]],"YYYY")</f>
        <v>2025</v>
      </c>
      <c r="K291" s="7" t="str">
        <f>TEXT(multilingual_mobile_app_reviews_2025[[#This Row],[Review_date]],"MMMM")</f>
        <v>May</v>
      </c>
      <c r="L291" s="4" t="b">
        <v>0</v>
      </c>
      <c r="M291" s="4" t="s">
        <v>22</v>
      </c>
      <c r="N291" s="5">
        <v>1218</v>
      </c>
      <c r="O291" s="5">
        <v>20</v>
      </c>
      <c r="P291" s="4" t="s">
        <v>114</v>
      </c>
      <c r="Q291" s="8" t="s">
        <v>39</v>
      </c>
      <c r="R291" s="4" t="s">
        <v>459</v>
      </c>
      <c r="S291" s="4"/>
      <c r="T291"/>
      <c r="U291" s="23"/>
    </row>
    <row r="292" spans="1:21" ht="15.6" x14ac:dyDescent="0.3">
      <c r="A292" s="4">
        <v>291</v>
      </c>
      <c r="B292" s="5">
        <v>5457240</v>
      </c>
      <c r="C292" s="4" t="s">
        <v>123</v>
      </c>
      <c r="D292" s="4" t="s">
        <v>220</v>
      </c>
      <c r="E292" s="4" t="s">
        <v>460</v>
      </c>
      <c r="F292" s="4" t="s">
        <v>2941</v>
      </c>
      <c r="G292" s="6">
        <v>2.8</v>
      </c>
      <c r="H292" s="7">
        <v>45346.629652777781</v>
      </c>
      <c r="I292" s="7" t="str">
        <f>TEXT(multilingual_mobile_app_reviews_2025[[#This Row],[Review_date]],"dd-mm-yyyy")</f>
        <v>24-02-2024</v>
      </c>
      <c r="J292" s="7" t="str">
        <f>TEXT(multilingual_mobile_app_reviews_2025[[#This Row],[Review_date]],"YYYY")</f>
        <v>2024</v>
      </c>
      <c r="K292" s="7" t="str">
        <f>TEXT(multilingual_mobile_app_reviews_2025[[#This Row],[Review_date]],"MMMM")</f>
        <v>February</v>
      </c>
      <c r="L292" s="4" t="b">
        <v>1</v>
      </c>
      <c r="M292" s="4" t="s">
        <v>98</v>
      </c>
      <c r="N292" s="5">
        <v>988</v>
      </c>
      <c r="O292" s="5">
        <v>70</v>
      </c>
      <c r="P292" s="4" t="s">
        <v>85</v>
      </c>
      <c r="Q292" s="8" t="s">
        <v>5</v>
      </c>
      <c r="R292" s="4" t="s">
        <v>461</v>
      </c>
      <c r="S292" s="4"/>
      <c r="T292"/>
      <c r="U292" s="23"/>
    </row>
    <row r="293" spans="1:21" ht="15.6" x14ac:dyDescent="0.3">
      <c r="A293" s="4">
        <v>292</v>
      </c>
      <c r="B293" s="5">
        <v>4259388</v>
      </c>
      <c r="C293" s="4" t="s">
        <v>199</v>
      </c>
      <c r="D293" s="4" t="s">
        <v>1</v>
      </c>
      <c r="E293" s="4" t="s">
        <v>462</v>
      </c>
      <c r="F293" s="4" t="s">
        <v>2958</v>
      </c>
      <c r="G293" s="6">
        <v>4.5</v>
      </c>
      <c r="H293" s="7">
        <v>45286.32675925926</v>
      </c>
      <c r="I293" s="7" t="str">
        <f>TEXT(multilingual_mobile_app_reviews_2025[[#This Row],[Review_date]],"dd-mm-yyyy")</f>
        <v>26-12-2023</v>
      </c>
      <c r="J293" s="7" t="str">
        <f>TEXT(multilingual_mobile_app_reviews_2025[[#This Row],[Review_date]],"YYYY")</f>
        <v>2023</v>
      </c>
      <c r="K293" s="7" t="str">
        <f>TEXT(multilingual_mobile_app_reviews_2025[[#This Row],[Review_date]],"MMMM")</f>
        <v>December</v>
      </c>
      <c r="L293" s="4" t="b">
        <v>0</v>
      </c>
      <c r="M293" s="4" t="s">
        <v>98</v>
      </c>
      <c r="N293" s="5">
        <v>8</v>
      </c>
      <c r="O293" s="5">
        <v>32</v>
      </c>
      <c r="P293" s="4" t="s">
        <v>23</v>
      </c>
      <c r="Q293" s="8" t="s">
        <v>2963</v>
      </c>
      <c r="R293" s="4" t="s">
        <v>272</v>
      </c>
      <c r="S293" s="4"/>
      <c r="T293"/>
      <c r="U293" s="23"/>
    </row>
    <row r="294" spans="1:21" ht="15.6" x14ac:dyDescent="0.3">
      <c r="A294" s="4">
        <v>293</v>
      </c>
      <c r="B294" s="5">
        <v>2773322</v>
      </c>
      <c r="C294" s="4" t="s">
        <v>123</v>
      </c>
      <c r="D294" s="4" t="s">
        <v>42</v>
      </c>
      <c r="E294" s="4" t="s">
        <v>21</v>
      </c>
      <c r="F294" s="4" t="s">
        <v>2944</v>
      </c>
      <c r="G294" s="6">
        <v>3.1</v>
      </c>
      <c r="H294" s="7">
        <v>45525.892546296294</v>
      </c>
      <c r="I294" s="7" t="str">
        <f>TEXT(multilingual_mobile_app_reviews_2025[[#This Row],[Review_date]],"dd-mm-yyyy")</f>
        <v>21-08-2024</v>
      </c>
      <c r="J294" s="7" t="str">
        <f>TEXT(multilingual_mobile_app_reviews_2025[[#This Row],[Review_date]],"YYYY")</f>
        <v>2024</v>
      </c>
      <c r="K294" s="7" t="str">
        <f>TEXT(multilingual_mobile_app_reviews_2025[[#This Row],[Review_date]],"MMMM")</f>
        <v>August</v>
      </c>
      <c r="L294" s="4" t="b">
        <v>1</v>
      </c>
      <c r="M294" s="4" t="s">
        <v>3</v>
      </c>
      <c r="N294" s="5">
        <v>240</v>
      </c>
      <c r="O294" s="5">
        <v>30</v>
      </c>
      <c r="P294" s="4" t="s">
        <v>180</v>
      </c>
      <c r="Q294" s="8" t="s">
        <v>5</v>
      </c>
      <c r="R294" s="4" t="s">
        <v>463</v>
      </c>
      <c r="S294" s="4"/>
      <c r="T294"/>
      <c r="U294" s="23"/>
    </row>
    <row r="295" spans="1:21" ht="15.6" x14ac:dyDescent="0.3">
      <c r="A295" s="4">
        <v>294</v>
      </c>
      <c r="B295" s="5">
        <v>7931858</v>
      </c>
      <c r="C295" s="4" t="s">
        <v>84</v>
      </c>
      <c r="D295" s="4" t="s">
        <v>51</v>
      </c>
      <c r="E295" s="4" t="s">
        <v>16</v>
      </c>
      <c r="F295" s="4" t="s">
        <v>2962</v>
      </c>
      <c r="G295" s="6">
        <v>3.5</v>
      </c>
      <c r="H295" s="7">
        <v>45526.276377314818</v>
      </c>
      <c r="I295" s="7" t="str">
        <f>TEXT(multilingual_mobile_app_reviews_2025[[#This Row],[Review_date]],"dd-mm-yyyy")</f>
        <v>22-08-2024</v>
      </c>
      <c r="J295" s="7" t="str">
        <f>TEXT(multilingual_mobile_app_reviews_2025[[#This Row],[Review_date]],"YYYY")</f>
        <v>2024</v>
      </c>
      <c r="K295" s="7" t="str">
        <f>TEXT(multilingual_mobile_app_reviews_2025[[#This Row],[Review_date]],"MMMM")</f>
        <v>August</v>
      </c>
      <c r="L295" s="4" t="b">
        <v>1</v>
      </c>
      <c r="M295" s="4" t="s">
        <v>10</v>
      </c>
      <c r="N295" s="5">
        <v>1107</v>
      </c>
      <c r="O295" s="5">
        <v>41</v>
      </c>
      <c r="P295" s="4" t="s">
        <v>23</v>
      </c>
      <c r="Q295" s="8" t="s">
        <v>5</v>
      </c>
      <c r="R295" s="4" t="s">
        <v>464</v>
      </c>
      <c r="S295" s="4"/>
      <c r="T295"/>
      <c r="U295" s="23"/>
    </row>
    <row r="296" spans="1:21" ht="15.6" x14ac:dyDescent="0.3">
      <c r="A296" s="4">
        <v>295</v>
      </c>
      <c r="B296" s="5">
        <v>8444488</v>
      </c>
      <c r="C296" s="4" t="s">
        <v>159</v>
      </c>
      <c r="D296" s="4" t="s">
        <v>47</v>
      </c>
      <c r="E296" s="4" t="s">
        <v>9</v>
      </c>
      <c r="F296" s="4" t="s">
        <v>2959</v>
      </c>
      <c r="G296" s="6">
        <v>3.9</v>
      </c>
      <c r="H296" s="7">
        <v>45156.879826388889</v>
      </c>
      <c r="I296" s="7" t="str">
        <f>TEXT(multilingual_mobile_app_reviews_2025[[#This Row],[Review_date]],"dd-mm-yyyy")</f>
        <v>18-08-2023</v>
      </c>
      <c r="J296" s="7" t="str">
        <f>TEXT(multilingual_mobile_app_reviews_2025[[#This Row],[Review_date]],"YYYY")</f>
        <v>2023</v>
      </c>
      <c r="K296" s="7" t="str">
        <f>TEXT(multilingual_mobile_app_reviews_2025[[#This Row],[Review_date]],"MMMM")</f>
        <v>August</v>
      </c>
      <c r="L296" s="4" t="b">
        <v>1</v>
      </c>
      <c r="M296" s="4" t="s">
        <v>33</v>
      </c>
      <c r="N296" s="5">
        <v>160</v>
      </c>
      <c r="O296" s="5">
        <v>75</v>
      </c>
      <c r="P296" s="4" t="s">
        <v>70</v>
      </c>
      <c r="Q296" s="8" t="s">
        <v>2963</v>
      </c>
      <c r="R296" s="4" t="s">
        <v>465</v>
      </c>
      <c r="S296" s="4"/>
      <c r="T296"/>
      <c r="U296" s="23"/>
    </row>
    <row r="297" spans="1:21" ht="15.6" x14ac:dyDescent="0.3">
      <c r="A297" s="4">
        <v>296</v>
      </c>
      <c r="B297" s="5">
        <v>6697509</v>
      </c>
      <c r="C297" s="4" t="s">
        <v>69</v>
      </c>
      <c r="D297" s="4" t="s">
        <v>60</v>
      </c>
      <c r="E297" s="4" t="s">
        <v>9</v>
      </c>
      <c r="F297" s="4" t="s">
        <v>2954</v>
      </c>
      <c r="G297" s="6">
        <v>2.8</v>
      </c>
      <c r="H297" s="7">
        <v>45531.468576388892</v>
      </c>
      <c r="I297" s="7" t="str">
        <f>TEXT(multilingual_mobile_app_reviews_2025[[#This Row],[Review_date]],"dd-mm-yyyy")</f>
        <v>27-08-2024</v>
      </c>
      <c r="J297" s="7" t="str">
        <f>TEXT(multilingual_mobile_app_reviews_2025[[#This Row],[Review_date]],"YYYY")</f>
        <v>2024</v>
      </c>
      <c r="K297" s="7" t="str">
        <f>TEXT(multilingual_mobile_app_reviews_2025[[#This Row],[Review_date]],"MMMM")</f>
        <v>August</v>
      </c>
      <c r="L297" s="4" t="b">
        <v>1</v>
      </c>
      <c r="M297" s="4" t="s">
        <v>98</v>
      </c>
      <c r="N297" s="5">
        <v>133</v>
      </c>
      <c r="O297" s="5">
        <v>43</v>
      </c>
      <c r="P297" s="4" t="s">
        <v>80</v>
      </c>
      <c r="Q297" s="8" t="s">
        <v>39</v>
      </c>
      <c r="R297" s="4" t="s">
        <v>466</v>
      </c>
      <c r="S297" s="4"/>
      <c r="T297"/>
      <c r="U297" s="23"/>
    </row>
    <row r="298" spans="1:21" ht="15.6" x14ac:dyDescent="0.3">
      <c r="A298" s="4">
        <v>297</v>
      </c>
      <c r="B298" s="5">
        <v>4138756</v>
      </c>
      <c r="C298" s="4" t="s">
        <v>192</v>
      </c>
      <c r="D298" s="4" t="s">
        <v>1</v>
      </c>
      <c r="E298" s="4" t="s">
        <v>467</v>
      </c>
      <c r="F298" s="4" t="s">
        <v>2960</v>
      </c>
      <c r="G298" s="6">
        <v>3.4</v>
      </c>
      <c r="H298" s="7">
        <v>45174.019062500003</v>
      </c>
      <c r="I298" s="7" t="str">
        <f>TEXT(multilingual_mobile_app_reviews_2025[[#This Row],[Review_date]],"dd-mm-yyyy")</f>
        <v>05-09-2023</v>
      </c>
      <c r="J298" s="7" t="str">
        <f>TEXT(multilingual_mobile_app_reviews_2025[[#This Row],[Review_date]],"YYYY")</f>
        <v>2023</v>
      </c>
      <c r="K298" s="7" t="str">
        <f>TEXT(multilingual_mobile_app_reviews_2025[[#This Row],[Review_date]],"MMMM")</f>
        <v>September</v>
      </c>
      <c r="L298" s="4" t="b">
        <v>1</v>
      </c>
      <c r="M298" s="4" t="s">
        <v>22</v>
      </c>
      <c r="N298" s="5">
        <v>499</v>
      </c>
      <c r="O298" s="5">
        <v>48</v>
      </c>
      <c r="P298" s="4" t="s">
        <v>65</v>
      </c>
      <c r="Q298" s="8" t="s">
        <v>29</v>
      </c>
      <c r="R298" s="4" t="s">
        <v>468</v>
      </c>
      <c r="S298" s="4"/>
      <c r="T298"/>
      <c r="U298" s="23"/>
    </row>
    <row r="299" spans="1:21" ht="15.6" x14ac:dyDescent="0.3">
      <c r="A299" s="4">
        <v>298</v>
      </c>
      <c r="B299" s="5">
        <v>958283</v>
      </c>
      <c r="C299" s="4" t="s">
        <v>165</v>
      </c>
      <c r="D299" s="4" t="s">
        <v>26</v>
      </c>
      <c r="E299" s="4" t="s">
        <v>469</v>
      </c>
      <c r="F299" s="4" t="s">
        <v>2955</v>
      </c>
      <c r="G299" s="6">
        <v>2.9</v>
      </c>
      <c r="H299" s="7">
        <v>45763.337002314816</v>
      </c>
      <c r="I299" s="7" t="str">
        <f>TEXT(multilingual_mobile_app_reviews_2025[[#This Row],[Review_date]],"dd-mm-yyyy")</f>
        <v>16-04-2025</v>
      </c>
      <c r="J299" s="7" t="str">
        <f>TEXT(multilingual_mobile_app_reviews_2025[[#This Row],[Review_date]],"YYYY")</f>
        <v>2025</v>
      </c>
      <c r="K299" s="7" t="str">
        <f>TEXT(multilingual_mobile_app_reviews_2025[[#This Row],[Review_date]],"MMMM")</f>
        <v>April</v>
      </c>
      <c r="L299" s="4" t="b">
        <v>1</v>
      </c>
      <c r="M299" s="4" t="s">
        <v>33</v>
      </c>
      <c r="N299" s="5">
        <v>199</v>
      </c>
      <c r="O299" s="5">
        <v>65</v>
      </c>
      <c r="P299" s="4" t="s">
        <v>70</v>
      </c>
      <c r="Q299" s="8" t="s">
        <v>5</v>
      </c>
      <c r="R299" s="4" t="s">
        <v>470</v>
      </c>
      <c r="S299" s="4"/>
      <c r="T299"/>
      <c r="U299" s="23"/>
    </row>
    <row r="300" spans="1:21" ht="15.6" x14ac:dyDescent="0.3">
      <c r="A300" s="4">
        <v>299</v>
      </c>
      <c r="B300" s="5">
        <v>8812957</v>
      </c>
      <c r="C300" s="4" t="s">
        <v>101</v>
      </c>
      <c r="D300" s="4" t="s">
        <v>26</v>
      </c>
      <c r="E300" s="4" t="s">
        <v>471</v>
      </c>
      <c r="F300" s="4" t="s">
        <v>2939</v>
      </c>
      <c r="G300" s="6">
        <v>4</v>
      </c>
      <c r="H300" s="7">
        <v>45673.29755787037</v>
      </c>
      <c r="I300" s="7" t="str">
        <f>TEXT(multilingual_mobile_app_reviews_2025[[#This Row],[Review_date]],"dd-mm-yyyy")</f>
        <v>16-01-2025</v>
      </c>
      <c r="J300" s="7" t="str">
        <f>TEXT(multilingual_mobile_app_reviews_2025[[#This Row],[Review_date]],"YYYY")</f>
        <v>2025</v>
      </c>
      <c r="K300" s="7" t="str">
        <f>TEXT(multilingual_mobile_app_reviews_2025[[#This Row],[Review_date]],"MMMM")</f>
        <v>January</v>
      </c>
      <c r="L300" s="4" t="b">
        <v>0</v>
      </c>
      <c r="M300" s="4" t="s">
        <v>22</v>
      </c>
      <c r="N300" s="5">
        <v>927</v>
      </c>
      <c r="O300" s="5">
        <v>47</v>
      </c>
      <c r="P300" s="4" t="s">
        <v>114</v>
      </c>
      <c r="Q300" s="8" t="s">
        <v>29</v>
      </c>
      <c r="R300" s="4" t="s">
        <v>120</v>
      </c>
      <c r="S300" s="4"/>
      <c r="T300"/>
      <c r="U300" s="23"/>
    </row>
    <row r="301" spans="1:21" ht="15.6" x14ac:dyDescent="0.3">
      <c r="A301" s="4">
        <v>300</v>
      </c>
      <c r="B301" s="5">
        <v>547065</v>
      </c>
      <c r="C301" s="4" t="s">
        <v>123</v>
      </c>
      <c r="D301" s="4" t="s">
        <v>157</v>
      </c>
      <c r="E301" s="4" t="s">
        <v>2938</v>
      </c>
      <c r="F301" s="4" t="s">
        <v>2960</v>
      </c>
      <c r="G301" s="6">
        <v>4.4000000000000004</v>
      </c>
      <c r="H301" s="7">
        <v>45602.511666666665</v>
      </c>
      <c r="I301" s="7" t="str">
        <f>TEXT(multilingual_mobile_app_reviews_2025[[#This Row],[Review_date]],"dd-mm-yyyy")</f>
        <v>06-11-2024</v>
      </c>
      <c r="J301" s="7" t="str">
        <f>TEXT(multilingual_mobile_app_reviews_2025[[#This Row],[Review_date]],"YYYY")</f>
        <v>2024</v>
      </c>
      <c r="K301" s="7" t="str">
        <f>TEXT(multilingual_mobile_app_reviews_2025[[#This Row],[Review_date]],"MMMM")</f>
        <v>November</v>
      </c>
      <c r="L301" s="4" t="b">
        <v>1</v>
      </c>
      <c r="M301" s="4" t="s">
        <v>10</v>
      </c>
      <c r="N301" s="5">
        <v>127</v>
      </c>
      <c r="O301" s="5">
        <v>36</v>
      </c>
      <c r="P301" s="4" t="s">
        <v>34</v>
      </c>
      <c r="Q301" s="8" t="s">
        <v>12</v>
      </c>
      <c r="R301" s="4" t="s">
        <v>472</v>
      </c>
      <c r="S301" s="4"/>
      <c r="T301"/>
      <c r="U301" s="23"/>
    </row>
    <row r="302" spans="1:21" ht="15.6" x14ac:dyDescent="0.3">
      <c r="A302" s="4">
        <v>301</v>
      </c>
      <c r="B302" s="5">
        <v>4554861</v>
      </c>
      <c r="C302" s="4" t="s">
        <v>132</v>
      </c>
      <c r="D302" s="4" t="s">
        <v>8</v>
      </c>
      <c r="E302" s="4" t="s">
        <v>32</v>
      </c>
      <c r="F302" s="4" t="s">
        <v>2949</v>
      </c>
      <c r="G302" s="6">
        <v>1.8</v>
      </c>
      <c r="H302" s="7">
        <v>45648.090821759259</v>
      </c>
      <c r="I302" s="7" t="str">
        <f>TEXT(multilingual_mobile_app_reviews_2025[[#This Row],[Review_date]],"dd-mm-yyyy")</f>
        <v>22-12-2024</v>
      </c>
      <c r="J302" s="7" t="str">
        <f>TEXT(multilingual_mobile_app_reviews_2025[[#This Row],[Review_date]],"YYYY")</f>
        <v>2024</v>
      </c>
      <c r="K302" s="7" t="str">
        <f>TEXT(multilingual_mobile_app_reviews_2025[[#This Row],[Review_date]],"MMMM")</f>
        <v>December</v>
      </c>
      <c r="L302" s="4" t="b">
        <v>0</v>
      </c>
      <c r="M302" s="4" t="s">
        <v>22</v>
      </c>
      <c r="N302" s="5">
        <v>972</v>
      </c>
      <c r="O302" s="5">
        <v>21</v>
      </c>
      <c r="P302" s="4" t="s">
        <v>127</v>
      </c>
      <c r="Q302" s="8" t="s">
        <v>2963</v>
      </c>
      <c r="R302" s="4" t="s">
        <v>473</v>
      </c>
      <c r="S302" s="4"/>
      <c r="T302"/>
      <c r="U302" s="23"/>
    </row>
    <row r="303" spans="1:21" ht="15.6" x14ac:dyDescent="0.3">
      <c r="A303" s="4">
        <v>302</v>
      </c>
      <c r="B303" s="5">
        <v>9805188</v>
      </c>
      <c r="C303" s="4" t="s">
        <v>174</v>
      </c>
      <c r="D303" s="4" t="s">
        <v>31</v>
      </c>
      <c r="E303" s="4" t="s">
        <v>474</v>
      </c>
      <c r="F303" s="4" t="s">
        <v>2945</v>
      </c>
      <c r="G303" s="6">
        <v>4.9000000000000004</v>
      </c>
      <c r="H303" s="7">
        <v>45505.185046296298</v>
      </c>
      <c r="I303" s="7" t="str">
        <f>TEXT(multilingual_mobile_app_reviews_2025[[#This Row],[Review_date]],"dd-mm-yyyy")</f>
        <v>01-08-2024</v>
      </c>
      <c r="J303" s="7" t="str">
        <f>TEXT(multilingual_mobile_app_reviews_2025[[#This Row],[Review_date]],"YYYY")</f>
        <v>2024</v>
      </c>
      <c r="K303" s="7" t="str">
        <f>TEXT(multilingual_mobile_app_reviews_2025[[#This Row],[Review_date]],"MMMM")</f>
        <v>August</v>
      </c>
      <c r="L303" s="4" t="b">
        <v>0</v>
      </c>
      <c r="M303" s="4" t="s">
        <v>22</v>
      </c>
      <c r="N303" s="5">
        <v>173</v>
      </c>
      <c r="O303" s="5">
        <v>21</v>
      </c>
      <c r="P303" s="4" t="s">
        <v>38</v>
      </c>
      <c r="Q303" s="8" t="s">
        <v>29</v>
      </c>
      <c r="R303" s="4" t="s">
        <v>475</v>
      </c>
      <c r="S303" s="4"/>
      <c r="T303"/>
      <c r="U303" s="23"/>
    </row>
    <row r="304" spans="1:21" ht="15.6" x14ac:dyDescent="0.3">
      <c r="A304" s="4">
        <v>303</v>
      </c>
      <c r="B304" s="5">
        <v>1144906</v>
      </c>
      <c r="C304" s="4" t="s">
        <v>69</v>
      </c>
      <c r="D304" s="4" t="s">
        <v>97</v>
      </c>
      <c r="E304" s="4" t="s">
        <v>32</v>
      </c>
      <c r="F304" s="4" t="s">
        <v>2955</v>
      </c>
      <c r="G304" s="6">
        <v>1</v>
      </c>
      <c r="H304" s="7">
        <v>45687.070092592592</v>
      </c>
      <c r="I304" s="7" t="str">
        <f>TEXT(multilingual_mobile_app_reviews_2025[[#This Row],[Review_date]],"dd-mm-yyyy")</f>
        <v>30-01-2025</v>
      </c>
      <c r="J304" s="7" t="str">
        <f>TEXT(multilingual_mobile_app_reviews_2025[[#This Row],[Review_date]],"YYYY")</f>
        <v>2025</v>
      </c>
      <c r="K304" s="7" t="str">
        <f>TEXT(multilingual_mobile_app_reviews_2025[[#This Row],[Review_date]],"MMMM")</f>
        <v>January</v>
      </c>
      <c r="L304" s="4" t="b">
        <v>1</v>
      </c>
      <c r="M304" s="4" t="s">
        <v>3</v>
      </c>
      <c r="N304" s="5">
        <v>484</v>
      </c>
      <c r="O304" s="5">
        <v>58</v>
      </c>
      <c r="P304" s="4" t="s">
        <v>85</v>
      </c>
      <c r="Q304" s="8" t="s">
        <v>39</v>
      </c>
      <c r="R304" s="4" t="s">
        <v>476</v>
      </c>
      <c r="S304" s="4"/>
      <c r="T304"/>
      <c r="U304" s="23"/>
    </row>
    <row r="305" spans="1:21" ht="15.6" x14ac:dyDescent="0.3">
      <c r="A305" s="4">
        <v>304</v>
      </c>
      <c r="B305" s="5">
        <v>8802060</v>
      </c>
      <c r="C305" s="4" t="s">
        <v>258</v>
      </c>
      <c r="D305" s="4" t="s">
        <v>1</v>
      </c>
      <c r="E305" s="4" t="s">
        <v>477</v>
      </c>
      <c r="F305" s="4" t="s">
        <v>2946</v>
      </c>
      <c r="G305" s="6">
        <v>3.1</v>
      </c>
      <c r="H305" s="7">
        <v>45612.738749999997</v>
      </c>
      <c r="I305" s="7" t="str">
        <f>TEXT(multilingual_mobile_app_reviews_2025[[#This Row],[Review_date]],"dd-mm-yyyy")</f>
        <v>16-11-2024</v>
      </c>
      <c r="J305" s="7" t="str">
        <f>TEXT(multilingual_mobile_app_reviews_2025[[#This Row],[Review_date]],"YYYY")</f>
        <v>2024</v>
      </c>
      <c r="K305" s="7" t="str">
        <f>TEXT(multilingual_mobile_app_reviews_2025[[#This Row],[Review_date]],"MMMM")</f>
        <v>November</v>
      </c>
      <c r="L305" s="4" t="b">
        <v>1</v>
      </c>
      <c r="M305" s="4" t="s">
        <v>33</v>
      </c>
      <c r="N305" s="5">
        <v>1249</v>
      </c>
      <c r="O305" s="5">
        <v>18</v>
      </c>
      <c r="P305" s="4" t="s">
        <v>17</v>
      </c>
      <c r="Q305" s="8" t="s">
        <v>29</v>
      </c>
      <c r="R305" s="4" t="s">
        <v>478</v>
      </c>
      <c r="S305" s="4"/>
      <c r="T305"/>
      <c r="U305" s="23"/>
    </row>
    <row r="306" spans="1:21" ht="15.6" x14ac:dyDescent="0.3">
      <c r="A306" s="4">
        <v>305</v>
      </c>
      <c r="B306" s="5">
        <v>3325657</v>
      </c>
      <c r="C306" s="4" t="s">
        <v>50</v>
      </c>
      <c r="D306" s="4" t="s">
        <v>71</v>
      </c>
      <c r="E306" s="4" t="s">
        <v>64</v>
      </c>
      <c r="F306" s="4" t="s">
        <v>2947</v>
      </c>
      <c r="G306" s="6">
        <v>3.3</v>
      </c>
      <c r="H306" s="7">
        <v>45330.35533564815</v>
      </c>
      <c r="I306" s="7" t="str">
        <f>TEXT(multilingual_mobile_app_reviews_2025[[#This Row],[Review_date]],"dd-mm-yyyy")</f>
        <v>08-02-2024</v>
      </c>
      <c r="J306" s="7" t="str">
        <f>TEXT(multilingual_mobile_app_reviews_2025[[#This Row],[Review_date]],"YYYY")</f>
        <v>2024</v>
      </c>
      <c r="K306" s="7" t="str">
        <f>TEXT(multilingual_mobile_app_reviews_2025[[#This Row],[Review_date]],"MMMM")</f>
        <v>February</v>
      </c>
      <c r="L306" s="4" t="b">
        <v>1</v>
      </c>
      <c r="M306" s="4" t="s">
        <v>10</v>
      </c>
      <c r="N306" s="5">
        <v>862</v>
      </c>
      <c r="O306" s="5">
        <v>35</v>
      </c>
      <c r="P306" s="4" t="s">
        <v>114</v>
      </c>
      <c r="Q306" s="8" t="s">
        <v>39</v>
      </c>
      <c r="R306" s="4" t="s">
        <v>479</v>
      </c>
      <c r="S306" s="4"/>
      <c r="T306"/>
      <c r="U306" s="23"/>
    </row>
    <row r="307" spans="1:21" ht="15.6" x14ac:dyDescent="0.3">
      <c r="A307" s="4">
        <v>306</v>
      </c>
      <c r="B307" s="5">
        <v>9463140</v>
      </c>
      <c r="C307" s="4" t="s">
        <v>87</v>
      </c>
      <c r="D307" s="4" t="s">
        <v>63</v>
      </c>
      <c r="E307" s="4" t="s">
        <v>21</v>
      </c>
      <c r="F307" s="4" t="s">
        <v>2961</v>
      </c>
      <c r="G307" s="6">
        <v>3.5</v>
      </c>
      <c r="H307" s="7">
        <v>45370.729409722226</v>
      </c>
      <c r="I307" s="7" t="str">
        <f>TEXT(multilingual_mobile_app_reviews_2025[[#This Row],[Review_date]],"dd-mm-yyyy")</f>
        <v>19-03-2024</v>
      </c>
      <c r="J307" s="7" t="str">
        <f>TEXT(multilingual_mobile_app_reviews_2025[[#This Row],[Review_date]],"YYYY")</f>
        <v>2024</v>
      </c>
      <c r="K307" s="7" t="str">
        <f>TEXT(multilingual_mobile_app_reviews_2025[[#This Row],[Review_date]],"MMMM")</f>
        <v>March</v>
      </c>
      <c r="L307" s="4" t="b">
        <v>1</v>
      </c>
      <c r="M307" s="4" t="s">
        <v>10</v>
      </c>
      <c r="N307" s="5">
        <v>992</v>
      </c>
      <c r="O307" s="5">
        <v>18</v>
      </c>
      <c r="P307" s="4" t="s">
        <v>180</v>
      </c>
      <c r="Q307" s="8" t="s">
        <v>2963</v>
      </c>
      <c r="R307" s="4" t="s">
        <v>480</v>
      </c>
      <c r="S307" s="4"/>
      <c r="T307"/>
      <c r="U307" s="23"/>
    </row>
    <row r="308" spans="1:21" ht="15.6" x14ac:dyDescent="0.3">
      <c r="A308" s="4">
        <v>307</v>
      </c>
      <c r="B308" s="5">
        <v>5093143</v>
      </c>
      <c r="C308" s="4" t="s">
        <v>87</v>
      </c>
      <c r="D308" s="4" t="s">
        <v>42</v>
      </c>
      <c r="E308" s="4" t="s">
        <v>481</v>
      </c>
      <c r="F308" s="4" t="s">
        <v>2943</v>
      </c>
      <c r="G308" s="6">
        <v>4.2</v>
      </c>
      <c r="H308" s="7">
        <v>45406.952280092592</v>
      </c>
      <c r="I308" s="7" t="str">
        <f>TEXT(multilingual_mobile_app_reviews_2025[[#This Row],[Review_date]],"dd-mm-yyyy")</f>
        <v>24-04-2024</v>
      </c>
      <c r="J308" s="7" t="str">
        <f>TEXT(multilingual_mobile_app_reviews_2025[[#This Row],[Review_date]],"YYYY")</f>
        <v>2024</v>
      </c>
      <c r="K308" s="7" t="str">
        <f>TEXT(multilingual_mobile_app_reviews_2025[[#This Row],[Review_date]],"MMMM")</f>
        <v>April</v>
      </c>
      <c r="L308" s="4" t="b">
        <v>0</v>
      </c>
      <c r="M308" s="4" t="s">
        <v>10</v>
      </c>
      <c r="N308" s="5">
        <v>483</v>
      </c>
      <c r="O308" s="5">
        <v>44</v>
      </c>
      <c r="P308" s="4" t="s">
        <v>65</v>
      </c>
      <c r="Q308" s="8" t="s">
        <v>2963</v>
      </c>
      <c r="R308" s="4" t="s">
        <v>482</v>
      </c>
      <c r="S308" s="4"/>
      <c r="T308"/>
      <c r="U308" s="23"/>
    </row>
    <row r="309" spans="1:21" ht="15.6" x14ac:dyDescent="0.3">
      <c r="A309" s="4">
        <v>308</v>
      </c>
      <c r="B309" s="5">
        <v>2557461</v>
      </c>
      <c r="C309" s="4" t="s">
        <v>199</v>
      </c>
      <c r="D309" s="4" t="s">
        <v>60</v>
      </c>
      <c r="E309" s="4" t="s">
        <v>76</v>
      </c>
      <c r="F309" s="4" t="s">
        <v>2959</v>
      </c>
      <c r="G309" s="6">
        <v>3.3</v>
      </c>
      <c r="H309" s="7">
        <v>45364.479502314818</v>
      </c>
      <c r="I309" s="7" t="str">
        <f>TEXT(multilingual_mobile_app_reviews_2025[[#This Row],[Review_date]],"dd-mm-yyyy")</f>
        <v>13-03-2024</v>
      </c>
      <c r="J309" s="7" t="str">
        <f>TEXT(multilingual_mobile_app_reviews_2025[[#This Row],[Review_date]],"YYYY")</f>
        <v>2024</v>
      </c>
      <c r="K309" s="7" t="str">
        <f>TEXT(multilingual_mobile_app_reviews_2025[[#This Row],[Review_date]],"MMMM")</f>
        <v>March</v>
      </c>
      <c r="L309" s="4" t="b">
        <v>1</v>
      </c>
      <c r="M309" s="4" t="s">
        <v>10</v>
      </c>
      <c r="N309" s="5">
        <v>111</v>
      </c>
      <c r="O309" s="5">
        <v>54</v>
      </c>
      <c r="P309" s="4" t="s">
        <v>230</v>
      </c>
      <c r="Q309" s="8" t="s">
        <v>12</v>
      </c>
      <c r="R309" s="4" t="s">
        <v>483</v>
      </c>
      <c r="S309" s="4"/>
      <c r="T309"/>
      <c r="U309" s="23"/>
    </row>
    <row r="310" spans="1:21" ht="15.6" x14ac:dyDescent="0.3">
      <c r="A310" s="4">
        <v>309</v>
      </c>
      <c r="B310" s="5">
        <v>4925636</v>
      </c>
      <c r="C310" s="4" t="s">
        <v>56</v>
      </c>
      <c r="D310" s="4" t="s">
        <v>8</v>
      </c>
      <c r="E310" s="4" t="s">
        <v>32</v>
      </c>
      <c r="F310" s="4" t="s">
        <v>2939</v>
      </c>
      <c r="G310" s="6">
        <v>2.2000000000000002</v>
      </c>
      <c r="H310" s="7">
        <v>45693.568194444444</v>
      </c>
      <c r="I310" s="7" t="str">
        <f>TEXT(multilingual_mobile_app_reviews_2025[[#This Row],[Review_date]],"dd-mm-yyyy")</f>
        <v>05-02-2025</v>
      </c>
      <c r="J310" s="7" t="str">
        <f>TEXT(multilingual_mobile_app_reviews_2025[[#This Row],[Review_date]],"YYYY")</f>
        <v>2025</v>
      </c>
      <c r="K310" s="7" t="str">
        <f>TEXT(multilingual_mobile_app_reviews_2025[[#This Row],[Review_date]],"MMMM")</f>
        <v>February</v>
      </c>
      <c r="L310" s="4" t="b">
        <v>1</v>
      </c>
      <c r="M310" s="4" t="s">
        <v>3</v>
      </c>
      <c r="N310" s="5">
        <v>782</v>
      </c>
      <c r="O310" s="5">
        <v>56</v>
      </c>
      <c r="P310" s="4" t="s">
        <v>73</v>
      </c>
      <c r="Q310" s="8" t="s">
        <v>2963</v>
      </c>
      <c r="R310" s="4" t="s">
        <v>239</v>
      </c>
      <c r="S310" s="4"/>
      <c r="T310"/>
      <c r="U310" s="23"/>
    </row>
    <row r="311" spans="1:21" ht="15.6" x14ac:dyDescent="0.3">
      <c r="A311" s="4">
        <v>310</v>
      </c>
      <c r="B311" s="5">
        <v>5911015</v>
      </c>
      <c r="C311" s="4" t="s">
        <v>165</v>
      </c>
      <c r="D311" s="4" t="s">
        <v>111</v>
      </c>
      <c r="E311" s="4" t="s">
        <v>32</v>
      </c>
      <c r="F311" s="4" t="s">
        <v>2946</v>
      </c>
      <c r="G311" s="6">
        <v>4.0999999999999996</v>
      </c>
      <c r="H311" s="7">
        <v>45856.57775462963</v>
      </c>
      <c r="I311" s="7" t="str">
        <f>TEXT(multilingual_mobile_app_reviews_2025[[#This Row],[Review_date]],"dd-mm-yyyy")</f>
        <v>18-07-2025</v>
      </c>
      <c r="J311" s="7" t="str">
        <f>TEXT(multilingual_mobile_app_reviews_2025[[#This Row],[Review_date]],"YYYY")</f>
        <v>2025</v>
      </c>
      <c r="K311" s="7" t="str">
        <f>TEXT(multilingual_mobile_app_reviews_2025[[#This Row],[Review_date]],"MMMM")</f>
        <v>July</v>
      </c>
      <c r="L311" s="4" t="b">
        <v>1</v>
      </c>
      <c r="M311" s="4" t="s">
        <v>22</v>
      </c>
      <c r="N311" s="5">
        <v>1205</v>
      </c>
      <c r="O311" s="5">
        <v>62</v>
      </c>
      <c r="P311" s="4" t="s">
        <v>127</v>
      </c>
      <c r="Q311" s="8" t="s">
        <v>2963</v>
      </c>
      <c r="R311" s="4" t="s">
        <v>484</v>
      </c>
      <c r="S311" s="4"/>
      <c r="T311"/>
      <c r="U311" s="23"/>
    </row>
    <row r="312" spans="1:21" ht="15.6" x14ac:dyDescent="0.3">
      <c r="A312" s="4">
        <v>311</v>
      </c>
      <c r="B312" s="5">
        <v>4402415</v>
      </c>
      <c r="C312" s="4" t="s">
        <v>264</v>
      </c>
      <c r="D312" s="4" t="s">
        <v>42</v>
      </c>
      <c r="E312" s="4" t="s">
        <v>21</v>
      </c>
      <c r="F312" s="4" t="s">
        <v>2944</v>
      </c>
      <c r="G312" s="6">
        <v>1.8</v>
      </c>
      <c r="H312" s="7">
        <v>45719.353229166663</v>
      </c>
      <c r="I312" s="7" t="str">
        <f>TEXT(multilingual_mobile_app_reviews_2025[[#This Row],[Review_date]],"dd-mm-yyyy")</f>
        <v>03-03-2025</v>
      </c>
      <c r="J312" s="7" t="str">
        <f>TEXT(multilingual_mobile_app_reviews_2025[[#This Row],[Review_date]],"YYYY")</f>
        <v>2025</v>
      </c>
      <c r="K312" s="7" t="str">
        <f>TEXT(multilingual_mobile_app_reviews_2025[[#This Row],[Review_date]],"MMMM")</f>
        <v>March</v>
      </c>
      <c r="L312" s="4" t="b">
        <v>1</v>
      </c>
      <c r="M312" s="4" t="s">
        <v>98</v>
      </c>
      <c r="N312" s="5">
        <v>188</v>
      </c>
      <c r="O312" s="5">
        <v>16</v>
      </c>
      <c r="P312" s="4" t="s">
        <v>144</v>
      </c>
      <c r="Q312" s="8" t="s">
        <v>5</v>
      </c>
      <c r="R312" s="4" t="s">
        <v>485</v>
      </c>
      <c r="S312" s="4"/>
      <c r="T312"/>
      <c r="U312" s="23"/>
    </row>
    <row r="313" spans="1:21" ht="15.6" x14ac:dyDescent="0.3">
      <c r="A313" s="4">
        <v>312</v>
      </c>
      <c r="B313" s="5">
        <v>3690102</v>
      </c>
      <c r="C313" s="4" t="s">
        <v>174</v>
      </c>
      <c r="D313" s="4" t="s">
        <v>15</v>
      </c>
      <c r="E313" s="4" t="s">
        <v>130</v>
      </c>
      <c r="F313" s="4" t="s">
        <v>2957</v>
      </c>
      <c r="G313" s="6">
        <v>4.7</v>
      </c>
      <c r="H313" s="7">
        <v>45295.82912037037</v>
      </c>
      <c r="I313" s="7" t="str">
        <f>TEXT(multilingual_mobile_app_reviews_2025[[#This Row],[Review_date]],"dd-mm-yyyy")</f>
        <v>04-01-2024</v>
      </c>
      <c r="J313" s="7" t="str">
        <f>TEXT(multilingual_mobile_app_reviews_2025[[#This Row],[Review_date]],"YYYY")</f>
        <v>2024</v>
      </c>
      <c r="K313" s="7" t="str">
        <f>TEXT(multilingual_mobile_app_reviews_2025[[#This Row],[Review_date]],"MMMM")</f>
        <v>January</v>
      </c>
      <c r="L313" s="4" t="b">
        <v>1</v>
      </c>
      <c r="M313" s="4" t="s">
        <v>3</v>
      </c>
      <c r="N313" s="5">
        <v>566</v>
      </c>
      <c r="O313" s="5">
        <v>62</v>
      </c>
      <c r="P313" s="4" t="s">
        <v>90</v>
      </c>
      <c r="Q313" s="8" t="s">
        <v>39</v>
      </c>
      <c r="R313" s="4" t="s">
        <v>100</v>
      </c>
      <c r="S313" s="4"/>
      <c r="T313"/>
      <c r="U313" s="23"/>
    </row>
    <row r="314" spans="1:21" ht="15.6" x14ac:dyDescent="0.3">
      <c r="A314" s="4">
        <v>313</v>
      </c>
      <c r="B314" s="5">
        <v>4648852</v>
      </c>
      <c r="C314" s="4" t="s">
        <v>75</v>
      </c>
      <c r="D314" s="4" t="s">
        <v>111</v>
      </c>
      <c r="E314" s="4" t="s">
        <v>27</v>
      </c>
      <c r="F314" s="4" t="s">
        <v>2955</v>
      </c>
      <c r="G314" s="6">
        <v>2.6</v>
      </c>
      <c r="H314" s="7">
        <v>45863.579375000001</v>
      </c>
      <c r="I314" s="7" t="str">
        <f>TEXT(multilingual_mobile_app_reviews_2025[[#This Row],[Review_date]],"dd-mm-yyyy")</f>
        <v>25-07-2025</v>
      </c>
      <c r="J314" s="7" t="str">
        <f>TEXT(multilingual_mobile_app_reviews_2025[[#This Row],[Review_date]],"YYYY")</f>
        <v>2025</v>
      </c>
      <c r="K314" s="7" t="str">
        <f>TEXT(multilingual_mobile_app_reviews_2025[[#This Row],[Review_date]],"MMMM")</f>
        <v>July</v>
      </c>
      <c r="L314" s="4" t="b">
        <v>1</v>
      </c>
      <c r="M314" s="4" t="s">
        <v>3</v>
      </c>
      <c r="N314" s="5">
        <v>222</v>
      </c>
      <c r="O314" s="5">
        <v>22</v>
      </c>
      <c r="P314" s="4" t="s">
        <v>34</v>
      </c>
      <c r="Q314" s="8" t="s">
        <v>29</v>
      </c>
      <c r="R314" s="4" t="s">
        <v>486</v>
      </c>
      <c r="S314" s="4"/>
      <c r="T314"/>
      <c r="U314" s="23"/>
    </row>
    <row r="315" spans="1:21" ht="15.6" x14ac:dyDescent="0.3">
      <c r="A315" s="4">
        <v>314</v>
      </c>
      <c r="B315" s="5">
        <v>4657052</v>
      </c>
      <c r="C315" s="4" t="s">
        <v>264</v>
      </c>
      <c r="D315" s="4" t="s">
        <v>20</v>
      </c>
      <c r="E315" s="4" t="s">
        <v>487</v>
      </c>
      <c r="F315" s="4" t="s">
        <v>2956</v>
      </c>
      <c r="G315" s="6">
        <v>1</v>
      </c>
      <c r="H315" s="7">
        <v>45361.988078703704</v>
      </c>
      <c r="I315" s="7" t="str">
        <f>TEXT(multilingual_mobile_app_reviews_2025[[#This Row],[Review_date]],"dd-mm-yyyy")</f>
        <v>10-03-2024</v>
      </c>
      <c r="J315" s="7" t="str">
        <f>TEXT(multilingual_mobile_app_reviews_2025[[#This Row],[Review_date]],"YYYY")</f>
        <v>2024</v>
      </c>
      <c r="K315" s="7" t="str">
        <f>TEXT(multilingual_mobile_app_reviews_2025[[#This Row],[Review_date]],"MMMM")</f>
        <v>March</v>
      </c>
      <c r="L315" s="4" t="b">
        <v>1</v>
      </c>
      <c r="M315" s="4" t="s">
        <v>98</v>
      </c>
      <c r="N315" s="5">
        <v>799</v>
      </c>
      <c r="O315" s="5">
        <v>30</v>
      </c>
      <c r="P315" s="4" t="s">
        <v>180</v>
      </c>
      <c r="Q315" s="8" t="s">
        <v>39</v>
      </c>
      <c r="R315" s="4" t="s">
        <v>488</v>
      </c>
      <c r="S315" s="4"/>
      <c r="T315"/>
      <c r="U315" s="23"/>
    </row>
    <row r="316" spans="1:21" ht="15.6" x14ac:dyDescent="0.3">
      <c r="A316" s="4">
        <v>315</v>
      </c>
      <c r="B316" s="5">
        <v>4888474</v>
      </c>
      <c r="C316" s="4" t="s">
        <v>165</v>
      </c>
      <c r="D316" s="4" t="s">
        <v>15</v>
      </c>
      <c r="E316" s="4" t="s">
        <v>130</v>
      </c>
      <c r="F316" s="4" t="s">
        <v>2942</v>
      </c>
      <c r="G316" s="6">
        <v>3.3</v>
      </c>
      <c r="H316" s="7">
        <v>45640.562002314815</v>
      </c>
      <c r="I316" s="7" t="str">
        <f>TEXT(multilingual_mobile_app_reviews_2025[[#This Row],[Review_date]],"dd-mm-yyyy")</f>
        <v>14-12-2024</v>
      </c>
      <c r="J316" s="7" t="str">
        <f>TEXT(multilingual_mobile_app_reviews_2025[[#This Row],[Review_date]],"YYYY")</f>
        <v>2024</v>
      </c>
      <c r="K316" s="7" t="str">
        <f>TEXT(multilingual_mobile_app_reviews_2025[[#This Row],[Review_date]],"MMMM")</f>
        <v>December</v>
      </c>
      <c r="L316" s="4" t="b">
        <v>1</v>
      </c>
      <c r="M316" s="4" t="s">
        <v>10</v>
      </c>
      <c r="N316" s="5">
        <v>682</v>
      </c>
      <c r="O316" s="5">
        <v>56</v>
      </c>
      <c r="P316" s="4" t="s">
        <v>114</v>
      </c>
      <c r="Q316" s="8" t="s">
        <v>29</v>
      </c>
      <c r="R316" s="4" t="s">
        <v>489</v>
      </c>
      <c r="S316" s="4"/>
      <c r="T316"/>
      <c r="U316" s="23"/>
    </row>
    <row r="317" spans="1:21" ht="15.6" x14ac:dyDescent="0.3">
      <c r="A317" s="4">
        <v>316</v>
      </c>
      <c r="B317" s="5">
        <v>1600901</v>
      </c>
      <c r="C317" s="4" t="s">
        <v>36</v>
      </c>
      <c r="D317" s="4" t="s">
        <v>20</v>
      </c>
      <c r="E317" s="4" t="s">
        <v>109</v>
      </c>
      <c r="F317" s="4" t="s">
        <v>2960</v>
      </c>
      <c r="G317" s="6">
        <v>3.6</v>
      </c>
      <c r="H317" s="7">
        <v>45645.53365740741</v>
      </c>
      <c r="I317" s="7" t="str">
        <f>TEXT(multilingual_mobile_app_reviews_2025[[#This Row],[Review_date]],"dd-mm-yyyy")</f>
        <v>19-12-2024</v>
      </c>
      <c r="J317" s="7" t="str">
        <f>TEXT(multilingual_mobile_app_reviews_2025[[#This Row],[Review_date]],"YYYY")</f>
        <v>2024</v>
      </c>
      <c r="K317" s="7" t="str">
        <f>TEXT(multilingual_mobile_app_reviews_2025[[#This Row],[Review_date]],"MMMM")</f>
        <v>December</v>
      </c>
      <c r="L317" s="4" t="b">
        <v>1</v>
      </c>
      <c r="M317" s="4" t="s">
        <v>10</v>
      </c>
      <c r="N317" s="5">
        <v>798</v>
      </c>
      <c r="O317" s="5">
        <v>70</v>
      </c>
      <c r="P317" s="4" t="s">
        <v>80</v>
      </c>
      <c r="Q317" s="8" t="s">
        <v>39</v>
      </c>
      <c r="R317" s="4" t="s">
        <v>490</v>
      </c>
      <c r="S317" s="4"/>
      <c r="T317"/>
      <c r="U317" s="23"/>
    </row>
    <row r="318" spans="1:21" ht="15.6" x14ac:dyDescent="0.3">
      <c r="A318" s="4">
        <v>317</v>
      </c>
      <c r="B318" s="5">
        <v>3996008</v>
      </c>
      <c r="C318" s="4" t="s">
        <v>132</v>
      </c>
      <c r="D318" s="4" t="s">
        <v>8</v>
      </c>
      <c r="E318" s="4" t="s">
        <v>130</v>
      </c>
      <c r="F318" s="4" t="s">
        <v>2939</v>
      </c>
      <c r="G318" s="6">
        <v>1.1000000000000001</v>
      </c>
      <c r="H318" s="7">
        <v>45554.543321759258</v>
      </c>
      <c r="I318" s="7" t="str">
        <f>TEXT(multilingual_mobile_app_reviews_2025[[#This Row],[Review_date]],"dd-mm-yyyy")</f>
        <v>19-09-2024</v>
      </c>
      <c r="J318" s="7" t="str">
        <f>TEXT(multilingual_mobile_app_reviews_2025[[#This Row],[Review_date]],"YYYY")</f>
        <v>2024</v>
      </c>
      <c r="K318" s="7" t="str">
        <f>TEXT(multilingual_mobile_app_reviews_2025[[#This Row],[Review_date]],"MMMM")</f>
        <v>September</v>
      </c>
      <c r="L318" s="4" t="b">
        <v>0</v>
      </c>
      <c r="M318" s="4" t="s">
        <v>98</v>
      </c>
      <c r="N318" s="5">
        <v>691</v>
      </c>
      <c r="O318" s="5">
        <v>63</v>
      </c>
      <c r="P318" s="4" t="s">
        <v>44</v>
      </c>
      <c r="Q318" s="8" t="s">
        <v>12</v>
      </c>
      <c r="R318" s="4" t="s">
        <v>491</v>
      </c>
      <c r="S318" s="4"/>
      <c r="T318"/>
      <c r="U318" s="23"/>
    </row>
    <row r="319" spans="1:21" ht="15.6" x14ac:dyDescent="0.3">
      <c r="A319" s="4">
        <v>318</v>
      </c>
      <c r="B319" s="5">
        <v>725760</v>
      </c>
      <c r="C319" s="4" t="s">
        <v>56</v>
      </c>
      <c r="D319" s="4" t="s">
        <v>31</v>
      </c>
      <c r="E319" s="4" t="s">
        <v>2938</v>
      </c>
      <c r="F319" s="4" t="s">
        <v>2939</v>
      </c>
      <c r="G319" s="6">
        <v>2.9</v>
      </c>
      <c r="H319" s="7">
        <v>45560.87222222222</v>
      </c>
      <c r="I319" s="7" t="str">
        <f>TEXT(multilingual_mobile_app_reviews_2025[[#This Row],[Review_date]],"dd-mm-yyyy")</f>
        <v>25-09-2024</v>
      </c>
      <c r="J319" s="7" t="str">
        <f>TEXT(multilingual_mobile_app_reviews_2025[[#This Row],[Review_date]],"YYYY")</f>
        <v>2024</v>
      </c>
      <c r="K319" s="7" t="str">
        <f>TEXT(multilingual_mobile_app_reviews_2025[[#This Row],[Review_date]],"MMMM")</f>
        <v>September</v>
      </c>
      <c r="L319" s="4" t="b">
        <v>1</v>
      </c>
      <c r="M319" s="4" t="s">
        <v>33</v>
      </c>
      <c r="N319" s="5">
        <v>93</v>
      </c>
      <c r="O319" s="5">
        <v>28</v>
      </c>
      <c r="P319" s="4" t="s">
        <v>61</v>
      </c>
      <c r="Q319" s="8" t="s">
        <v>5</v>
      </c>
      <c r="R319" s="4" t="s">
        <v>492</v>
      </c>
      <c r="S319" s="4"/>
      <c r="T319"/>
      <c r="U319" s="23"/>
    </row>
    <row r="320" spans="1:21" ht="15.6" x14ac:dyDescent="0.3">
      <c r="A320" s="4">
        <v>319</v>
      </c>
      <c r="B320" s="5">
        <v>8386475</v>
      </c>
      <c r="C320" s="4" t="s">
        <v>147</v>
      </c>
      <c r="D320" s="4" t="s">
        <v>47</v>
      </c>
      <c r="E320" s="4" t="s">
        <v>93</v>
      </c>
      <c r="F320" s="4" t="s">
        <v>2953</v>
      </c>
      <c r="G320" s="6">
        <v>1.3</v>
      </c>
      <c r="H320" s="7">
        <v>45829.586886574078</v>
      </c>
      <c r="I320" s="7" t="str">
        <f>TEXT(multilingual_mobile_app_reviews_2025[[#This Row],[Review_date]],"dd-mm-yyyy")</f>
        <v>21-06-2025</v>
      </c>
      <c r="J320" s="7" t="str">
        <f>TEXT(multilingual_mobile_app_reviews_2025[[#This Row],[Review_date]],"YYYY")</f>
        <v>2025</v>
      </c>
      <c r="K320" s="7" t="str">
        <f>TEXT(multilingual_mobile_app_reviews_2025[[#This Row],[Review_date]],"MMMM")</f>
        <v>June</v>
      </c>
      <c r="L320" s="4" t="b">
        <v>1</v>
      </c>
      <c r="M320" s="4" t="s">
        <v>22</v>
      </c>
      <c r="N320" s="5">
        <v>872</v>
      </c>
      <c r="O320" s="5">
        <v>34</v>
      </c>
      <c r="P320" s="4" t="s">
        <v>44</v>
      </c>
      <c r="Q320" s="8" t="s">
        <v>29</v>
      </c>
      <c r="R320" s="4" t="s">
        <v>493</v>
      </c>
      <c r="S320" s="4"/>
      <c r="T320"/>
      <c r="U320" s="23"/>
    </row>
    <row r="321" spans="1:21" ht="15.6" x14ac:dyDescent="0.3">
      <c r="A321" s="4">
        <v>320</v>
      </c>
      <c r="B321" s="5">
        <v>8559284</v>
      </c>
      <c r="C321" s="4" t="s">
        <v>113</v>
      </c>
      <c r="D321" s="4" t="s">
        <v>63</v>
      </c>
      <c r="E321" s="4" t="s">
        <v>32</v>
      </c>
      <c r="F321" s="4" t="s">
        <v>2952</v>
      </c>
      <c r="G321" s="6">
        <v>3.8</v>
      </c>
      <c r="H321" s="7">
        <v>45502.400740740741</v>
      </c>
      <c r="I321" s="7" t="str">
        <f>TEXT(multilingual_mobile_app_reviews_2025[[#This Row],[Review_date]],"dd-mm-yyyy")</f>
        <v>29-07-2024</v>
      </c>
      <c r="J321" s="7" t="str">
        <f>TEXT(multilingual_mobile_app_reviews_2025[[#This Row],[Review_date]],"YYYY")</f>
        <v>2024</v>
      </c>
      <c r="K321" s="7" t="str">
        <f>TEXT(multilingual_mobile_app_reviews_2025[[#This Row],[Review_date]],"MMMM")</f>
        <v>July</v>
      </c>
      <c r="L321" s="4" t="b">
        <v>1</v>
      </c>
      <c r="M321" s="4" t="s">
        <v>33</v>
      </c>
      <c r="N321" s="5">
        <v>337</v>
      </c>
      <c r="O321" s="5">
        <v>41</v>
      </c>
      <c r="P321" s="4" t="s">
        <v>17</v>
      </c>
      <c r="Q321" s="8" t="s">
        <v>2963</v>
      </c>
      <c r="R321" s="4" t="s">
        <v>494</v>
      </c>
      <c r="S321" s="4"/>
      <c r="T321"/>
      <c r="U321" s="23"/>
    </row>
    <row r="322" spans="1:21" ht="15.6" x14ac:dyDescent="0.3">
      <c r="A322" s="4">
        <v>321</v>
      </c>
      <c r="B322" s="5">
        <v>3334838</v>
      </c>
      <c r="C322" s="4" t="s">
        <v>132</v>
      </c>
      <c r="D322" s="4" t="s">
        <v>60</v>
      </c>
      <c r="E322" s="4" t="s">
        <v>495</v>
      </c>
      <c r="F322" s="4" t="s">
        <v>2945</v>
      </c>
      <c r="G322" s="6">
        <v>3.8</v>
      </c>
      <c r="H322" s="7">
        <v>45727.077164351853</v>
      </c>
      <c r="I322" s="7" t="str">
        <f>TEXT(multilingual_mobile_app_reviews_2025[[#This Row],[Review_date]],"dd-mm-yyyy")</f>
        <v>11-03-2025</v>
      </c>
      <c r="J322" s="7" t="str">
        <f>TEXT(multilingual_mobile_app_reviews_2025[[#This Row],[Review_date]],"YYYY")</f>
        <v>2025</v>
      </c>
      <c r="K322" s="7" t="str">
        <f>TEXT(multilingual_mobile_app_reviews_2025[[#This Row],[Review_date]],"MMMM")</f>
        <v>March</v>
      </c>
      <c r="L322" s="4" t="b">
        <v>1</v>
      </c>
      <c r="M322" s="4" t="s">
        <v>3</v>
      </c>
      <c r="N322" s="5">
        <v>259</v>
      </c>
      <c r="O322" s="5">
        <v>26</v>
      </c>
      <c r="P322" s="4" t="s">
        <v>180</v>
      </c>
      <c r="Q322" s="8" t="s">
        <v>39</v>
      </c>
      <c r="R322" s="4" t="s">
        <v>496</v>
      </c>
      <c r="S322" s="4"/>
      <c r="T322"/>
      <c r="U322" s="23"/>
    </row>
    <row r="323" spans="1:21" ht="15.6" x14ac:dyDescent="0.3">
      <c r="A323" s="4">
        <v>322</v>
      </c>
      <c r="B323" s="5">
        <v>3044316</v>
      </c>
      <c r="C323" s="4" t="s">
        <v>92</v>
      </c>
      <c r="D323" s="4" t="s">
        <v>60</v>
      </c>
      <c r="E323" s="4" t="s">
        <v>64</v>
      </c>
      <c r="F323" s="4" t="s">
        <v>2953</v>
      </c>
      <c r="G323" s="6">
        <v>1.8</v>
      </c>
      <c r="H323" s="7">
        <v>45613.420648148145</v>
      </c>
      <c r="I323" s="7" t="str">
        <f>TEXT(multilingual_mobile_app_reviews_2025[[#This Row],[Review_date]],"dd-mm-yyyy")</f>
        <v>17-11-2024</v>
      </c>
      <c r="J323" s="7" t="str">
        <f>TEXT(multilingual_mobile_app_reviews_2025[[#This Row],[Review_date]],"YYYY")</f>
        <v>2024</v>
      </c>
      <c r="K323" s="7" t="str">
        <f>TEXT(multilingual_mobile_app_reviews_2025[[#This Row],[Review_date]],"MMMM")</f>
        <v>November</v>
      </c>
      <c r="L323" s="4" t="b">
        <v>0</v>
      </c>
      <c r="M323" s="4" t="s">
        <v>33</v>
      </c>
      <c r="N323" s="5">
        <v>195</v>
      </c>
      <c r="O323" s="5">
        <v>52</v>
      </c>
      <c r="P323" s="4" t="s">
        <v>162</v>
      </c>
      <c r="Q323" s="8" t="s">
        <v>2963</v>
      </c>
      <c r="R323" s="4" t="s">
        <v>497</v>
      </c>
      <c r="S323" s="4"/>
      <c r="T323"/>
      <c r="U323" s="23"/>
    </row>
    <row r="324" spans="1:21" ht="15.6" x14ac:dyDescent="0.3">
      <c r="A324" s="4">
        <v>323</v>
      </c>
      <c r="B324" s="5">
        <v>6902999</v>
      </c>
      <c r="C324" s="4" t="s">
        <v>14</v>
      </c>
      <c r="D324" s="4" t="s">
        <v>31</v>
      </c>
      <c r="E324" s="4" t="s">
        <v>109</v>
      </c>
      <c r="F324" s="4" t="s">
        <v>2940</v>
      </c>
      <c r="G324" s="6">
        <v>3.6</v>
      </c>
      <c r="H324" s="7">
        <v>45781.220243055555</v>
      </c>
      <c r="I324" s="7" t="str">
        <f>TEXT(multilingual_mobile_app_reviews_2025[[#This Row],[Review_date]],"dd-mm-yyyy")</f>
        <v>04-05-2025</v>
      </c>
      <c r="J324" s="7" t="str">
        <f>TEXT(multilingual_mobile_app_reviews_2025[[#This Row],[Review_date]],"YYYY")</f>
        <v>2025</v>
      </c>
      <c r="K324" s="7" t="str">
        <f>TEXT(multilingual_mobile_app_reviews_2025[[#This Row],[Review_date]],"MMMM")</f>
        <v>May</v>
      </c>
      <c r="L324" s="4" t="b">
        <v>1</v>
      </c>
      <c r="M324" s="4" t="s">
        <v>10</v>
      </c>
      <c r="N324" s="5">
        <v>429</v>
      </c>
      <c r="O324" s="5">
        <v>40</v>
      </c>
      <c r="P324" s="4" t="s">
        <v>230</v>
      </c>
      <c r="Q324" s="8" t="s">
        <v>39</v>
      </c>
      <c r="R324" s="4" t="s">
        <v>498</v>
      </c>
      <c r="S324" s="4"/>
      <c r="T324"/>
      <c r="U324" s="23"/>
    </row>
    <row r="325" spans="1:21" ht="15.6" x14ac:dyDescent="0.3">
      <c r="A325" s="4">
        <v>324</v>
      </c>
      <c r="B325" s="5">
        <v>8744974</v>
      </c>
      <c r="C325" s="4" t="s">
        <v>56</v>
      </c>
      <c r="D325" s="4" t="s">
        <v>47</v>
      </c>
      <c r="E325" s="4" t="s">
        <v>27</v>
      </c>
      <c r="F325" s="4" t="s">
        <v>2961</v>
      </c>
      <c r="G325" s="6">
        <v>2.8</v>
      </c>
      <c r="H325" s="7">
        <v>45393.586423611108</v>
      </c>
      <c r="I325" s="7" t="str">
        <f>TEXT(multilingual_mobile_app_reviews_2025[[#This Row],[Review_date]],"dd-mm-yyyy")</f>
        <v>11-04-2024</v>
      </c>
      <c r="J325" s="7" t="str">
        <f>TEXT(multilingual_mobile_app_reviews_2025[[#This Row],[Review_date]],"YYYY")</f>
        <v>2024</v>
      </c>
      <c r="K325" s="7" t="str">
        <f>TEXT(multilingual_mobile_app_reviews_2025[[#This Row],[Review_date]],"MMMM")</f>
        <v>April</v>
      </c>
      <c r="L325" s="4" t="b">
        <v>1</v>
      </c>
      <c r="M325" s="4" t="s">
        <v>33</v>
      </c>
      <c r="N325" s="5">
        <v>667</v>
      </c>
      <c r="O325" s="5">
        <v>39</v>
      </c>
      <c r="P325" s="4" t="s">
        <v>127</v>
      </c>
      <c r="Q325" s="8" t="s">
        <v>39</v>
      </c>
      <c r="R325" s="4" t="s">
        <v>499</v>
      </c>
      <c r="S325" s="4"/>
      <c r="T325"/>
      <c r="U325" s="23"/>
    </row>
    <row r="326" spans="1:21" ht="15.6" x14ac:dyDescent="0.3">
      <c r="A326" s="4">
        <v>325</v>
      </c>
      <c r="B326" s="5">
        <v>6824865</v>
      </c>
      <c r="C326" s="4" t="s">
        <v>89</v>
      </c>
      <c r="D326" s="4" t="s">
        <v>15</v>
      </c>
      <c r="E326" s="4" t="s">
        <v>32</v>
      </c>
      <c r="F326" s="4" t="s">
        <v>2951</v>
      </c>
      <c r="G326" s="6">
        <v>1.9</v>
      </c>
      <c r="H326" s="7">
        <v>45658.704652777778</v>
      </c>
      <c r="I326" s="7" t="str">
        <f>TEXT(multilingual_mobile_app_reviews_2025[[#This Row],[Review_date]],"dd-mm-yyyy")</f>
        <v>01-01-2025</v>
      </c>
      <c r="J326" s="7" t="str">
        <f>TEXT(multilingual_mobile_app_reviews_2025[[#This Row],[Review_date]],"YYYY")</f>
        <v>2025</v>
      </c>
      <c r="K326" s="7" t="str">
        <f>TEXT(multilingual_mobile_app_reviews_2025[[#This Row],[Review_date]],"MMMM")</f>
        <v>January</v>
      </c>
      <c r="L326" s="4" t="b">
        <v>1</v>
      </c>
      <c r="M326" s="4" t="s">
        <v>33</v>
      </c>
      <c r="N326" s="5">
        <v>931</v>
      </c>
      <c r="O326" s="5">
        <v>24</v>
      </c>
      <c r="P326" s="4" t="s">
        <v>11</v>
      </c>
      <c r="Q326" s="8" t="s">
        <v>39</v>
      </c>
      <c r="R326" s="4" t="s">
        <v>500</v>
      </c>
      <c r="S326" s="4"/>
      <c r="T326"/>
      <c r="U326" s="23"/>
    </row>
    <row r="327" spans="1:21" ht="15.6" x14ac:dyDescent="0.3">
      <c r="A327" s="4">
        <v>326</v>
      </c>
      <c r="B327" s="5">
        <v>3200114</v>
      </c>
      <c r="C327" s="4" t="s">
        <v>174</v>
      </c>
      <c r="D327" s="4" t="s">
        <v>63</v>
      </c>
      <c r="E327" s="4" t="s">
        <v>130</v>
      </c>
      <c r="F327" s="4" t="s">
        <v>2946</v>
      </c>
      <c r="G327" s="6">
        <v>2.7</v>
      </c>
      <c r="H327" s="7">
        <v>45248.094733796293</v>
      </c>
      <c r="I327" s="7" t="str">
        <f>TEXT(multilingual_mobile_app_reviews_2025[[#This Row],[Review_date]],"dd-mm-yyyy")</f>
        <v>18-11-2023</v>
      </c>
      <c r="J327" s="7" t="str">
        <f>TEXT(multilingual_mobile_app_reviews_2025[[#This Row],[Review_date]],"YYYY")</f>
        <v>2023</v>
      </c>
      <c r="K327" s="7" t="str">
        <f>TEXT(multilingual_mobile_app_reviews_2025[[#This Row],[Review_date]],"MMMM")</f>
        <v>November</v>
      </c>
      <c r="L327" s="4" t="b">
        <v>1</v>
      </c>
      <c r="M327" s="4" t="s">
        <v>10</v>
      </c>
      <c r="N327" s="5">
        <v>450</v>
      </c>
      <c r="O327" s="5">
        <v>69</v>
      </c>
      <c r="P327" s="4" t="s">
        <v>114</v>
      </c>
      <c r="Q327" s="8" t="s">
        <v>2963</v>
      </c>
      <c r="R327" s="4" t="s">
        <v>501</v>
      </c>
      <c r="S327" s="4"/>
      <c r="T327"/>
      <c r="U327" s="23"/>
    </row>
    <row r="328" spans="1:21" ht="15.6" x14ac:dyDescent="0.3">
      <c r="A328" s="4">
        <v>327</v>
      </c>
      <c r="B328" s="5">
        <v>5529135</v>
      </c>
      <c r="C328" s="4" t="s">
        <v>46</v>
      </c>
      <c r="D328" s="4" t="s">
        <v>8</v>
      </c>
      <c r="E328" s="4" t="s">
        <v>130</v>
      </c>
      <c r="F328" s="4" t="s">
        <v>2944</v>
      </c>
      <c r="G328" s="6">
        <v>1.1000000000000001</v>
      </c>
      <c r="H328" s="7">
        <v>45865.755324074074</v>
      </c>
      <c r="I328" s="7" t="str">
        <f>TEXT(multilingual_mobile_app_reviews_2025[[#This Row],[Review_date]],"dd-mm-yyyy")</f>
        <v>27-07-2025</v>
      </c>
      <c r="J328" s="7" t="str">
        <f>TEXT(multilingual_mobile_app_reviews_2025[[#This Row],[Review_date]],"YYYY")</f>
        <v>2025</v>
      </c>
      <c r="K328" s="7" t="str">
        <f>TEXT(multilingual_mobile_app_reviews_2025[[#This Row],[Review_date]],"MMMM")</f>
        <v>July</v>
      </c>
      <c r="L328" s="4" t="b">
        <v>1</v>
      </c>
      <c r="M328" s="4" t="s">
        <v>3</v>
      </c>
      <c r="N328" s="5">
        <v>505</v>
      </c>
      <c r="O328" s="5">
        <v>28</v>
      </c>
      <c r="P328" s="4" t="s">
        <v>73</v>
      </c>
      <c r="Q328" s="8" t="s">
        <v>29</v>
      </c>
      <c r="R328" s="4" t="s">
        <v>502</v>
      </c>
      <c r="S328" s="4"/>
      <c r="T328"/>
      <c r="U328" s="23"/>
    </row>
    <row r="329" spans="1:21" ht="15.6" x14ac:dyDescent="0.3">
      <c r="A329" s="4">
        <v>328</v>
      </c>
      <c r="B329" s="5">
        <v>214590</v>
      </c>
      <c r="C329" s="4" t="s">
        <v>244</v>
      </c>
      <c r="D329" s="4" t="s">
        <v>157</v>
      </c>
      <c r="E329" s="4" t="s">
        <v>32</v>
      </c>
      <c r="F329" s="4" t="s">
        <v>2947</v>
      </c>
      <c r="G329" s="6">
        <v>3</v>
      </c>
      <c r="H329" s="7">
        <v>45341.436168981483</v>
      </c>
      <c r="I329" s="7" t="str">
        <f>TEXT(multilingual_mobile_app_reviews_2025[[#This Row],[Review_date]],"dd-mm-yyyy")</f>
        <v>19-02-2024</v>
      </c>
      <c r="J329" s="7" t="str">
        <f>TEXT(multilingual_mobile_app_reviews_2025[[#This Row],[Review_date]],"YYYY")</f>
        <v>2024</v>
      </c>
      <c r="K329" s="7" t="str">
        <f>TEXT(multilingual_mobile_app_reviews_2025[[#This Row],[Review_date]],"MMMM")</f>
        <v>February</v>
      </c>
      <c r="L329" s="4" t="b">
        <v>1</v>
      </c>
      <c r="M329" s="4" t="s">
        <v>98</v>
      </c>
      <c r="N329" s="5">
        <v>926</v>
      </c>
      <c r="O329" s="5">
        <v>44</v>
      </c>
      <c r="P329" s="4" t="s">
        <v>17</v>
      </c>
      <c r="Q329" s="8" t="s">
        <v>12</v>
      </c>
      <c r="R329" s="4" t="s">
        <v>503</v>
      </c>
      <c r="S329" s="4"/>
      <c r="T329"/>
      <c r="U329" s="23"/>
    </row>
    <row r="330" spans="1:21" ht="15.6" x14ac:dyDescent="0.3">
      <c r="A330" s="4">
        <v>329</v>
      </c>
      <c r="B330" s="5">
        <v>4051390</v>
      </c>
      <c r="C330" s="4" t="s">
        <v>96</v>
      </c>
      <c r="D330" s="4" t="s">
        <v>8</v>
      </c>
      <c r="E330" s="4" t="s">
        <v>130</v>
      </c>
      <c r="F330" s="4" t="s">
        <v>2950</v>
      </c>
      <c r="G330" s="6">
        <v>4</v>
      </c>
      <c r="H330" s="7">
        <v>45485.867997685185</v>
      </c>
      <c r="I330" s="7" t="str">
        <f>TEXT(multilingual_mobile_app_reviews_2025[[#This Row],[Review_date]],"dd-mm-yyyy")</f>
        <v>12-07-2024</v>
      </c>
      <c r="J330" s="7" t="str">
        <f>TEXT(multilingual_mobile_app_reviews_2025[[#This Row],[Review_date]],"YYYY")</f>
        <v>2024</v>
      </c>
      <c r="K330" s="7" t="str">
        <f>TEXT(multilingual_mobile_app_reviews_2025[[#This Row],[Review_date]],"MMMM")</f>
        <v>July</v>
      </c>
      <c r="L330" s="4" t="b">
        <v>0</v>
      </c>
      <c r="M330" s="4" t="s">
        <v>98</v>
      </c>
      <c r="N330" s="5">
        <v>931</v>
      </c>
      <c r="O330" s="5">
        <v>42</v>
      </c>
      <c r="P330" s="4" t="s">
        <v>180</v>
      </c>
      <c r="Q330" s="8" t="s">
        <v>29</v>
      </c>
      <c r="R330" s="4" t="s">
        <v>2963</v>
      </c>
      <c r="S330" s="4"/>
      <c r="T330"/>
      <c r="U330" s="23"/>
    </row>
    <row r="331" spans="1:21" ht="15.6" x14ac:dyDescent="0.3">
      <c r="A331" s="4">
        <v>330</v>
      </c>
      <c r="B331" s="5">
        <v>4579421</v>
      </c>
      <c r="C331" s="4" t="s">
        <v>0</v>
      </c>
      <c r="D331" s="4" t="s">
        <v>20</v>
      </c>
      <c r="E331" s="4" t="s">
        <v>21</v>
      </c>
      <c r="F331" s="4" t="s">
        <v>2958</v>
      </c>
      <c r="G331" s="6">
        <v>4.8</v>
      </c>
      <c r="H331" s="7">
        <v>45394.905798611115</v>
      </c>
      <c r="I331" s="7" t="str">
        <f>TEXT(multilingual_mobile_app_reviews_2025[[#This Row],[Review_date]],"dd-mm-yyyy")</f>
        <v>12-04-2024</v>
      </c>
      <c r="J331" s="7" t="str">
        <f>TEXT(multilingual_mobile_app_reviews_2025[[#This Row],[Review_date]],"YYYY")</f>
        <v>2024</v>
      </c>
      <c r="K331" s="7" t="str">
        <f>TEXT(multilingual_mobile_app_reviews_2025[[#This Row],[Review_date]],"MMMM")</f>
        <v>April</v>
      </c>
      <c r="L331" s="4" t="b">
        <v>1</v>
      </c>
      <c r="M331" s="4" t="s">
        <v>33</v>
      </c>
      <c r="N331" s="5">
        <v>1178</v>
      </c>
      <c r="O331" s="5">
        <v>63</v>
      </c>
      <c r="P331" s="4" t="s">
        <v>127</v>
      </c>
      <c r="Q331" s="8" t="s">
        <v>12</v>
      </c>
      <c r="R331" s="4" t="s">
        <v>504</v>
      </c>
      <c r="S331" s="4"/>
      <c r="T331"/>
      <c r="U331" s="23"/>
    </row>
    <row r="332" spans="1:21" ht="15.6" x14ac:dyDescent="0.3">
      <c r="A332" s="4">
        <v>331</v>
      </c>
      <c r="B332" s="5">
        <v>9872069</v>
      </c>
      <c r="C332" s="4" t="s">
        <v>258</v>
      </c>
      <c r="D332" s="4" t="s">
        <v>63</v>
      </c>
      <c r="E332" s="4" t="s">
        <v>9</v>
      </c>
      <c r="F332" s="4" t="s">
        <v>2952</v>
      </c>
      <c r="G332" s="6">
        <v>3.6</v>
      </c>
      <c r="H332" s="7">
        <v>45700.357719907406</v>
      </c>
      <c r="I332" s="7" t="str">
        <f>TEXT(multilingual_mobile_app_reviews_2025[[#This Row],[Review_date]],"dd-mm-yyyy")</f>
        <v>12-02-2025</v>
      </c>
      <c r="J332" s="7" t="str">
        <f>TEXT(multilingual_mobile_app_reviews_2025[[#This Row],[Review_date]],"YYYY")</f>
        <v>2025</v>
      </c>
      <c r="K332" s="7" t="str">
        <f>TEXT(multilingual_mobile_app_reviews_2025[[#This Row],[Review_date]],"MMMM")</f>
        <v>February</v>
      </c>
      <c r="L332" s="4" t="b">
        <v>1</v>
      </c>
      <c r="M332" s="4" t="s">
        <v>98</v>
      </c>
      <c r="N332" s="5">
        <v>1148</v>
      </c>
      <c r="O332" s="5">
        <v>58</v>
      </c>
      <c r="P332" s="4" t="s">
        <v>127</v>
      </c>
      <c r="Q332" s="8" t="s">
        <v>5</v>
      </c>
      <c r="R332" s="4" t="s">
        <v>505</v>
      </c>
      <c r="S332" s="4"/>
      <c r="T332"/>
      <c r="U332" s="23"/>
    </row>
    <row r="333" spans="1:21" ht="15.6" x14ac:dyDescent="0.3">
      <c r="A333" s="4">
        <v>332</v>
      </c>
      <c r="B333" s="5">
        <v>291859</v>
      </c>
      <c r="C333" s="4" t="s">
        <v>50</v>
      </c>
      <c r="D333" s="4" t="s">
        <v>220</v>
      </c>
      <c r="E333" s="4" t="s">
        <v>32</v>
      </c>
      <c r="F333" s="4" t="s">
        <v>2944</v>
      </c>
      <c r="G333" s="6">
        <v>1.2</v>
      </c>
      <c r="H333" s="7">
        <v>45342.032592592594</v>
      </c>
      <c r="I333" s="7" t="str">
        <f>TEXT(multilingual_mobile_app_reviews_2025[[#This Row],[Review_date]],"dd-mm-yyyy")</f>
        <v>20-02-2024</v>
      </c>
      <c r="J333" s="7" t="str">
        <f>TEXT(multilingual_mobile_app_reviews_2025[[#This Row],[Review_date]],"YYYY")</f>
        <v>2024</v>
      </c>
      <c r="K333" s="7" t="str">
        <f>TEXT(multilingual_mobile_app_reviews_2025[[#This Row],[Review_date]],"MMMM")</f>
        <v>February</v>
      </c>
      <c r="L333" s="4" t="b">
        <v>0</v>
      </c>
      <c r="M333" s="4" t="s">
        <v>10</v>
      </c>
      <c r="N333" s="5">
        <v>707</v>
      </c>
      <c r="O333" s="5">
        <v>41</v>
      </c>
      <c r="P333" s="4" t="s">
        <v>99</v>
      </c>
      <c r="Q333" s="8" t="s">
        <v>2963</v>
      </c>
      <c r="R333" s="4" t="s">
        <v>506</v>
      </c>
      <c r="S333" s="4"/>
      <c r="T333"/>
      <c r="U333" s="23"/>
    </row>
    <row r="334" spans="1:21" ht="15.6" x14ac:dyDescent="0.3">
      <c r="A334" s="4">
        <v>333</v>
      </c>
      <c r="B334" s="5">
        <v>6132283</v>
      </c>
      <c r="C334" s="4" t="s">
        <v>96</v>
      </c>
      <c r="D334" s="4" t="s">
        <v>57</v>
      </c>
      <c r="E334" s="4" t="s">
        <v>507</v>
      </c>
      <c r="F334" s="4" t="s">
        <v>2941</v>
      </c>
      <c r="G334" s="6">
        <v>2.6</v>
      </c>
      <c r="H334" s="7">
        <v>45834.137245370373</v>
      </c>
      <c r="I334" s="7" t="str">
        <f>TEXT(multilingual_mobile_app_reviews_2025[[#This Row],[Review_date]],"dd-mm-yyyy")</f>
        <v>26-06-2025</v>
      </c>
      <c r="J334" s="7" t="str">
        <f>TEXT(multilingual_mobile_app_reviews_2025[[#This Row],[Review_date]],"YYYY")</f>
        <v>2025</v>
      </c>
      <c r="K334" s="7" t="str">
        <f>TEXT(multilingual_mobile_app_reviews_2025[[#This Row],[Review_date]],"MMMM")</f>
        <v>June</v>
      </c>
      <c r="L334" s="4" t="b">
        <v>0</v>
      </c>
      <c r="M334" s="4" t="s">
        <v>22</v>
      </c>
      <c r="N334" s="5">
        <v>590</v>
      </c>
      <c r="O334" s="5">
        <v>74</v>
      </c>
      <c r="P334" s="4" t="s">
        <v>4</v>
      </c>
      <c r="Q334" s="8" t="s">
        <v>12</v>
      </c>
      <c r="R334" s="4" t="s">
        <v>508</v>
      </c>
      <c r="S334" s="4"/>
      <c r="T334"/>
      <c r="U334" s="23"/>
    </row>
    <row r="335" spans="1:21" ht="15.6" x14ac:dyDescent="0.3">
      <c r="A335" s="4">
        <v>334</v>
      </c>
      <c r="B335" s="5">
        <v>5317344</v>
      </c>
      <c r="C335" s="4" t="s">
        <v>0</v>
      </c>
      <c r="D335" s="4" t="s">
        <v>42</v>
      </c>
      <c r="E335" s="4" t="s">
        <v>32</v>
      </c>
      <c r="F335" s="4" t="s">
        <v>2946</v>
      </c>
      <c r="G335" s="6">
        <v>4</v>
      </c>
      <c r="H335" s="7">
        <v>45675.042650462965</v>
      </c>
      <c r="I335" s="7" t="str">
        <f>TEXT(multilingual_mobile_app_reviews_2025[[#This Row],[Review_date]],"dd-mm-yyyy")</f>
        <v>18-01-2025</v>
      </c>
      <c r="J335" s="7" t="str">
        <f>TEXT(multilingual_mobile_app_reviews_2025[[#This Row],[Review_date]],"YYYY")</f>
        <v>2025</v>
      </c>
      <c r="K335" s="7" t="str">
        <f>TEXT(multilingual_mobile_app_reviews_2025[[#This Row],[Review_date]],"MMMM")</f>
        <v>January</v>
      </c>
      <c r="L335" s="4" t="b">
        <v>1</v>
      </c>
      <c r="M335" s="4" t="s">
        <v>98</v>
      </c>
      <c r="N335" s="5">
        <v>597</v>
      </c>
      <c r="O335" s="5">
        <v>25</v>
      </c>
      <c r="P335" s="4" t="s">
        <v>4</v>
      </c>
      <c r="Q335" s="8" t="s">
        <v>12</v>
      </c>
      <c r="R335" s="4" t="s">
        <v>509</v>
      </c>
      <c r="S335" s="4"/>
      <c r="T335"/>
      <c r="U335" s="23"/>
    </row>
    <row r="336" spans="1:21" ht="15.6" x14ac:dyDescent="0.3">
      <c r="A336" s="4">
        <v>335</v>
      </c>
      <c r="B336" s="5">
        <v>5049909</v>
      </c>
      <c r="C336" s="4" t="s">
        <v>36</v>
      </c>
      <c r="D336" s="4" t="s">
        <v>26</v>
      </c>
      <c r="E336" s="4" t="s">
        <v>21</v>
      </c>
      <c r="F336" s="4" t="s">
        <v>2950</v>
      </c>
      <c r="G336" s="6">
        <v>1.5</v>
      </c>
      <c r="H336" s="7">
        <v>45424.358043981483</v>
      </c>
      <c r="I336" s="7" t="str">
        <f>TEXT(multilingual_mobile_app_reviews_2025[[#This Row],[Review_date]],"dd-mm-yyyy")</f>
        <v>12-05-2024</v>
      </c>
      <c r="J336" s="7" t="str">
        <f>TEXT(multilingual_mobile_app_reviews_2025[[#This Row],[Review_date]],"YYYY")</f>
        <v>2024</v>
      </c>
      <c r="K336" s="7" t="str">
        <f>TEXT(multilingual_mobile_app_reviews_2025[[#This Row],[Review_date]],"MMMM")</f>
        <v>May</v>
      </c>
      <c r="L336" s="4" t="b">
        <v>0</v>
      </c>
      <c r="M336" s="4" t="s">
        <v>10</v>
      </c>
      <c r="N336" s="5">
        <v>351</v>
      </c>
      <c r="O336" s="5">
        <v>63</v>
      </c>
      <c r="P336" s="4" t="s">
        <v>230</v>
      </c>
      <c r="Q336" s="8" t="s">
        <v>5</v>
      </c>
      <c r="R336" s="4" t="s">
        <v>510</v>
      </c>
      <c r="S336" s="4"/>
      <c r="T336"/>
      <c r="U336" s="23"/>
    </row>
    <row r="337" spans="1:21" ht="15.6" x14ac:dyDescent="0.3">
      <c r="A337" s="4">
        <v>336</v>
      </c>
      <c r="B337" s="5">
        <v>3805235</v>
      </c>
      <c r="C337" s="4" t="s">
        <v>69</v>
      </c>
      <c r="D337" s="4" t="s">
        <v>47</v>
      </c>
      <c r="E337" s="4" t="s">
        <v>76</v>
      </c>
      <c r="F337" s="4" t="s">
        <v>2958</v>
      </c>
      <c r="G337" s="6">
        <v>3.8</v>
      </c>
      <c r="H337" s="7">
        <v>45309.080474537041</v>
      </c>
      <c r="I337" s="7" t="str">
        <f>TEXT(multilingual_mobile_app_reviews_2025[[#This Row],[Review_date]],"dd-mm-yyyy")</f>
        <v>18-01-2024</v>
      </c>
      <c r="J337" s="7" t="str">
        <f>TEXT(multilingual_mobile_app_reviews_2025[[#This Row],[Review_date]],"YYYY")</f>
        <v>2024</v>
      </c>
      <c r="K337" s="7" t="str">
        <f>TEXT(multilingual_mobile_app_reviews_2025[[#This Row],[Review_date]],"MMMM")</f>
        <v>January</v>
      </c>
      <c r="L337" s="4" t="b">
        <v>1</v>
      </c>
      <c r="M337" s="4" t="s">
        <v>22</v>
      </c>
      <c r="N337" s="5">
        <v>330</v>
      </c>
      <c r="O337" s="5">
        <v>28</v>
      </c>
      <c r="P337" s="4" t="s">
        <v>80</v>
      </c>
      <c r="Q337" s="8" t="s">
        <v>12</v>
      </c>
      <c r="R337" s="4" t="s">
        <v>511</v>
      </c>
      <c r="S337" s="4"/>
      <c r="T337"/>
      <c r="U337" s="23"/>
    </row>
    <row r="338" spans="1:21" ht="15.6" x14ac:dyDescent="0.3">
      <c r="A338" s="4">
        <v>337</v>
      </c>
      <c r="B338" s="5">
        <v>8122561</v>
      </c>
      <c r="C338" s="4" t="s">
        <v>78</v>
      </c>
      <c r="D338" s="4" t="s">
        <v>26</v>
      </c>
      <c r="E338" s="4" t="s">
        <v>512</v>
      </c>
      <c r="F338" s="4" t="s">
        <v>2942</v>
      </c>
      <c r="G338" s="6">
        <v>4.7</v>
      </c>
      <c r="H338" s="7">
        <v>45547.051342592589</v>
      </c>
      <c r="I338" s="7" t="str">
        <f>TEXT(multilingual_mobile_app_reviews_2025[[#This Row],[Review_date]],"dd-mm-yyyy")</f>
        <v>12-09-2024</v>
      </c>
      <c r="J338" s="7" t="str">
        <f>TEXT(multilingual_mobile_app_reviews_2025[[#This Row],[Review_date]],"YYYY")</f>
        <v>2024</v>
      </c>
      <c r="K338" s="7" t="str">
        <f>TEXT(multilingual_mobile_app_reviews_2025[[#This Row],[Review_date]],"MMMM")</f>
        <v>September</v>
      </c>
      <c r="L338" s="4" t="b">
        <v>1</v>
      </c>
      <c r="M338" s="4" t="s">
        <v>3</v>
      </c>
      <c r="N338" s="5">
        <v>1022</v>
      </c>
      <c r="O338" s="5">
        <v>62</v>
      </c>
      <c r="P338" s="4" t="s">
        <v>180</v>
      </c>
      <c r="Q338" s="8" t="s">
        <v>29</v>
      </c>
      <c r="R338" s="4" t="s">
        <v>513</v>
      </c>
      <c r="S338" s="4"/>
      <c r="T338"/>
      <c r="U338" s="23"/>
    </row>
    <row r="339" spans="1:21" ht="15.6" x14ac:dyDescent="0.3">
      <c r="A339" s="4">
        <v>338</v>
      </c>
      <c r="B339" s="5">
        <v>8961274</v>
      </c>
      <c r="C339" s="4" t="s">
        <v>96</v>
      </c>
      <c r="D339" s="4" t="s">
        <v>60</v>
      </c>
      <c r="E339" s="4" t="s">
        <v>514</v>
      </c>
      <c r="F339" s="4" t="s">
        <v>2954</v>
      </c>
      <c r="G339" s="6">
        <v>3.8</v>
      </c>
      <c r="H339" s="7">
        <v>45695.724907407406</v>
      </c>
      <c r="I339" s="7" t="str">
        <f>TEXT(multilingual_mobile_app_reviews_2025[[#This Row],[Review_date]],"dd-mm-yyyy")</f>
        <v>07-02-2025</v>
      </c>
      <c r="J339" s="7" t="str">
        <f>TEXT(multilingual_mobile_app_reviews_2025[[#This Row],[Review_date]],"YYYY")</f>
        <v>2025</v>
      </c>
      <c r="K339" s="7" t="str">
        <f>TEXT(multilingual_mobile_app_reviews_2025[[#This Row],[Review_date]],"MMMM")</f>
        <v>February</v>
      </c>
      <c r="L339" s="4" t="b">
        <v>1</v>
      </c>
      <c r="M339" s="4" t="s">
        <v>3</v>
      </c>
      <c r="N339" s="5">
        <v>82</v>
      </c>
      <c r="O339" s="5">
        <v>21</v>
      </c>
      <c r="P339" s="4" t="s">
        <v>94</v>
      </c>
      <c r="Q339" s="8" t="s">
        <v>2963</v>
      </c>
      <c r="R339" s="4" t="s">
        <v>515</v>
      </c>
      <c r="S339" s="4"/>
      <c r="T339"/>
      <c r="U339" s="23"/>
    </row>
    <row r="340" spans="1:21" ht="15.6" x14ac:dyDescent="0.3">
      <c r="A340" s="4">
        <v>339</v>
      </c>
      <c r="B340" s="5">
        <v>8301172</v>
      </c>
      <c r="C340" s="4" t="s">
        <v>208</v>
      </c>
      <c r="D340" s="4" t="s">
        <v>63</v>
      </c>
      <c r="E340" s="4" t="s">
        <v>516</v>
      </c>
      <c r="F340" s="4" t="s">
        <v>2959</v>
      </c>
      <c r="G340" s="6">
        <v>1.1000000000000001</v>
      </c>
      <c r="H340" s="7">
        <v>45773.036226851851</v>
      </c>
      <c r="I340" s="7" t="str">
        <f>TEXT(multilingual_mobile_app_reviews_2025[[#This Row],[Review_date]],"dd-mm-yyyy")</f>
        <v>26-04-2025</v>
      </c>
      <c r="J340" s="7" t="str">
        <f>TEXT(multilingual_mobile_app_reviews_2025[[#This Row],[Review_date]],"YYYY")</f>
        <v>2025</v>
      </c>
      <c r="K340" s="7" t="str">
        <f>TEXT(multilingual_mobile_app_reviews_2025[[#This Row],[Review_date]],"MMMM")</f>
        <v>April</v>
      </c>
      <c r="L340" s="4" t="b">
        <v>1</v>
      </c>
      <c r="M340" s="4" t="s">
        <v>33</v>
      </c>
      <c r="N340" s="5">
        <v>912</v>
      </c>
      <c r="O340" s="5">
        <v>56</v>
      </c>
      <c r="P340" s="4" t="s">
        <v>94</v>
      </c>
      <c r="Q340" s="8" t="s">
        <v>12</v>
      </c>
      <c r="R340" s="4" t="s">
        <v>517</v>
      </c>
      <c r="S340" s="4"/>
      <c r="T340"/>
      <c r="U340" s="23"/>
    </row>
    <row r="341" spans="1:21" ht="15.6" x14ac:dyDescent="0.3">
      <c r="A341" s="4">
        <v>340</v>
      </c>
      <c r="B341" s="5">
        <v>3755777</v>
      </c>
      <c r="C341" s="4" t="s">
        <v>75</v>
      </c>
      <c r="D341" s="4" t="s">
        <v>79</v>
      </c>
      <c r="E341" s="4" t="s">
        <v>109</v>
      </c>
      <c r="F341" s="4" t="s">
        <v>2962</v>
      </c>
      <c r="G341" s="6">
        <v>2.4</v>
      </c>
      <c r="H341" s="7">
        <v>45588.06590277778</v>
      </c>
      <c r="I341" s="7" t="str">
        <f>TEXT(multilingual_mobile_app_reviews_2025[[#This Row],[Review_date]],"dd-mm-yyyy")</f>
        <v>23-10-2024</v>
      </c>
      <c r="J341" s="7" t="str">
        <f>TEXT(multilingual_mobile_app_reviews_2025[[#This Row],[Review_date]],"YYYY")</f>
        <v>2024</v>
      </c>
      <c r="K341" s="7" t="str">
        <f>TEXT(multilingual_mobile_app_reviews_2025[[#This Row],[Review_date]],"MMMM")</f>
        <v>October</v>
      </c>
      <c r="L341" s="4" t="b">
        <v>1</v>
      </c>
      <c r="M341" s="4" t="s">
        <v>10</v>
      </c>
      <c r="N341" s="5">
        <v>912</v>
      </c>
      <c r="O341" s="5">
        <v>68</v>
      </c>
      <c r="P341" s="4" t="s">
        <v>34</v>
      </c>
      <c r="Q341" s="8" t="s">
        <v>12</v>
      </c>
      <c r="R341" s="4" t="s">
        <v>518</v>
      </c>
      <c r="S341" s="4"/>
      <c r="T341"/>
      <c r="U341" s="23"/>
    </row>
    <row r="342" spans="1:21" ht="15.6" x14ac:dyDescent="0.3">
      <c r="A342" s="4">
        <v>341</v>
      </c>
      <c r="B342" s="5">
        <v>859836</v>
      </c>
      <c r="C342" s="4" t="s">
        <v>176</v>
      </c>
      <c r="D342" s="4" t="s">
        <v>157</v>
      </c>
      <c r="E342" s="4" t="s">
        <v>27</v>
      </c>
      <c r="F342" s="4" t="s">
        <v>2962</v>
      </c>
      <c r="G342" s="6">
        <v>2.9</v>
      </c>
      <c r="H342" s="7">
        <v>45467.973749999997</v>
      </c>
      <c r="I342" s="7" t="str">
        <f>TEXT(multilingual_mobile_app_reviews_2025[[#This Row],[Review_date]],"dd-mm-yyyy")</f>
        <v>24-06-2024</v>
      </c>
      <c r="J342" s="7" t="str">
        <f>TEXT(multilingual_mobile_app_reviews_2025[[#This Row],[Review_date]],"YYYY")</f>
        <v>2024</v>
      </c>
      <c r="K342" s="7" t="str">
        <f>TEXT(multilingual_mobile_app_reviews_2025[[#This Row],[Review_date]],"MMMM")</f>
        <v>June</v>
      </c>
      <c r="L342" s="4" t="b">
        <v>1</v>
      </c>
      <c r="M342" s="4" t="s">
        <v>33</v>
      </c>
      <c r="N342" s="5">
        <v>686</v>
      </c>
      <c r="O342" s="5">
        <v>17</v>
      </c>
      <c r="P342" s="4" t="s">
        <v>28</v>
      </c>
      <c r="Q342" s="8" t="s">
        <v>29</v>
      </c>
      <c r="R342" s="4" t="s">
        <v>519</v>
      </c>
      <c r="S342" s="4"/>
      <c r="T342"/>
      <c r="U342" s="23"/>
    </row>
    <row r="343" spans="1:21" ht="15.6" x14ac:dyDescent="0.3">
      <c r="A343" s="4">
        <v>342</v>
      </c>
      <c r="B343" s="5">
        <v>1169713</v>
      </c>
      <c r="C343" s="4" t="s">
        <v>25</v>
      </c>
      <c r="D343" s="4" t="s">
        <v>31</v>
      </c>
      <c r="E343" s="4" t="s">
        <v>21</v>
      </c>
      <c r="F343" s="4" t="s">
        <v>2950</v>
      </c>
      <c r="G343" s="6">
        <v>2.2000000000000002</v>
      </c>
      <c r="H343" s="7">
        <v>45559.212372685186</v>
      </c>
      <c r="I343" s="7" t="str">
        <f>TEXT(multilingual_mobile_app_reviews_2025[[#This Row],[Review_date]],"dd-mm-yyyy")</f>
        <v>24-09-2024</v>
      </c>
      <c r="J343" s="7" t="str">
        <f>TEXT(multilingual_mobile_app_reviews_2025[[#This Row],[Review_date]],"YYYY")</f>
        <v>2024</v>
      </c>
      <c r="K343" s="7" t="str">
        <f>TEXT(multilingual_mobile_app_reviews_2025[[#This Row],[Review_date]],"MMMM")</f>
        <v>September</v>
      </c>
      <c r="L343" s="4" t="b">
        <v>1</v>
      </c>
      <c r="M343" s="4" t="s">
        <v>33</v>
      </c>
      <c r="N343" s="5">
        <v>949</v>
      </c>
      <c r="O343" s="5">
        <v>27</v>
      </c>
      <c r="P343" s="4" t="s">
        <v>118</v>
      </c>
      <c r="Q343" s="8" t="s">
        <v>12</v>
      </c>
      <c r="R343" s="4" t="s">
        <v>520</v>
      </c>
      <c r="S343" s="4"/>
      <c r="T343"/>
      <c r="U343" s="23"/>
    </row>
    <row r="344" spans="1:21" ht="15.6" x14ac:dyDescent="0.3">
      <c r="A344" s="4">
        <v>343</v>
      </c>
      <c r="B344" s="5">
        <v>1257949</v>
      </c>
      <c r="C344" s="4" t="s">
        <v>96</v>
      </c>
      <c r="D344" s="4" t="s">
        <v>157</v>
      </c>
      <c r="E344" s="4" t="s">
        <v>21</v>
      </c>
      <c r="F344" s="4" t="s">
        <v>2947</v>
      </c>
      <c r="G344" s="6">
        <v>5</v>
      </c>
      <c r="H344" s="7">
        <v>45864.163182870368</v>
      </c>
      <c r="I344" s="7" t="str">
        <f>TEXT(multilingual_mobile_app_reviews_2025[[#This Row],[Review_date]],"dd-mm-yyyy")</f>
        <v>26-07-2025</v>
      </c>
      <c r="J344" s="7" t="str">
        <f>TEXT(multilingual_mobile_app_reviews_2025[[#This Row],[Review_date]],"YYYY")</f>
        <v>2025</v>
      </c>
      <c r="K344" s="7" t="str">
        <f>TEXT(multilingual_mobile_app_reviews_2025[[#This Row],[Review_date]],"MMMM")</f>
        <v>July</v>
      </c>
      <c r="L344" s="4" t="b">
        <v>1</v>
      </c>
      <c r="M344" s="4" t="s">
        <v>98</v>
      </c>
      <c r="N344" s="5">
        <v>1226</v>
      </c>
      <c r="O344" s="5">
        <v>60</v>
      </c>
      <c r="P344" s="4" t="s">
        <v>162</v>
      </c>
      <c r="Q344" s="8" t="s">
        <v>2963</v>
      </c>
      <c r="R344" s="4" t="s">
        <v>521</v>
      </c>
      <c r="S344" s="4"/>
      <c r="T344"/>
      <c r="U344" s="23"/>
    </row>
    <row r="345" spans="1:21" ht="15.6" x14ac:dyDescent="0.3">
      <c r="A345" s="4">
        <v>344</v>
      </c>
      <c r="B345" s="5">
        <v>632422</v>
      </c>
      <c r="C345" s="4" t="s">
        <v>14</v>
      </c>
      <c r="D345" s="4" t="s">
        <v>79</v>
      </c>
      <c r="E345" s="4" t="s">
        <v>76</v>
      </c>
      <c r="F345" s="4" t="s">
        <v>2954</v>
      </c>
      <c r="G345" s="6">
        <v>2.8</v>
      </c>
      <c r="H345" s="7">
        <v>45361.868206018517</v>
      </c>
      <c r="I345" s="7" t="str">
        <f>TEXT(multilingual_mobile_app_reviews_2025[[#This Row],[Review_date]],"dd-mm-yyyy")</f>
        <v>10-03-2024</v>
      </c>
      <c r="J345" s="7" t="str">
        <f>TEXT(multilingual_mobile_app_reviews_2025[[#This Row],[Review_date]],"YYYY")</f>
        <v>2024</v>
      </c>
      <c r="K345" s="7" t="str">
        <f>TEXT(multilingual_mobile_app_reviews_2025[[#This Row],[Review_date]],"MMMM")</f>
        <v>March</v>
      </c>
      <c r="L345" s="4" t="b">
        <v>1</v>
      </c>
      <c r="M345" s="4" t="s">
        <v>22</v>
      </c>
      <c r="N345" s="5">
        <v>731</v>
      </c>
      <c r="O345" s="5">
        <v>23</v>
      </c>
      <c r="P345" s="4" t="s">
        <v>23</v>
      </c>
      <c r="Q345" s="8" t="s">
        <v>39</v>
      </c>
      <c r="R345" s="4" t="s">
        <v>440</v>
      </c>
      <c r="S345" s="4"/>
      <c r="T345"/>
      <c r="U345" s="23"/>
    </row>
    <row r="346" spans="1:21" ht="15.6" x14ac:dyDescent="0.3">
      <c r="A346" s="4">
        <v>345</v>
      </c>
      <c r="B346" s="5">
        <v>3119585</v>
      </c>
      <c r="C346" s="4" t="s">
        <v>0</v>
      </c>
      <c r="D346" s="4" t="s">
        <v>20</v>
      </c>
      <c r="E346" s="4" t="s">
        <v>76</v>
      </c>
      <c r="F346" s="4" t="s">
        <v>2949</v>
      </c>
      <c r="G346" s="6">
        <v>2.2999999999999998</v>
      </c>
      <c r="H346" s="7">
        <v>45736.1565162037</v>
      </c>
      <c r="I346" s="7" t="str">
        <f>TEXT(multilingual_mobile_app_reviews_2025[[#This Row],[Review_date]],"dd-mm-yyyy")</f>
        <v>20-03-2025</v>
      </c>
      <c r="J346" s="7" t="str">
        <f>TEXT(multilingual_mobile_app_reviews_2025[[#This Row],[Review_date]],"YYYY")</f>
        <v>2025</v>
      </c>
      <c r="K346" s="7" t="str">
        <f>TEXT(multilingual_mobile_app_reviews_2025[[#This Row],[Review_date]],"MMMM")</f>
        <v>March</v>
      </c>
      <c r="L346" s="4" t="b">
        <v>1</v>
      </c>
      <c r="M346" s="4" t="s">
        <v>10</v>
      </c>
      <c r="N346" s="5">
        <v>616</v>
      </c>
      <c r="O346" s="5">
        <v>30</v>
      </c>
      <c r="P346" s="4" t="s">
        <v>94</v>
      </c>
      <c r="Q346" s="8" t="s">
        <v>2963</v>
      </c>
      <c r="R346" s="4" t="s">
        <v>522</v>
      </c>
      <c r="S346" s="4"/>
      <c r="T346"/>
      <c r="U346" s="23"/>
    </row>
    <row r="347" spans="1:21" ht="15.6" x14ac:dyDescent="0.3">
      <c r="A347" s="4">
        <v>346</v>
      </c>
      <c r="B347" s="5">
        <v>7152503</v>
      </c>
      <c r="C347" s="4" t="s">
        <v>258</v>
      </c>
      <c r="D347" s="4" t="s">
        <v>60</v>
      </c>
      <c r="E347" s="4" t="s">
        <v>27</v>
      </c>
      <c r="F347" s="4" t="s">
        <v>2959</v>
      </c>
      <c r="G347" s="6">
        <v>4.2</v>
      </c>
      <c r="H347" s="7">
        <v>45429.73064814815</v>
      </c>
      <c r="I347" s="7" t="str">
        <f>TEXT(multilingual_mobile_app_reviews_2025[[#This Row],[Review_date]],"dd-mm-yyyy")</f>
        <v>17-05-2024</v>
      </c>
      <c r="J347" s="7" t="str">
        <f>TEXT(multilingual_mobile_app_reviews_2025[[#This Row],[Review_date]],"YYYY")</f>
        <v>2024</v>
      </c>
      <c r="K347" s="7" t="str">
        <f>TEXT(multilingual_mobile_app_reviews_2025[[#This Row],[Review_date]],"MMMM")</f>
        <v>May</v>
      </c>
      <c r="L347" s="4" t="b">
        <v>1</v>
      </c>
      <c r="M347" s="4" t="s">
        <v>33</v>
      </c>
      <c r="N347" s="5">
        <v>1076</v>
      </c>
      <c r="O347" s="5">
        <v>67</v>
      </c>
      <c r="P347" s="4" t="s">
        <v>34</v>
      </c>
      <c r="Q347" s="8" t="s">
        <v>2963</v>
      </c>
      <c r="R347" s="4" t="s">
        <v>523</v>
      </c>
      <c r="S347" s="4"/>
      <c r="T347"/>
      <c r="U347" s="23"/>
    </row>
    <row r="348" spans="1:21" ht="15.6" x14ac:dyDescent="0.3">
      <c r="A348" s="4">
        <v>347</v>
      </c>
      <c r="B348" s="5">
        <v>7625204</v>
      </c>
      <c r="C348" s="4" t="s">
        <v>174</v>
      </c>
      <c r="D348" s="4" t="s">
        <v>42</v>
      </c>
      <c r="E348" s="4" t="s">
        <v>524</v>
      </c>
      <c r="F348" s="4" t="s">
        <v>2954</v>
      </c>
      <c r="G348" s="6">
        <v>1.7</v>
      </c>
      <c r="H348" s="7">
        <v>45697.41505787037</v>
      </c>
      <c r="I348" s="7" t="str">
        <f>TEXT(multilingual_mobile_app_reviews_2025[[#This Row],[Review_date]],"dd-mm-yyyy")</f>
        <v>09-02-2025</v>
      </c>
      <c r="J348" s="7" t="str">
        <f>TEXT(multilingual_mobile_app_reviews_2025[[#This Row],[Review_date]],"YYYY")</f>
        <v>2025</v>
      </c>
      <c r="K348" s="7" t="str">
        <f>TEXT(multilingual_mobile_app_reviews_2025[[#This Row],[Review_date]],"MMMM")</f>
        <v>February</v>
      </c>
      <c r="L348" s="4" t="b">
        <v>1</v>
      </c>
      <c r="M348" s="4" t="s">
        <v>10</v>
      </c>
      <c r="N348" s="5">
        <v>58</v>
      </c>
      <c r="O348" s="5">
        <v>60</v>
      </c>
      <c r="P348" s="4" t="s">
        <v>80</v>
      </c>
      <c r="Q348" s="8" t="s">
        <v>5</v>
      </c>
      <c r="R348" s="4" t="s">
        <v>119</v>
      </c>
      <c r="S348" s="4"/>
      <c r="T348"/>
      <c r="U348" s="23"/>
    </row>
    <row r="349" spans="1:21" ht="15.6" x14ac:dyDescent="0.3">
      <c r="A349" s="4">
        <v>348</v>
      </c>
      <c r="B349" s="5">
        <v>7215687</v>
      </c>
      <c r="C349" s="4" t="s">
        <v>106</v>
      </c>
      <c r="D349" s="4" t="s">
        <v>157</v>
      </c>
      <c r="E349" s="4" t="s">
        <v>525</v>
      </c>
      <c r="F349" s="4" t="s">
        <v>2942</v>
      </c>
      <c r="G349" s="6">
        <v>1.1000000000000001</v>
      </c>
      <c r="H349" s="7">
        <v>45163.902187500003</v>
      </c>
      <c r="I349" s="7" t="str">
        <f>TEXT(multilingual_mobile_app_reviews_2025[[#This Row],[Review_date]],"dd-mm-yyyy")</f>
        <v>25-08-2023</v>
      </c>
      <c r="J349" s="7" t="str">
        <f>TEXT(multilingual_mobile_app_reviews_2025[[#This Row],[Review_date]],"YYYY")</f>
        <v>2023</v>
      </c>
      <c r="K349" s="7" t="str">
        <f>TEXT(multilingual_mobile_app_reviews_2025[[#This Row],[Review_date]],"MMMM")</f>
        <v>August</v>
      </c>
      <c r="L349" s="4" t="b">
        <v>0</v>
      </c>
      <c r="M349" s="4" t="s">
        <v>33</v>
      </c>
      <c r="N349" s="5">
        <v>1214</v>
      </c>
      <c r="O349" s="5">
        <v>16</v>
      </c>
      <c r="P349" s="4" t="s">
        <v>99</v>
      </c>
      <c r="Q349" s="8" t="s">
        <v>2963</v>
      </c>
      <c r="R349" s="4" t="s">
        <v>526</v>
      </c>
      <c r="S349" s="4"/>
      <c r="T349"/>
      <c r="U349" s="23"/>
    </row>
    <row r="350" spans="1:21" ht="15.6" x14ac:dyDescent="0.3">
      <c r="A350" s="4">
        <v>349</v>
      </c>
      <c r="B350" s="5">
        <v>7133690</v>
      </c>
      <c r="C350" s="4" t="s">
        <v>14</v>
      </c>
      <c r="D350" s="4" t="s">
        <v>220</v>
      </c>
      <c r="E350" s="4" t="s">
        <v>21</v>
      </c>
      <c r="F350" s="4" t="s">
        <v>2950</v>
      </c>
      <c r="G350" s="6">
        <v>2.4</v>
      </c>
      <c r="H350" s="7">
        <v>45616.503229166665</v>
      </c>
      <c r="I350" s="7" t="str">
        <f>TEXT(multilingual_mobile_app_reviews_2025[[#This Row],[Review_date]],"dd-mm-yyyy")</f>
        <v>20-11-2024</v>
      </c>
      <c r="J350" s="7" t="str">
        <f>TEXT(multilingual_mobile_app_reviews_2025[[#This Row],[Review_date]],"YYYY")</f>
        <v>2024</v>
      </c>
      <c r="K350" s="7" t="str">
        <f>TEXT(multilingual_mobile_app_reviews_2025[[#This Row],[Review_date]],"MMMM")</f>
        <v>November</v>
      </c>
      <c r="L350" s="4" t="b">
        <v>0</v>
      </c>
      <c r="M350" s="4" t="s">
        <v>22</v>
      </c>
      <c r="N350" s="5">
        <v>1025</v>
      </c>
      <c r="O350" s="5">
        <v>62</v>
      </c>
      <c r="P350" s="4" t="s">
        <v>44</v>
      </c>
      <c r="Q350" s="8" t="s">
        <v>2963</v>
      </c>
      <c r="R350" s="4" t="s">
        <v>527</v>
      </c>
      <c r="S350" s="4"/>
      <c r="T350"/>
      <c r="U350" s="23"/>
    </row>
    <row r="351" spans="1:21" ht="15.6" x14ac:dyDescent="0.3">
      <c r="A351" s="4">
        <v>350</v>
      </c>
      <c r="B351" s="5">
        <v>362492</v>
      </c>
      <c r="C351" s="4" t="s">
        <v>113</v>
      </c>
      <c r="D351" s="4" t="s">
        <v>220</v>
      </c>
      <c r="E351" s="4" t="s">
        <v>528</v>
      </c>
      <c r="F351" s="4" t="s">
        <v>2948</v>
      </c>
      <c r="G351" s="6">
        <v>4.4000000000000004</v>
      </c>
      <c r="H351" s="7">
        <v>45176.686273148145</v>
      </c>
      <c r="I351" s="7" t="str">
        <f>TEXT(multilingual_mobile_app_reviews_2025[[#This Row],[Review_date]],"dd-mm-yyyy")</f>
        <v>07-09-2023</v>
      </c>
      <c r="J351" s="7" t="str">
        <f>TEXT(multilingual_mobile_app_reviews_2025[[#This Row],[Review_date]],"YYYY")</f>
        <v>2023</v>
      </c>
      <c r="K351" s="7" t="str">
        <f>TEXT(multilingual_mobile_app_reviews_2025[[#This Row],[Review_date]],"MMMM")</f>
        <v>September</v>
      </c>
      <c r="L351" s="4" t="b">
        <v>1</v>
      </c>
      <c r="M351" s="4" t="s">
        <v>3</v>
      </c>
      <c r="N351" s="5">
        <v>750</v>
      </c>
      <c r="O351" s="5">
        <v>57</v>
      </c>
      <c r="P351" s="4" t="s">
        <v>28</v>
      </c>
      <c r="Q351" s="8" t="s">
        <v>5</v>
      </c>
      <c r="R351" s="4" t="s">
        <v>529</v>
      </c>
      <c r="S351" s="4"/>
      <c r="T351"/>
      <c r="U351" s="23"/>
    </row>
    <row r="352" spans="1:21" ht="15.6" x14ac:dyDescent="0.3">
      <c r="A352" s="4">
        <v>351</v>
      </c>
      <c r="B352" s="5">
        <v>842169</v>
      </c>
      <c r="C352" s="4" t="s">
        <v>113</v>
      </c>
      <c r="D352" s="4" t="s">
        <v>97</v>
      </c>
      <c r="E352" s="4" t="s">
        <v>64</v>
      </c>
      <c r="F352" s="4" t="s">
        <v>2951</v>
      </c>
      <c r="G352" s="6">
        <v>3</v>
      </c>
      <c r="H352" s="7">
        <v>45451.326990740738</v>
      </c>
      <c r="I352" s="7" t="str">
        <f>TEXT(multilingual_mobile_app_reviews_2025[[#This Row],[Review_date]],"dd-mm-yyyy")</f>
        <v>08-06-2024</v>
      </c>
      <c r="J352" s="7" t="str">
        <f>TEXT(multilingual_mobile_app_reviews_2025[[#This Row],[Review_date]],"YYYY")</f>
        <v>2024</v>
      </c>
      <c r="K352" s="7" t="str">
        <f>TEXT(multilingual_mobile_app_reviews_2025[[#This Row],[Review_date]],"MMMM")</f>
        <v>June</v>
      </c>
      <c r="L352" s="4" t="b">
        <v>1</v>
      </c>
      <c r="M352" s="4" t="s">
        <v>10</v>
      </c>
      <c r="N352" s="5">
        <v>590</v>
      </c>
      <c r="O352" s="5">
        <v>48</v>
      </c>
      <c r="P352" s="4" t="s">
        <v>44</v>
      </c>
      <c r="Q352" s="8" t="s">
        <v>12</v>
      </c>
      <c r="R352" s="4" t="s">
        <v>530</v>
      </c>
      <c r="S352" s="4"/>
      <c r="T352"/>
      <c r="U352" s="23"/>
    </row>
    <row r="353" spans="1:21" ht="15.6" x14ac:dyDescent="0.3">
      <c r="A353" s="4">
        <v>352</v>
      </c>
      <c r="B353" s="5">
        <v>4031560</v>
      </c>
      <c r="C353" s="4" t="s">
        <v>104</v>
      </c>
      <c r="D353" s="4" t="s">
        <v>8</v>
      </c>
      <c r="E353" s="4" t="s">
        <v>531</v>
      </c>
      <c r="F353" s="4" t="s">
        <v>2957</v>
      </c>
      <c r="G353" s="6">
        <v>2.5</v>
      </c>
      <c r="H353" s="7">
        <v>45543.745925925927</v>
      </c>
      <c r="I353" s="7" t="str">
        <f>TEXT(multilingual_mobile_app_reviews_2025[[#This Row],[Review_date]],"dd-mm-yyyy")</f>
        <v>08-09-2024</v>
      </c>
      <c r="J353" s="7" t="str">
        <f>TEXT(multilingual_mobile_app_reviews_2025[[#This Row],[Review_date]],"YYYY")</f>
        <v>2024</v>
      </c>
      <c r="K353" s="7" t="str">
        <f>TEXT(multilingual_mobile_app_reviews_2025[[#This Row],[Review_date]],"MMMM")</f>
        <v>September</v>
      </c>
      <c r="L353" s="4" t="b">
        <v>1</v>
      </c>
      <c r="M353" s="4" t="s">
        <v>98</v>
      </c>
      <c r="N353" s="5">
        <v>1006</v>
      </c>
      <c r="O353" s="5">
        <v>56</v>
      </c>
      <c r="P353" s="4" t="s">
        <v>80</v>
      </c>
      <c r="Q353" s="8" t="s">
        <v>29</v>
      </c>
      <c r="R353" s="4" t="s">
        <v>532</v>
      </c>
      <c r="S353" s="4"/>
      <c r="T353"/>
      <c r="U353" s="23"/>
    </row>
    <row r="354" spans="1:21" ht="15.6" x14ac:dyDescent="0.3">
      <c r="A354" s="4">
        <v>353</v>
      </c>
      <c r="B354" s="5">
        <v>7038388</v>
      </c>
      <c r="C354" s="4" t="s">
        <v>50</v>
      </c>
      <c r="D354" s="4" t="s">
        <v>1</v>
      </c>
      <c r="E354" s="4" t="s">
        <v>93</v>
      </c>
      <c r="F354" s="4" t="s">
        <v>2960</v>
      </c>
      <c r="G354" s="6">
        <v>1.5</v>
      </c>
      <c r="H354" s="7">
        <v>45372.284247685187</v>
      </c>
      <c r="I354" s="7" t="str">
        <f>TEXT(multilingual_mobile_app_reviews_2025[[#This Row],[Review_date]],"dd-mm-yyyy")</f>
        <v>21-03-2024</v>
      </c>
      <c r="J354" s="7" t="str">
        <f>TEXT(multilingual_mobile_app_reviews_2025[[#This Row],[Review_date]],"YYYY")</f>
        <v>2024</v>
      </c>
      <c r="K354" s="7" t="str">
        <f>TEXT(multilingual_mobile_app_reviews_2025[[#This Row],[Review_date]],"MMMM")</f>
        <v>March</v>
      </c>
      <c r="L354" s="4" t="b">
        <v>1</v>
      </c>
      <c r="M354" s="4" t="s">
        <v>3</v>
      </c>
      <c r="N354" s="5">
        <v>1022</v>
      </c>
      <c r="O354" s="5">
        <v>30</v>
      </c>
      <c r="P354" s="4" t="s">
        <v>61</v>
      </c>
      <c r="Q354" s="8" t="s">
        <v>2963</v>
      </c>
      <c r="R354" s="4" t="s">
        <v>178</v>
      </c>
      <c r="S354" s="4"/>
      <c r="T354"/>
      <c r="U354" s="23"/>
    </row>
    <row r="355" spans="1:21" ht="15.6" x14ac:dyDescent="0.3">
      <c r="A355" s="4">
        <v>354</v>
      </c>
      <c r="B355" s="5">
        <v>1122699</v>
      </c>
      <c r="C355" s="4" t="s">
        <v>137</v>
      </c>
      <c r="D355" s="4" t="s">
        <v>15</v>
      </c>
      <c r="E355" s="4" t="s">
        <v>21</v>
      </c>
      <c r="F355" s="4" t="s">
        <v>2947</v>
      </c>
      <c r="G355" s="6">
        <v>3</v>
      </c>
      <c r="H355" s="7">
        <v>45571.294004629628</v>
      </c>
      <c r="I355" s="7" t="str">
        <f>TEXT(multilingual_mobile_app_reviews_2025[[#This Row],[Review_date]],"dd-mm-yyyy")</f>
        <v>06-10-2024</v>
      </c>
      <c r="J355" s="7" t="str">
        <f>TEXT(multilingual_mobile_app_reviews_2025[[#This Row],[Review_date]],"YYYY")</f>
        <v>2024</v>
      </c>
      <c r="K355" s="7" t="str">
        <f>TEXT(multilingual_mobile_app_reviews_2025[[#This Row],[Review_date]],"MMMM")</f>
        <v>October</v>
      </c>
      <c r="L355" s="4" t="b">
        <v>1</v>
      </c>
      <c r="M355" s="4" t="s">
        <v>22</v>
      </c>
      <c r="N355" s="5">
        <v>60</v>
      </c>
      <c r="O355" s="5">
        <v>19</v>
      </c>
      <c r="P355" s="4" t="s">
        <v>44</v>
      </c>
      <c r="Q355" s="8" t="s">
        <v>12</v>
      </c>
      <c r="R355" s="4" t="s">
        <v>533</v>
      </c>
      <c r="S355" s="4"/>
      <c r="T355"/>
      <c r="U355" s="23"/>
    </row>
    <row r="356" spans="1:21" ht="15.6" x14ac:dyDescent="0.3">
      <c r="A356" s="4">
        <v>355</v>
      </c>
      <c r="B356" s="5">
        <v>3038247</v>
      </c>
      <c r="C356" s="4" t="s">
        <v>208</v>
      </c>
      <c r="D356" s="4" t="s">
        <v>31</v>
      </c>
      <c r="E356" s="4" t="s">
        <v>64</v>
      </c>
      <c r="F356" s="4" t="s">
        <v>2947</v>
      </c>
      <c r="G356" s="6">
        <v>4.2</v>
      </c>
      <c r="H356" s="7">
        <v>45625.101504629631</v>
      </c>
      <c r="I356" s="7" t="str">
        <f>TEXT(multilingual_mobile_app_reviews_2025[[#This Row],[Review_date]],"dd-mm-yyyy")</f>
        <v>29-11-2024</v>
      </c>
      <c r="J356" s="7" t="str">
        <f>TEXT(multilingual_mobile_app_reviews_2025[[#This Row],[Review_date]],"YYYY")</f>
        <v>2024</v>
      </c>
      <c r="K356" s="7" t="str">
        <f>TEXT(multilingual_mobile_app_reviews_2025[[#This Row],[Review_date]],"MMMM")</f>
        <v>November</v>
      </c>
      <c r="L356" s="4" t="b">
        <v>0</v>
      </c>
      <c r="M356" s="4" t="s">
        <v>22</v>
      </c>
      <c r="N356" s="5">
        <v>601</v>
      </c>
      <c r="O356" s="5">
        <v>55</v>
      </c>
      <c r="P356" s="4" t="s">
        <v>99</v>
      </c>
      <c r="Q356" s="8" t="s">
        <v>29</v>
      </c>
      <c r="R356" s="4" t="s">
        <v>534</v>
      </c>
      <c r="S356" s="4"/>
      <c r="T356"/>
      <c r="U356" s="23"/>
    </row>
    <row r="357" spans="1:21" ht="15.6" x14ac:dyDescent="0.3">
      <c r="A357" s="4">
        <v>356</v>
      </c>
      <c r="B357" s="5">
        <v>7267236</v>
      </c>
      <c r="C357" s="4" t="s">
        <v>78</v>
      </c>
      <c r="D357" s="4" t="s">
        <v>157</v>
      </c>
      <c r="E357" s="4" t="s">
        <v>535</v>
      </c>
      <c r="F357" s="4" t="s">
        <v>2940</v>
      </c>
      <c r="G357" s="6">
        <v>1.1000000000000001</v>
      </c>
      <c r="H357" s="7">
        <v>45313.908541666664</v>
      </c>
      <c r="I357" s="7" t="str">
        <f>TEXT(multilingual_mobile_app_reviews_2025[[#This Row],[Review_date]],"dd-mm-yyyy")</f>
        <v>22-01-2024</v>
      </c>
      <c r="J357" s="7" t="str">
        <f>TEXT(multilingual_mobile_app_reviews_2025[[#This Row],[Review_date]],"YYYY")</f>
        <v>2024</v>
      </c>
      <c r="K357" s="7" t="str">
        <f>TEXT(multilingual_mobile_app_reviews_2025[[#This Row],[Review_date]],"MMMM")</f>
        <v>January</v>
      </c>
      <c r="L357" s="4" t="b">
        <v>1</v>
      </c>
      <c r="M357" s="4" t="s">
        <v>33</v>
      </c>
      <c r="N357" s="5">
        <v>620</v>
      </c>
      <c r="O357" s="5">
        <v>69</v>
      </c>
      <c r="P357" s="4" t="s">
        <v>61</v>
      </c>
      <c r="Q357" s="8" t="s">
        <v>5</v>
      </c>
      <c r="R357" s="4" t="s">
        <v>536</v>
      </c>
      <c r="S357" s="4"/>
      <c r="T357"/>
      <c r="U357" s="23"/>
    </row>
    <row r="358" spans="1:21" ht="15.6" x14ac:dyDescent="0.3">
      <c r="A358" s="4">
        <v>357</v>
      </c>
      <c r="B358" s="5">
        <v>2521820</v>
      </c>
      <c r="C358" s="4" t="s">
        <v>59</v>
      </c>
      <c r="D358" s="4" t="s">
        <v>51</v>
      </c>
      <c r="E358" s="4" t="s">
        <v>76</v>
      </c>
      <c r="F358" s="4" t="s">
        <v>2948</v>
      </c>
      <c r="G358" s="6">
        <v>1.2</v>
      </c>
      <c r="H358" s="7">
        <v>45764.743101851855</v>
      </c>
      <c r="I358" s="7" t="str">
        <f>TEXT(multilingual_mobile_app_reviews_2025[[#This Row],[Review_date]],"dd-mm-yyyy")</f>
        <v>17-04-2025</v>
      </c>
      <c r="J358" s="7" t="str">
        <f>TEXT(multilingual_mobile_app_reviews_2025[[#This Row],[Review_date]],"YYYY")</f>
        <v>2025</v>
      </c>
      <c r="K358" s="7" t="str">
        <f>TEXT(multilingual_mobile_app_reviews_2025[[#This Row],[Review_date]],"MMMM")</f>
        <v>April</v>
      </c>
      <c r="L358" s="4" t="b">
        <v>1</v>
      </c>
      <c r="M358" s="4" t="s">
        <v>10</v>
      </c>
      <c r="N358" s="5">
        <v>1013</v>
      </c>
      <c r="O358" s="5">
        <v>50</v>
      </c>
      <c r="P358" s="4" t="s">
        <v>11</v>
      </c>
      <c r="Q358" s="8" t="s">
        <v>2963</v>
      </c>
      <c r="R358" s="4" t="s">
        <v>537</v>
      </c>
      <c r="S358" s="4"/>
      <c r="T358"/>
      <c r="U358" s="23"/>
    </row>
    <row r="359" spans="1:21" ht="15.6" x14ac:dyDescent="0.3">
      <c r="A359" s="4">
        <v>358</v>
      </c>
      <c r="B359" s="5">
        <v>1066769</v>
      </c>
      <c r="C359" s="4" t="s">
        <v>174</v>
      </c>
      <c r="D359" s="4" t="s">
        <v>79</v>
      </c>
      <c r="E359" s="4" t="s">
        <v>9</v>
      </c>
      <c r="F359" s="4" t="s">
        <v>2943</v>
      </c>
      <c r="G359" s="6">
        <v>2.6</v>
      </c>
      <c r="H359" s="7">
        <v>45575.696342592593</v>
      </c>
      <c r="I359" s="7" t="str">
        <f>TEXT(multilingual_mobile_app_reviews_2025[[#This Row],[Review_date]],"dd-mm-yyyy")</f>
        <v>10-10-2024</v>
      </c>
      <c r="J359" s="7" t="str">
        <f>TEXT(multilingual_mobile_app_reviews_2025[[#This Row],[Review_date]],"YYYY")</f>
        <v>2024</v>
      </c>
      <c r="K359" s="7" t="str">
        <f>TEXT(multilingual_mobile_app_reviews_2025[[#This Row],[Review_date]],"MMMM")</f>
        <v>October</v>
      </c>
      <c r="L359" s="4" t="b">
        <v>1</v>
      </c>
      <c r="M359" s="4" t="s">
        <v>98</v>
      </c>
      <c r="N359" s="5">
        <v>500</v>
      </c>
      <c r="O359" s="5">
        <v>28</v>
      </c>
      <c r="P359" s="4" t="s">
        <v>17</v>
      </c>
      <c r="Q359" s="8" t="s">
        <v>39</v>
      </c>
      <c r="R359" s="4" t="s">
        <v>538</v>
      </c>
      <c r="S359" s="4"/>
      <c r="T359"/>
      <c r="U359" s="23"/>
    </row>
    <row r="360" spans="1:21" ht="15.6" x14ac:dyDescent="0.3">
      <c r="A360" s="4">
        <v>359</v>
      </c>
      <c r="B360" s="5">
        <v>7087842</v>
      </c>
      <c r="C360" s="4" t="s">
        <v>132</v>
      </c>
      <c r="D360" s="4" t="s">
        <v>51</v>
      </c>
      <c r="E360" s="4" t="s">
        <v>32</v>
      </c>
      <c r="F360" s="4" t="s">
        <v>2944</v>
      </c>
      <c r="G360" s="6">
        <v>1.1000000000000001</v>
      </c>
      <c r="H360" s="7">
        <v>45571.735682870371</v>
      </c>
      <c r="I360" s="7" t="str">
        <f>TEXT(multilingual_mobile_app_reviews_2025[[#This Row],[Review_date]],"dd-mm-yyyy")</f>
        <v>06-10-2024</v>
      </c>
      <c r="J360" s="7" t="str">
        <f>TEXT(multilingual_mobile_app_reviews_2025[[#This Row],[Review_date]],"YYYY")</f>
        <v>2024</v>
      </c>
      <c r="K360" s="7" t="str">
        <f>TEXT(multilingual_mobile_app_reviews_2025[[#This Row],[Review_date]],"MMMM")</f>
        <v>October</v>
      </c>
      <c r="L360" s="4" t="b">
        <v>1</v>
      </c>
      <c r="M360" s="4" t="s">
        <v>3</v>
      </c>
      <c r="N360" s="5">
        <v>1204</v>
      </c>
      <c r="O360" s="5">
        <v>14</v>
      </c>
      <c r="P360" s="4" t="s">
        <v>73</v>
      </c>
      <c r="Q360" s="8" t="s">
        <v>29</v>
      </c>
      <c r="R360" s="4" t="s">
        <v>539</v>
      </c>
      <c r="S360" s="4"/>
      <c r="T360"/>
      <c r="U360" s="23"/>
    </row>
    <row r="361" spans="1:21" ht="15.6" x14ac:dyDescent="0.3">
      <c r="A361" s="4">
        <v>360</v>
      </c>
      <c r="B361" s="5">
        <v>2349703</v>
      </c>
      <c r="C361" s="4" t="s">
        <v>113</v>
      </c>
      <c r="D361" s="4" t="s">
        <v>26</v>
      </c>
      <c r="E361" s="4" t="s">
        <v>9</v>
      </c>
      <c r="F361" s="4" t="s">
        <v>2945</v>
      </c>
      <c r="G361" s="6">
        <v>1.8</v>
      </c>
      <c r="H361" s="7">
        <v>45440.572256944448</v>
      </c>
      <c r="I361" s="7" t="str">
        <f>TEXT(multilingual_mobile_app_reviews_2025[[#This Row],[Review_date]],"dd-mm-yyyy")</f>
        <v>28-05-2024</v>
      </c>
      <c r="J361" s="7" t="str">
        <f>TEXT(multilingual_mobile_app_reviews_2025[[#This Row],[Review_date]],"YYYY")</f>
        <v>2024</v>
      </c>
      <c r="K361" s="7" t="str">
        <f>TEXT(multilingual_mobile_app_reviews_2025[[#This Row],[Review_date]],"MMMM")</f>
        <v>May</v>
      </c>
      <c r="L361" s="4" t="b">
        <v>1</v>
      </c>
      <c r="M361" s="4" t="s">
        <v>98</v>
      </c>
      <c r="N361" s="5">
        <v>1097</v>
      </c>
      <c r="O361" s="5">
        <v>26</v>
      </c>
      <c r="P361" s="4" t="s">
        <v>114</v>
      </c>
      <c r="Q361" s="8" t="s">
        <v>39</v>
      </c>
      <c r="R361" s="4" t="s">
        <v>140</v>
      </c>
      <c r="S361" s="4"/>
      <c r="T361"/>
      <c r="U361" s="23"/>
    </row>
    <row r="362" spans="1:21" ht="15.6" x14ac:dyDescent="0.3">
      <c r="A362" s="4">
        <v>361</v>
      </c>
      <c r="B362" s="5">
        <v>4378117</v>
      </c>
      <c r="C362" s="4" t="s">
        <v>106</v>
      </c>
      <c r="D362" s="4" t="s">
        <v>1</v>
      </c>
      <c r="E362" s="4" t="s">
        <v>540</v>
      </c>
      <c r="F362" s="4" t="s">
        <v>2959</v>
      </c>
      <c r="G362" s="6">
        <v>2.4</v>
      </c>
      <c r="H362" s="7">
        <v>45763.86886574074</v>
      </c>
      <c r="I362" s="7" t="str">
        <f>TEXT(multilingual_mobile_app_reviews_2025[[#This Row],[Review_date]],"dd-mm-yyyy")</f>
        <v>16-04-2025</v>
      </c>
      <c r="J362" s="7" t="str">
        <f>TEXT(multilingual_mobile_app_reviews_2025[[#This Row],[Review_date]],"YYYY")</f>
        <v>2025</v>
      </c>
      <c r="K362" s="7" t="str">
        <f>TEXT(multilingual_mobile_app_reviews_2025[[#This Row],[Review_date]],"MMMM")</f>
        <v>April</v>
      </c>
      <c r="L362" s="4" t="b">
        <v>0</v>
      </c>
      <c r="M362" s="4" t="s">
        <v>98</v>
      </c>
      <c r="N362" s="5">
        <v>618</v>
      </c>
      <c r="O362" s="5">
        <v>45</v>
      </c>
      <c r="P362" s="4" t="s">
        <v>114</v>
      </c>
      <c r="Q362" s="8" t="s">
        <v>29</v>
      </c>
      <c r="R362" s="4" t="s">
        <v>541</v>
      </c>
      <c r="S362" s="4"/>
      <c r="T362"/>
      <c r="U362" s="23"/>
    </row>
    <row r="363" spans="1:21" ht="15.6" x14ac:dyDescent="0.3">
      <c r="A363" s="4">
        <v>362</v>
      </c>
      <c r="B363" s="5">
        <v>9958018</v>
      </c>
      <c r="C363" s="4" t="s">
        <v>46</v>
      </c>
      <c r="D363" s="4" t="s">
        <v>47</v>
      </c>
      <c r="E363" s="4" t="s">
        <v>27</v>
      </c>
      <c r="F363" s="4" t="s">
        <v>2957</v>
      </c>
      <c r="G363" s="6">
        <v>4.8</v>
      </c>
      <c r="H363" s="7">
        <v>45701.462766203702</v>
      </c>
      <c r="I363" s="7" t="str">
        <f>TEXT(multilingual_mobile_app_reviews_2025[[#This Row],[Review_date]],"dd-mm-yyyy")</f>
        <v>13-02-2025</v>
      </c>
      <c r="J363" s="7" t="str">
        <f>TEXT(multilingual_mobile_app_reviews_2025[[#This Row],[Review_date]],"YYYY")</f>
        <v>2025</v>
      </c>
      <c r="K363" s="7" t="str">
        <f>TEXT(multilingual_mobile_app_reviews_2025[[#This Row],[Review_date]],"MMMM")</f>
        <v>February</v>
      </c>
      <c r="L363" s="4" t="b">
        <v>0</v>
      </c>
      <c r="M363" s="4" t="s">
        <v>3</v>
      </c>
      <c r="N363" s="5">
        <v>548</v>
      </c>
      <c r="O363" s="5">
        <v>72</v>
      </c>
      <c r="P363" s="4" t="s">
        <v>38</v>
      </c>
      <c r="Q363" s="8" t="s">
        <v>2963</v>
      </c>
      <c r="R363" s="4" t="s">
        <v>542</v>
      </c>
      <c r="S363" s="4"/>
      <c r="T363"/>
      <c r="U363" s="23"/>
    </row>
    <row r="364" spans="1:21" ht="15.6" x14ac:dyDescent="0.3">
      <c r="A364" s="4">
        <v>363</v>
      </c>
      <c r="B364" s="5">
        <v>9475955</v>
      </c>
      <c r="C364" s="4" t="s">
        <v>75</v>
      </c>
      <c r="D364" s="4" t="s">
        <v>97</v>
      </c>
      <c r="E364" s="4" t="s">
        <v>21</v>
      </c>
      <c r="F364" s="4" t="s">
        <v>2945</v>
      </c>
      <c r="G364" s="6">
        <v>2.6</v>
      </c>
      <c r="H364" s="7">
        <v>45307.439976851849</v>
      </c>
      <c r="I364" s="7" t="str">
        <f>TEXT(multilingual_mobile_app_reviews_2025[[#This Row],[Review_date]],"dd-mm-yyyy")</f>
        <v>16-01-2024</v>
      </c>
      <c r="J364" s="7" t="str">
        <f>TEXT(multilingual_mobile_app_reviews_2025[[#This Row],[Review_date]],"YYYY")</f>
        <v>2024</v>
      </c>
      <c r="K364" s="7" t="str">
        <f>TEXT(multilingual_mobile_app_reviews_2025[[#This Row],[Review_date]],"MMMM")</f>
        <v>January</v>
      </c>
      <c r="L364" s="4" t="b">
        <v>1</v>
      </c>
      <c r="M364" s="4" t="s">
        <v>98</v>
      </c>
      <c r="N364" s="5">
        <v>416</v>
      </c>
      <c r="O364" s="5">
        <v>67</v>
      </c>
      <c r="P364" s="4" t="s">
        <v>90</v>
      </c>
      <c r="Q364" s="8" t="s">
        <v>39</v>
      </c>
      <c r="R364" s="4" t="s">
        <v>543</v>
      </c>
      <c r="S364" s="4"/>
      <c r="T364"/>
      <c r="U364" s="23"/>
    </row>
    <row r="365" spans="1:21" ht="15.6" x14ac:dyDescent="0.3">
      <c r="A365" s="4">
        <v>364</v>
      </c>
      <c r="B365" s="5">
        <v>3604577</v>
      </c>
      <c r="C365" s="4" t="s">
        <v>14</v>
      </c>
      <c r="D365" s="4" t="s">
        <v>31</v>
      </c>
      <c r="E365" s="4" t="s">
        <v>32</v>
      </c>
      <c r="F365" s="4" t="s">
        <v>2945</v>
      </c>
      <c r="G365" s="6">
        <v>3.6</v>
      </c>
      <c r="H365" s="7">
        <v>45814.218564814815</v>
      </c>
      <c r="I365" s="7" t="str">
        <f>TEXT(multilingual_mobile_app_reviews_2025[[#This Row],[Review_date]],"dd-mm-yyyy")</f>
        <v>06-06-2025</v>
      </c>
      <c r="J365" s="7" t="str">
        <f>TEXT(multilingual_mobile_app_reviews_2025[[#This Row],[Review_date]],"YYYY")</f>
        <v>2025</v>
      </c>
      <c r="K365" s="7" t="str">
        <f>TEXT(multilingual_mobile_app_reviews_2025[[#This Row],[Review_date]],"MMMM")</f>
        <v>June</v>
      </c>
      <c r="L365" s="4" t="b">
        <v>1</v>
      </c>
      <c r="M365" s="4" t="s">
        <v>98</v>
      </c>
      <c r="N365" s="5">
        <v>413</v>
      </c>
      <c r="O365" s="5">
        <v>23</v>
      </c>
      <c r="P365" s="4" t="s">
        <v>230</v>
      </c>
      <c r="Q365" s="8" t="s">
        <v>5</v>
      </c>
      <c r="R365" s="4" t="s">
        <v>544</v>
      </c>
      <c r="S365" s="4"/>
      <c r="T365"/>
      <c r="U365" s="23"/>
    </row>
    <row r="366" spans="1:21" ht="15.6" x14ac:dyDescent="0.3">
      <c r="A366" s="4">
        <v>365</v>
      </c>
      <c r="B366" s="5">
        <v>5186650</v>
      </c>
      <c r="C366" s="4" t="s">
        <v>78</v>
      </c>
      <c r="D366" s="4" t="s">
        <v>60</v>
      </c>
      <c r="E366" s="4" t="s">
        <v>16</v>
      </c>
      <c r="F366" s="4" t="s">
        <v>2945</v>
      </c>
      <c r="G366" s="6">
        <v>4.5999999999999996</v>
      </c>
      <c r="H366" s="7">
        <v>45844.914895833332</v>
      </c>
      <c r="I366" s="7" t="str">
        <f>TEXT(multilingual_mobile_app_reviews_2025[[#This Row],[Review_date]],"dd-mm-yyyy")</f>
        <v>06-07-2025</v>
      </c>
      <c r="J366" s="7" t="str">
        <f>TEXT(multilingual_mobile_app_reviews_2025[[#This Row],[Review_date]],"YYYY")</f>
        <v>2025</v>
      </c>
      <c r="K366" s="7" t="str">
        <f>TEXT(multilingual_mobile_app_reviews_2025[[#This Row],[Review_date]],"MMMM")</f>
        <v>July</v>
      </c>
      <c r="L366" s="4" t="b">
        <v>1</v>
      </c>
      <c r="M366" s="4" t="s">
        <v>98</v>
      </c>
      <c r="N366" s="5">
        <v>812</v>
      </c>
      <c r="O366" s="5">
        <v>73</v>
      </c>
      <c r="P366" s="4" t="s">
        <v>44</v>
      </c>
      <c r="Q366" s="8" t="s">
        <v>5</v>
      </c>
      <c r="R366" s="4" t="s">
        <v>545</v>
      </c>
      <c r="S366" s="4"/>
      <c r="T366"/>
      <c r="U366" s="23"/>
    </row>
    <row r="367" spans="1:21" ht="15.6" x14ac:dyDescent="0.3">
      <c r="A367" s="4">
        <v>366</v>
      </c>
      <c r="B367" s="5">
        <v>3653544</v>
      </c>
      <c r="C367" s="4" t="s">
        <v>50</v>
      </c>
      <c r="D367" s="4" t="s">
        <v>97</v>
      </c>
      <c r="E367" s="4" t="s">
        <v>9</v>
      </c>
      <c r="F367" s="4" t="s">
        <v>2954</v>
      </c>
      <c r="G367" s="6">
        <v>4.3</v>
      </c>
      <c r="H367" s="7">
        <v>45866.791770833333</v>
      </c>
      <c r="I367" s="7" t="str">
        <f>TEXT(multilingual_mobile_app_reviews_2025[[#This Row],[Review_date]],"dd-mm-yyyy")</f>
        <v>28-07-2025</v>
      </c>
      <c r="J367" s="7" t="str">
        <f>TEXT(multilingual_mobile_app_reviews_2025[[#This Row],[Review_date]],"YYYY")</f>
        <v>2025</v>
      </c>
      <c r="K367" s="7" t="str">
        <f>TEXT(multilingual_mobile_app_reviews_2025[[#This Row],[Review_date]],"MMMM")</f>
        <v>July</v>
      </c>
      <c r="L367" s="4" t="b">
        <v>1</v>
      </c>
      <c r="M367" s="4" t="s">
        <v>3</v>
      </c>
      <c r="N367" s="5">
        <v>483</v>
      </c>
      <c r="O367" s="5">
        <v>72</v>
      </c>
      <c r="P367" s="4" t="s">
        <v>90</v>
      </c>
      <c r="Q367" s="8" t="s">
        <v>5</v>
      </c>
      <c r="R367" s="4" t="s">
        <v>546</v>
      </c>
      <c r="S367" s="4"/>
      <c r="T367"/>
      <c r="U367" s="23"/>
    </row>
    <row r="368" spans="1:21" ht="15.6" x14ac:dyDescent="0.3">
      <c r="A368" s="4">
        <v>367</v>
      </c>
      <c r="B368" s="5">
        <v>2068239</v>
      </c>
      <c r="C368" s="4" t="s">
        <v>50</v>
      </c>
      <c r="D368" s="4" t="s">
        <v>63</v>
      </c>
      <c r="E368" s="4" t="s">
        <v>130</v>
      </c>
      <c r="F368" s="4" t="s">
        <v>2957</v>
      </c>
      <c r="G368" s="6">
        <v>2</v>
      </c>
      <c r="H368" s="7">
        <v>45718.996504629627</v>
      </c>
      <c r="I368" s="7" t="str">
        <f>TEXT(multilingual_mobile_app_reviews_2025[[#This Row],[Review_date]],"dd-mm-yyyy")</f>
        <v>02-03-2025</v>
      </c>
      <c r="J368" s="7" t="str">
        <f>TEXT(multilingual_mobile_app_reviews_2025[[#This Row],[Review_date]],"YYYY")</f>
        <v>2025</v>
      </c>
      <c r="K368" s="7" t="str">
        <f>TEXT(multilingual_mobile_app_reviews_2025[[#This Row],[Review_date]],"MMMM")</f>
        <v>March</v>
      </c>
      <c r="L368" s="4" t="b">
        <v>0</v>
      </c>
      <c r="M368" s="4" t="s">
        <v>10</v>
      </c>
      <c r="N368" s="5">
        <v>296</v>
      </c>
      <c r="O368" s="5">
        <v>36</v>
      </c>
      <c r="P368" s="4" t="s">
        <v>99</v>
      </c>
      <c r="Q368" s="8" t="s">
        <v>39</v>
      </c>
      <c r="R368" s="4" t="s">
        <v>547</v>
      </c>
      <c r="S368" s="4"/>
      <c r="T368"/>
      <c r="U368" s="23"/>
    </row>
    <row r="369" spans="1:21" ht="15.6" x14ac:dyDescent="0.3">
      <c r="A369" s="4">
        <v>368</v>
      </c>
      <c r="B369" s="5">
        <v>8134958</v>
      </c>
      <c r="C369" s="4" t="s">
        <v>75</v>
      </c>
      <c r="D369" s="4" t="s">
        <v>8</v>
      </c>
      <c r="E369" s="4" t="s">
        <v>548</v>
      </c>
      <c r="F369" s="4" t="s">
        <v>2949</v>
      </c>
      <c r="G369" s="6">
        <v>4.5</v>
      </c>
      <c r="H369" s="7">
        <v>45358.736840277779</v>
      </c>
      <c r="I369" s="7" t="str">
        <f>TEXT(multilingual_mobile_app_reviews_2025[[#This Row],[Review_date]],"dd-mm-yyyy")</f>
        <v>07-03-2024</v>
      </c>
      <c r="J369" s="7" t="str">
        <f>TEXT(multilingual_mobile_app_reviews_2025[[#This Row],[Review_date]],"YYYY")</f>
        <v>2024</v>
      </c>
      <c r="K369" s="7" t="str">
        <f>TEXT(multilingual_mobile_app_reviews_2025[[#This Row],[Review_date]],"MMMM")</f>
        <v>March</v>
      </c>
      <c r="L369" s="4" t="b">
        <v>1</v>
      </c>
      <c r="M369" s="4" t="s">
        <v>3</v>
      </c>
      <c r="N369" s="5">
        <v>795</v>
      </c>
      <c r="O369" s="5">
        <v>13</v>
      </c>
      <c r="P369" s="4" t="s">
        <v>11</v>
      </c>
      <c r="Q369" s="8" t="s">
        <v>39</v>
      </c>
      <c r="R369" s="4" t="s">
        <v>549</v>
      </c>
      <c r="S369" s="4"/>
      <c r="T369"/>
      <c r="U369" s="23"/>
    </row>
    <row r="370" spans="1:21" ht="15.6" x14ac:dyDescent="0.3">
      <c r="A370" s="4">
        <v>369</v>
      </c>
      <c r="B370" s="5">
        <v>7922384</v>
      </c>
      <c r="C370" s="4" t="s">
        <v>176</v>
      </c>
      <c r="D370" s="4" t="s">
        <v>57</v>
      </c>
      <c r="E370" s="4" t="s">
        <v>16</v>
      </c>
      <c r="F370" s="4" t="s">
        <v>2947</v>
      </c>
      <c r="G370" s="6">
        <v>2.9</v>
      </c>
      <c r="H370" s="7">
        <v>45553.376562500001</v>
      </c>
      <c r="I370" s="7" t="str">
        <f>TEXT(multilingual_mobile_app_reviews_2025[[#This Row],[Review_date]],"dd-mm-yyyy")</f>
        <v>18-09-2024</v>
      </c>
      <c r="J370" s="7" t="str">
        <f>TEXT(multilingual_mobile_app_reviews_2025[[#This Row],[Review_date]],"YYYY")</f>
        <v>2024</v>
      </c>
      <c r="K370" s="7" t="str">
        <f>TEXT(multilingual_mobile_app_reviews_2025[[#This Row],[Review_date]],"MMMM")</f>
        <v>September</v>
      </c>
      <c r="L370" s="4" t="b">
        <v>0</v>
      </c>
      <c r="M370" s="4" t="s">
        <v>3</v>
      </c>
      <c r="N370" s="5">
        <v>681</v>
      </c>
      <c r="O370" s="5">
        <v>58</v>
      </c>
      <c r="P370" s="4" t="s">
        <v>90</v>
      </c>
      <c r="Q370" s="8" t="s">
        <v>12</v>
      </c>
      <c r="R370" s="4" t="s">
        <v>550</v>
      </c>
      <c r="S370" s="4"/>
      <c r="T370"/>
      <c r="U370" s="23"/>
    </row>
    <row r="371" spans="1:21" ht="15.6" x14ac:dyDescent="0.3">
      <c r="A371" s="4">
        <v>370</v>
      </c>
      <c r="B371" s="5">
        <v>6127375</v>
      </c>
      <c r="C371" s="4" t="s">
        <v>46</v>
      </c>
      <c r="D371" s="4" t="s">
        <v>26</v>
      </c>
      <c r="E371" s="4" t="s">
        <v>76</v>
      </c>
      <c r="F371" s="4" t="s">
        <v>2939</v>
      </c>
      <c r="G371" s="6">
        <v>2.6</v>
      </c>
      <c r="H371" s="7">
        <v>45378.436932870369</v>
      </c>
      <c r="I371" s="7" t="str">
        <f>TEXT(multilingual_mobile_app_reviews_2025[[#This Row],[Review_date]],"dd-mm-yyyy")</f>
        <v>27-03-2024</v>
      </c>
      <c r="J371" s="7" t="str">
        <f>TEXT(multilingual_mobile_app_reviews_2025[[#This Row],[Review_date]],"YYYY")</f>
        <v>2024</v>
      </c>
      <c r="K371" s="7" t="str">
        <f>TEXT(multilingual_mobile_app_reviews_2025[[#This Row],[Review_date]],"MMMM")</f>
        <v>March</v>
      </c>
      <c r="L371" s="4" t="b">
        <v>1</v>
      </c>
      <c r="M371" s="4" t="s">
        <v>10</v>
      </c>
      <c r="N371" s="5">
        <v>642</v>
      </c>
      <c r="O371" s="5">
        <v>49</v>
      </c>
      <c r="P371" s="4" t="s">
        <v>4</v>
      </c>
      <c r="Q371" s="8" t="s">
        <v>12</v>
      </c>
      <c r="R371" s="4" t="s">
        <v>120</v>
      </c>
      <c r="S371" s="4"/>
      <c r="T371"/>
      <c r="U371" s="23"/>
    </row>
    <row r="372" spans="1:21" ht="15.6" x14ac:dyDescent="0.3">
      <c r="A372" s="4">
        <v>371</v>
      </c>
      <c r="B372" s="5">
        <v>6133835</v>
      </c>
      <c r="C372" s="4" t="s">
        <v>137</v>
      </c>
      <c r="D372" s="4" t="s">
        <v>157</v>
      </c>
      <c r="E372" s="4" t="s">
        <v>93</v>
      </c>
      <c r="F372" s="4" t="s">
        <v>2954</v>
      </c>
      <c r="G372" s="6">
        <v>4.2</v>
      </c>
      <c r="H372" s="7">
        <v>45537.194641203707</v>
      </c>
      <c r="I372" s="7" t="str">
        <f>TEXT(multilingual_mobile_app_reviews_2025[[#This Row],[Review_date]],"dd-mm-yyyy")</f>
        <v>02-09-2024</v>
      </c>
      <c r="J372" s="7" t="str">
        <f>TEXT(multilingual_mobile_app_reviews_2025[[#This Row],[Review_date]],"YYYY")</f>
        <v>2024</v>
      </c>
      <c r="K372" s="7" t="str">
        <f>TEXT(multilingual_mobile_app_reviews_2025[[#This Row],[Review_date]],"MMMM")</f>
        <v>September</v>
      </c>
      <c r="L372" s="4" t="b">
        <v>1</v>
      </c>
      <c r="M372" s="4" t="s">
        <v>22</v>
      </c>
      <c r="N372" s="5">
        <v>172</v>
      </c>
      <c r="O372" s="5">
        <v>39</v>
      </c>
      <c r="P372" s="4" t="s">
        <v>162</v>
      </c>
      <c r="Q372" s="8" t="s">
        <v>5</v>
      </c>
      <c r="R372" s="4" t="s">
        <v>551</v>
      </c>
      <c r="S372" s="4"/>
      <c r="T372"/>
      <c r="U372" s="23"/>
    </row>
    <row r="373" spans="1:21" ht="15.6" x14ac:dyDescent="0.3">
      <c r="A373" s="4">
        <v>372</v>
      </c>
      <c r="B373" s="5">
        <v>7918250</v>
      </c>
      <c r="C373" s="4" t="s">
        <v>132</v>
      </c>
      <c r="D373" s="4" t="s">
        <v>51</v>
      </c>
      <c r="E373" s="4" t="s">
        <v>552</v>
      </c>
      <c r="F373" s="4" t="s">
        <v>2958</v>
      </c>
      <c r="G373" s="6">
        <v>4.4000000000000004</v>
      </c>
      <c r="H373" s="7">
        <v>45341.427499999998</v>
      </c>
      <c r="I373" s="7" t="str">
        <f>TEXT(multilingual_mobile_app_reviews_2025[[#This Row],[Review_date]],"dd-mm-yyyy")</f>
        <v>19-02-2024</v>
      </c>
      <c r="J373" s="7" t="str">
        <f>TEXT(multilingual_mobile_app_reviews_2025[[#This Row],[Review_date]],"YYYY")</f>
        <v>2024</v>
      </c>
      <c r="K373" s="7" t="str">
        <f>TEXT(multilingual_mobile_app_reviews_2025[[#This Row],[Review_date]],"MMMM")</f>
        <v>February</v>
      </c>
      <c r="L373" s="4" t="b">
        <v>1</v>
      </c>
      <c r="M373" s="4" t="s">
        <v>98</v>
      </c>
      <c r="N373" s="5">
        <v>821</v>
      </c>
      <c r="O373" s="5">
        <v>52</v>
      </c>
      <c r="P373" s="4" t="s">
        <v>90</v>
      </c>
      <c r="Q373" s="8" t="s">
        <v>2963</v>
      </c>
      <c r="R373" s="4" t="s">
        <v>553</v>
      </c>
      <c r="S373" s="4"/>
      <c r="T373"/>
      <c r="U373" s="23"/>
    </row>
    <row r="374" spans="1:21" ht="15.6" x14ac:dyDescent="0.3">
      <c r="A374" s="4">
        <v>373</v>
      </c>
      <c r="B374" s="5">
        <v>9898429</v>
      </c>
      <c r="C374" s="4" t="s">
        <v>41</v>
      </c>
      <c r="D374" s="4" t="s">
        <v>157</v>
      </c>
      <c r="E374" s="4" t="s">
        <v>27</v>
      </c>
      <c r="F374" s="4" t="s">
        <v>2959</v>
      </c>
      <c r="G374" s="6">
        <v>4.8</v>
      </c>
      <c r="H374" s="7">
        <v>45588.711863425924</v>
      </c>
      <c r="I374" s="7" t="str">
        <f>TEXT(multilingual_mobile_app_reviews_2025[[#This Row],[Review_date]],"dd-mm-yyyy")</f>
        <v>23-10-2024</v>
      </c>
      <c r="J374" s="7" t="str">
        <f>TEXT(multilingual_mobile_app_reviews_2025[[#This Row],[Review_date]],"YYYY")</f>
        <v>2024</v>
      </c>
      <c r="K374" s="7" t="str">
        <f>TEXT(multilingual_mobile_app_reviews_2025[[#This Row],[Review_date]],"MMMM")</f>
        <v>October</v>
      </c>
      <c r="L374" s="4" t="b">
        <v>0</v>
      </c>
      <c r="M374" s="4" t="s">
        <v>10</v>
      </c>
      <c r="N374" s="5">
        <v>589</v>
      </c>
      <c r="O374" s="5">
        <v>60</v>
      </c>
      <c r="P374" s="4" t="s">
        <v>99</v>
      </c>
      <c r="Q374" s="8" t="s">
        <v>29</v>
      </c>
      <c r="R374" s="4" t="s">
        <v>554</v>
      </c>
      <c r="S374" s="4"/>
      <c r="T374"/>
      <c r="U374" s="23"/>
    </row>
    <row r="375" spans="1:21" ht="15.6" x14ac:dyDescent="0.3">
      <c r="A375" s="4">
        <v>374</v>
      </c>
      <c r="B375" s="5">
        <v>7105797</v>
      </c>
      <c r="C375" s="4" t="s">
        <v>89</v>
      </c>
      <c r="D375" s="4" t="s">
        <v>157</v>
      </c>
      <c r="E375" s="4" t="s">
        <v>555</v>
      </c>
      <c r="F375" s="4" t="s">
        <v>2946</v>
      </c>
      <c r="G375" s="6">
        <v>4.5999999999999996</v>
      </c>
      <c r="H375" s="7">
        <v>45184.496793981481</v>
      </c>
      <c r="I375" s="7" t="str">
        <f>TEXT(multilingual_mobile_app_reviews_2025[[#This Row],[Review_date]],"dd-mm-yyyy")</f>
        <v>15-09-2023</v>
      </c>
      <c r="J375" s="7" t="str">
        <f>TEXT(multilingual_mobile_app_reviews_2025[[#This Row],[Review_date]],"YYYY")</f>
        <v>2023</v>
      </c>
      <c r="K375" s="7" t="str">
        <f>TEXT(multilingual_mobile_app_reviews_2025[[#This Row],[Review_date]],"MMMM")</f>
        <v>September</v>
      </c>
      <c r="L375" s="4" t="b">
        <v>1</v>
      </c>
      <c r="M375" s="4" t="s">
        <v>10</v>
      </c>
      <c r="N375" s="5">
        <v>1193</v>
      </c>
      <c r="O375" s="5">
        <v>56</v>
      </c>
      <c r="P375" s="4" t="s">
        <v>38</v>
      </c>
      <c r="Q375" s="8" t="s">
        <v>29</v>
      </c>
      <c r="R375" s="4" t="s">
        <v>556</v>
      </c>
      <c r="S375" s="4"/>
      <c r="T375"/>
      <c r="U375" s="23"/>
    </row>
    <row r="376" spans="1:21" ht="15.6" x14ac:dyDescent="0.3">
      <c r="A376" s="4">
        <v>375</v>
      </c>
      <c r="B376" s="5">
        <v>667468</v>
      </c>
      <c r="C376" s="4" t="s">
        <v>113</v>
      </c>
      <c r="D376" s="4" t="s">
        <v>15</v>
      </c>
      <c r="E376" s="4" t="s">
        <v>64</v>
      </c>
      <c r="F376" s="4" t="s">
        <v>2940</v>
      </c>
      <c r="G376" s="6">
        <v>1.2</v>
      </c>
      <c r="H376" s="7">
        <v>45790.602025462962</v>
      </c>
      <c r="I376" s="7" t="str">
        <f>TEXT(multilingual_mobile_app_reviews_2025[[#This Row],[Review_date]],"dd-mm-yyyy")</f>
        <v>13-05-2025</v>
      </c>
      <c r="J376" s="7" t="str">
        <f>TEXT(multilingual_mobile_app_reviews_2025[[#This Row],[Review_date]],"YYYY")</f>
        <v>2025</v>
      </c>
      <c r="K376" s="7" t="str">
        <f>TEXT(multilingual_mobile_app_reviews_2025[[#This Row],[Review_date]],"MMMM")</f>
        <v>May</v>
      </c>
      <c r="L376" s="4" t="b">
        <v>1</v>
      </c>
      <c r="M376" s="4" t="s">
        <v>22</v>
      </c>
      <c r="N376" s="5">
        <v>964</v>
      </c>
      <c r="O376" s="5">
        <v>71</v>
      </c>
      <c r="P376" s="4" t="s">
        <v>162</v>
      </c>
      <c r="Q376" s="8" t="s">
        <v>2963</v>
      </c>
      <c r="R376" s="4" t="s">
        <v>557</v>
      </c>
      <c r="S376" s="4"/>
      <c r="T376"/>
      <c r="U376" s="23"/>
    </row>
    <row r="377" spans="1:21" ht="15.6" x14ac:dyDescent="0.3">
      <c r="A377" s="4">
        <v>376</v>
      </c>
      <c r="B377" s="5">
        <v>913936</v>
      </c>
      <c r="C377" s="4" t="s">
        <v>87</v>
      </c>
      <c r="D377" s="4" t="s">
        <v>97</v>
      </c>
      <c r="E377" s="4" t="s">
        <v>64</v>
      </c>
      <c r="F377" s="4" t="s">
        <v>2940</v>
      </c>
      <c r="G377" s="6">
        <v>3.3</v>
      </c>
      <c r="H377" s="7">
        <v>45732.557789351849</v>
      </c>
      <c r="I377" s="7" t="str">
        <f>TEXT(multilingual_mobile_app_reviews_2025[[#This Row],[Review_date]],"dd-mm-yyyy")</f>
        <v>16-03-2025</v>
      </c>
      <c r="J377" s="7" t="str">
        <f>TEXT(multilingual_mobile_app_reviews_2025[[#This Row],[Review_date]],"YYYY")</f>
        <v>2025</v>
      </c>
      <c r="K377" s="7" t="str">
        <f>TEXT(multilingual_mobile_app_reviews_2025[[#This Row],[Review_date]],"MMMM")</f>
        <v>March</v>
      </c>
      <c r="L377" s="4" t="b">
        <v>1</v>
      </c>
      <c r="M377" s="4" t="s">
        <v>10</v>
      </c>
      <c r="N377" s="5">
        <v>347</v>
      </c>
      <c r="O377" s="5">
        <v>45</v>
      </c>
      <c r="P377" s="4" t="s">
        <v>99</v>
      </c>
      <c r="Q377" s="8" t="s">
        <v>39</v>
      </c>
      <c r="R377" s="4" t="s">
        <v>558</v>
      </c>
      <c r="S377" s="4"/>
      <c r="T377"/>
      <c r="U377" s="23"/>
    </row>
    <row r="378" spans="1:21" ht="15.6" x14ac:dyDescent="0.3">
      <c r="A378" s="4">
        <v>377</v>
      </c>
      <c r="B378" s="5">
        <v>7018793</v>
      </c>
      <c r="C378" s="4" t="s">
        <v>14</v>
      </c>
      <c r="D378" s="4" t="s">
        <v>26</v>
      </c>
      <c r="E378" s="4" t="s">
        <v>559</v>
      </c>
      <c r="F378" s="4" t="s">
        <v>2955</v>
      </c>
      <c r="G378" s="6">
        <v>4.3</v>
      </c>
      <c r="H378" s="7">
        <v>45552.259918981479</v>
      </c>
      <c r="I378" s="7" t="str">
        <f>TEXT(multilingual_mobile_app_reviews_2025[[#This Row],[Review_date]],"dd-mm-yyyy")</f>
        <v>17-09-2024</v>
      </c>
      <c r="J378" s="7" t="str">
        <f>TEXT(multilingual_mobile_app_reviews_2025[[#This Row],[Review_date]],"YYYY")</f>
        <v>2024</v>
      </c>
      <c r="K378" s="7" t="str">
        <f>TEXT(multilingual_mobile_app_reviews_2025[[#This Row],[Review_date]],"MMMM")</f>
        <v>September</v>
      </c>
      <c r="L378" s="4" t="b">
        <v>1</v>
      </c>
      <c r="M378" s="4" t="s">
        <v>10</v>
      </c>
      <c r="N378" s="5">
        <v>1058</v>
      </c>
      <c r="O378" s="5">
        <v>33</v>
      </c>
      <c r="P378" s="4" t="s">
        <v>90</v>
      </c>
      <c r="Q378" s="8" t="s">
        <v>5</v>
      </c>
      <c r="R378" s="4" t="s">
        <v>560</v>
      </c>
      <c r="S378" s="4"/>
      <c r="T378"/>
      <c r="U378" s="23"/>
    </row>
    <row r="379" spans="1:21" ht="15.6" x14ac:dyDescent="0.3">
      <c r="A379" s="4">
        <v>378</v>
      </c>
      <c r="B379" s="5">
        <v>7001115</v>
      </c>
      <c r="C379" s="4" t="s">
        <v>0</v>
      </c>
      <c r="D379" s="4" t="s">
        <v>57</v>
      </c>
      <c r="E379" s="4" t="s">
        <v>130</v>
      </c>
      <c r="F379" s="4" t="s">
        <v>2944</v>
      </c>
      <c r="G379" s="6">
        <v>1.7</v>
      </c>
      <c r="H379" s="7">
        <v>45148.083182870374</v>
      </c>
      <c r="I379" s="7" t="str">
        <f>TEXT(multilingual_mobile_app_reviews_2025[[#This Row],[Review_date]],"dd-mm-yyyy")</f>
        <v>10-08-2023</v>
      </c>
      <c r="J379" s="7" t="str">
        <f>TEXT(multilingual_mobile_app_reviews_2025[[#This Row],[Review_date]],"YYYY")</f>
        <v>2023</v>
      </c>
      <c r="K379" s="7" t="str">
        <f>TEXT(multilingual_mobile_app_reviews_2025[[#This Row],[Review_date]],"MMMM")</f>
        <v>August</v>
      </c>
      <c r="L379" s="4" t="b">
        <v>1</v>
      </c>
      <c r="M379" s="4" t="s">
        <v>3</v>
      </c>
      <c r="N379" s="5">
        <v>893</v>
      </c>
      <c r="O379" s="5">
        <v>20</v>
      </c>
      <c r="P379" s="4" t="s">
        <v>99</v>
      </c>
      <c r="Q379" s="8" t="s">
        <v>12</v>
      </c>
      <c r="R379" s="4" t="s">
        <v>561</v>
      </c>
      <c r="S379" s="4"/>
      <c r="T379"/>
      <c r="U379" s="23"/>
    </row>
    <row r="380" spans="1:21" ht="15.6" x14ac:dyDescent="0.3">
      <c r="A380" s="4">
        <v>379</v>
      </c>
      <c r="B380" s="5">
        <v>8982154</v>
      </c>
      <c r="C380" s="4" t="s">
        <v>199</v>
      </c>
      <c r="D380" s="4" t="s">
        <v>1</v>
      </c>
      <c r="E380" s="4" t="s">
        <v>562</v>
      </c>
      <c r="F380" s="4" t="s">
        <v>2944</v>
      </c>
      <c r="G380" s="6">
        <v>3.3</v>
      </c>
      <c r="H380" s="7">
        <v>45680.437719907408</v>
      </c>
      <c r="I380" s="7" t="str">
        <f>TEXT(multilingual_mobile_app_reviews_2025[[#This Row],[Review_date]],"dd-mm-yyyy")</f>
        <v>23-01-2025</v>
      </c>
      <c r="J380" s="7" t="str">
        <f>TEXT(multilingual_mobile_app_reviews_2025[[#This Row],[Review_date]],"YYYY")</f>
        <v>2025</v>
      </c>
      <c r="K380" s="7" t="str">
        <f>TEXT(multilingual_mobile_app_reviews_2025[[#This Row],[Review_date]],"MMMM")</f>
        <v>January</v>
      </c>
      <c r="L380" s="4" t="b">
        <v>1</v>
      </c>
      <c r="M380" s="4" t="s">
        <v>33</v>
      </c>
      <c r="N380" s="5">
        <v>434</v>
      </c>
      <c r="O380" s="5">
        <v>50</v>
      </c>
      <c r="P380" s="4" t="s">
        <v>118</v>
      </c>
      <c r="Q380" s="8" t="s">
        <v>2963</v>
      </c>
      <c r="R380" s="4" t="s">
        <v>563</v>
      </c>
      <c r="S380" s="4"/>
      <c r="T380"/>
      <c r="U380" s="23"/>
    </row>
    <row r="381" spans="1:21" ht="15.6" x14ac:dyDescent="0.3">
      <c r="A381" s="4">
        <v>380</v>
      </c>
      <c r="B381" s="5">
        <v>5132739</v>
      </c>
      <c r="C381" s="4" t="s">
        <v>134</v>
      </c>
      <c r="D381" s="4" t="s">
        <v>26</v>
      </c>
      <c r="E381" s="4" t="s">
        <v>16</v>
      </c>
      <c r="F381" s="4" t="s">
        <v>2954</v>
      </c>
      <c r="G381" s="6">
        <v>1.6</v>
      </c>
      <c r="H381" s="7">
        <v>45670.189097222225</v>
      </c>
      <c r="I381" s="7" t="str">
        <f>TEXT(multilingual_mobile_app_reviews_2025[[#This Row],[Review_date]],"dd-mm-yyyy")</f>
        <v>13-01-2025</v>
      </c>
      <c r="J381" s="7" t="str">
        <f>TEXT(multilingual_mobile_app_reviews_2025[[#This Row],[Review_date]],"YYYY")</f>
        <v>2025</v>
      </c>
      <c r="K381" s="7" t="str">
        <f>TEXT(multilingual_mobile_app_reviews_2025[[#This Row],[Review_date]],"MMMM")</f>
        <v>January</v>
      </c>
      <c r="L381" s="4" t="b">
        <v>1</v>
      </c>
      <c r="M381" s="4" t="s">
        <v>98</v>
      </c>
      <c r="N381" s="5">
        <v>942</v>
      </c>
      <c r="O381" s="5">
        <v>66</v>
      </c>
      <c r="P381" s="4" t="s">
        <v>61</v>
      </c>
      <c r="Q381" s="8" t="s">
        <v>2963</v>
      </c>
      <c r="R381" s="4" t="s">
        <v>564</v>
      </c>
      <c r="S381" s="4"/>
      <c r="T381"/>
      <c r="U381" s="23"/>
    </row>
    <row r="382" spans="1:21" ht="15.6" x14ac:dyDescent="0.3">
      <c r="A382" s="4">
        <v>381</v>
      </c>
      <c r="B382" s="5">
        <v>631577</v>
      </c>
      <c r="C382" s="4" t="s">
        <v>147</v>
      </c>
      <c r="D382" s="4" t="s">
        <v>57</v>
      </c>
      <c r="E382" s="4" t="s">
        <v>565</v>
      </c>
      <c r="F382" s="4" t="s">
        <v>2940</v>
      </c>
      <c r="G382" s="6">
        <v>4</v>
      </c>
      <c r="H382" s="7">
        <v>45805.275729166664</v>
      </c>
      <c r="I382" s="7" t="str">
        <f>TEXT(multilingual_mobile_app_reviews_2025[[#This Row],[Review_date]],"dd-mm-yyyy")</f>
        <v>28-05-2025</v>
      </c>
      <c r="J382" s="7" t="str">
        <f>TEXT(multilingual_mobile_app_reviews_2025[[#This Row],[Review_date]],"YYYY")</f>
        <v>2025</v>
      </c>
      <c r="K382" s="7" t="str">
        <f>TEXT(multilingual_mobile_app_reviews_2025[[#This Row],[Review_date]],"MMMM")</f>
        <v>May</v>
      </c>
      <c r="L382" s="4" t="b">
        <v>1</v>
      </c>
      <c r="M382" s="4" t="s">
        <v>33</v>
      </c>
      <c r="N382" s="5">
        <v>1233</v>
      </c>
      <c r="O382" s="5">
        <v>37</v>
      </c>
      <c r="P382" s="4" t="s">
        <v>4</v>
      </c>
      <c r="Q382" s="8" t="s">
        <v>29</v>
      </c>
      <c r="R382" s="4" t="s">
        <v>566</v>
      </c>
      <c r="S382" s="4"/>
      <c r="T382"/>
      <c r="U382" s="23"/>
    </row>
    <row r="383" spans="1:21" ht="15.6" x14ac:dyDescent="0.3">
      <c r="A383" s="4">
        <v>382</v>
      </c>
      <c r="B383" s="5">
        <v>8961040</v>
      </c>
      <c r="C383" s="4" t="s">
        <v>113</v>
      </c>
      <c r="D383" s="4" t="s">
        <v>47</v>
      </c>
      <c r="E383" s="4" t="s">
        <v>32</v>
      </c>
      <c r="F383" s="4" t="s">
        <v>2961</v>
      </c>
      <c r="G383" s="6">
        <v>4.2</v>
      </c>
      <c r="H383" s="7">
        <v>45852.804895833331</v>
      </c>
      <c r="I383" s="7" t="str">
        <f>TEXT(multilingual_mobile_app_reviews_2025[[#This Row],[Review_date]],"dd-mm-yyyy")</f>
        <v>14-07-2025</v>
      </c>
      <c r="J383" s="7" t="str">
        <f>TEXT(multilingual_mobile_app_reviews_2025[[#This Row],[Review_date]],"YYYY")</f>
        <v>2025</v>
      </c>
      <c r="K383" s="7" t="str">
        <f>TEXT(multilingual_mobile_app_reviews_2025[[#This Row],[Review_date]],"MMMM")</f>
        <v>July</v>
      </c>
      <c r="L383" s="4" t="b">
        <v>1</v>
      </c>
      <c r="M383" s="4" t="s">
        <v>10</v>
      </c>
      <c r="N383" s="5">
        <v>1235</v>
      </c>
      <c r="O383" s="5">
        <v>21</v>
      </c>
      <c r="P383" s="4" t="s">
        <v>162</v>
      </c>
      <c r="Q383" s="8" t="s">
        <v>12</v>
      </c>
      <c r="R383" s="4" t="s">
        <v>567</v>
      </c>
      <c r="S383" s="4"/>
      <c r="T383"/>
      <c r="U383" s="23"/>
    </row>
    <row r="384" spans="1:21" ht="15.6" x14ac:dyDescent="0.3">
      <c r="A384" s="4">
        <v>383</v>
      </c>
      <c r="B384" s="5">
        <v>3954842</v>
      </c>
      <c r="C384" s="4" t="s">
        <v>25</v>
      </c>
      <c r="D384" s="4" t="s">
        <v>157</v>
      </c>
      <c r="E384" s="4" t="s">
        <v>16</v>
      </c>
      <c r="F384" s="4" t="s">
        <v>2940</v>
      </c>
      <c r="G384" s="6">
        <v>3.1</v>
      </c>
      <c r="H384" s="7">
        <v>45303.090740740743</v>
      </c>
      <c r="I384" s="7" t="str">
        <f>TEXT(multilingual_mobile_app_reviews_2025[[#This Row],[Review_date]],"dd-mm-yyyy")</f>
        <v>12-01-2024</v>
      </c>
      <c r="J384" s="7" t="str">
        <f>TEXT(multilingual_mobile_app_reviews_2025[[#This Row],[Review_date]],"YYYY")</f>
        <v>2024</v>
      </c>
      <c r="K384" s="7" t="str">
        <f>TEXT(multilingual_mobile_app_reviews_2025[[#This Row],[Review_date]],"MMMM")</f>
        <v>January</v>
      </c>
      <c r="L384" s="4" t="b">
        <v>0</v>
      </c>
      <c r="M384" s="4" t="s">
        <v>3</v>
      </c>
      <c r="N384" s="5">
        <v>459</v>
      </c>
      <c r="O384" s="5">
        <v>54</v>
      </c>
      <c r="P384" s="4" t="s">
        <v>94</v>
      </c>
      <c r="Q384" s="8" t="s">
        <v>5</v>
      </c>
      <c r="R384" s="4" t="s">
        <v>568</v>
      </c>
      <c r="S384" s="4"/>
      <c r="T384"/>
      <c r="U384" s="23"/>
    </row>
    <row r="385" spans="1:21" ht="15.6" x14ac:dyDescent="0.3">
      <c r="A385" s="4">
        <v>384</v>
      </c>
      <c r="B385" s="5">
        <v>9609060</v>
      </c>
      <c r="C385" s="4" t="s">
        <v>106</v>
      </c>
      <c r="D385" s="4" t="s">
        <v>60</v>
      </c>
      <c r="E385" s="4" t="s">
        <v>21</v>
      </c>
      <c r="F385" s="4" t="s">
        <v>2950</v>
      </c>
      <c r="G385" s="6">
        <v>1.2</v>
      </c>
      <c r="H385" s="7">
        <v>45508.21025462963</v>
      </c>
      <c r="I385" s="7" t="str">
        <f>TEXT(multilingual_mobile_app_reviews_2025[[#This Row],[Review_date]],"dd-mm-yyyy")</f>
        <v>04-08-2024</v>
      </c>
      <c r="J385" s="7" t="str">
        <f>TEXT(multilingual_mobile_app_reviews_2025[[#This Row],[Review_date]],"YYYY")</f>
        <v>2024</v>
      </c>
      <c r="K385" s="7" t="str">
        <f>TEXT(multilingual_mobile_app_reviews_2025[[#This Row],[Review_date]],"MMMM")</f>
        <v>August</v>
      </c>
      <c r="L385" s="4" t="b">
        <v>1</v>
      </c>
      <c r="M385" s="4" t="s">
        <v>98</v>
      </c>
      <c r="N385" s="5">
        <v>92</v>
      </c>
      <c r="O385" s="5">
        <v>45</v>
      </c>
      <c r="P385" s="4" t="s">
        <v>80</v>
      </c>
      <c r="Q385" s="8" t="s">
        <v>2963</v>
      </c>
      <c r="R385" s="4" t="s">
        <v>569</v>
      </c>
      <c r="S385" s="4"/>
      <c r="T385"/>
      <c r="U385" s="23"/>
    </row>
    <row r="386" spans="1:21" ht="15.6" x14ac:dyDescent="0.3">
      <c r="A386" s="4">
        <v>385</v>
      </c>
      <c r="B386" s="5">
        <v>881180</v>
      </c>
      <c r="C386" s="4" t="s">
        <v>87</v>
      </c>
      <c r="D386" s="4" t="s">
        <v>20</v>
      </c>
      <c r="E386" s="4" t="s">
        <v>76</v>
      </c>
      <c r="F386" s="4" t="s">
        <v>2960</v>
      </c>
      <c r="G386" s="6">
        <v>1.2</v>
      </c>
      <c r="H386" s="7">
        <v>45856.693981481483</v>
      </c>
      <c r="I386" s="7" t="str">
        <f>TEXT(multilingual_mobile_app_reviews_2025[[#This Row],[Review_date]],"dd-mm-yyyy")</f>
        <v>18-07-2025</v>
      </c>
      <c r="J386" s="7" t="str">
        <f>TEXT(multilingual_mobile_app_reviews_2025[[#This Row],[Review_date]],"YYYY")</f>
        <v>2025</v>
      </c>
      <c r="K386" s="7" t="str">
        <f>TEXT(multilingual_mobile_app_reviews_2025[[#This Row],[Review_date]],"MMMM")</f>
        <v>July</v>
      </c>
      <c r="L386" s="4" t="b">
        <v>1</v>
      </c>
      <c r="M386" s="4" t="s">
        <v>3</v>
      </c>
      <c r="N386" s="5">
        <v>609</v>
      </c>
      <c r="O386" s="5">
        <v>33</v>
      </c>
      <c r="P386" s="4" t="s">
        <v>28</v>
      </c>
      <c r="Q386" s="8" t="s">
        <v>29</v>
      </c>
      <c r="R386" s="4" t="s">
        <v>570</v>
      </c>
      <c r="S386" s="4"/>
      <c r="T386"/>
      <c r="U386" s="23"/>
    </row>
    <row r="387" spans="1:21" ht="15.6" x14ac:dyDescent="0.3">
      <c r="A387" s="4">
        <v>386</v>
      </c>
      <c r="B387" s="5">
        <v>4803878</v>
      </c>
      <c r="C387" s="4" t="s">
        <v>92</v>
      </c>
      <c r="D387" s="4" t="s">
        <v>220</v>
      </c>
      <c r="E387" s="4" t="s">
        <v>571</v>
      </c>
      <c r="F387" s="4" t="s">
        <v>2949</v>
      </c>
      <c r="G387" s="6">
        <v>1.1000000000000001</v>
      </c>
      <c r="H387" s="7">
        <v>45558.745509259257</v>
      </c>
      <c r="I387" s="7" t="str">
        <f>TEXT(multilingual_mobile_app_reviews_2025[[#This Row],[Review_date]],"dd-mm-yyyy")</f>
        <v>23-09-2024</v>
      </c>
      <c r="J387" s="7" t="str">
        <f>TEXT(multilingual_mobile_app_reviews_2025[[#This Row],[Review_date]],"YYYY")</f>
        <v>2024</v>
      </c>
      <c r="K387" s="7" t="str">
        <f>TEXT(multilingual_mobile_app_reviews_2025[[#This Row],[Review_date]],"MMMM")</f>
        <v>September</v>
      </c>
      <c r="L387" s="4" t="b">
        <v>1</v>
      </c>
      <c r="M387" s="4" t="s">
        <v>3</v>
      </c>
      <c r="N387" s="5">
        <v>238</v>
      </c>
      <c r="O387" s="5">
        <v>13</v>
      </c>
      <c r="P387" s="4" t="s">
        <v>65</v>
      </c>
      <c r="Q387" s="8" t="s">
        <v>29</v>
      </c>
      <c r="R387" s="4" t="s">
        <v>572</v>
      </c>
      <c r="S387" s="4"/>
      <c r="T387"/>
      <c r="U387" s="23"/>
    </row>
    <row r="388" spans="1:21" ht="15.6" x14ac:dyDescent="0.3">
      <c r="A388" s="4">
        <v>387</v>
      </c>
      <c r="B388" s="5">
        <v>6539870</v>
      </c>
      <c r="C388" s="4" t="s">
        <v>123</v>
      </c>
      <c r="D388" s="4" t="s">
        <v>79</v>
      </c>
      <c r="E388" s="4" t="s">
        <v>27</v>
      </c>
      <c r="F388" s="4" t="s">
        <v>2942</v>
      </c>
      <c r="G388" s="6">
        <v>4.3</v>
      </c>
      <c r="H388" s="7">
        <v>45725.777326388888</v>
      </c>
      <c r="I388" s="7" t="str">
        <f>TEXT(multilingual_mobile_app_reviews_2025[[#This Row],[Review_date]],"dd-mm-yyyy")</f>
        <v>09-03-2025</v>
      </c>
      <c r="J388" s="7" t="str">
        <f>TEXT(multilingual_mobile_app_reviews_2025[[#This Row],[Review_date]],"YYYY")</f>
        <v>2025</v>
      </c>
      <c r="K388" s="7" t="str">
        <f>TEXT(multilingual_mobile_app_reviews_2025[[#This Row],[Review_date]],"MMMM")</f>
        <v>March</v>
      </c>
      <c r="L388" s="4" t="b">
        <v>0</v>
      </c>
      <c r="M388" s="4" t="s">
        <v>22</v>
      </c>
      <c r="N388" s="5">
        <v>54</v>
      </c>
      <c r="O388" s="5">
        <v>26</v>
      </c>
      <c r="P388" s="4" t="s">
        <v>99</v>
      </c>
      <c r="Q388" s="8" t="s">
        <v>5</v>
      </c>
      <c r="R388" s="4" t="s">
        <v>153</v>
      </c>
      <c r="S388" s="4"/>
      <c r="T388"/>
      <c r="U388" s="23"/>
    </row>
    <row r="389" spans="1:21" ht="15.6" x14ac:dyDescent="0.3">
      <c r="A389" s="4">
        <v>388</v>
      </c>
      <c r="B389" s="5">
        <v>2447981</v>
      </c>
      <c r="C389" s="4" t="s">
        <v>123</v>
      </c>
      <c r="D389" s="4" t="s">
        <v>57</v>
      </c>
      <c r="E389" s="4" t="s">
        <v>76</v>
      </c>
      <c r="F389" s="4" t="s">
        <v>2961</v>
      </c>
      <c r="G389" s="6">
        <v>3.8</v>
      </c>
      <c r="H389" s="7">
        <v>45752.876273148147</v>
      </c>
      <c r="I389" s="7" t="str">
        <f>TEXT(multilingual_mobile_app_reviews_2025[[#This Row],[Review_date]],"dd-mm-yyyy")</f>
        <v>05-04-2025</v>
      </c>
      <c r="J389" s="7" t="str">
        <f>TEXT(multilingual_mobile_app_reviews_2025[[#This Row],[Review_date]],"YYYY")</f>
        <v>2025</v>
      </c>
      <c r="K389" s="7" t="str">
        <f>TEXT(multilingual_mobile_app_reviews_2025[[#This Row],[Review_date]],"MMMM")</f>
        <v>April</v>
      </c>
      <c r="L389" s="4" t="b">
        <v>0</v>
      </c>
      <c r="M389" s="4" t="s">
        <v>3</v>
      </c>
      <c r="N389" s="5">
        <v>965</v>
      </c>
      <c r="O389" s="5">
        <v>14</v>
      </c>
      <c r="P389" s="4" t="s">
        <v>70</v>
      </c>
      <c r="Q389" s="8" t="s">
        <v>2963</v>
      </c>
      <c r="R389" s="4" t="s">
        <v>573</v>
      </c>
      <c r="S389" s="4"/>
      <c r="T389"/>
      <c r="U389" s="23"/>
    </row>
    <row r="390" spans="1:21" ht="15.6" x14ac:dyDescent="0.3">
      <c r="A390" s="4">
        <v>389</v>
      </c>
      <c r="B390" s="5">
        <v>1415798</v>
      </c>
      <c r="C390" s="4" t="s">
        <v>134</v>
      </c>
      <c r="D390" s="4" t="s">
        <v>157</v>
      </c>
      <c r="E390" s="4" t="s">
        <v>574</v>
      </c>
      <c r="F390" s="4" t="s">
        <v>2947</v>
      </c>
      <c r="G390" s="6">
        <v>2.6</v>
      </c>
      <c r="H390" s="7">
        <v>45601.501180555555</v>
      </c>
      <c r="I390" s="7" t="str">
        <f>TEXT(multilingual_mobile_app_reviews_2025[[#This Row],[Review_date]],"dd-mm-yyyy")</f>
        <v>05-11-2024</v>
      </c>
      <c r="J390" s="7" t="str">
        <f>TEXT(multilingual_mobile_app_reviews_2025[[#This Row],[Review_date]],"YYYY")</f>
        <v>2024</v>
      </c>
      <c r="K390" s="7" t="str">
        <f>TEXT(multilingual_mobile_app_reviews_2025[[#This Row],[Review_date]],"MMMM")</f>
        <v>November</v>
      </c>
      <c r="L390" s="4" t="b">
        <v>1</v>
      </c>
      <c r="M390" s="4" t="s">
        <v>33</v>
      </c>
      <c r="N390" s="5">
        <v>1210</v>
      </c>
      <c r="O390" s="5">
        <v>59</v>
      </c>
      <c r="P390" s="4" t="s">
        <v>2963</v>
      </c>
      <c r="Q390" s="8" t="s">
        <v>29</v>
      </c>
      <c r="R390" s="4" t="s">
        <v>575</v>
      </c>
      <c r="S390" s="4"/>
      <c r="T390"/>
      <c r="U390" s="23"/>
    </row>
    <row r="391" spans="1:21" ht="15.6" x14ac:dyDescent="0.3">
      <c r="A391" s="4">
        <v>390</v>
      </c>
      <c r="B391" s="5">
        <v>5575691</v>
      </c>
      <c r="C391" s="4" t="s">
        <v>19</v>
      </c>
      <c r="D391" s="4" t="s">
        <v>157</v>
      </c>
      <c r="E391" s="4" t="s">
        <v>576</v>
      </c>
      <c r="F391" s="4" t="s">
        <v>2958</v>
      </c>
      <c r="G391" s="6">
        <v>2.7</v>
      </c>
      <c r="H391" s="7">
        <v>45205.438842592594</v>
      </c>
      <c r="I391" s="7" t="str">
        <f>TEXT(multilingual_mobile_app_reviews_2025[[#This Row],[Review_date]],"dd-mm-yyyy")</f>
        <v>06-10-2023</v>
      </c>
      <c r="J391" s="7" t="str">
        <f>TEXT(multilingual_mobile_app_reviews_2025[[#This Row],[Review_date]],"YYYY")</f>
        <v>2023</v>
      </c>
      <c r="K391" s="7" t="str">
        <f>TEXT(multilingual_mobile_app_reviews_2025[[#This Row],[Review_date]],"MMMM")</f>
        <v>October</v>
      </c>
      <c r="L391" s="4" t="b">
        <v>0</v>
      </c>
      <c r="M391" s="4" t="s">
        <v>22</v>
      </c>
      <c r="N391" s="5">
        <v>589</v>
      </c>
      <c r="O391" s="5">
        <v>59</v>
      </c>
      <c r="P391" s="4" t="s">
        <v>127</v>
      </c>
      <c r="Q391" s="8" t="s">
        <v>29</v>
      </c>
      <c r="R391" s="4" t="s">
        <v>577</v>
      </c>
      <c r="S391" s="4"/>
      <c r="T391"/>
      <c r="U391" s="23"/>
    </row>
    <row r="392" spans="1:21" ht="15.6" x14ac:dyDescent="0.3">
      <c r="A392" s="4">
        <v>391</v>
      </c>
      <c r="B392" s="5">
        <v>5055645</v>
      </c>
      <c r="C392" s="4" t="s">
        <v>137</v>
      </c>
      <c r="D392" s="4" t="s">
        <v>57</v>
      </c>
      <c r="E392" s="4" t="s">
        <v>578</v>
      </c>
      <c r="F392" s="4" t="s">
        <v>2961</v>
      </c>
      <c r="G392" s="6">
        <v>2.4</v>
      </c>
      <c r="H392" s="7">
        <v>45219.108252314814</v>
      </c>
      <c r="I392" s="7" t="str">
        <f>TEXT(multilingual_mobile_app_reviews_2025[[#This Row],[Review_date]],"dd-mm-yyyy")</f>
        <v>20-10-2023</v>
      </c>
      <c r="J392" s="7" t="str">
        <f>TEXT(multilingual_mobile_app_reviews_2025[[#This Row],[Review_date]],"YYYY")</f>
        <v>2023</v>
      </c>
      <c r="K392" s="7" t="str">
        <f>TEXT(multilingual_mobile_app_reviews_2025[[#This Row],[Review_date]],"MMMM")</f>
        <v>October</v>
      </c>
      <c r="L392" s="4" t="b">
        <v>1</v>
      </c>
      <c r="M392" s="4" t="s">
        <v>3</v>
      </c>
      <c r="N392" s="5">
        <v>331</v>
      </c>
      <c r="O392" s="5">
        <v>52</v>
      </c>
      <c r="P392" s="4" t="s">
        <v>127</v>
      </c>
      <c r="Q392" s="8" t="s">
        <v>39</v>
      </c>
      <c r="R392" s="4" t="s">
        <v>579</v>
      </c>
      <c r="S392" s="4"/>
      <c r="T392"/>
      <c r="U392" s="23"/>
    </row>
    <row r="393" spans="1:21" ht="15.6" x14ac:dyDescent="0.3">
      <c r="A393" s="4">
        <v>392</v>
      </c>
      <c r="B393" s="5">
        <v>1603554</v>
      </c>
      <c r="C393" s="4" t="s">
        <v>59</v>
      </c>
      <c r="D393" s="4" t="s">
        <v>1</v>
      </c>
      <c r="E393" s="4" t="s">
        <v>109</v>
      </c>
      <c r="F393" s="4" t="s">
        <v>2939</v>
      </c>
      <c r="G393" s="6">
        <v>2.4</v>
      </c>
      <c r="H393" s="7">
        <v>45413.771608796298</v>
      </c>
      <c r="I393" s="7" t="str">
        <f>TEXT(multilingual_mobile_app_reviews_2025[[#This Row],[Review_date]],"dd-mm-yyyy")</f>
        <v>01-05-2024</v>
      </c>
      <c r="J393" s="7" t="str">
        <f>TEXT(multilingual_mobile_app_reviews_2025[[#This Row],[Review_date]],"YYYY")</f>
        <v>2024</v>
      </c>
      <c r="K393" s="7" t="str">
        <f>TEXT(multilingual_mobile_app_reviews_2025[[#This Row],[Review_date]],"MMMM")</f>
        <v>May</v>
      </c>
      <c r="L393" s="4" t="b">
        <v>1</v>
      </c>
      <c r="M393" s="4" t="s">
        <v>10</v>
      </c>
      <c r="N393" s="5">
        <v>731</v>
      </c>
      <c r="O393" s="5">
        <v>56</v>
      </c>
      <c r="P393" s="4" t="s">
        <v>65</v>
      </c>
      <c r="Q393" s="8" t="s">
        <v>5</v>
      </c>
      <c r="R393" s="4" t="s">
        <v>483</v>
      </c>
      <c r="S393" s="4"/>
      <c r="T393"/>
      <c r="U393" s="23"/>
    </row>
    <row r="394" spans="1:21" ht="15.6" x14ac:dyDescent="0.3">
      <c r="A394" s="4">
        <v>393</v>
      </c>
      <c r="B394" s="5">
        <v>1661359</v>
      </c>
      <c r="C394" s="4" t="s">
        <v>147</v>
      </c>
      <c r="D394" s="4" t="s">
        <v>8</v>
      </c>
      <c r="E394" s="4" t="s">
        <v>580</v>
      </c>
      <c r="F394" s="4" t="s">
        <v>2940</v>
      </c>
      <c r="G394" s="6">
        <v>4.0999999999999996</v>
      </c>
      <c r="H394" s="7">
        <v>45521.898946759262</v>
      </c>
      <c r="I394" s="7" t="str">
        <f>TEXT(multilingual_mobile_app_reviews_2025[[#This Row],[Review_date]],"dd-mm-yyyy")</f>
        <v>17-08-2024</v>
      </c>
      <c r="J394" s="7" t="str">
        <f>TEXT(multilingual_mobile_app_reviews_2025[[#This Row],[Review_date]],"YYYY")</f>
        <v>2024</v>
      </c>
      <c r="K394" s="7" t="str">
        <f>TEXT(multilingual_mobile_app_reviews_2025[[#This Row],[Review_date]],"MMMM")</f>
        <v>August</v>
      </c>
      <c r="L394" s="4" t="b">
        <v>1</v>
      </c>
      <c r="M394" s="4" t="s">
        <v>33</v>
      </c>
      <c r="N394" s="5">
        <v>547</v>
      </c>
      <c r="O394" s="5">
        <v>70</v>
      </c>
      <c r="P394" s="4" t="s">
        <v>180</v>
      </c>
      <c r="Q394" s="8" t="s">
        <v>2963</v>
      </c>
      <c r="R394" s="4" t="s">
        <v>581</v>
      </c>
      <c r="S394" s="4"/>
      <c r="T394"/>
      <c r="U394" s="23"/>
    </row>
    <row r="395" spans="1:21" ht="15.6" x14ac:dyDescent="0.3">
      <c r="A395" s="4">
        <v>394</v>
      </c>
      <c r="B395" s="5">
        <v>1161446</v>
      </c>
      <c r="C395" s="4" t="s">
        <v>14</v>
      </c>
      <c r="D395" s="4" t="s">
        <v>1</v>
      </c>
      <c r="E395" s="4" t="s">
        <v>16</v>
      </c>
      <c r="F395" s="4" t="s">
        <v>2952</v>
      </c>
      <c r="G395" s="6">
        <v>3.5</v>
      </c>
      <c r="H395" s="7">
        <v>45268.752083333333</v>
      </c>
      <c r="I395" s="7" t="str">
        <f>TEXT(multilingual_mobile_app_reviews_2025[[#This Row],[Review_date]],"dd-mm-yyyy")</f>
        <v>08-12-2023</v>
      </c>
      <c r="J395" s="7" t="str">
        <f>TEXT(multilingual_mobile_app_reviews_2025[[#This Row],[Review_date]],"YYYY")</f>
        <v>2023</v>
      </c>
      <c r="K395" s="7" t="str">
        <f>TEXT(multilingual_mobile_app_reviews_2025[[#This Row],[Review_date]],"MMMM")</f>
        <v>December</v>
      </c>
      <c r="L395" s="4" t="b">
        <v>1</v>
      </c>
      <c r="M395" s="4" t="s">
        <v>22</v>
      </c>
      <c r="N395" s="5">
        <v>740</v>
      </c>
      <c r="O395" s="5">
        <v>23</v>
      </c>
      <c r="P395" s="4" t="s">
        <v>44</v>
      </c>
      <c r="Q395" s="8" t="s">
        <v>39</v>
      </c>
      <c r="R395" s="4" t="s">
        <v>582</v>
      </c>
      <c r="S395" s="4"/>
      <c r="T395"/>
      <c r="U395" s="23"/>
    </row>
    <row r="396" spans="1:21" ht="15.6" x14ac:dyDescent="0.3">
      <c r="A396" s="4">
        <v>395</v>
      </c>
      <c r="B396" s="5">
        <v>4729871</v>
      </c>
      <c r="C396" s="4" t="s">
        <v>258</v>
      </c>
      <c r="D396" s="4" t="s">
        <v>26</v>
      </c>
      <c r="E396" s="4" t="s">
        <v>583</v>
      </c>
      <c r="F396" s="4" t="s">
        <v>2953</v>
      </c>
      <c r="G396" s="6">
        <v>4.3</v>
      </c>
      <c r="H396" s="7">
        <v>45617.859074074076</v>
      </c>
      <c r="I396" s="7" t="str">
        <f>TEXT(multilingual_mobile_app_reviews_2025[[#This Row],[Review_date]],"dd-mm-yyyy")</f>
        <v>21-11-2024</v>
      </c>
      <c r="J396" s="7" t="str">
        <f>TEXT(multilingual_mobile_app_reviews_2025[[#This Row],[Review_date]],"YYYY")</f>
        <v>2024</v>
      </c>
      <c r="K396" s="7" t="str">
        <f>TEXT(multilingual_mobile_app_reviews_2025[[#This Row],[Review_date]],"MMMM")</f>
        <v>November</v>
      </c>
      <c r="L396" s="4" t="b">
        <v>1</v>
      </c>
      <c r="M396" s="4" t="s">
        <v>3</v>
      </c>
      <c r="N396" s="5">
        <v>699</v>
      </c>
      <c r="O396" s="5">
        <v>31</v>
      </c>
      <c r="P396" s="4" t="s">
        <v>85</v>
      </c>
      <c r="Q396" s="8" t="s">
        <v>5</v>
      </c>
      <c r="R396" s="4" t="s">
        <v>584</v>
      </c>
      <c r="S396" s="4"/>
      <c r="T396"/>
      <c r="U396" s="23"/>
    </row>
    <row r="397" spans="1:21" ht="15.6" x14ac:dyDescent="0.3">
      <c r="A397" s="4">
        <v>396</v>
      </c>
      <c r="B397" s="5">
        <v>7781643</v>
      </c>
      <c r="C397" s="4" t="s">
        <v>199</v>
      </c>
      <c r="D397" s="4" t="s">
        <v>97</v>
      </c>
      <c r="E397" s="4" t="s">
        <v>585</v>
      </c>
      <c r="F397" s="4" t="s">
        <v>2957</v>
      </c>
      <c r="G397" s="6">
        <v>2.4</v>
      </c>
      <c r="H397" s="7">
        <v>45276.853206018517</v>
      </c>
      <c r="I397" s="7" t="str">
        <f>TEXT(multilingual_mobile_app_reviews_2025[[#This Row],[Review_date]],"dd-mm-yyyy")</f>
        <v>16-12-2023</v>
      </c>
      <c r="J397" s="7" t="str">
        <f>TEXT(multilingual_mobile_app_reviews_2025[[#This Row],[Review_date]],"YYYY")</f>
        <v>2023</v>
      </c>
      <c r="K397" s="7" t="str">
        <f>TEXT(multilingual_mobile_app_reviews_2025[[#This Row],[Review_date]],"MMMM")</f>
        <v>December</v>
      </c>
      <c r="L397" s="4" t="b">
        <v>1</v>
      </c>
      <c r="M397" s="4" t="s">
        <v>98</v>
      </c>
      <c r="N397" s="5">
        <v>906</v>
      </c>
      <c r="O397" s="5">
        <v>22</v>
      </c>
      <c r="P397" s="4" t="s">
        <v>118</v>
      </c>
      <c r="Q397" s="8" t="s">
        <v>2963</v>
      </c>
      <c r="R397" s="4" t="s">
        <v>586</v>
      </c>
      <c r="S397" s="4"/>
      <c r="T397"/>
      <c r="U397" s="23"/>
    </row>
    <row r="398" spans="1:21" ht="15.6" x14ac:dyDescent="0.3">
      <c r="A398" s="4">
        <v>397</v>
      </c>
      <c r="B398" s="5">
        <v>5454241</v>
      </c>
      <c r="C398" s="4" t="s">
        <v>75</v>
      </c>
      <c r="D398" s="4" t="s">
        <v>15</v>
      </c>
      <c r="E398" s="4" t="s">
        <v>64</v>
      </c>
      <c r="F398" s="4" t="s">
        <v>2962</v>
      </c>
      <c r="G398" s="6">
        <v>3</v>
      </c>
      <c r="H398" s="7">
        <v>45365.25273148148</v>
      </c>
      <c r="I398" s="7" t="str">
        <f>TEXT(multilingual_mobile_app_reviews_2025[[#This Row],[Review_date]],"dd-mm-yyyy")</f>
        <v>14-03-2024</v>
      </c>
      <c r="J398" s="7" t="str">
        <f>TEXT(multilingual_mobile_app_reviews_2025[[#This Row],[Review_date]],"YYYY")</f>
        <v>2024</v>
      </c>
      <c r="K398" s="7" t="str">
        <f>TEXT(multilingual_mobile_app_reviews_2025[[#This Row],[Review_date]],"MMMM")</f>
        <v>March</v>
      </c>
      <c r="L398" s="4" t="b">
        <v>0</v>
      </c>
      <c r="M398" s="4" t="s">
        <v>33</v>
      </c>
      <c r="N398" s="5">
        <v>623</v>
      </c>
      <c r="O398" s="5">
        <v>59</v>
      </c>
      <c r="P398" s="4" t="s">
        <v>44</v>
      </c>
      <c r="Q398" s="8" t="s">
        <v>39</v>
      </c>
      <c r="R398" s="4" t="s">
        <v>587</v>
      </c>
      <c r="S398" s="4"/>
      <c r="T398"/>
      <c r="U398" s="23"/>
    </row>
    <row r="399" spans="1:21" ht="15.6" x14ac:dyDescent="0.3">
      <c r="A399" s="4">
        <v>398</v>
      </c>
      <c r="B399" s="5">
        <v>8337735</v>
      </c>
      <c r="C399" s="4" t="s">
        <v>159</v>
      </c>
      <c r="D399" s="4" t="s">
        <v>57</v>
      </c>
      <c r="E399" s="4" t="s">
        <v>588</v>
      </c>
      <c r="F399" s="4" t="s">
        <v>2960</v>
      </c>
      <c r="G399" s="6">
        <v>4.0999999999999996</v>
      </c>
      <c r="H399" s="7">
        <v>45630.804907407408</v>
      </c>
      <c r="I399" s="7" t="str">
        <f>TEXT(multilingual_mobile_app_reviews_2025[[#This Row],[Review_date]],"dd-mm-yyyy")</f>
        <v>04-12-2024</v>
      </c>
      <c r="J399" s="7" t="str">
        <f>TEXT(multilingual_mobile_app_reviews_2025[[#This Row],[Review_date]],"YYYY")</f>
        <v>2024</v>
      </c>
      <c r="K399" s="7" t="str">
        <f>TEXT(multilingual_mobile_app_reviews_2025[[#This Row],[Review_date]],"MMMM")</f>
        <v>December</v>
      </c>
      <c r="L399" s="4" t="b">
        <v>1</v>
      </c>
      <c r="M399" s="4" t="s">
        <v>10</v>
      </c>
      <c r="N399" s="5">
        <v>172</v>
      </c>
      <c r="O399" s="5">
        <v>15</v>
      </c>
      <c r="P399" s="4" t="s">
        <v>34</v>
      </c>
      <c r="Q399" s="8" t="s">
        <v>39</v>
      </c>
      <c r="R399" s="4" t="s">
        <v>589</v>
      </c>
      <c r="S399" s="4"/>
      <c r="T399"/>
      <c r="U399" s="23"/>
    </row>
    <row r="400" spans="1:21" ht="15.6" x14ac:dyDescent="0.3">
      <c r="A400" s="4">
        <v>399</v>
      </c>
      <c r="B400" s="5">
        <v>4160441</v>
      </c>
      <c r="C400" s="4" t="s">
        <v>113</v>
      </c>
      <c r="D400" s="4" t="s">
        <v>20</v>
      </c>
      <c r="E400" s="4" t="s">
        <v>590</v>
      </c>
      <c r="F400" s="4" t="s">
        <v>2939</v>
      </c>
      <c r="G400" s="6">
        <v>4.5999999999999996</v>
      </c>
      <c r="H400" s="7">
        <v>45511.110856481479</v>
      </c>
      <c r="I400" s="7" t="str">
        <f>TEXT(multilingual_mobile_app_reviews_2025[[#This Row],[Review_date]],"dd-mm-yyyy")</f>
        <v>07-08-2024</v>
      </c>
      <c r="J400" s="7" t="str">
        <f>TEXT(multilingual_mobile_app_reviews_2025[[#This Row],[Review_date]],"YYYY")</f>
        <v>2024</v>
      </c>
      <c r="K400" s="7" t="str">
        <f>TEXT(multilingual_mobile_app_reviews_2025[[#This Row],[Review_date]],"MMMM")</f>
        <v>August</v>
      </c>
      <c r="L400" s="4" t="b">
        <v>1</v>
      </c>
      <c r="M400" s="4" t="s">
        <v>33</v>
      </c>
      <c r="N400" s="5">
        <v>1213</v>
      </c>
      <c r="O400" s="5">
        <v>29</v>
      </c>
      <c r="P400" s="4" t="s">
        <v>17</v>
      </c>
      <c r="Q400" s="8" t="s">
        <v>39</v>
      </c>
      <c r="R400" s="4" t="s">
        <v>591</v>
      </c>
      <c r="S400" s="4"/>
      <c r="T400"/>
      <c r="U400" s="23"/>
    </row>
    <row r="401" spans="1:21" ht="15.6" x14ac:dyDescent="0.3">
      <c r="A401" s="4">
        <v>400</v>
      </c>
      <c r="B401" s="5">
        <v>6824393</v>
      </c>
      <c r="C401" s="4" t="s">
        <v>0</v>
      </c>
      <c r="D401" s="4" t="s">
        <v>97</v>
      </c>
      <c r="E401" s="4" t="s">
        <v>109</v>
      </c>
      <c r="F401" s="4" t="s">
        <v>2946</v>
      </c>
      <c r="G401" s="6">
        <v>2.4</v>
      </c>
      <c r="H401" s="7">
        <v>45553.933692129627</v>
      </c>
      <c r="I401" s="7" t="str">
        <f>TEXT(multilingual_mobile_app_reviews_2025[[#This Row],[Review_date]],"dd-mm-yyyy")</f>
        <v>18-09-2024</v>
      </c>
      <c r="J401" s="7" t="str">
        <f>TEXT(multilingual_mobile_app_reviews_2025[[#This Row],[Review_date]],"YYYY")</f>
        <v>2024</v>
      </c>
      <c r="K401" s="7" t="str">
        <f>TEXT(multilingual_mobile_app_reviews_2025[[#This Row],[Review_date]],"MMMM")</f>
        <v>September</v>
      </c>
      <c r="L401" s="4" t="b">
        <v>1</v>
      </c>
      <c r="M401" s="4" t="s">
        <v>22</v>
      </c>
      <c r="N401" s="5">
        <v>1191</v>
      </c>
      <c r="O401" s="5">
        <v>49</v>
      </c>
      <c r="P401" s="4" t="s">
        <v>61</v>
      </c>
      <c r="Q401" s="8" t="s">
        <v>2963</v>
      </c>
      <c r="R401" s="4" t="s">
        <v>592</v>
      </c>
      <c r="S401" s="4"/>
      <c r="T401"/>
      <c r="U401" s="23"/>
    </row>
    <row r="402" spans="1:21" ht="15.6" x14ac:dyDescent="0.3">
      <c r="A402" s="4">
        <v>401</v>
      </c>
      <c r="B402" s="5">
        <v>7117921</v>
      </c>
      <c r="C402" s="4" t="s">
        <v>25</v>
      </c>
      <c r="D402" s="4" t="s">
        <v>31</v>
      </c>
      <c r="E402" s="4" t="s">
        <v>93</v>
      </c>
      <c r="F402" s="4" t="s">
        <v>2959</v>
      </c>
      <c r="G402" s="6">
        <v>4.3</v>
      </c>
      <c r="H402" s="7">
        <v>45561.139976851853</v>
      </c>
      <c r="I402" s="7" t="str">
        <f>TEXT(multilingual_mobile_app_reviews_2025[[#This Row],[Review_date]],"dd-mm-yyyy")</f>
        <v>26-09-2024</v>
      </c>
      <c r="J402" s="7" t="str">
        <f>TEXT(multilingual_mobile_app_reviews_2025[[#This Row],[Review_date]],"YYYY")</f>
        <v>2024</v>
      </c>
      <c r="K402" s="7" t="str">
        <f>TEXT(multilingual_mobile_app_reviews_2025[[#This Row],[Review_date]],"MMMM")</f>
        <v>September</v>
      </c>
      <c r="L402" s="4" t="b">
        <v>1</v>
      </c>
      <c r="M402" s="4" t="s">
        <v>10</v>
      </c>
      <c r="N402" s="5">
        <v>930</v>
      </c>
      <c r="O402" s="5">
        <v>19</v>
      </c>
      <c r="P402" s="4" t="s">
        <v>180</v>
      </c>
      <c r="Q402" s="8" t="s">
        <v>29</v>
      </c>
      <c r="R402" s="4" t="s">
        <v>593</v>
      </c>
      <c r="S402" s="4"/>
      <c r="T402"/>
      <c r="U402" s="23"/>
    </row>
    <row r="403" spans="1:21" ht="15.6" x14ac:dyDescent="0.3">
      <c r="A403" s="4">
        <v>402</v>
      </c>
      <c r="B403" s="5">
        <v>6131903</v>
      </c>
      <c r="C403" s="4" t="s">
        <v>104</v>
      </c>
      <c r="D403" s="4" t="s">
        <v>20</v>
      </c>
      <c r="E403" s="4" t="s">
        <v>32</v>
      </c>
      <c r="F403" s="4" t="s">
        <v>2944</v>
      </c>
      <c r="G403" s="6">
        <v>3.3</v>
      </c>
      <c r="H403" s="7">
        <v>45683.853715277779</v>
      </c>
      <c r="I403" s="7" t="str">
        <f>TEXT(multilingual_mobile_app_reviews_2025[[#This Row],[Review_date]],"dd-mm-yyyy")</f>
        <v>26-01-2025</v>
      </c>
      <c r="J403" s="7" t="str">
        <f>TEXT(multilingual_mobile_app_reviews_2025[[#This Row],[Review_date]],"YYYY")</f>
        <v>2025</v>
      </c>
      <c r="K403" s="7" t="str">
        <f>TEXT(multilingual_mobile_app_reviews_2025[[#This Row],[Review_date]],"MMMM")</f>
        <v>January</v>
      </c>
      <c r="L403" s="4" t="b">
        <v>1</v>
      </c>
      <c r="M403" s="4" t="s">
        <v>3</v>
      </c>
      <c r="N403" s="5">
        <v>901</v>
      </c>
      <c r="O403" s="5">
        <v>57</v>
      </c>
      <c r="P403" s="4" t="s">
        <v>99</v>
      </c>
      <c r="Q403" s="8" t="s">
        <v>29</v>
      </c>
      <c r="R403" s="4" t="s">
        <v>594</v>
      </c>
      <c r="S403" s="4"/>
      <c r="T403"/>
      <c r="U403" s="23"/>
    </row>
    <row r="404" spans="1:21" ht="15.6" x14ac:dyDescent="0.3">
      <c r="A404" s="4">
        <v>403</v>
      </c>
      <c r="B404" s="5">
        <v>1525760</v>
      </c>
      <c r="C404" s="4" t="s">
        <v>192</v>
      </c>
      <c r="D404" s="4" t="s">
        <v>97</v>
      </c>
      <c r="E404" s="4" t="s">
        <v>595</v>
      </c>
      <c r="F404" s="4" t="s">
        <v>2942</v>
      </c>
      <c r="G404" s="6">
        <v>3.4</v>
      </c>
      <c r="H404" s="7">
        <v>45723.504259259258</v>
      </c>
      <c r="I404" s="7" t="str">
        <f>TEXT(multilingual_mobile_app_reviews_2025[[#This Row],[Review_date]],"dd-mm-yyyy")</f>
        <v>07-03-2025</v>
      </c>
      <c r="J404" s="7" t="str">
        <f>TEXT(multilingual_mobile_app_reviews_2025[[#This Row],[Review_date]],"YYYY")</f>
        <v>2025</v>
      </c>
      <c r="K404" s="7" t="str">
        <f>TEXT(multilingual_mobile_app_reviews_2025[[#This Row],[Review_date]],"MMMM")</f>
        <v>March</v>
      </c>
      <c r="L404" s="4" t="b">
        <v>1</v>
      </c>
      <c r="M404" s="4" t="s">
        <v>3</v>
      </c>
      <c r="N404" s="5">
        <v>225</v>
      </c>
      <c r="O404" s="5">
        <v>20</v>
      </c>
      <c r="P404" s="4" t="s">
        <v>162</v>
      </c>
      <c r="Q404" s="8" t="s">
        <v>2963</v>
      </c>
      <c r="R404" s="4" t="s">
        <v>596</v>
      </c>
      <c r="S404" s="4"/>
      <c r="T404"/>
      <c r="U404" s="23"/>
    </row>
    <row r="405" spans="1:21" ht="15.6" x14ac:dyDescent="0.3">
      <c r="A405" s="4">
        <v>404</v>
      </c>
      <c r="B405" s="5">
        <v>7321845</v>
      </c>
      <c r="C405" s="4" t="s">
        <v>96</v>
      </c>
      <c r="D405" s="4" t="s">
        <v>60</v>
      </c>
      <c r="E405" s="4" t="s">
        <v>21</v>
      </c>
      <c r="F405" s="4" t="s">
        <v>2962</v>
      </c>
      <c r="G405" s="6">
        <v>1.9</v>
      </c>
      <c r="H405" s="7">
        <v>45221.167824074073</v>
      </c>
      <c r="I405" s="7" t="str">
        <f>TEXT(multilingual_mobile_app_reviews_2025[[#This Row],[Review_date]],"dd-mm-yyyy")</f>
        <v>22-10-2023</v>
      </c>
      <c r="J405" s="7" t="str">
        <f>TEXT(multilingual_mobile_app_reviews_2025[[#This Row],[Review_date]],"YYYY")</f>
        <v>2023</v>
      </c>
      <c r="K405" s="7" t="str">
        <f>TEXT(multilingual_mobile_app_reviews_2025[[#This Row],[Review_date]],"MMMM")</f>
        <v>October</v>
      </c>
      <c r="L405" s="4" t="b">
        <v>1</v>
      </c>
      <c r="M405" s="4" t="s">
        <v>3</v>
      </c>
      <c r="N405" s="5">
        <v>4</v>
      </c>
      <c r="O405" s="5">
        <v>20</v>
      </c>
      <c r="P405" s="4" t="s">
        <v>34</v>
      </c>
      <c r="Q405" s="8" t="s">
        <v>39</v>
      </c>
      <c r="R405" s="4" t="s">
        <v>597</v>
      </c>
      <c r="S405" s="4"/>
      <c r="T405"/>
      <c r="U405" s="23"/>
    </row>
    <row r="406" spans="1:21" ht="15.6" x14ac:dyDescent="0.3">
      <c r="A406" s="4">
        <v>405</v>
      </c>
      <c r="B406" s="5">
        <v>1754343</v>
      </c>
      <c r="C406" s="4" t="s">
        <v>36</v>
      </c>
      <c r="D406" s="4" t="s">
        <v>15</v>
      </c>
      <c r="E406" s="4" t="s">
        <v>130</v>
      </c>
      <c r="F406" s="4" t="s">
        <v>2957</v>
      </c>
      <c r="G406" s="6">
        <v>2.8</v>
      </c>
      <c r="H406" s="7">
        <v>45339.846296296295</v>
      </c>
      <c r="I406" s="7" t="str">
        <f>TEXT(multilingual_mobile_app_reviews_2025[[#This Row],[Review_date]],"dd-mm-yyyy")</f>
        <v>17-02-2024</v>
      </c>
      <c r="J406" s="7" t="str">
        <f>TEXT(multilingual_mobile_app_reviews_2025[[#This Row],[Review_date]],"YYYY")</f>
        <v>2024</v>
      </c>
      <c r="K406" s="7" t="str">
        <f>TEXT(multilingual_mobile_app_reviews_2025[[#This Row],[Review_date]],"MMMM")</f>
        <v>February</v>
      </c>
      <c r="L406" s="4" t="b">
        <v>1</v>
      </c>
      <c r="M406" s="4" t="s">
        <v>10</v>
      </c>
      <c r="N406" s="5">
        <v>182</v>
      </c>
      <c r="O406" s="5">
        <v>64</v>
      </c>
      <c r="P406" s="4" t="s">
        <v>144</v>
      </c>
      <c r="Q406" s="8" t="s">
        <v>2963</v>
      </c>
      <c r="R406" s="4" t="s">
        <v>598</v>
      </c>
      <c r="S406" s="4"/>
      <c r="T406"/>
      <c r="U406" s="23"/>
    </row>
    <row r="407" spans="1:21" ht="15.6" x14ac:dyDescent="0.3">
      <c r="A407" s="4">
        <v>406</v>
      </c>
      <c r="B407" s="5">
        <v>8667725</v>
      </c>
      <c r="C407" s="4" t="s">
        <v>104</v>
      </c>
      <c r="D407" s="4" t="s">
        <v>111</v>
      </c>
      <c r="E407" s="4" t="s">
        <v>21</v>
      </c>
      <c r="F407" s="4" t="s">
        <v>2949</v>
      </c>
      <c r="G407" s="6">
        <v>3.6</v>
      </c>
      <c r="H407" s="7">
        <v>45718.976157407407</v>
      </c>
      <c r="I407" s="7" t="str">
        <f>TEXT(multilingual_mobile_app_reviews_2025[[#This Row],[Review_date]],"dd-mm-yyyy")</f>
        <v>02-03-2025</v>
      </c>
      <c r="J407" s="7" t="str">
        <f>TEXT(multilingual_mobile_app_reviews_2025[[#This Row],[Review_date]],"YYYY")</f>
        <v>2025</v>
      </c>
      <c r="K407" s="7" t="str">
        <f>TEXT(multilingual_mobile_app_reviews_2025[[#This Row],[Review_date]],"MMMM")</f>
        <v>March</v>
      </c>
      <c r="L407" s="4" t="b">
        <v>1</v>
      </c>
      <c r="M407" s="4" t="s">
        <v>33</v>
      </c>
      <c r="N407" s="5">
        <v>174</v>
      </c>
      <c r="O407" s="5">
        <v>25</v>
      </c>
      <c r="P407" s="4" t="s">
        <v>144</v>
      </c>
      <c r="Q407" s="8" t="s">
        <v>2963</v>
      </c>
      <c r="R407" s="4" t="s">
        <v>599</v>
      </c>
      <c r="S407" s="4"/>
      <c r="T407"/>
      <c r="U407" s="23"/>
    </row>
    <row r="408" spans="1:21" ht="15.6" x14ac:dyDescent="0.3">
      <c r="A408" s="4">
        <v>407</v>
      </c>
      <c r="B408" s="5">
        <v>9461576</v>
      </c>
      <c r="C408" s="4" t="s">
        <v>132</v>
      </c>
      <c r="D408" s="4" t="s">
        <v>1</v>
      </c>
      <c r="E408" s="4" t="s">
        <v>600</v>
      </c>
      <c r="F408" s="4" t="s">
        <v>2950</v>
      </c>
      <c r="G408" s="6">
        <v>2.8</v>
      </c>
      <c r="H408" s="7">
        <v>45173.584606481483</v>
      </c>
      <c r="I408" s="7" t="str">
        <f>TEXT(multilingual_mobile_app_reviews_2025[[#This Row],[Review_date]],"dd-mm-yyyy")</f>
        <v>04-09-2023</v>
      </c>
      <c r="J408" s="7" t="str">
        <f>TEXT(multilingual_mobile_app_reviews_2025[[#This Row],[Review_date]],"YYYY")</f>
        <v>2023</v>
      </c>
      <c r="K408" s="7" t="str">
        <f>TEXT(multilingual_mobile_app_reviews_2025[[#This Row],[Review_date]],"MMMM")</f>
        <v>September</v>
      </c>
      <c r="L408" s="4" t="b">
        <v>0</v>
      </c>
      <c r="M408" s="4" t="s">
        <v>33</v>
      </c>
      <c r="N408" s="5">
        <v>1242</v>
      </c>
      <c r="O408" s="5">
        <v>33</v>
      </c>
      <c r="P408" s="4" t="s">
        <v>11</v>
      </c>
      <c r="Q408" s="8" t="s">
        <v>2963</v>
      </c>
      <c r="R408" s="4" t="s">
        <v>601</v>
      </c>
      <c r="S408" s="4"/>
      <c r="T408"/>
      <c r="U408" s="23"/>
    </row>
    <row r="409" spans="1:21" ht="15.6" x14ac:dyDescent="0.3">
      <c r="A409" s="4">
        <v>408</v>
      </c>
      <c r="B409" s="5">
        <v>2030810</v>
      </c>
      <c r="C409" s="4" t="s">
        <v>41</v>
      </c>
      <c r="D409" s="4" t="s">
        <v>26</v>
      </c>
      <c r="E409" s="4" t="s">
        <v>21</v>
      </c>
      <c r="F409" s="4" t="s">
        <v>2951</v>
      </c>
      <c r="G409" s="6">
        <v>1.7</v>
      </c>
      <c r="H409" s="7">
        <v>45156.420636574076</v>
      </c>
      <c r="I409" s="7" t="str">
        <f>TEXT(multilingual_mobile_app_reviews_2025[[#This Row],[Review_date]],"dd-mm-yyyy")</f>
        <v>18-08-2023</v>
      </c>
      <c r="J409" s="7" t="str">
        <f>TEXT(multilingual_mobile_app_reviews_2025[[#This Row],[Review_date]],"YYYY")</f>
        <v>2023</v>
      </c>
      <c r="K409" s="7" t="str">
        <f>TEXT(multilingual_mobile_app_reviews_2025[[#This Row],[Review_date]],"MMMM")</f>
        <v>August</v>
      </c>
      <c r="L409" s="4" t="b">
        <v>1</v>
      </c>
      <c r="M409" s="4" t="s">
        <v>98</v>
      </c>
      <c r="N409" s="5">
        <v>315</v>
      </c>
      <c r="O409" s="5">
        <v>32</v>
      </c>
      <c r="P409" s="4" t="s">
        <v>90</v>
      </c>
      <c r="Q409" s="8" t="s">
        <v>5</v>
      </c>
      <c r="R409" s="4" t="s">
        <v>602</v>
      </c>
      <c r="S409" s="4"/>
      <c r="T409"/>
      <c r="U409" s="23"/>
    </row>
    <row r="410" spans="1:21" ht="15.6" x14ac:dyDescent="0.3">
      <c r="A410" s="4">
        <v>409</v>
      </c>
      <c r="B410" s="5">
        <v>1934801</v>
      </c>
      <c r="C410" s="4" t="s">
        <v>134</v>
      </c>
      <c r="D410" s="4" t="s">
        <v>26</v>
      </c>
      <c r="E410" s="4" t="s">
        <v>603</v>
      </c>
      <c r="F410" s="4" t="s">
        <v>2959</v>
      </c>
      <c r="G410" s="6">
        <v>2</v>
      </c>
      <c r="H410" s="7">
        <v>45395.965520833335</v>
      </c>
      <c r="I410" s="7" t="str">
        <f>TEXT(multilingual_mobile_app_reviews_2025[[#This Row],[Review_date]],"dd-mm-yyyy")</f>
        <v>13-04-2024</v>
      </c>
      <c r="J410" s="7" t="str">
        <f>TEXT(multilingual_mobile_app_reviews_2025[[#This Row],[Review_date]],"YYYY")</f>
        <v>2024</v>
      </c>
      <c r="K410" s="7" t="str">
        <f>TEXT(multilingual_mobile_app_reviews_2025[[#This Row],[Review_date]],"MMMM")</f>
        <v>April</v>
      </c>
      <c r="L410" s="4" t="b">
        <v>1</v>
      </c>
      <c r="M410" s="4" t="s">
        <v>33</v>
      </c>
      <c r="N410" s="5">
        <v>1200</v>
      </c>
      <c r="O410" s="5">
        <v>28</v>
      </c>
      <c r="P410" s="4" t="s">
        <v>99</v>
      </c>
      <c r="Q410" s="8" t="s">
        <v>2963</v>
      </c>
      <c r="R410" s="4" t="s">
        <v>604</v>
      </c>
      <c r="S410" s="4"/>
      <c r="T410"/>
      <c r="U410" s="23"/>
    </row>
    <row r="411" spans="1:21" ht="15.6" x14ac:dyDescent="0.3">
      <c r="A411" s="4">
        <v>410</v>
      </c>
      <c r="B411" s="5">
        <v>7253291</v>
      </c>
      <c r="C411" s="4" t="s">
        <v>7</v>
      </c>
      <c r="D411" s="4" t="s">
        <v>20</v>
      </c>
      <c r="E411" s="4" t="s">
        <v>93</v>
      </c>
      <c r="F411" s="4" t="s">
        <v>2957</v>
      </c>
      <c r="G411" s="6">
        <v>1.4</v>
      </c>
      <c r="H411" s="7">
        <v>45497.766331018516</v>
      </c>
      <c r="I411" s="7" t="str">
        <f>TEXT(multilingual_mobile_app_reviews_2025[[#This Row],[Review_date]],"dd-mm-yyyy")</f>
        <v>24-07-2024</v>
      </c>
      <c r="J411" s="7" t="str">
        <f>TEXT(multilingual_mobile_app_reviews_2025[[#This Row],[Review_date]],"YYYY")</f>
        <v>2024</v>
      </c>
      <c r="K411" s="7" t="str">
        <f>TEXT(multilingual_mobile_app_reviews_2025[[#This Row],[Review_date]],"MMMM")</f>
        <v>July</v>
      </c>
      <c r="L411" s="4" t="b">
        <v>1</v>
      </c>
      <c r="M411" s="4" t="s">
        <v>33</v>
      </c>
      <c r="N411" s="5">
        <v>257</v>
      </c>
      <c r="O411" s="5">
        <v>32</v>
      </c>
      <c r="P411" s="4" t="s">
        <v>28</v>
      </c>
      <c r="Q411" s="8" t="s">
        <v>29</v>
      </c>
      <c r="R411" s="4" t="s">
        <v>605</v>
      </c>
      <c r="S411" s="4"/>
      <c r="T411"/>
      <c r="U411" s="23"/>
    </row>
    <row r="412" spans="1:21" ht="15.6" x14ac:dyDescent="0.3">
      <c r="A412" s="4">
        <v>411</v>
      </c>
      <c r="B412" s="5">
        <v>6895568</v>
      </c>
      <c r="C412" s="4" t="s">
        <v>56</v>
      </c>
      <c r="D412" s="4" t="s">
        <v>47</v>
      </c>
      <c r="E412" s="4" t="s">
        <v>109</v>
      </c>
      <c r="F412" s="4" t="s">
        <v>2946</v>
      </c>
      <c r="G412" s="6">
        <v>4.8</v>
      </c>
      <c r="H412" s="7">
        <v>45628.027557870373</v>
      </c>
      <c r="I412" s="7" t="str">
        <f>TEXT(multilingual_mobile_app_reviews_2025[[#This Row],[Review_date]],"dd-mm-yyyy")</f>
        <v>02-12-2024</v>
      </c>
      <c r="J412" s="7" t="str">
        <f>TEXT(multilingual_mobile_app_reviews_2025[[#This Row],[Review_date]],"YYYY")</f>
        <v>2024</v>
      </c>
      <c r="K412" s="7" t="str">
        <f>TEXT(multilingual_mobile_app_reviews_2025[[#This Row],[Review_date]],"MMMM")</f>
        <v>December</v>
      </c>
      <c r="L412" s="4" t="b">
        <v>1</v>
      </c>
      <c r="M412" s="4" t="s">
        <v>33</v>
      </c>
      <c r="N412" s="5">
        <v>592</v>
      </c>
      <c r="O412" s="5">
        <v>54</v>
      </c>
      <c r="P412" s="4" t="s">
        <v>65</v>
      </c>
      <c r="Q412" s="8" t="s">
        <v>12</v>
      </c>
      <c r="R412" s="4" t="s">
        <v>606</v>
      </c>
      <c r="S412" s="4"/>
      <c r="T412"/>
      <c r="U412" s="23"/>
    </row>
    <row r="413" spans="1:21" ht="15.6" x14ac:dyDescent="0.3">
      <c r="A413" s="4">
        <v>412</v>
      </c>
      <c r="B413" s="5">
        <v>3227053</v>
      </c>
      <c r="C413" s="4" t="s">
        <v>84</v>
      </c>
      <c r="D413" s="4" t="s">
        <v>220</v>
      </c>
      <c r="E413" s="4" t="s">
        <v>607</v>
      </c>
      <c r="F413" s="4" t="s">
        <v>2962</v>
      </c>
      <c r="G413" s="6">
        <v>1.4</v>
      </c>
      <c r="H413" s="7">
        <v>45305.715324074074</v>
      </c>
      <c r="I413" s="7" t="str">
        <f>TEXT(multilingual_mobile_app_reviews_2025[[#This Row],[Review_date]],"dd-mm-yyyy")</f>
        <v>14-01-2024</v>
      </c>
      <c r="J413" s="7" t="str">
        <f>TEXT(multilingual_mobile_app_reviews_2025[[#This Row],[Review_date]],"YYYY")</f>
        <v>2024</v>
      </c>
      <c r="K413" s="7" t="str">
        <f>TEXT(multilingual_mobile_app_reviews_2025[[#This Row],[Review_date]],"MMMM")</f>
        <v>January</v>
      </c>
      <c r="L413" s="4" t="b">
        <v>1</v>
      </c>
      <c r="M413" s="4" t="s">
        <v>98</v>
      </c>
      <c r="N413" s="5">
        <v>286</v>
      </c>
      <c r="O413" s="5">
        <v>59</v>
      </c>
      <c r="P413" s="4" t="s">
        <v>34</v>
      </c>
      <c r="Q413" s="8" t="s">
        <v>39</v>
      </c>
      <c r="R413" s="4" t="s">
        <v>81</v>
      </c>
      <c r="S413" s="4"/>
      <c r="T413"/>
      <c r="U413" s="23"/>
    </row>
    <row r="414" spans="1:21" ht="15.6" x14ac:dyDescent="0.3">
      <c r="A414" s="4">
        <v>413</v>
      </c>
      <c r="B414" s="5">
        <v>4769851</v>
      </c>
      <c r="C414" s="4" t="s">
        <v>36</v>
      </c>
      <c r="D414" s="4" t="s">
        <v>111</v>
      </c>
      <c r="E414" s="4" t="s">
        <v>130</v>
      </c>
      <c r="F414" s="4" t="s">
        <v>2955</v>
      </c>
      <c r="G414" s="6">
        <v>2.2999999999999998</v>
      </c>
      <c r="H414" s="7">
        <v>45723.226747685185</v>
      </c>
      <c r="I414" s="7" t="str">
        <f>TEXT(multilingual_mobile_app_reviews_2025[[#This Row],[Review_date]],"dd-mm-yyyy")</f>
        <v>07-03-2025</v>
      </c>
      <c r="J414" s="7" t="str">
        <f>TEXT(multilingual_mobile_app_reviews_2025[[#This Row],[Review_date]],"YYYY")</f>
        <v>2025</v>
      </c>
      <c r="K414" s="7" t="str">
        <f>TEXT(multilingual_mobile_app_reviews_2025[[#This Row],[Review_date]],"MMMM")</f>
        <v>March</v>
      </c>
      <c r="L414" s="4" t="b">
        <v>0</v>
      </c>
      <c r="M414" s="4" t="s">
        <v>22</v>
      </c>
      <c r="N414" s="5">
        <v>4</v>
      </c>
      <c r="O414" s="5">
        <v>51</v>
      </c>
      <c r="P414" s="4" t="s">
        <v>99</v>
      </c>
      <c r="Q414" s="8" t="s">
        <v>12</v>
      </c>
      <c r="R414" s="4" t="s">
        <v>608</v>
      </c>
      <c r="S414" s="4"/>
      <c r="T414"/>
      <c r="U414" s="23"/>
    </row>
    <row r="415" spans="1:21" ht="15.6" x14ac:dyDescent="0.3">
      <c r="A415" s="4">
        <v>414</v>
      </c>
      <c r="B415" s="5">
        <v>1149645</v>
      </c>
      <c r="C415" s="4" t="s">
        <v>159</v>
      </c>
      <c r="D415" s="4" t="s">
        <v>51</v>
      </c>
      <c r="E415" s="4" t="s">
        <v>9</v>
      </c>
      <c r="F415" s="4" t="s">
        <v>2960</v>
      </c>
      <c r="G415" s="6">
        <v>4.3</v>
      </c>
      <c r="H415" s="7">
        <v>45587.31763888889</v>
      </c>
      <c r="I415" s="7" t="str">
        <f>TEXT(multilingual_mobile_app_reviews_2025[[#This Row],[Review_date]],"dd-mm-yyyy")</f>
        <v>22-10-2024</v>
      </c>
      <c r="J415" s="7" t="str">
        <f>TEXT(multilingual_mobile_app_reviews_2025[[#This Row],[Review_date]],"YYYY")</f>
        <v>2024</v>
      </c>
      <c r="K415" s="7" t="str">
        <f>TEXT(multilingual_mobile_app_reviews_2025[[#This Row],[Review_date]],"MMMM")</f>
        <v>October</v>
      </c>
      <c r="L415" s="4" t="b">
        <v>1</v>
      </c>
      <c r="M415" s="4" t="s">
        <v>10</v>
      </c>
      <c r="N415" s="5">
        <v>792</v>
      </c>
      <c r="O415" s="5">
        <v>24</v>
      </c>
      <c r="P415" s="4" t="s">
        <v>61</v>
      </c>
      <c r="Q415" s="8" t="s">
        <v>2963</v>
      </c>
      <c r="R415" s="4" t="s">
        <v>609</v>
      </c>
      <c r="S415" s="4"/>
      <c r="T415"/>
      <c r="U415" s="23"/>
    </row>
    <row r="416" spans="1:21" ht="15.6" x14ac:dyDescent="0.3">
      <c r="A416" s="4">
        <v>415</v>
      </c>
      <c r="B416" s="5">
        <v>9107502</v>
      </c>
      <c r="C416" s="4" t="s">
        <v>19</v>
      </c>
      <c r="D416" s="4" t="s">
        <v>79</v>
      </c>
      <c r="E416" s="4" t="s">
        <v>130</v>
      </c>
      <c r="F416" s="4" t="s">
        <v>2943</v>
      </c>
      <c r="G416" s="6">
        <v>1.1000000000000001</v>
      </c>
      <c r="H416" s="7">
        <v>45284.094259259262</v>
      </c>
      <c r="I416" s="7" t="str">
        <f>TEXT(multilingual_mobile_app_reviews_2025[[#This Row],[Review_date]],"dd-mm-yyyy")</f>
        <v>24-12-2023</v>
      </c>
      <c r="J416" s="7" t="str">
        <f>TEXT(multilingual_mobile_app_reviews_2025[[#This Row],[Review_date]],"YYYY")</f>
        <v>2023</v>
      </c>
      <c r="K416" s="7" t="str">
        <f>TEXT(multilingual_mobile_app_reviews_2025[[#This Row],[Review_date]],"MMMM")</f>
        <v>December</v>
      </c>
      <c r="L416" s="4" t="b">
        <v>1</v>
      </c>
      <c r="M416" s="4" t="s">
        <v>3</v>
      </c>
      <c r="N416" s="5">
        <v>1241</v>
      </c>
      <c r="O416" s="5">
        <v>26</v>
      </c>
      <c r="P416" s="4" t="s">
        <v>118</v>
      </c>
      <c r="Q416" s="8" t="s">
        <v>5</v>
      </c>
      <c r="R416" s="4" t="s">
        <v>160</v>
      </c>
      <c r="S416" s="4"/>
      <c r="T416"/>
      <c r="U416" s="23"/>
    </row>
    <row r="417" spans="1:21" ht="15.6" x14ac:dyDescent="0.3">
      <c r="A417" s="4">
        <v>416</v>
      </c>
      <c r="B417" s="5">
        <v>5569119</v>
      </c>
      <c r="C417" s="4" t="s">
        <v>176</v>
      </c>
      <c r="D417" s="4" t="s">
        <v>51</v>
      </c>
      <c r="E417" s="4" t="s">
        <v>93</v>
      </c>
      <c r="F417" s="4" t="s">
        <v>2951</v>
      </c>
      <c r="G417" s="6">
        <v>4</v>
      </c>
      <c r="H417" s="7">
        <v>45291.950370370374</v>
      </c>
      <c r="I417" s="7" t="str">
        <f>TEXT(multilingual_mobile_app_reviews_2025[[#This Row],[Review_date]],"dd-mm-yyyy")</f>
        <v>31-12-2023</v>
      </c>
      <c r="J417" s="7" t="str">
        <f>TEXT(multilingual_mobile_app_reviews_2025[[#This Row],[Review_date]],"YYYY")</f>
        <v>2023</v>
      </c>
      <c r="K417" s="7" t="str">
        <f>TEXT(multilingual_mobile_app_reviews_2025[[#This Row],[Review_date]],"MMMM")</f>
        <v>December</v>
      </c>
      <c r="L417" s="4" t="b">
        <v>1</v>
      </c>
      <c r="M417" s="4" t="s">
        <v>22</v>
      </c>
      <c r="N417" s="5">
        <v>531</v>
      </c>
      <c r="O417" s="5">
        <v>72</v>
      </c>
      <c r="P417" s="4" t="s">
        <v>28</v>
      </c>
      <c r="Q417" s="8" t="s">
        <v>5</v>
      </c>
      <c r="R417" s="4" t="s">
        <v>610</v>
      </c>
      <c r="S417" s="4"/>
      <c r="T417"/>
      <c r="U417" s="23"/>
    </row>
    <row r="418" spans="1:21" ht="15.6" x14ac:dyDescent="0.3">
      <c r="A418" s="4">
        <v>417</v>
      </c>
      <c r="B418" s="5">
        <v>2011847</v>
      </c>
      <c r="C418" s="4" t="s">
        <v>56</v>
      </c>
      <c r="D418" s="4" t="s">
        <v>111</v>
      </c>
      <c r="E418" s="4" t="s">
        <v>109</v>
      </c>
      <c r="F418" s="4" t="s">
        <v>2954</v>
      </c>
      <c r="G418" s="6">
        <v>2.7</v>
      </c>
      <c r="H418" s="7">
        <v>45342.654166666667</v>
      </c>
      <c r="I418" s="7" t="str">
        <f>TEXT(multilingual_mobile_app_reviews_2025[[#This Row],[Review_date]],"dd-mm-yyyy")</f>
        <v>20-02-2024</v>
      </c>
      <c r="J418" s="7" t="str">
        <f>TEXT(multilingual_mobile_app_reviews_2025[[#This Row],[Review_date]],"YYYY")</f>
        <v>2024</v>
      </c>
      <c r="K418" s="7" t="str">
        <f>TEXT(multilingual_mobile_app_reviews_2025[[#This Row],[Review_date]],"MMMM")</f>
        <v>February</v>
      </c>
      <c r="L418" s="4" t="b">
        <v>0</v>
      </c>
      <c r="M418" s="4" t="s">
        <v>3</v>
      </c>
      <c r="N418" s="5">
        <v>561</v>
      </c>
      <c r="O418" s="5">
        <v>20</v>
      </c>
      <c r="P418" s="4" t="s">
        <v>94</v>
      </c>
      <c r="Q418" s="8" t="s">
        <v>2963</v>
      </c>
      <c r="R418" s="4" t="s">
        <v>611</v>
      </c>
      <c r="S418" s="4"/>
      <c r="T418"/>
      <c r="U418" s="23"/>
    </row>
    <row r="419" spans="1:21" ht="15.6" x14ac:dyDescent="0.3">
      <c r="A419" s="4">
        <v>418</v>
      </c>
      <c r="B419" s="5">
        <v>8312178</v>
      </c>
      <c r="C419" s="4" t="s">
        <v>19</v>
      </c>
      <c r="D419" s="4" t="s">
        <v>157</v>
      </c>
      <c r="E419" s="4" t="s">
        <v>16</v>
      </c>
      <c r="F419" s="4" t="s">
        <v>2950</v>
      </c>
      <c r="G419" s="6">
        <v>4.2</v>
      </c>
      <c r="H419" s="7">
        <v>45548.766631944447</v>
      </c>
      <c r="I419" s="7" t="str">
        <f>TEXT(multilingual_mobile_app_reviews_2025[[#This Row],[Review_date]],"dd-mm-yyyy")</f>
        <v>13-09-2024</v>
      </c>
      <c r="J419" s="7" t="str">
        <f>TEXT(multilingual_mobile_app_reviews_2025[[#This Row],[Review_date]],"YYYY")</f>
        <v>2024</v>
      </c>
      <c r="K419" s="7" t="str">
        <f>TEXT(multilingual_mobile_app_reviews_2025[[#This Row],[Review_date]],"MMMM")</f>
        <v>September</v>
      </c>
      <c r="L419" s="4" t="b">
        <v>0</v>
      </c>
      <c r="M419" s="4" t="s">
        <v>22</v>
      </c>
      <c r="N419" s="5">
        <v>867</v>
      </c>
      <c r="O419" s="5">
        <v>74</v>
      </c>
      <c r="P419" s="4" t="s">
        <v>4</v>
      </c>
      <c r="Q419" s="8" t="s">
        <v>5</v>
      </c>
      <c r="R419" s="4" t="s">
        <v>612</v>
      </c>
      <c r="S419" s="4"/>
      <c r="T419"/>
      <c r="U419" s="23"/>
    </row>
    <row r="420" spans="1:21" ht="15.6" x14ac:dyDescent="0.3">
      <c r="A420" s="4">
        <v>419</v>
      </c>
      <c r="B420" s="5">
        <v>5358048</v>
      </c>
      <c r="C420" s="4" t="s">
        <v>165</v>
      </c>
      <c r="D420" s="4" t="s">
        <v>42</v>
      </c>
      <c r="E420" s="4" t="s">
        <v>9</v>
      </c>
      <c r="F420" s="4" t="s">
        <v>2940</v>
      </c>
      <c r="G420" s="6">
        <v>4.3</v>
      </c>
      <c r="H420" s="7">
        <v>45602.559212962966</v>
      </c>
      <c r="I420" s="7" t="str">
        <f>TEXT(multilingual_mobile_app_reviews_2025[[#This Row],[Review_date]],"dd-mm-yyyy")</f>
        <v>06-11-2024</v>
      </c>
      <c r="J420" s="7" t="str">
        <f>TEXT(multilingual_mobile_app_reviews_2025[[#This Row],[Review_date]],"YYYY")</f>
        <v>2024</v>
      </c>
      <c r="K420" s="7" t="str">
        <f>TEXT(multilingual_mobile_app_reviews_2025[[#This Row],[Review_date]],"MMMM")</f>
        <v>November</v>
      </c>
      <c r="L420" s="4" t="b">
        <v>1</v>
      </c>
      <c r="M420" s="4" t="s">
        <v>33</v>
      </c>
      <c r="N420" s="5">
        <v>484</v>
      </c>
      <c r="O420" s="5">
        <v>73</v>
      </c>
      <c r="P420" s="4" t="s">
        <v>4</v>
      </c>
      <c r="Q420" s="8" t="s">
        <v>2963</v>
      </c>
      <c r="R420" s="4" t="s">
        <v>613</v>
      </c>
      <c r="S420" s="4"/>
      <c r="T420"/>
      <c r="U420" s="23"/>
    </row>
    <row r="421" spans="1:21" ht="15.6" x14ac:dyDescent="0.3">
      <c r="A421" s="4">
        <v>420</v>
      </c>
      <c r="B421" s="5">
        <v>6685795</v>
      </c>
      <c r="C421" s="4" t="s">
        <v>75</v>
      </c>
      <c r="D421" s="4" t="s">
        <v>63</v>
      </c>
      <c r="E421" s="4" t="s">
        <v>130</v>
      </c>
      <c r="F421" s="4" t="s">
        <v>2940</v>
      </c>
      <c r="G421" s="6">
        <v>2.2000000000000002</v>
      </c>
      <c r="H421" s="7">
        <v>45594.818298611113</v>
      </c>
      <c r="I421" s="7" t="str">
        <f>TEXT(multilingual_mobile_app_reviews_2025[[#This Row],[Review_date]],"dd-mm-yyyy")</f>
        <v>29-10-2024</v>
      </c>
      <c r="J421" s="7" t="str">
        <f>TEXT(multilingual_mobile_app_reviews_2025[[#This Row],[Review_date]],"YYYY")</f>
        <v>2024</v>
      </c>
      <c r="K421" s="7" t="str">
        <f>TEXT(multilingual_mobile_app_reviews_2025[[#This Row],[Review_date]],"MMMM")</f>
        <v>October</v>
      </c>
      <c r="L421" s="4" t="b">
        <v>1</v>
      </c>
      <c r="M421" s="4" t="s">
        <v>3</v>
      </c>
      <c r="N421" s="5">
        <v>134</v>
      </c>
      <c r="O421" s="5">
        <v>19</v>
      </c>
      <c r="P421" s="4" t="s">
        <v>94</v>
      </c>
      <c r="Q421" s="8" t="s">
        <v>12</v>
      </c>
      <c r="R421" s="4" t="s">
        <v>523</v>
      </c>
      <c r="S421" s="4"/>
      <c r="T421"/>
      <c r="U421" s="23"/>
    </row>
    <row r="422" spans="1:21" ht="15.6" x14ac:dyDescent="0.3">
      <c r="A422" s="4">
        <v>421</v>
      </c>
      <c r="B422" s="5">
        <v>5937206</v>
      </c>
      <c r="C422" s="4" t="s">
        <v>154</v>
      </c>
      <c r="D422" s="4" t="s">
        <v>42</v>
      </c>
      <c r="E422" s="4" t="s">
        <v>9</v>
      </c>
      <c r="F422" s="4" t="s">
        <v>2956</v>
      </c>
      <c r="G422" s="6">
        <v>4.8</v>
      </c>
      <c r="H422" s="7">
        <v>45412.273032407407</v>
      </c>
      <c r="I422" s="7" t="str">
        <f>TEXT(multilingual_mobile_app_reviews_2025[[#This Row],[Review_date]],"dd-mm-yyyy")</f>
        <v>30-04-2024</v>
      </c>
      <c r="J422" s="7" t="str">
        <f>TEXT(multilingual_mobile_app_reviews_2025[[#This Row],[Review_date]],"YYYY")</f>
        <v>2024</v>
      </c>
      <c r="K422" s="7" t="str">
        <f>TEXT(multilingual_mobile_app_reviews_2025[[#This Row],[Review_date]],"MMMM")</f>
        <v>April</v>
      </c>
      <c r="L422" s="4" t="b">
        <v>1</v>
      </c>
      <c r="M422" s="4" t="s">
        <v>98</v>
      </c>
      <c r="N422" s="5">
        <v>929</v>
      </c>
      <c r="O422" s="5">
        <v>46</v>
      </c>
      <c r="P422" s="4" t="s">
        <v>73</v>
      </c>
      <c r="Q422" s="8" t="s">
        <v>2963</v>
      </c>
      <c r="R422" s="4" t="s">
        <v>614</v>
      </c>
      <c r="S422" s="4"/>
      <c r="T422"/>
      <c r="U422" s="23"/>
    </row>
    <row r="423" spans="1:21" ht="15.6" x14ac:dyDescent="0.3">
      <c r="A423" s="4">
        <v>422</v>
      </c>
      <c r="B423" s="5">
        <v>2994531</v>
      </c>
      <c r="C423" s="4" t="s">
        <v>89</v>
      </c>
      <c r="D423" s="4" t="s">
        <v>31</v>
      </c>
      <c r="E423" s="4" t="s">
        <v>93</v>
      </c>
      <c r="F423" s="4" t="s">
        <v>2946</v>
      </c>
      <c r="G423" s="6">
        <v>1.7</v>
      </c>
      <c r="H423" s="7">
        <v>45770.927442129629</v>
      </c>
      <c r="I423" s="7" t="str">
        <f>TEXT(multilingual_mobile_app_reviews_2025[[#This Row],[Review_date]],"dd-mm-yyyy")</f>
        <v>23-04-2025</v>
      </c>
      <c r="J423" s="7" t="str">
        <f>TEXT(multilingual_mobile_app_reviews_2025[[#This Row],[Review_date]],"YYYY")</f>
        <v>2025</v>
      </c>
      <c r="K423" s="7" t="str">
        <f>TEXT(multilingual_mobile_app_reviews_2025[[#This Row],[Review_date]],"MMMM")</f>
        <v>April</v>
      </c>
      <c r="L423" s="4" t="b">
        <v>0</v>
      </c>
      <c r="M423" s="4" t="s">
        <v>22</v>
      </c>
      <c r="N423" s="5">
        <v>90</v>
      </c>
      <c r="O423" s="5">
        <v>16</v>
      </c>
      <c r="P423" s="4" t="s">
        <v>180</v>
      </c>
      <c r="Q423" s="8" t="s">
        <v>39</v>
      </c>
      <c r="R423" s="4" t="s">
        <v>615</v>
      </c>
      <c r="S423" s="4"/>
      <c r="T423"/>
      <c r="U423" s="23"/>
    </row>
    <row r="424" spans="1:21" ht="15.6" x14ac:dyDescent="0.3">
      <c r="A424" s="4">
        <v>423</v>
      </c>
      <c r="B424" s="5">
        <v>5090296</v>
      </c>
      <c r="C424" s="4" t="s">
        <v>56</v>
      </c>
      <c r="D424" s="4" t="s">
        <v>31</v>
      </c>
      <c r="E424" s="4" t="s">
        <v>109</v>
      </c>
      <c r="F424" s="4" t="s">
        <v>2948</v>
      </c>
      <c r="G424" s="6">
        <v>3.3</v>
      </c>
      <c r="H424" s="7">
        <v>45852.440115740741</v>
      </c>
      <c r="I424" s="7" t="str">
        <f>TEXT(multilingual_mobile_app_reviews_2025[[#This Row],[Review_date]],"dd-mm-yyyy")</f>
        <v>14-07-2025</v>
      </c>
      <c r="J424" s="7" t="str">
        <f>TEXT(multilingual_mobile_app_reviews_2025[[#This Row],[Review_date]],"YYYY")</f>
        <v>2025</v>
      </c>
      <c r="K424" s="7" t="str">
        <f>TEXT(multilingual_mobile_app_reviews_2025[[#This Row],[Review_date]],"MMMM")</f>
        <v>July</v>
      </c>
      <c r="L424" s="4" t="b">
        <v>0</v>
      </c>
      <c r="M424" s="4" t="s">
        <v>22</v>
      </c>
      <c r="N424" s="5">
        <v>117</v>
      </c>
      <c r="O424" s="5">
        <v>28</v>
      </c>
      <c r="P424" s="4" t="s">
        <v>85</v>
      </c>
      <c r="Q424" s="8" t="s">
        <v>2963</v>
      </c>
      <c r="R424" s="4" t="s">
        <v>616</v>
      </c>
      <c r="S424" s="4"/>
      <c r="T424"/>
      <c r="U424" s="23"/>
    </row>
    <row r="425" spans="1:21" ht="15.6" x14ac:dyDescent="0.3">
      <c r="A425" s="4">
        <v>424</v>
      </c>
      <c r="B425" s="5">
        <v>1521902</v>
      </c>
      <c r="C425" s="4" t="s">
        <v>264</v>
      </c>
      <c r="D425" s="4" t="s">
        <v>26</v>
      </c>
      <c r="E425" s="4" t="s">
        <v>93</v>
      </c>
      <c r="F425" s="4" t="s">
        <v>2950</v>
      </c>
      <c r="G425" s="6">
        <v>4.9000000000000004</v>
      </c>
      <c r="H425" s="7">
        <v>45660.921597222223</v>
      </c>
      <c r="I425" s="7" t="str">
        <f>TEXT(multilingual_mobile_app_reviews_2025[[#This Row],[Review_date]],"dd-mm-yyyy")</f>
        <v>03-01-2025</v>
      </c>
      <c r="J425" s="7" t="str">
        <f>TEXT(multilingual_mobile_app_reviews_2025[[#This Row],[Review_date]],"YYYY")</f>
        <v>2025</v>
      </c>
      <c r="K425" s="7" t="str">
        <f>TEXT(multilingual_mobile_app_reviews_2025[[#This Row],[Review_date]],"MMMM")</f>
        <v>January</v>
      </c>
      <c r="L425" s="4" t="b">
        <v>1</v>
      </c>
      <c r="M425" s="4" t="s">
        <v>33</v>
      </c>
      <c r="N425" s="5">
        <v>613</v>
      </c>
      <c r="O425" s="5">
        <v>39</v>
      </c>
      <c r="P425" s="4" t="s">
        <v>73</v>
      </c>
      <c r="Q425" s="8" t="s">
        <v>5</v>
      </c>
      <c r="R425" s="4" t="s">
        <v>617</v>
      </c>
      <c r="S425" s="4"/>
      <c r="T425"/>
      <c r="U425" s="23"/>
    </row>
    <row r="426" spans="1:21" ht="15.6" x14ac:dyDescent="0.3">
      <c r="A426" s="4">
        <v>425</v>
      </c>
      <c r="B426" s="5">
        <v>5354384</v>
      </c>
      <c r="C426" s="4" t="s">
        <v>0</v>
      </c>
      <c r="D426" s="4" t="s">
        <v>8</v>
      </c>
      <c r="E426" s="4" t="s">
        <v>2938</v>
      </c>
      <c r="F426" s="4" t="s">
        <v>2961</v>
      </c>
      <c r="G426" s="6">
        <v>2.5</v>
      </c>
      <c r="H426" s="7">
        <v>45230.424108796295</v>
      </c>
      <c r="I426" s="7" t="str">
        <f>TEXT(multilingual_mobile_app_reviews_2025[[#This Row],[Review_date]],"dd-mm-yyyy")</f>
        <v>31-10-2023</v>
      </c>
      <c r="J426" s="7" t="str">
        <f>TEXT(multilingual_mobile_app_reviews_2025[[#This Row],[Review_date]],"YYYY")</f>
        <v>2023</v>
      </c>
      <c r="K426" s="7" t="str">
        <f>TEXT(multilingual_mobile_app_reviews_2025[[#This Row],[Review_date]],"MMMM")</f>
        <v>October</v>
      </c>
      <c r="L426" s="4" t="b">
        <v>1</v>
      </c>
      <c r="M426" s="4" t="s">
        <v>3</v>
      </c>
      <c r="N426" s="5">
        <v>377</v>
      </c>
      <c r="O426" s="5">
        <v>65</v>
      </c>
      <c r="P426" s="4" t="s">
        <v>118</v>
      </c>
      <c r="Q426" s="8" t="s">
        <v>39</v>
      </c>
      <c r="R426" s="4" t="s">
        <v>167</v>
      </c>
      <c r="S426" s="4"/>
      <c r="T426"/>
      <c r="U426" s="23"/>
    </row>
    <row r="427" spans="1:21" ht="15.6" x14ac:dyDescent="0.3">
      <c r="A427" s="4">
        <v>426</v>
      </c>
      <c r="B427" s="5">
        <v>5223426</v>
      </c>
      <c r="C427" s="4" t="s">
        <v>0</v>
      </c>
      <c r="D427" s="4" t="s">
        <v>79</v>
      </c>
      <c r="E427" s="4" t="s">
        <v>21</v>
      </c>
      <c r="F427" s="4" t="s">
        <v>2961</v>
      </c>
      <c r="G427" s="6">
        <v>1.7</v>
      </c>
      <c r="H427" s="7">
        <v>45229.715162037035</v>
      </c>
      <c r="I427" s="7" t="str">
        <f>TEXT(multilingual_mobile_app_reviews_2025[[#This Row],[Review_date]],"dd-mm-yyyy")</f>
        <v>30-10-2023</v>
      </c>
      <c r="J427" s="7" t="str">
        <f>TEXT(multilingual_mobile_app_reviews_2025[[#This Row],[Review_date]],"YYYY")</f>
        <v>2023</v>
      </c>
      <c r="K427" s="7" t="str">
        <f>TEXT(multilingual_mobile_app_reviews_2025[[#This Row],[Review_date]],"MMMM")</f>
        <v>October</v>
      </c>
      <c r="L427" s="4" t="b">
        <v>1</v>
      </c>
      <c r="M427" s="4" t="s">
        <v>33</v>
      </c>
      <c r="N427" s="5">
        <v>503</v>
      </c>
      <c r="O427" s="5">
        <v>24</v>
      </c>
      <c r="P427" s="4" t="s">
        <v>127</v>
      </c>
      <c r="Q427" s="8" t="s">
        <v>12</v>
      </c>
      <c r="R427" s="4" t="s">
        <v>618</v>
      </c>
      <c r="S427" s="4"/>
      <c r="T427"/>
      <c r="U427" s="23"/>
    </row>
    <row r="428" spans="1:21" ht="15.6" x14ac:dyDescent="0.3">
      <c r="A428" s="4">
        <v>427</v>
      </c>
      <c r="B428" s="5">
        <v>6363036</v>
      </c>
      <c r="C428" s="4" t="s">
        <v>14</v>
      </c>
      <c r="D428" s="4" t="s">
        <v>26</v>
      </c>
      <c r="E428" s="4" t="s">
        <v>9</v>
      </c>
      <c r="F428" s="4" t="s">
        <v>2957</v>
      </c>
      <c r="G428" s="6">
        <v>1.7</v>
      </c>
      <c r="H428" s="7">
        <v>45677.486342592594</v>
      </c>
      <c r="I428" s="7" t="str">
        <f>TEXT(multilingual_mobile_app_reviews_2025[[#This Row],[Review_date]],"dd-mm-yyyy")</f>
        <v>20-01-2025</v>
      </c>
      <c r="J428" s="7" t="str">
        <f>TEXT(multilingual_mobile_app_reviews_2025[[#This Row],[Review_date]],"YYYY")</f>
        <v>2025</v>
      </c>
      <c r="K428" s="7" t="str">
        <f>TEXT(multilingual_mobile_app_reviews_2025[[#This Row],[Review_date]],"MMMM")</f>
        <v>January</v>
      </c>
      <c r="L428" s="4" t="b">
        <v>1</v>
      </c>
      <c r="M428" s="4" t="s">
        <v>33</v>
      </c>
      <c r="N428" s="5">
        <v>888</v>
      </c>
      <c r="O428" s="5">
        <v>69</v>
      </c>
      <c r="P428" s="4" t="s">
        <v>61</v>
      </c>
      <c r="Q428" s="8" t="s">
        <v>12</v>
      </c>
      <c r="R428" s="4" t="s">
        <v>619</v>
      </c>
      <c r="S428" s="4"/>
      <c r="T428"/>
      <c r="U428" s="23"/>
    </row>
    <row r="429" spans="1:21" ht="15.6" x14ac:dyDescent="0.3">
      <c r="A429" s="4">
        <v>428</v>
      </c>
      <c r="B429" s="5">
        <v>8670219</v>
      </c>
      <c r="C429" s="4" t="s">
        <v>258</v>
      </c>
      <c r="D429" s="4" t="s">
        <v>26</v>
      </c>
      <c r="E429" s="4" t="s">
        <v>620</v>
      </c>
      <c r="F429" s="4" t="s">
        <v>2949</v>
      </c>
      <c r="G429" s="6">
        <v>2.2000000000000002</v>
      </c>
      <c r="H429" s="7">
        <v>45640.06658564815</v>
      </c>
      <c r="I429" s="7" t="str">
        <f>TEXT(multilingual_mobile_app_reviews_2025[[#This Row],[Review_date]],"dd-mm-yyyy")</f>
        <v>14-12-2024</v>
      </c>
      <c r="J429" s="7" t="str">
        <f>TEXT(multilingual_mobile_app_reviews_2025[[#This Row],[Review_date]],"YYYY")</f>
        <v>2024</v>
      </c>
      <c r="K429" s="7" t="str">
        <f>TEXT(multilingual_mobile_app_reviews_2025[[#This Row],[Review_date]],"MMMM")</f>
        <v>December</v>
      </c>
      <c r="L429" s="4" t="b">
        <v>1</v>
      </c>
      <c r="M429" s="4" t="s">
        <v>22</v>
      </c>
      <c r="N429" s="5">
        <v>671</v>
      </c>
      <c r="O429" s="5">
        <v>28</v>
      </c>
      <c r="P429" s="4" t="s">
        <v>23</v>
      </c>
      <c r="Q429" s="8" t="s">
        <v>39</v>
      </c>
      <c r="R429" s="4" t="s">
        <v>621</v>
      </c>
      <c r="S429" s="4"/>
      <c r="T429"/>
      <c r="U429" s="23"/>
    </row>
    <row r="430" spans="1:21" ht="15.6" x14ac:dyDescent="0.3">
      <c r="A430" s="4">
        <v>429</v>
      </c>
      <c r="B430" s="5">
        <v>9409888</v>
      </c>
      <c r="C430" s="4" t="s">
        <v>106</v>
      </c>
      <c r="D430" s="4" t="s">
        <v>60</v>
      </c>
      <c r="E430" s="4" t="s">
        <v>64</v>
      </c>
      <c r="F430" s="4" t="s">
        <v>2943</v>
      </c>
      <c r="G430" s="6">
        <v>3</v>
      </c>
      <c r="H430" s="7">
        <v>45268.486539351848</v>
      </c>
      <c r="I430" s="7" t="str">
        <f>TEXT(multilingual_mobile_app_reviews_2025[[#This Row],[Review_date]],"dd-mm-yyyy")</f>
        <v>08-12-2023</v>
      </c>
      <c r="J430" s="7" t="str">
        <f>TEXT(multilingual_mobile_app_reviews_2025[[#This Row],[Review_date]],"YYYY")</f>
        <v>2023</v>
      </c>
      <c r="K430" s="7" t="str">
        <f>TEXT(multilingual_mobile_app_reviews_2025[[#This Row],[Review_date]],"MMMM")</f>
        <v>December</v>
      </c>
      <c r="L430" s="4" t="b">
        <v>1</v>
      </c>
      <c r="M430" s="4" t="s">
        <v>3</v>
      </c>
      <c r="N430" s="5">
        <v>366</v>
      </c>
      <c r="O430" s="5">
        <v>33</v>
      </c>
      <c r="P430" s="4" t="s">
        <v>61</v>
      </c>
      <c r="Q430" s="8" t="s">
        <v>39</v>
      </c>
      <c r="R430" s="4" t="s">
        <v>622</v>
      </c>
      <c r="S430" s="4"/>
      <c r="T430"/>
      <c r="U430" s="23"/>
    </row>
    <row r="431" spans="1:21" ht="15.6" x14ac:dyDescent="0.3">
      <c r="A431" s="4">
        <v>430</v>
      </c>
      <c r="B431" s="5">
        <v>4945843</v>
      </c>
      <c r="C431" s="4" t="s">
        <v>0</v>
      </c>
      <c r="D431" s="4" t="s">
        <v>63</v>
      </c>
      <c r="E431" s="4" t="s">
        <v>21</v>
      </c>
      <c r="F431" s="4" t="s">
        <v>2945</v>
      </c>
      <c r="G431" s="6">
        <v>4.5999999999999996</v>
      </c>
      <c r="H431" s="7">
        <v>45247.849803240744</v>
      </c>
      <c r="I431" s="7" t="str">
        <f>TEXT(multilingual_mobile_app_reviews_2025[[#This Row],[Review_date]],"dd-mm-yyyy")</f>
        <v>17-11-2023</v>
      </c>
      <c r="J431" s="7" t="str">
        <f>TEXT(multilingual_mobile_app_reviews_2025[[#This Row],[Review_date]],"YYYY")</f>
        <v>2023</v>
      </c>
      <c r="K431" s="7" t="str">
        <f>TEXT(multilingual_mobile_app_reviews_2025[[#This Row],[Review_date]],"MMMM")</f>
        <v>November</v>
      </c>
      <c r="L431" s="4" t="b">
        <v>1</v>
      </c>
      <c r="M431" s="4" t="s">
        <v>33</v>
      </c>
      <c r="N431" s="5">
        <v>321</v>
      </c>
      <c r="O431" s="5">
        <v>72</v>
      </c>
      <c r="P431" s="4" t="s">
        <v>162</v>
      </c>
      <c r="Q431" s="8" t="s">
        <v>39</v>
      </c>
      <c r="R431" s="4" t="s">
        <v>623</v>
      </c>
      <c r="S431" s="4"/>
      <c r="T431"/>
      <c r="U431" s="23"/>
    </row>
    <row r="432" spans="1:21" ht="15.6" x14ac:dyDescent="0.3">
      <c r="A432" s="4">
        <v>431</v>
      </c>
      <c r="B432" s="5">
        <v>5377776</v>
      </c>
      <c r="C432" s="4" t="s">
        <v>50</v>
      </c>
      <c r="D432" s="4" t="s">
        <v>63</v>
      </c>
      <c r="E432" s="4" t="s">
        <v>32</v>
      </c>
      <c r="F432" s="4" t="s">
        <v>2945</v>
      </c>
      <c r="G432" s="6">
        <v>2.5</v>
      </c>
      <c r="H432" s="7">
        <v>45792.867511574077</v>
      </c>
      <c r="I432" s="7" t="str">
        <f>TEXT(multilingual_mobile_app_reviews_2025[[#This Row],[Review_date]],"dd-mm-yyyy")</f>
        <v>15-05-2025</v>
      </c>
      <c r="J432" s="7" t="str">
        <f>TEXT(multilingual_mobile_app_reviews_2025[[#This Row],[Review_date]],"YYYY")</f>
        <v>2025</v>
      </c>
      <c r="K432" s="7" t="str">
        <f>TEXT(multilingual_mobile_app_reviews_2025[[#This Row],[Review_date]],"MMMM")</f>
        <v>May</v>
      </c>
      <c r="L432" s="4" t="b">
        <v>1</v>
      </c>
      <c r="M432" s="4" t="s">
        <v>3</v>
      </c>
      <c r="N432" s="5">
        <v>649</v>
      </c>
      <c r="O432" s="5">
        <v>30</v>
      </c>
      <c r="P432" s="4" t="s">
        <v>11</v>
      </c>
      <c r="Q432" s="8" t="s">
        <v>12</v>
      </c>
      <c r="R432" s="4" t="s">
        <v>624</v>
      </c>
      <c r="S432" s="4"/>
      <c r="T432"/>
      <c r="U432" s="23"/>
    </row>
    <row r="433" spans="1:21" ht="15.6" x14ac:dyDescent="0.3">
      <c r="A433" s="4">
        <v>432</v>
      </c>
      <c r="B433" s="5">
        <v>999447</v>
      </c>
      <c r="C433" s="4" t="s">
        <v>192</v>
      </c>
      <c r="D433" s="4" t="s">
        <v>97</v>
      </c>
      <c r="E433" s="4" t="s">
        <v>9</v>
      </c>
      <c r="F433" s="4" t="s">
        <v>2940</v>
      </c>
      <c r="G433" s="6">
        <v>3.2</v>
      </c>
      <c r="H433" s="7">
        <v>45811.149247685185</v>
      </c>
      <c r="I433" s="7" t="str">
        <f>TEXT(multilingual_mobile_app_reviews_2025[[#This Row],[Review_date]],"dd-mm-yyyy")</f>
        <v>03-06-2025</v>
      </c>
      <c r="J433" s="7" t="str">
        <f>TEXT(multilingual_mobile_app_reviews_2025[[#This Row],[Review_date]],"YYYY")</f>
        <v>2025</v>
      </c>
      <c r="K433" s="7" t="str">
        <f>TEXT(multilingual_mobile_app_reviews_2025[[#This Row],[Review_date]],"MMMM")</f>
        <v>June</v>
      </c>
      <c r="L433" s="4" t="b">
        <v>1</v>
      </c>
      <c r="M433" s="4" t="s">
        <v>10</v>
      </c>
      <c r="N433" s="5">
        <v>402</v>
      </c>
      <c r="O433" s="5">
        <v>56</v>
      </c>
      <c r="P433" s="4" t="s">
        <v>73</v>
      </c>
      <c r="Q433" s="8" t="s">
        <v>39</v>
      </c>
      <c r="R433" s="4" t="s">
        <v>625</v>
      </c>
      <c r="S433" s="4"/>
      <c r="T433"/>
      <c r="U433" s="23"/>
    </row>
    <row r="434" spans="1:21" ht="15.6" x14ac:dyDescent="0.3">
      <c r="A434" s="4">
        <v>433</v>
      </c>
      <c r="B434" s="5">
        <v>260783</v>
      </c>
      <c r="C434" s="4" t="s">
        <v>174</v>
      </c>
      <c r="D434" s="4" t="s">
        <v>51</v>
      </c>
      <c r="E434" s="4" t="s">
        <v>626</v>
      </c>
      <c r="F434" s="4" t="s">
        <v>2960</v>
      </c>
      <c r="G434" s="6">
        <v>4.3</v>
      </c>
      <c r="H434" s="7">
        <v>45556.451215277775</v>
      </c>
      <c r="I434" s="7" t="str">
        <f>TEXT(multilingual_mobile_app_reviews_2025[[#This Row],[Review_date]],"dd-mm-yyyy")</f>
        <v>21-09-2024</v>
      </c>
      <c r="J434" s="7" t="str">
        <f>TEXT(multilingual_mobile_app_reviews_2025[[#This Row],[Review_date]],"YYYY")</f>
        <v>2024</v>
      </c>
      <c r="K434" s="7" t="str">
        <f>TEXT(multilingual_mobile_app_reviews_2025[[#This Row],[Review_date]],"MMMM")</f>
        <v>September</v>
      </c>
      <c r="L434" s="4" t="b">
        <v>1</v>
      </c>
      <c r="M434" s="4" t="s">
        <v>98</v>
      </c>
      <c r="N434" s="5">
        <v>966</v>
      </c>
      <c r="O434" s="5">
        <v>54</v>
      </c>
      <c r="P434" s="4" t="s">
        <v>85</v>
      </c>
      <c r="Q434" s="8" t="s">
        <v>5</v>
      </c>
      <c r="R434" s="4" t="s">
        <v>627</v>
      </c>
      <c r="S434" s="4"/>
      <c r="T434"/>
      <c r="U434" s="23"/>
    </row>
    <row r="435" spans="1:21" ht="15.6" x14ac:dyDescent="0.3">
      <c r="A435" s="4">
        <v>434</v>
      </c>
      <c r="B435" s="5">
        <v>2922078</v>
      </c>
      <c r="C435" s="4" t="s">
        <v>50</v>
      </c>
      <c r="D435" s="4" t="s">
        <v>51</v>
      </c>
      <c r="E435" s="4" t="s">
        <v>628</v>
      </c>
      <c r="F435" s="4" t="s">
        <v>2945</v>
      </c>
      <c r="G435" s="6">
        <v>4.0999999999999996</v>
      </c>
      <c r="H435" s="7">
        <v>45423.828217592592</v>
      </c>
      <c r="I435" s="7" t="str">
        <f>TEXT(multilingual_mobile_app_reviews_2025[[#This Row],[Review_date]],"dd-mm-yyyy")</f>
        <v>11-05-2024</v>
      </c>
      <c r="J435" s="7" t="str">
        <f>TEXT(multilingual_mobile_app_reviews_2025[[#This Row],[Review_date]],"YYYY")</f>
        <v>2024</v>
      </c>
      <c r="K435" s="7" t="str">
        <f>TEXT(multilingual_mobile_app_reviews_2025[[#This Row],[Review_date]],"MMMM")</f>
        <v>May</v>
      </c>
      <c r="L435" s="4" t="b">
        <v>1</v>
      </c>
      <c r="M435" s="4" t="s">
        <v>3</v>
      </c>
      <c r="N435" s="5">
        <v>429</v>
      </c>
      <c r="O435" s="5">
        <v>41</v>
      </c>
      <c r="P435" s="4" t="s">
        <v>70</v>
      </c>
      <c r="Q435" s="8" t="s">
        <v>2963</v>
      </c>
      <c r="R435" s="4" t="s">
        <v>629</v>
      </c>
      <c r="S435" s="4"/>
      <c r="T435"/>
      <c r="U435" s="23"/>
    </row>
    <row r="436" spans="1:21" ht="15.6" x14ac:dyDescent="0.3">
      <c r="A436" s="4">
        <v>435</v>
      </c>
      <c r="B436" s="5">
        <v>798108</v>
      </c>
      <c r="C436" s="4" t="s">
        <v>59</v>
      </c>
      <c r="D436" s="4" t="s">
        <v>79</v>
      </c>
      <c r="E436" s="4" t="s">
        <v>630</v>
      </c>
      <c r="F436" s="4" t="s">
        <v>2962</v>
      </c>
      <c r="G436" s="6">
        <v>2.2999999999999998</v>
      </c>
      <c r="H436" s="7">
        <v>45807.67454861111</v>
      </c>
      <c r="I436" s="7" t="str">
        <f>TEXT(multilingual_mobile_app_reviews_2025[[#This Row],[Review_date]],"dd-mm-yyyy")</f>
        <v>30-05-2025</v>
      </c>
      <c r="J436" s="7" t="str">
        <f>TEXT(multilingual_mobile_app_reviews_2025[[#This Row],[Review_date]],"YYYY")</f>
        <v>2025</v>
      </c>
      <c r="K436" s="7" t="str">
        <f>TEXT(multilingual_mobile_app_reviews_2025[[#This Row],[Review_date]],"MMMM")</f>
        <v>May</v>
      </c>
      <c r="L436" s="4" t="b">
        <v>0</v>
      </c>
      <c r="M436" s="4" t="s">
        <v>98</v>
      </c>
      <c r="N436" s="5">
        <v>1162</v>
      </c>
      <c r="O436" s="5">
        <v>63</v>
      </c>
      <c r="P436" s="4" t="s">
        <v>23</v>
      </c>
      <c r="Q436" s="8" t="s">
        <v>5</v>
      </c>
      <c r="R436" s="4" t="s">
        <v>631</v>
      </c>
      <c r="S436" s="4"/>
      <c r="T436"/>
      <c r="U436" s="23"/>
    </row>
    <row r="437" spans="1:21" ht="15.6" x14ac:dyDescent="0.3">
      <c r="A437" s="4">
        <v>436</v>
      </c>
      <c r="B437" s="5">
        <v>7283451</v>
      </c>
      <c r="C437" s="4" t="s">
        <v>137</v>
      </c>
      <c r="D437" s="4" t="s">
        <v>15</v>
      </c>
      <c r="E437" s="4" t="s">
        <v>130</v>
      </c>
      <c r="F437" s="4" t="s">
        <v>2942</v>
      </c>
      <c r="G437" s="6">
        <v>2.2999999999999998</v>
      </c>
      <c r="H437" s="7">
        <v>45267.799988425926</v>
      </c>
      <c r="I437" s="7" t="str">
        <f>TEXT(multilingual_mobile_app_reviews_2025[[#This Row],[Review_date]],"dd-mm-yyyy")</f>
        <v>07-12-2023</v>
      </c>
      <c r="J437" s="7" t="str">
        <f>TEXT(multilingual_mobile_app_reviews_2025[[#This Row],[Review_date]],"YYYY")</f>
        <v>2023</v>
      </c>
      <c r="K437" s="7" t="str">
        <f>TEXT(multilingual_mobile_app_reviews_2025[[#This Row],[Review_date]],"MMMM")</f>
        <v>December</v>
      </c>
      <c r="L437" s="4" t="b">
        <v>0</v>
      </c>
      <c r="M437" s="4" t="s">
        <v>3</v>
      </c>
      <c r="N437" s="5">
        <v>623</v>
      </c>
      <c r="O437" s="5">
        <v>18</v>
      </c>
      <c r="P437" s="4" t="s">
        <v>65</v>
      </c>
      <c r="Q437" s="8" t="s">
        <v>12</v>
      </c>
      <c r="R437" s="4" t="s">
        <v>632</v>
      </c>
      <c r="S437" s="4"/>
      <c r="T437"/>
      <c r="U437" s="23"/>
    </row>
    <row r="438" spans="1:21" ht="15.6" x14ac:dyDescent="0.3">
      <c r="A438" s="4">
        <v>437</v>
      </c>
      <c r="B438" s="5">
        <v>2435975</v>
      </c>
      <c r="C438" s="4" t="s">
        <v>89</v>
      </c>
      <c r="D438" s="4" t="s">
        <v>20</v>
      </c>
      <c r="E438" s="4" t="s">
        <v>64</v>
      </c>
      <c r="F438" s="4" t="s">
        <v>2941</v>
      </c>
      <c r="G438" s="6">
        <v>2.8</v>
      </c>
      <c r="H438" s="7">
        <v>45748.488738425927</v>
      </c>
      <c r="I438" s="7" t="str">
        <f>TEXT(multilingual_mobile_app_reviews_2025[[#This Row],[Review_date]],"dd-mm-yyyy")</f>
        <v>01-04-2025</v>
      </c>
      <c r="J438" s="7" t="str">
        <f>TEXT(multilingual_mobile_app_reviews_2025[[#This Row],[Review_date]],"YYYY")</f>
        <v>2025</v>
      </c>
      <c r="K438" s="7" t="str">
        <f>TEXT(multilingual_mobile_app_reviews_2025[[#This Row],[Review_date]],"MMMM")</f>
        <v>April</v>
      </c>
      <c r="L438" s="4" t="b">
        <v>1</v>
      </c>
      <c r="M438" s="4" t="s">
        <v>10</v>
      </c>
      <c r="N438" s="5">
        <v>1061</v>
      </c>
      <c r="O438" s="5">
        <v>13</v>
      </c>
      <c r="P438" s="4" t="s">
        <v>65</v>
      </c>
      <c r="Q438" s="8" t="s">
        <v>39</v>
      </c>
      <c r="R438" s="4" t="s">
        <v>633</v>
      </c>
      <c r="S438" s="4"/>
      <c r="T438"/>
      <c r="U438" s="23"/>
    </row>
    <row r="439" spans="1:21" ht="15.6" x14ac:dyDescent="0.3">
      <c r="A439" s="4">
        <v>438</v>
      </c>
      <c r="B439" s="5">
        <v>3571922</v>
      </c>
      <c r="C439" s="4" t="s">
        <v>54</v>
      </c>
      <c r="D439" s="4" t="s">
        <v>20</v>
      </c>
      <c r="E439" s="4" t="s">
        <v>130</v>
      </c>
      <c r="F439" s="4" t="s">
        <v>2952</v>
      </c>
      <c r="G439" s="6">
        <v>3</v>
      </c>
      <c r="H439" s="7">
        <v>45764.48238425926</v>
      </c>
      <c r="I439" s="7" t="str">
        <f>TEXT(multilingual_mobile_app_reviews_2025[[#This Row],[Review_date]],"dd-mm-yyyy")</f>
        <v>17-04-2025</v>
      </c>
      <c r="J439" s="7" t="str">
        <f>TEXT(multilingual_mobile_app_reviews_2025[[#This Row],[Review_date]],"YYYY")</f>
        <v>2025</v>
      </c>
      <c r="K439" s="7" t="str">
        <f>TEXT(multilingual_mobile_app_reviews_2025[[#This Row],[Review_date]],"MMMM")</f>
        <v>April</v>
      </c>
      <c r="L439" s="4" t="b">
        <v>1</v>
      </c>
      <c r="M439" s="4" t="s">
        <v>10</v>
      </c>
      <c r="N439" s="5">
        <v>1203</v>
      </c>
      <c r="O439" s="5">
        <v>25</v>
      </c>
      <c r="P439" s="4" t="s">
        <v>85</v>
      </c>
      <c r="Q439" s="8" t="s">
        <v>29</v>
      </c>
      <c r="R439" s="4" t="s">
        <v>634</v>
      </c>
      <c r="S439" s="4"/>
      <c r="T439"/>
      <c r="U439" s="23"/>
    </row>
    <row r="440" spans="1:21" ht="15.6" x14ac:dyDescent="0.3">
      <c r="A440" s="4">
        <v>439</v>
      </c>
      <c r="B440" s="5">
        <v>9664260</v>
      </c>
      <c r="C440" s="4" t="s">
        <v>67</v>
      </c>
      <c r="D440" s="4" t="s">
        <v>97</v>
      </c>
      <c r="E440" s="4" t="s">
        <v>16</v>
      </c>
      <c r="F440" s="4" t="s">
        <v>2962</v>
      </c>
      <c r="G440" s="6">
        <v>3.6</v>
      </c>
      <c r="H440" s="7">
        <v>45411.364699074074</v>
      </c>
      <c r="I440" s="7" t="str">
        <f>TEXT(multilingual_mobile_app_reviews_2025[[#This Row],[Review_date]],"dd-mm-yyyy")</f>
        <v>29-04-2024</v>
      </c>
      <c r="J440" s="7" t="str">
        <f>TEXT(multilingual_mobile_app_reviews_2025[[#This Row],[Review_date]],"YYYY")</f>
        <v>2024</v>
      </c>
      <c r="K440" s="7" t="str">
        <f>TEXT(multilingual_mobile_app_reviews_2025[[#This Row],[Review_date]],"MMMM")</f>
        <v>April</v>
      </c>
      <c r="L440" s="4" t="b">
        <v>1</v>
      </c>
      <c r="M440" s="4" t="s">
        <v>3</v>
      </c>
      <c r="N440" s="5">
        <v>710</v>
      </c>
      <c r="O440" s="5">
        <v>57</v>
      </c>
      <c r="P440" s="4" t="s">
        <v>61</v>
      </c>
      <c r="Q440" s="8" t="s">
        <v>39</v>
      </c>
      <c r="R440" s="4" t="s">
        <v>635</v>
      </c>
      <c r="S440" s="4"/>
      <c r="T440"/>
      <c r="U440" s="23"/>
    </row>
    <row r="441" spans="1:21" ht="15.6" x14ac:dyDescent="0.3">
      <c r="A441" s="4">
        <v>440</v>
      </c>
      <c r="B441" s="5">
        <v>4815824</v>
      </c>
      <c r="C441" s="4" t="s">
        <v>147</v>
      </c>
      <c r="D441" s="4" t="s">
        <v>157</v>
      </c>
      <c r="E441" s="4" t="s">
        <v>109</v>
      </c>
      <c r="F441" s="4" t="s">
        <v>2953</v>
      </c>
      <c r="G441" s="6">
        <v>4.5</v>
      </c>
      <c r="H441" s="7">
        <v>45602.471331018518</v>
      </c>
      <c r="I441" s="7" t="str">
        <f>TEXT(multilingual_mobile_app_reviews_2025[[#This Row],[Review_date]],"dd-mm-yyyy")</f>
        <v>06-11-2024</v>
      </c>
      <c r="J441" s="7" t="str">
        <f>TEXT(multilingual_mobile_app_reviews_2025[[#This Row],[Review_date]],"YYYY")</f>
        <v>2024</v>
      </c>
      <c r="K441" s="7" t="str">
        <f>TEXT(multilingual_mobile_app_reviews_2025[[#This Row],[Review_date]],"MMMM")</f>
        <v>November</v>
      </c>
      <c r="L441" s="4" t="b">
        <v>1</v>
      </c>
      <c r="M441" s="4" t="s">
        <v>22</v>
      </c>
      <c r="N441" s="5">
        <v>560</v>
      </c>
      <c r="O441" s="5">
        <v>69</v>
      </c>
      <c r="P441" s="4" t="s">
        <v>38</v>
      </c>
      <c r="Q441" s="8" t="s">
        <v>2963</v>
      </c>
      <c r="R441" s="4" t="s">
        <v>636</v>
      </c>
      <c r="S441" s="4"/>
      <c r="T441"/>
      <c r="U441" s="23"/>
    </row>
    <row r="442" spans="1:21" ht="15.6" x14ac:dyDescent="0.3">
      <c r="A442" s="4">
        <v>441</v>
      </c>
      <c r="B442" s="5">
        <v>2924903</v>
      </c>
      <c r="C442" s="4" t="s">
        <v>59</v>
      </c>
      <c r="D442" s="4" t="s">
        <v>157</v>
      </c>
      <c r="E442" s="4" t="s">
        <v>637</v>
      </c>
      <c r="F442" s="4" t="s">
        <v>2945</v>
      </c>
      <c r="G442" s="6">
        <v>2.8</v>
      </c>
      <c r="H442" s="7">
        <v>45354.281817129631</v>
      </c>
      <c r="I442" s="7" t="str">
        <f>TEXT(multilingual_mobile_app_reviews_2025[[#This Row],[Review_date]],"dd-mm-yyyy")</f>
        <v>03-03-2024</v>
      </c>
      <c r="J442" s="7" t="str">
        <f>TEXT(multilingual_mobile_app_reviews_2025[[#This Row],[Review_date]],"YYYY")</f>
        <v>2024</v>
      </c>
      <c r="K442" s="7" t="str">
        <f>TEXT(multilingual_mobile_app_reviews_2025[[#This Row],[Review_date]],"MMMM")</f>
        <v>March</v>
      </c>
      <c r="L442" s="4" t="b">
        <v>0</v>
      </c>
      <c r="M442" s="4" t="s">
        <v>10</v>
      </c>
      <c r="N442" s="5">
        <v>424</v>
      </c>
      <c r="O442" s="5">
        <v>45</v>
      </c>
      <c r="P442" s="4" t="s">
        <v>23</v>
      </c>
      <c r="Q442" s="8" t="s">
        <v>29</v>
      </c>
      <c r="R442" s="4" t="s">
        <v>638</v>
      </c>
      <c r="S442" s="4"/>
      <c r="T442"/>
      <c r="U442" s="23"/>
    </row>
    <row r="443" spans="1:21" ht="15.6" x14ac:dyDescent="0.3">
      <c r="A443" s="4">
        <v>442</v>
      </c>
      <c r="B443" s="5">
        <v>2228830</v>
      </c>
      <c r="C443" s="4" t="s">
        <v>159</v>
      </c>
      <c r="D443" s="4" t="s">
        <v>220</v>
      </c>
      <c r="E443" s="4" t="s">
        <v>639</v>
      </c>
      <c r="F443" s="4" t="s">
        <v>2957</v>
      </c>
      <c r="G443" s="6">
        <v>4</v>
      </c>
      <c r="H443" s="7">
        <v>45822.491620370369</v>
      </c>
      <c r="I443" s="7" t="str">
        <f>TEXT(multilingual_mobile_app_reviews_2025[[#This Row],[Review_date]],"dd-mm-yyyy")</f>
        <v>14-06-2025</v>
      </c>
      <c r="J443" s="7" t="str">
        <f>TEXT(multilingual_mobile_app_reviews_2025[[#This Row],[Review_date]],"YYYY")</f>
        <v>2025</v>
      </c>
      <c r="K443" s="7" t="str">
        <f>TEXT(multilingual_mobile_app_reviews_2025[[#This Row],[Review_date]],"MMMM")</f>
        <v>June</v>
      </c>
      <c r="L443" s="4" t="b">
        <v>0</v>
      </c>
      <c r="M443" s="4" t="s">
        <v>3</v>
      </c>
      <c r="N443" s="5">
        <v>944</v>
      </c>
      <c r="O443" s="5">
        <v>17</v>
      </c>
      <c r="P443" s="4" t="s">
        <v>4</v>
      </c>
      <c r="Q443" s="8" t="s">
        <v>2963</v>
      </c>
      <c r="R443" s="4" t="s">
        <v>640</v>
      </c>
      <c r="S443" s="4"/>
      <c r="T443"/>
      <c r="U443" s="23"/>
    </row>
    <row r="444" spans="1:21" ht="15.6" x14ac:dyDescent="0.3">
      <c r="A444" s="4">
        <v>443</v>
      </c>
      <c r="B444" s="5">
        <v>1661871</v>
      </c>
      <c r="C444" s="4" t="s">
        <v>176</v>
      </c>
      <c r="D444" s="4" t="s">
        <v>47</v>
      </c>
      <c r="E444" s="4" t="s">
        <v>64</v>
      </c>
      <c r="F444" s="4" t="s">
        <v>2961</v>
      </c>
      <c r="G444" s="6">
        <v>2.6</v>
      </c>
      <c r="H444" s="7">
        <v>45451.781701388885</v>
      </c>
      <c r="I444" s="7" t="str">
        <f>TEXT(multilingual_mobile_app_reviews_2025[[#This Row],[Review_date]],"dd-mm-yyyy")</f>
        <v>08-06-2024</v>
      </c>
      <c r="J444" s="7" t="str">
        <f>TEXT(multilingual_mobile_app_reviews_2025[[#This Row],[Review_date]],"YYYY")</f>
        <v>2024</v>
      </c>
      <c r="K444" s="7" t="str">
        <f>TEXT(multilingual_mobile_app_reviews_2025[[#This Row],[Review_date]],"MMMM")</f>
        <v>June</v>
      </c>
      <c r="L444" s="4" t="b">
        <v>1</v>
      </c>
      <c r="M444" s="4" t="s">
        <v>98</v>
      </c>
      <c r="N444" s="5">
        <v>22</v>
      </c>
      <c r="O444" s="5">
        <v>56</v>
      </c>
      <c r="P444" s="4" t="s">
        <v>230</v>
      </c>
      <c r="Q444" s="8" t="s">
        <v>5</v>
      </c>
      <c r="R444" s="4" t="s">
        <v>641</v>
      </c>
      <c r="S444" s="4"/>
      <c r="T444"/>
      <c r="U444" s="23"/>
    </row>
    <row r="445" spans="1:21" ht="15.6" x14ac:dyDescent="0.3">
      <c r="A445" s="4">
        <v>444</v>
      </c>
      <c r="B445" s="5">
        <v>4767852</v>
      </c>
      <c r="C445" s="4" t="s">
        <v>104</v>
      </c>
      <c r="D445" s="4" t="s">
        <v>63</v>
      </c>
      <c r="E445" s="4" t="s">
        <v>130</v>
      </c>
      <c r="F445" s="4" t="s">
        <v>2940</v>
      </c>
      <c r="G445" s="6">
        <v>3.4</v>
      </c>
      <c r="H445" s="7">
        <v>45678.470509259256</v>
      </c>
      <c r="I445" s="7" t="str">
        <f>TEXT(multilingual_mobile_app_reviews_2025[[#This Row],[Review_date]],"dd-mm-yyyy")</f>
        <v>21-01-2025</v>
      </c>
      <c r="J445" s="7" t="str">
        <f>TEXT(multilingual_mobile_app_reviews_2025[[#This Row],[Review_date]],"YYYY")</f>
        <v>2025</v>
      </c>
      <c r="K445" s="7" t="str">
        <f>TEXT(multilingual_mobile_app_reviews_2025[[#This Row],[Review_date]],"MMMM")</f>
        <v>January</v>
      </c>
      <c r="L445" s="4" t="b">
        <v>1</v>
      </c>
      <c r="M445" s="4" t="s">
        <v>98</v>
      </c>
      <c r="N445" s="5">
        <v>772</v>
      </c>
      <c r="O445" s="5">
        <v>62</v>
      </c>
      <c r="P445" s="4" t="s">
        <v>127</v>
      </c>
      <c r="Q445" s="8" t="s">
        <v>5</v>
      </c>
      <c r="R445" s="4" t="s">
        <v>642</v>
      </c>
      <c r="S445" s="4"/>
      <c r="T445"/>
      <c r="U445" s="23"/>
    </row>
    <row r="446" spans="1:21" ht="15.6" x14ac:dyDescent="0.3">
      <c r="A446" s="4">
        <v>445</v>
      </c>
      <c r="B446" s="5">
        <v>7728527</v>
      </c>
      <c r="C446" s="4" t="s">
        <v>36</v>
      </c>
      <c r="D446" s="4" t="s">
        <v>220</v>
      </c>
      <c r="E446" s="4" t="s">
        <v>643</v>
      </c>
      <c r="F446" s="4" t="s">
        <v>2948</v>
      </c>
      <c r="G446" s="6">
        <v>1.4</v>
      </c>
      <c r="H446" s="7">
        <v>45389.655034722222</v>
      </c>
      <c r="I446" s="7" t="str">
        <f>TEXT(multilingual_mobile_app_reviews_2025[[#This Row],[Review_date]],"dd-mm-yyyy")</f>
        <v>07-04-2024</v>
      </c>
      <c r="J446" s="7" t="str">
        <f>TEXT(multilingual_mobile_app_reviews_2025[[#This Row],[Review_date]],"YYYY")</f>
        <v>2024</v>
      </c>
      <c r="K446" s="7" t="str">
        <f>TEXT(multilingual_mobile_app_reviews_2025[[#This Row],[Review_date]],"MMMM")</f>
        <v>April</v>
      </c>
      <c r="L446" s="4" t="b">
        <v>1</v>
      </c>
      <c r="M446" s="4" t="s">
        <v>10</v>
      </c>
      <c r="N446" s="5">
        <v>660</v>
      </c>
      <c r="O446" s="5">
        <v>48</v>
      </c>
      <c r="P446" s="4" t="s">
        <v>38</v>
      </c>
      <c r="Q446" s="8" t="s">
        <v>5</v>
      </c>
      <c r="R446" s="4" t="s">
        <v>644</v>
      </c>
      <c r="S446" s="4"/>
      <c r="T446"/>
      <c r="U446" s="23"/>
    </row>
    <row r="447" spans="1:21" ht="15.6" x14ac:dyDescent="0.3">
      <c r="A447" s="4">
        <v>446</v>
      </c>
      <c r="B447" s="5">
        <v>5766591</v>
      </c>
      <c r="C447" s="4" t="s">
        <v>134</v>
      </c>
      <c r="D447" s="4" t="s">
        <v>79</v>
      </c>
      <c r="E447" s="4" t="s">
        <v>27</v>
      </c>
      <c r="F447" s="4" t="s">
        <v>2946</v>
      </c>
      <c r="G447" s="6">
        <v>1.9</v>
      </c>
      <c r="H447" s="7">
        <v>45563.986921296295</v>
      </c>
      <c r="I447" s="7" t="str">
        <f>TEXT(multilingual_mobile_app_reviews_2025[[#This Row],[Review_date]],"dd-mm-yyyy")</f>
        <v>28-09-2024</v>
      </c>
      <c r="J447" s="7" t="str">
        <f>TEXT(multilingual_mobile_app_reviews_2025[[#This Row],[Review_date]],"YYYY")</f>
        <v>2024</v>
      </c>
      <c r="K447" s="7" t="str">
        <f>TEXT(multilingual_mobile_app_reviews_2025[[#This Row],[Review_date]],"MMMM")</f>
        <v>September</v>
      </c>
      <c r="L447" s="4" t="b">
        <v>1</v>
      </c>
      <c r="M447" s="4" t="s">
        <v>10</v>
      </c>
      <c r="N447" s="5">
        <v>755</v>
      </c>
      <c r="O447" s="5">
        <v>15</v>
      </c>
      <c r="P447" s="4" t="s">
        <v>4</v>
      </c>
      <c r="Q447" s="8" t="s">
        <v>5</v>
      </c>
      <c r="R447" s="4" t="s">
        <v>645</v>
      </c>
      <c r="S447" s="4"/>
      <c r="T447"/>
      <c r="U447" s="23"/>
    </row>
    <row r="448" spans="1:21" ht="15.6" x14ac:dyDescent="0.3">
      <c r="A448" s="4">
        <v>447</v>
      </c>
      <c r="B448" s="5">
        <v>2291007</v>
      </c>
      <c r="C448" s="4" t="s">
        <v>25</v>
      </c>
      <c r="D448" s="4" t="s">
        <v>47</v>
      </c>
      <c r="E448" s="4" t="s">
        <v>76</v>
      </c>
      <c r="F448" s="4" t="s">
        <v>2954</v>
      </c>
      <c r="G448" s="6">
        <v>1.7</v>
      </c>
      <c r="H448" s="7">
        <v>45578.61383101852</v>
      </c>
      <c r="I448" s="7" t="str">
        <f>TEXT(multilingual_mobile_app_reviews_2025[[#This Row],[Review_date]],"dd-mm-yyyy")</f>
        <v>13-10-2024</v>
      </c>
      <c r="J448" s="7" t="str">
        <f>TEXT(multilingual_mobile_app_reviews_2025[[#This Row],[Review_date]],"YYYY")</f>
        <v>2024</v>
      </c>
      <c r="K448" s="7" t="str">
        <f>TEXT(multilingual_mobile_app_reviews_2025[[#This Row],[Review_date]],"MMMM")</f>
        <v>October</v>
      </c>
      <c r="L448" s="4" t="b">
        <v>1</v>
      </c>
      <c r="M448" s="4" t="s">
        <v>10</v>
      </c>
      <c r="N448" s="5">
        <v>987</v>
      </c>
      <c r="O448" s="5">
        <v>17</v>
      </c>
      <c r="P448" s="4" t="s">
        <v>73</v>
      </c>
      <c r="Q448" s="8" t="s">
        <v>12</v>
      </c>
      <c r="R448" s="4" t="s">
        <v>646</v>
      </c>
      <c r="S448" s="4"/>
      <c r="T448"/>
      <c r="U448" s="23"/>
    </row>
    <row r="449" spans="1:21" ht="15.6" x14ac:dyDescent="0.3">
      <c r="A449" s="4">
        <v>448</v>
      </c>
      <c r="B449" s="5">
        <v>5866993</v>
      </c>
      <c r="C449" s="4" t="s">
        <v>50</v>
      </c>
      <c r="D449" s="4" t="s">
        <v>42</v>
      </c>
      <c r="E449" s="4" t="s">
        <v>32</v>
      </c>
      <c r="F449" s="4" t="s">
        <v>2953</v>
      </c>
      <c r="G449" s="6">
        <v>3.5</v>
      </c>
      <c r="H449" s="7">
        <v>45833.388715277775</v>
      </c>
      <c r="I449" s="7" t="str">
        <f>TEXT(multilingual_mobile_app_reviews_2025[[#This Row],[Review_date]],"dd-mm-yyyy")</f>
        <v>25-06-2025</v>
      </c>
      <c r="J449" s="7" t="str">
        <f>TEXT(multilingual_mobile_app_reviews_2025[[#This Row],[Review_date]],"YYYY")</f>
        <v>2025</v>
      </c>
      <c r="K449" s="7" t="str">
        <f>TEXT(multilingual_mobile_app_reviews_2025[[#This Row],[Review_date]],"MMMM")</f>
        <v>June</v>
      </c>
      <c r="L449" s="4" t="b">
        <v>0</v>
      </c>
      <c r="M449" s="4" t="s">
        <v>98</v>
      </c>
      <c r="N449" s="5">
        <v>281</v>
      </c>
      <c r="O449" s="5">
        <v>36</v>
      </c>
      <c r="P449" s="4" t="s">
        <v>99</v>
      </c>
      <c r="Q449" s="8" t="s">
        <v>39</v>
      </c>
      <c r="R449" s="4" t="s">
        <v>647</v>
      </c>
      <c r="S449" s="4"/>
      <c r="T449"/>
      <c r="U449" s="23"/>
    </row>
    <row r="450" spans="1:21" ht="15.6" x14ac:dyDescent="0.3">
      <c r="A450" s="4">
        <v>449</v>
      </c>
      <c r="B450" s="5">
        <v>912172</v>
      </c>
      <c r="C450" s="4" t="s">
        <v>104</v>
      </c>
      <c r="D450" s="4" t="s">
        <v>26</v>
      </c>
      <c r="E450" s="4" t="s">
        <v>648</v>
      </c>
      <c r="F450" s="4" t="s">
        <v>2962</v>
      </c>
      <c r="G450" s="6">
        <v>4</v>
      </c>
      <c r="H450" s="7">
        <v>45351.715462962966</v>
      </c>
      <c r="I450" s="7" t="str">
        <f>TEXT(multilingual_mobile_app_reviews_2025[[#This Row],[Review_date]],"dd-mm-yyyy")</f>
        <v>29-02-2024</v>
      </c>
      <c r="J450" s="7" t="str">
        <f>TEXT(multilingual_mobile_app_reviews_2025[[#This Row],[Review_date]],"YYYY")</f>
        <v>2024</v>
      </c>
      <c r="K450" s="7" t="str">
        <f>TEXT(multilingual_mobile_app_reviews_2025[[#This Row],[Review_date]],"MMMM")</f>
        <v>February</v>
      </c>
      <c r="L450" s="4" t="b">
        <v>1</v>
      </c>
      <c r="M450" s="4" t="s">
        <v>22</v>
      </c>
      <c r="N450" s="5">
        <v>678</v>
      </c>
      <c r="O450" s="5">
        <v>34</v>
      </c>
      <c r="P450" s="4" t="s">
        <v>17</v>
      </c>
      <c r="Q450" s="8" t="s">
        <v>5</v>
      </c>
      <c r="R450" s="4" t="s">
        <v>649</v>
      </c>
      <c r="S450" s="4"/>
      <c r="T450"/>
      <c r="U450" s="23"/>
    </row>
    <row r="451" spans="1:21" ht="15.6" x14ac:dyDescent="0.3">
      <c r="A451" s="4">
        <v>450</v>
      </c>
      <c r="B451" s="5">
        <v>6147102</v>
      </c>
      <c r="C451" s="4" t="s">
        <v>154</v>
      </c>
      <c r="D451" s="4" t="s">
        <v>15</v>
      </c>
      <c r="E451" s="4" t="s">
        <v>130</v>
      </c>
      <c r="F451" s="4" t="s">
        <v>2941</v>
      </c>
      <c r="G451" s="6">
        <v>4.8</v>
      </c>
      <c r="H451" s="7">
        <v>45333.36136574074</v>
      </c>
      <c r="I451" s="7" t="str">
        <f>TEXT(multilingual_mobile_app_reviews_2025[[#This Row],[Review_date]],"dd-mm-yyyy")</f>
        <v>11-02-2024</v>
      </c>
      <c r="J451" s="7" t="str">
        <f>TEXT(multilingual_mobile_app_reviews_2025[[#This Row],[Review_date]],"YYYY")</f>
        <v>2024</v>
      </c>
      <c r="K451" s="7" t="str">
        <f>TEXT(multilingual_mobile_app_reviews_2025[[#This Row],[Review_date]],"MMMM")</f>
        <v>February</v>
      </c>
      <c r="L451" s="4" t="b">
        <v>1</v>
      </c>
      <c r="M451" s="4" t="s">
        <v>98</v>
      </c>
      <c r="N451" s="5">
        <v>289</v>
      </c>
      <c r="O451" s="5">
        <v>73</v>
      </c>
      <c r="P451" s="4" t="s">
        <v>127</v>
      </c>
      <c r="Q451" s="8" t="s">
        <v>5</v>
      </c>
      <c r="R451" s="4" t="s">
        <v>650</v>
      </c>
      <c r="S451" s="4"/>
      <c r="T451"/>
      <c r="U451" s="23"/>
    </row>
    <row r="452" spans="1:21" ht="15.6" x14ac:dyDescent="0.3">
      <c r="A452" s="4">
        <v>451</v>
      </c>
      <c r="B452" s="5">
        <v>6338503</v>
      </c>
      <c r="C452" s="4" t="s">
        <v>106</v>
      </c>
      <c r="D452" s="4" t="s">
        <v>157</v>
      </c>
      <c r="E452" s="4" t="s">
        <v>76</v>
      </c>
      <c r="F452" s="4" t="s">
        <v>2955</v>
      </c>
      <c r="G452" s="6">
        <v>2</v>
      </c>
      <c r="H452" s="7">
        <v>45655.017511574071</v>
      </c>
      <c r="I452" s="7" t="str">
        <f>TEXT(multilingual_mobile_app_reviews_2025[[#This Row],[Review_date]],"dd-mm-yyyy")</f>
        <v>29-12-2024</v>
      </c>
      <c r="J452" s="7" t="str">
        <f>TEXT(multilingual_mobile_app_reviews_2025[[#This Row],[Review_date]],"YYYY")</f>
        <v>2024</v>
      </c>
      <c r="K452" s="7" t="str">
        <f>TEXT(multilingual_mobile_app_reviews_2025[[#This Row],[Review_date]],"MMMM")</f>
        <v>December</v>
      </c>
      <c r="L452" s="4" t="b">
        <v>0</v>
      </c>
      <c r="M452" s="4" t="s">
        <v>10</v>
      </c>
      <c r="N452" s="5">
        <v>1180</v>
      </c>
      <c r="O452" s="5">
        <v>41</v>
      </c>
      <c r="P452" s="4" t="s">
        <v>38</v>
      </c>
      <c r="Q452" s="8" t="s">
        <v>5</v>
      </c>
      <c r="R452" s="4" t="s">
        <v>195</v>
      </c>
      <c r="S452" s="4"/>
      <c r="T452"/>
      <c r="U452" s="23"/>
    </row>
    <row r="453" spans="1:21" ht="15.6" x14ac:dyDescent="0.3">
      <c r="A453" s="4">
        <v>452</v>
      </c>
      <c r="B453" s="5">
        <v>2877050</v>
      </c>
      <c r="C453" s="4" t="s">
        <v>176</v>
      </c>
      <c r="D453" s="4" t="s">
        <v>60</v>
      </c>
      <c r="E453" s="4" t="s">
        <v>651</v>
      </c>
      <c r="F453" s="4" t="s">
        <v>2939</v>
      </c>
      <c r="G453" s="6">
        <v>4</v>
      </c>
      <c r="H453" s="7">
        <v>45600.002754629626</v>
      </c>
      <c r="I453" s="7" t="str">
        <f>TEXT(multilingual_mobile_app_reviews_2025[[#This Row],[Review_date]],"dd-mm-yyyy")</f>
        <v>04-11-2024</v>
      </c>
      <c r="J453" s="7" t="str">
        <f>TEXT(multilingual_mobile_app_reviews_2025[[#This Row],[Review_date]],"YYYY")</f>
        <v>2024</v>
      </c>
      <c r="K453" s="7" t="str">
        <f>TEXT(multilingual_mobile_app_reviews_2025[[#This Row],[Review_date]],"MMMM")</f>
        <v>November</v>
      </c>
      <c r="L453" s="4" t="b">
        <v>1</v>
      </c>
      <c r="M453" s="4" t="s">
        <v>3</v>
      </c>
      <c r="N453" s="5">
        <v>170</v>
      </c>
      <c r="O453" s="5">
        <v>61</v>
      </c>
      <c r="P453" s="4" t="s">
        <v>114</v>
      </c>
      <c r="Q453" s="8" t="s">
        <v>2963</v>
      </c>
      <c r="R453" s="4" t="s">
        <v>652</v>
      </c>
      <c r="S453" s="4"/>
      <c r="T453"/>
      <c r="U453" s="23"/>
    </row>
    <row r="454" spans="1:21" ht="15.6" x14ac:dyDescent="0.3">
      <c r="A454" s="4">
        <v>453</v>
      </c>
      <c r="B454" s="5">
        <v>8814828</v>
      </c>
      <c r="C454" s="4" t="s">
        <v>96</v>
      </c>
      <c r="D454" s="4" t="s">
        <v>15</v>
      </c>
      <c r="E454" s="4" t="s">
        <v>130</v>
      </c>
      <c r="F454" s="4" t="s">
        <v>2959</v>
      </c>
      <c r="G454" s="6">
        <v>1.6</v>
      </c>
      <c r="H454" s="7">
        <v>45667.036458333336</v>
      </c>
      <c r="I454" s="7" t="str">
        <f>TEXT(multilingual_mobile_app_reviews_2025[[#This Row],[Review_date]],"dd-mm-yyyy")</f>
        <v>10-01-2025</v>
      </c>
      <c r="J454" s="7" t="str">
        <f>TEXT(multilingual_mobile_app_reviews_2025[[#This Row],[Review_date]],"YYYY")</f>
        <v>2025</v>
      </c>
      <c r="K454" s="7" t="str">
        <f>TEXT(multilingual_mobile_app_reviews_2025[[#This Row],[Review_date]],"MMMM")</f>
        <v>January</v>
      </c>
      <c r="L454" s="4" t="b">
        <v>1</v>
      </c>
      <c r="M454" s="4" t="s">
        <v>22</v>
      </c>
      <c r="N454" s="5">
        <v>8</v>
      </c>
      <c r="O454" s="5">
        <v>13</v>
      </c>
      <c r="P454" s="4" t="s">
        <v>85</v>
      </c>
      <c r="Q454" s="8" t="s">
        <v>39</v>
      </c>
      <c r="R454" s="4" t="s">
        <v>653</v>
      </c>
      <c r="S454" s="4"/>
      <c r="T454"/>
      <c r="U454" s="23"/>
    </row>
    <row r="455" spans="1:21" ht="15.6" x14ac:dyDescent="0.3">
      <c r="A455" s="4">
        <v>454</v>
      </c>
      <c r="B455" s="5">
        <v>255809</v>
      </c>
      <c r="C455" s="4" t="s">
        <v>59</v>
      </c>
      <c r="D455" s="4" t="s">
        <v>71</v>
      </c>
      <c r="E455" s="4" t="s">
        <v>654</v>
      </c>
      <c r="F455" s="4" t="s">
        <v>2950</v>
      </c>
      <c r="G455" s="6">
        <v>1.6</v>
      </c>
      <c r="H455" s="7">
        <v>45424.371863425928</v>
      </c>
      <c r="I455" s="7" t="str">
        <f>TEXT(multilingual_mobile_app_reviews_2025[[#This Row],[Review_date]],"dd-mm-yyyy")</f>
        <v>12-05-2024</v>
      </c>
      <c r="J455" s="7" t="str">
        <f>TEXT(multilingual_mobile_app_reviews_2025[[#This Row],[Review_date]],"YYYY")</f>
        <v>2024</v>
      </c>
      <c r="K455" s="7" t="str">
        <f>TEXT(multilingual_mobile_app_reviews_2025[[#This Row],[Review_date]],"MMMM")</f>
        <v>May</v>
      </c>
      <c r="L455" s="4" t="b">
        <v>1</v>
      </c>
      <c r="M455" s="4" t="s">
        <v>3</v>
      </c>
      <c r="N455" s="5">
        <v>522</v>
      </c>
      <c r="O455" s="5">
        <v>62</v>
      </c>
      <c r="P455" s="4" t="s">
        <v>44</v>
      </c>
      <c r="Q455" s="8" t="s">
        <v>39</v>
      </c>
      <c r="R455" s="4" t="s">
        <v>655</v>
      </c>
      <c r="S455" s="4"/>
      <c r="T455"/>
      <c r="U455" s="23"/>
    </row>
    <row r="456" spans="1:21" ht="15.6" x14ac:dyDescent="0.3">
      <c r="A456" s="4">
        <v>455</v>
      </c>
      <c r="B456" s="5">
        <v>2400647</v>
      </c>
      <c r="C456" s="4" t="s">
        <v>165</v>
      </c>
      <c r="D456" s="4" t="s">
        <v>8</v>
      </c>
      <c r="E456" s="4" t="s">
        <v>76</v>
      </c>
      <c r="F456" s="4" t="s">
        <v>2944</v>
      </c>
      <c r="G456" s="6">
        <v>3.4</v>
      </c>
      <c r="H456" s="7">
        <v>45436.146481481483</v>
      </c>
      <c r="I456" s="7" t="str">
        <f>TEXT(multilingual_mobile_app_reviews_2025[[#This Row],[Review_date]],"dd-mm-yyyy")</f>
        <v>24-05-2024</v>
      </c>
      <c r="J456" s="7" t="str">
        <f>TEXT(multilingual_mobile_app_reviews_2025[[#This Row],[Review_date]],"YYYY")</f>
        <v>2024</v>
      </c>
      <c r="K456" s="7" t="str">
        <f>TEXT(multilingual_mobile_app_reviews_2025[[#This Row],[Review_date]],"MMMM")</f>
        <v>May</v>
      </c>
      <c r="L456" s="4" t="b">
        <v>0</v>
      </c>
      <c r="M456" s="4" t="s">
        <v>22</v>
      </c>
      <c r="N456" s="5">
        <v>520</v>
      </c>
      <c r="O456" s="5">
        <v>28</v>
      </c>
      <c r="P456" s="4" t="s">
        <v>2963</v>
      </c>
      <c r="Q456" s="8" t="s">
        <v>2963</v>
      </c>
      <c r="R456" s="4" t="s">
        <v>656</v>
      </c>
      <c r="S456" s="4"/>
      <c r="T456"/>
      <c r="U456" s="23"/>
    </row>
    <row r="457" spans="1:21" ht="15.6" x14ac:dyDescent="0.3">
      <c r="A457" s="4">
        <v>456</v>
      </c>
      <c r="B457" s="5">
        <v>2333823</v>
      </c>
      <c r="C457" s="4" t="s">
        <v>101</v>
      </c>
      <c r="D457" s="4" t="s">
        <v>15</v>
      </c>
      <c r="E457" s="4" t="s">
        <v>657</v>
      </c>
      <c r="F457" s="4" t="s">
        <v>2944</v>
      </c>
      <c r="G457" s="6">
        <v>3.8</v>
      </c>
      <c r="H457" s="7">
        <v>45206.210844907408</v>
      </c>
      <c r="I457" s="7" t="str">
        <f>TEXT(multilingual_mobile_app_reviews_2025[[#This Row],[Review_date]],"dd-mm-yyyy")</f>
        <v>07-10-2023</v>
      </c>
      <c r="J457" s="7" t="str">
        <f>TEXT(multilingual_mobile_app_reviews_2025[[#This Row],[Review_date]],"YYYY")</f>
        <v>2023</v>
      </c>
      <c r="K457" s="7" t="str">
        <f>TEXT(multilingual_mobile_app_reviews_2025[[#This Row],[Review_date]],"MMMM")</f>
        <v>October</v>
      </c>
      <c r="L457" s="4" t="b">
        <v>1</v>
      </c>
      <c r="M457" s="4" t="s">
        <v>33</v>
      </c>
      <c r="N457" s="5">
        <v>1091</v>
      </c>
      <c r="O457" s="5">
        <v>55</v>
      </c>
      <c r="P457" s="4" t="s">
        <v>11</v>
      </c>
      <c r="Q457" s="8" t="s">
        <v>2963</v>
      </c>
      <c r="R457" s="4" t="s">
        <v>501</v>
      </c>
      <c r="S457" s="4"/>
      <c r="T457"/>
      <c r="U457" s="23"/>
    </row>
    <row r="458" spans="1:21" ht="15.6" x14ac:dyDescent="0.3">
      <c r="A458" s="4">
        <v>457</v>
      </c>
      <c r="B458" s="5">
        <v>2449030</v>
      </c>
      <c r="C458" s="4" t="s">
        <v>0</v>
      </c>
      <c r="D458" s="4" t="s">
        <v>79</v>
      </c>
      <c r="E458" s="4" t="s">
        <v>109</v>
      </c>
      <c r="F458" s="4" t="s">
        <v>2952</v>
      </c>
      <c r="G458" s="6">
        <v>4.3</v>
      </c>
      <c r="H458" s="7">
        <v>45723.320069444446</v>
      </c>
      <c r="I458" s="7" t="str">
        <f>TEXT(multilingual_mobile_app_reviews_2025[[#This Row],[Review_date]],"dd-mm-yyyy")</f>
        <v>07-03-2025</v>
      </c>
      <c r="J458" s="7" t="str">
        <f>TEXT(multilingual_mobile_app_reviews_2025[[#This Row],[Review_date]],"YYYY")</f>
        <v>2025</v>
      </c>
      <c r="K458" s="7" t="str">
        <f>TEXT(multilingual_mobile_app_reviews_2025[[#This Row],[Review_date]],"MMMM")</f>
        <v>March</v>
      </c>
      <c r="L458" s="4" t="b">
        <v>1</v>
      </c>
      <c r="M458" s="4" t="s">
        <v>98</v>
      </c>
      <c r="N458" s="5">
        <v>198</v>
      </c>
      <c r="O458" s="5">
        <v>17</v>
      </c>
      <c r="P458" s="4" t="s">
        <v>61</v>
      </c>
      <c r="Q458" s="8" t="s">
        <v>29</v>
      </c>
      <c r="R458" s="4" t="s">
        <v>658</v>
      </c>
      <c r="S458" s="4"/>
      <c r="T458"/>
      <c r="U458" s="23"/>
    </row>
    <row r="459" spans="1:21" ht="15.6" x14ac:dyDescent="0.3">
      <c r="A459" s="4">
        <v>458</v>
      </c>
      <c r="B459" s="5">
        <v>9991408</v>
      </c>
      <c r="C459" s="4" t="s">
        <v>174</v>
      </c>
      <c r="D459" s="4" t="s">
        <v>220</v>
      </c>
      <c r="E459" s="4" t="s">
        <v>27</v>
      </c>
      <c r="F459" s="4" t="s">
        <v>2952</v>
      </c>
      <c r="G459" s="6">
        <v>1.8</v>
      </c>
      <c r="H459" s="7">
        <v>45705.893125000002</v>
      </c>
      <c r="I459" s="7" t="str">
        <f>TEXT(multilingual_mobile_app_reviews_2025[[#This Row],[Review_date]],"dd-mm-yyyy")</f>
        <v>17-02-2025</v>
      </c>
      <c r="J459" s="7" t="str">
        <f>TEXT(multilingual_mobile_app_reviews_2025[[#This Row],[Review_date]],"YYYY")</f>
        <v>2025</v>
      </c>
      <c r="K459" s="7" t="str">
        <f>TEXT(multilingual_mobile_app_reviews_2025[[#This Row],[Review_date]],"MMMM")</f>
        <v>February</v>
      </c>
      <c r="L459" s="4" t="b">
        <v>1</v>
      </c>
      <c r="M459" s="4" t="s">
        <v>22</v>
      </c>
      <c r="N459" s="5">
        <v>392</v>
      </c>
      <c r="O459" s="5">
        <v>29</v>
      </c>
      <c r="P459" s="4" t="s">
        <v>90</v>
      </c>
      <c r="Q459" s="8" t="s">
        <v>29</v>
      </c>
      <c r="R459" s="4" t="s">
        <v>659</v>
      </c>
      <c r="S459" s="4"/>
      <c r="T459"/>
      <c r="U459" s="23"/>
    </row>
    <row r="460" spans="1:21" ht="15.6" x14ac:dyDescent="0.3">
      <c r="A460" s="4">
        <v>459</v>
      </c>
      <c r="B460" s="5">
        <v>5997789</v>
      </c>
      <c r="C460" s="4" t="s">
        <v>101</v>
      </c>
      <c r="D460" s="4" t="s">
        <v>1</v>
      </c>
      <c r="E460" s="4" t="s">
        <v>130</v>
      </c>
      <c r="F460" s="4" t="s">
        <v>2957</v>
      </c>
      <c r="G460" s="6">
        <v>4</v>
      </c>
      <c r="H460" s="7">
        <v>45472.39435185185</v>
      </c>
      <c r="I460" s="7" t="str">
        <f>TEXT(multilingual_mobile_app_reviews_2025[[#This Row],[Review_date]],"dd-mm-yyyy")</f>
        <v>29-06-2024</v>
      </c>
      <c r="J460" s="7" t="str">
        <f>TEXT(multilingual_mobile_app_reviews_2025[[#This Row],[Review_date]],"YYYY")</f>
        <v>2024</v>
      </c>
      <c r="K460" s="7" t="str">
        <f>TEXT(multilingual_mobile_app_reviews_2025[[#This Row],[Review_date]],"MMMM")</f>
        <v>June</v>
      </c>
      <c r="L460" s="4" t="b">
        <v>1</v>
      </c>
      <c r="M460" s="4" t="s">
        <v>98</v>
      </c>
      <c r="N460" s="5">
        <v>125</v>
      </c>
      <c r="O460" s="5">
        <v>30</v>
      </c>
      <c r="P460" s="4" t="s">
        <v>118</v>
      </c>
      <c r="Q460" s="8" t="s">
        <v>2963</v>
      </c>
      <c r="R460" s="4" t="s">
        <v>660</v>
      </c>
      <c r="S460" s="4"/>
      <c r="T460"/>
      <c r="U460" s="23"/>
    </row>
    <row r="461" spans="1:21" ht="15.6" x14ac:dyDescent="0.3">
      <c r="A461" s="4">
        <v>460</v>
      </c>
      <c r="B461" s="5">
        <v>2445961</v>
      </c>
      <c r="C461" s="4" t="s">
        <v>41</v>
      </c>
      <c r="D461" s="4" t="s">
        <v>111</v>
      </c>
      <c r="E461" s="4" t="s">
        <v>9</v>
      </c>
      <c r="F461" s="4" t="s">
        <v>2957</v>
      </c>
      <c r="G461" s="6">
        <v>4.5999999999999996</v>
      </c>
      <c r="H461" s="7">
        <v>45331.339629629627</v>
      </c>
      <c r="I461" s="7" t="str">
        <f>TEXT(multilingual_mobile_app_reviews_2025[[#This Row],[Review_date]],"dd-mm-yyyy")</f>
        <v>09-02-2024</v>
      </c>
      <c r="J461" s="7" t="str">
        <f>TEXT(multilingual_mobile_app_reviews_2025[[#This Row],[Review_date]],"YYYY")</f>
        <v>2024</v>
      </c>
      <c r="K461" s="7" t="str">
        <f>TEXT(multilingual_mobile_app_reviews_2025[[#This Row],[Review_date]],"MMMM")</f>
        <v>February</v>
      </c>
      <c r="L461" s="4" t="b">
        <v>1</v>
      </c>
      <c r="M461" s="4" t="s">
        <v>10</v>
      </c>
      <c r="N461" s="5">
        <v>490</v>
      </c>
      <c r="O461" s="5">
        <v>73</v>
      </c>
      <c r="P461" s="4" t="s">
        <v>162</v>
      </c>
      <c r="Q461" s="8" t="s">
        <v>29</v>
      </c>
      <c r="R461" s="4" t="s">
        <v>661</v>
      </c>
      <c r="S461" s="4"/>
      <c r="T461"/>
      <c r="U461" s="23"/>
    </row>
    <row r="462" spans="1:21" ht="15.6" x14ac:dyDescent="0.3">
      <c r="A462" s="4">
        <v>461</v>
      </c>
      <c r="B462" s="5">
        <v>1513458</v>
      </c>
      <c r="C462" s="4" t="s">
        <v>69</v>
      </c>
      <c r="D462" s="4" t="s">
        <v>15</v>
      </c>
      <c r="E462" s="4" t="s">
        <v>2938</v>
      </c>
      <c r="F462" s="4" t="s">
        <v>2953</v>
      </c>
      <c r="G462" s="6">
        <v>2.5</v>
      </c>
      <c r="H462" s="7">
        <v>45148.250983796293</v>
      </c>
      <c r="I462" s="7" t="str">
        <f>TEXT(multilingual_mobile_app_reviews_2025[[#This Row],[Review_date]],"dd-mm-yyyy")</f>
        <v>10-08-2023</v>
      </c>
      <c r="J462" s="7" t="str">
        <f>TEXT(multilingual_mobile_app_reviews_2025[[#This Row],[Review_date]],"YYYY")</f>
        <v>2023</v>
      </c>
      <c r="K462" s="7" t="str">
        <f>TEXT(multilingual_mobile_app_reviews_2025[[#This Row],[Review_date]],"MMMM")</f>
        <v>August</v>
      </c>
      <c r="L462" s="4" t="b">
        <v>1</v>
      </c>
      <c r="M462" s="4" t="s">
        <v>33</v>
      </c>
      <c r="N462" s="5">
        <v>973</v>
      </c>
      <c r="O462" s="5">
        <v>45</v>
      </c>
      <c r="P462" s="4" t="s">
        <v>90</v>
      </c>
      <c r="Q462" s="8" t="s">
        <v>5</v>
      </c>
      <c r="R462" s="4" t="s">
        <v>662</v>
      </c>
      <c r="S462" s="4"/>
      <c r="T462"/>
      <c r="U462" s="23"/>
    </row>
    <row r="463" spans="1:21" ht="15.6" x14ac:dyDescent="0.3">
      <c r="A463" s="4">
        <v>462</v>
      </c>
      <c r="B463" s="5">
        <v>5409530</v>
      </c>
      <c r="C463" s="4" t="s">
        <v>78</v>
      </c>
      <c r="D463" s="4" t="s">
        <v>26</v>
      </c>
      <c r="E463" s="4" t="s">
        <v>93</v>
      </c>
      <c r="F463" s="4" t="s">
        <v>2941</v>
      </c>
      <c r="G463" s="6">
        <v>2.4</v>
      </c>
      <c r="H463" s="7">
        <v>45241.392395833333</v>
      </c>
      <c r="I463" s="7" t="str">
        <f>TEXT(multilingual_mobile_app_reviews_2025[[#This Row],[Review_date]],"dd-mm-yyyy")</f>
        <v>11-11-2023</v>
      </c>
      <c r="J463" s="7" t="str">
        <f>TEXT(multilingual_mobile_app_reviews_2025[[#This Row],[Review_date]],"YYYY")</f>
        <v>2023</v>
      </c>
      <c r="K463" s="7" t="str">
        <f>TEXT(multilingual_mobile_app_reviews_2025[[#This Row],[Review_date]],"MMMM")</f>
        <v>November</v>
      </c>
      <c r="L463" s="4" t="b">
        <v>1</v>
      </c>
      <c r="M463" s="4" t="s">
        <v>3</v>
      </c>
      <c r="N463" s="5">
        <v>205</v>
      </c>
      <c r="O463" s="5">
        <v>59</v>
      </c>
      <c r="P463" s="4" t="s">
        <v>11</v>
      </c>
      <c r="Q463" s="8" t="s">
        <v>39</v>
      </c>
      <c r="R463" s="4" t="s">
        <v>663</v>
      </c>
      <c r="S463" s="4"/>
      <c r="T463"/>
      <c r="U463" s="23"/>
    </row>
    <row r="464" spans="1:21" ht="15.6" x14ac:dyDescent="0.3">
      <c r="A464" s="4">
        <v>463</v>
      </c>
      <c r="B464" s="5">
        <v>9635840</v>
      </c>
      <c r="C464" s="4" t="s">
        <v>192</v>
      </c>
      <c r="D464" s="4" t="s">
        <v>63</v>
      </c>
      <c r="E464" s="4" t="s">
        <v>664</v>
      </c>
      <c r="F464" s="4" t="s">
        <v>2946</v>
      </c>
      <c r="G464" s="6">
        <v>4.8</v>
      </c>
      <c r="H464" s="7">
        <v>45191.332361111112</v>
      </c>
      <c r="I464" s="7" t="str">
        <f>TEXT(multilingual_mobile_app_reviews_2025[[#This Row],[Review_date]],"dd-mm-yyyy")</f>
        <v>22-09-2023</v>
      </c>
      <c r="J464" s="7" t="str">
        <f>TEXT(multilingual_mobile_app_reviews_2025[[#This Row],[Review_date]],"YYYY")</f>
        <v>2023</v>
      </c>
      <c r="K464" s="7" t="str">
        <f>TEXT(multilingual_mobile_app_reviews_2025[[#This Row],[Review_date]],"MMMM")</f>
        <v>September</v>
      </c>
      <c r="L464" s="4" t="b">
        <v>1</v>
      </c>
      <c r="M464" s="4" t="s">
        <v>3</v>
      </c>
      <c r="N464" s="5">
        <v>1107</v>
      </c>
      <c r="O464" s="5">
        <v>28</v>
      </c>
      <c r="P464" s="4" t="s">
        <v>17</v>
      </c>
      <c r="Q464" s="8" t="s">
        <v>5</v>
      </c>
      <c r="R464" s="4" t="s">
        <v>665</v>
      </c>
      <c r="S464" s="4"/>
      <c r="T464"/>
      <c r="U464" s="23"/>
    </row>
    <row r="465" spans="1:21" ht="15.6" x14ac:dyDescent="0.3">
      <c r="A465" s="4">
        <v>464</v>
      </c>
      <c r="B465" s="5">
        <v>4498739</v>
      </c>
      <c r="C465" s="4" t="s">
        <v>132</v>
      </c>
      <c r="D465" s="4" t="s">
        <v>47</v>
      </c>
      <c r="E465" s="4" t="s">
        <v>666</v>
      </c>
      <c r="F465" s="4" t="s">
        <v>2957</v>
      </c>
      <c r="G465" s="6">
        <v>1.5</v>
      </c>
      <c r="H465" s="7">
        <v>45200.256122685183</v>
      </c>
      <c r="I465" s="7" t="str">
        <f>TEXT(multilingual_mobile_app_reviews_2025[[#This Row],[Review_date]],"dd-mm-yyyy")</f>
        <v>01-10-2023</v>
      </c>
      <c r="J465" s="7" t="str">
        <f>TEXT(multilingual_mobile_app_reviews_2025[[#This Row],[Review_date]],"YYYY")</f>
        <v>2023</v>
      </c>
      <c r="K465" s="7" t="str">
        <f>TEXT(multilingual_mobile_app_reviews_2025[[#This Row],[Review_date]],"MMMM")</f>
        <v>October</v>
      </c>
      <c r="L465" s="4" t="b">
        <v>1</v>
      </c>
      <c r="M465" s="4" t="s">
        <v>22</v>
      </c>
      <c r="N465" s="5">
        <v>1094</v>
      </c>
      <c r="O465" s="5">
        <v>53</v>
      </c>
      <c r="P465" s="4" t="s">
        <v>44</v>
      </c>
      <c r="Q465" s="8" t="s">
        <v>29</v>
      </c>
      <c r="R465" s="4" t="s">
        <v>331</v>
      </c>
      <c r="S465" s="4"/>
      <c r="T465"/>
      <c r="U465" s="23"/>
    </row>
    <row r="466" spans="1:21" ht="15.6" x14ac:dyDescent="0.3">
      <c r="A466" s="4">
        <v>465</v>
      </c>
      <c r="B466" s="5">
        <v>3509088</v>
      </c>
      <c r="C466" s="4" t="s">
        <v>137</v>
      </c>
      <c r="D466" s="4" t="s">
        <v>20</v>
      </c>
      <c r="E466" s="4" t="s">
        <v>667</v>
      </c>
      <c r="F466" s="4" t="s">
        <v>2953</v>
      </c>
      <c r="G466" s="6">
        <v>2</v>
      </c>
      <c r="H466" s="7">
        <v>45667.869849537034</v>
      </c>
      <c r="I466" s="7" t="str">
        <f>TEXT(multilingual_mobile_app_reviews_2025[[#This Row],[Review_date]],"dd-mm-yyyy")</f>
        <v>10-01-2025</v>
      </c>
      <c r="J466" s="7" t="str">
        <f>TEXT(multilingual_mobile_app_reviews_2025[[#This Row],[Review_date]],"YYYY")</f>
        <v>2025</v>
      </c>
      <c r="K466" s="7" t="str">
        <f>TEXT(multilingual_mobile_app_reviews_2025[[#This Row],[Review_date]],"MMMM")</f>
        <v>January</v>
      </c>
      <c r="L466" s="4" t="b">
        <v>0</v>
      </c>
      <c r="M466" s="4" t="s">
        <v>10</v>
      </c>
      <c r="N466" s="5">
        <v>179</v>
      </c>
      <c r="O466" s="5">
        <v>20</v>
      </c>
      <c r="P466" s="4" t="s">
        <v>4</v>
      </c>
      <c r="Q466" s="8" t="s">
        <v>39</v>
      </c>
      <c r="R466" s="4" t="s">
        <v>668</v>
      </c>
      <c r="S466" s="4"/>
      <c r="T466"/>
      <c r="U466" s="23"/>
    </row>
    <row r="467" spans="1:21" ht="15.6" x14ac:dyDescent="0.3">
      <c r="A467" s="4">
        <v>466</v>
      </c>
      <c r="B467" s="5">
        <v>1209227</v>
      </c>
      <c r="C467" s="4" t="s">
        <v>208</v>
      </c>
      <c r="D467" s="4" t="s">
        <v>15</v>
      </c>
      <c r="E467" s="4" t="s">
        <v>32</v>
      </c>
      <c r="F467" s="4" t="s">
        <v>2945</v>
      </c>
      <c r="G467" s="6">
        <v>2.2999999999999998</v>
      </c>
      <c r="H467" s="7">
        <v>45379.794027777774</v>
      </c>
      <c r="I467" s="7" t="str">
        <f>TEXT(multilingual_mobile_app_reviews_2025[[#This Row],[Review_date]],"dd-mm-yyyy")</f>
        <v>28-03-2024</v>
      </c>
      <c r="J467" s="7" t="str">
        <f>TEXT(multilingual_mobile_app_reviews_2025[[#This Row],[Review_date]],"YYYY")</f>
        <v>2024</v>
      </c>
      <c r="K467" s="7" t="str">
        <f>TEXT(multilingual_mobile_app_reviews_2025[[#This Row],[Review_date]],"MMMM")</f>
        <v>March</v>
      </c>
      <c r="L467" s="4" t="b">
        <v>0</v>
      </c>
      <c r="M467" s="4" t="s">
        <v>10</v>
      </c>
      <c r="N467" s="5">
        <v>258</v>
      </c>
      <c r="O467" s="5">
        <v>46</v>
      </c>
      <c r="P467" s="4" t="s">
        <v>2963</v>
      </c>
      <c r="Q467" s="8" t="s">
        <v>2963</v>
      </c>
      <c r="R467" s="4" t="s">
        <v>669</v>
      </c>
      <c r="S467" s="4"/>
      <c r="T467"/>
      <c r="U467" s="23"/>
    </row>
    <row r="468" spans="1:21" ht="15.6" x14ac:dyDescent="0.3">
      <c r="A468" s="4">
        <v>467</v>
      </c>
      <c r="B468" s="5">
        <v>7439797</v>
      </c>
      <c r="C468" s="4" t="s">
        <v>96</v>
      </c>
      <c r="D468" s="4" t="s">
        <v>8</v>
      </c>
      <c r="E468" s="4" t="s">
        <v>109</v>
      </c>
      <c r="F468" s="4" t="s">
        <v>2955</v>
      </c>
      <c r="G468" s="6">
        <v>2.2999999999999998</v>
      </c>
      <c r="H468" s="7">
        <v>45705.853692129633</v>
      </c>
      <c r="I468" s="7" t="str">
        <f>TEXT(multilingual_mobile_app_reviews_2025[[#This Row],[Review_date]],"dd-mm-yyyy")</f>
        <v>17-02-2025</v>
      </c>
      <c r="J468" s="7" t="str">
        <f>TEXT(multilingual_mobile_app_reviews_2025[[#This Row],[Review_date]],"YYYY")</f>
        <v>2025</v>
      </c>
      <c r="K468" s="7" t="str">
        <f>TEXT(multilingual_mobile_app_reviews_2025[[#This Row],[Review_date]],"MMMM")</f>
        <v>February</v>
      </c>
      <c r="L468" s="4" t="b">
        <v>1</v>
      </c>
      <c r="M468" s="4" t="s">
        <v>33</v>
      </c>
      <c r="N468" s="5">
        <v>252</v>
      </c>
      <c r="O468" s="5">
        <v>30</v>
      </c>
      <c r="P468" s="4" t="s">
        <v>61</v>
      </c>
      <c r="Q468" s="8" t="s">
        <v>2963</v>
      </c>
      <c r="R468" s="4" t="s">
        <v>670</v>
      </c>
      <c r="S468" s="4"/>
      <c r="T468"/>
      <c r="U468" s="23"/>
    </row>
    <row r="469" spans="1:21" ht="15.6" x14ac:dyDescent="0.3">
      <c r="A469" s="4">
        <v>468</v>
      </c>
      <c r="B469" s="5">
        <v>1071500</v>
      </c>
      <c r="C469" s="4" t="s">
        <v>36</v>
      </c>
      <c r="D469" s="4" t="s">
        <v>31</v>
      </c>
      <c r="E469" s="4" t="s">
        <v>671</v>
      </c>
      <c r="F469" s="4" t="s">
        <v>2947</v>
      </c>
      <c r="G469" s="6">
        <v>3.9</v>
      </c>
      <c r="H469" s="7">
        <v>45714.968634259261</v>
      </c>
      <c r="I469" s="7" t="str">
        <f>TEXT(multilingual_mobile_app_reviews_2025[[#This Row],[Review_date]],"dd-mm-yyyy")</f>
        <v>26-02-2025</v>
      </c>
      <c r="J469" s="7" t="str">
        <f>TEXT(multilingual_mobile_app_reviews_2025[[#This Row],[Review_date]],"YYYY")</f>
        <v>2025</v>
      </c>
      <c r="K469" s="7" t="str">
        <f>TEXT(multilingual_mobile_app_reviews_2025[[#This Row],[Review_date]],"MMMM")</f>
        <v>February</v>
      </c>
      <c r="L469" s="4" t="b">
        <v>0</v>
      </c>
      <c r="M469" s="4" t="s">
        <v>10</v>
      </c>
      <c r="N469" s="5">
        <v>326</v>
      </c>
      <c r="O469" s="5">
        <v>14</v>
      </c>
      <c r="P469" s="4" t="s">
        <v>34</v>
      </c>
      <c r="Q469" s="8" t="s">
        <v>29</v>
      </c>
      <c r="R469" s="4" t="s">
        <v>672</v>
      </c>
      <c r="S469" s="4"/>
      <c r="T469"/>
      <c r="U469" s="23"/>
    </row>
    <row r="470" spans="1:21" ht="15.6" x14ac:dyDescent="0.3">
      <c r="A470" s="4">
        <v>469</v>
      </c>
      <c r="B470" s="5">
        <v>3046849</v>
      </c>
      <c r="C470" s="4" t="s">
        <v>41</v>
      </c>
      <c r="D470" s="4" t="s">
        <v>71</v>
      </c>
      <c r="E470" s="4" t="s">
        <v>9</v>
      </c>
      <c r="F470" s="4" t="s">
        <v>2950</v>
      </c>
      <c r="G470" s="6">
        <v>4.5</v>
      </c>
      <c r="H470" s="7">
        <v>45231.652384259258</v>
      </c>
      <c r="I470" s="7" t="str">
        <f>TEXT(multilingual_mobile_app_reviews_2025[[#This Row],[Review_date]],"dd-mm-yyyy")</f>
        <v>01-11-2023</v>
      </c>
      <c r="J470" s="7" t="str">
        <f>TEXT(multilingual_mobile_app_reviews_2025[[#This Row],[Review_date]],"YYYY")</f>
        <v>2023</v>
      </c>
      <c r="K470" s="7" t="str">
        <f>TEXT(multilingual_mobile_app_reviews_2025[[#This Row],[Review_date]],"MMMM")</f>
        <v>November</v>
      </c>
      <c r="L470" s="4" t="b">
        <v>1</v>
      </c>
      <c r="M470" s="4" t="s">
        <v>98</v>
      </c>
      <c r="N470" s="5">
        <v>622</v>
      </c>
      <c r="O470" s="5">
        <v>42</v>
      </c>
      <c r="P470" s="4" t="s">
        <v>38</v>
      </c>
      <c r="Q470" s="8" t="s">
        <v>5</v>
      </c>
      <c r="R470" s="4" t="s">
        <v>673</v>
      </c>
      <c r="S470" s="4"/>
      <c r="T470"/>
      <c r="U470" s="23"/>
    </row>
    <row r="471" spans="1:21" ht="15.6" x14ac:dyDescent="0.3">
      <c r="A471" s="4">
        <v>470</v>
      </c>
      <c r="B471" s="5">
        <v>2402031</v>
      </c>
      <c r="C471" s="4" t="s">
        <v>89</v>
      </c>
      <c r="D471" s="4" t="s">
        <v>42</v>
      </c>
      <c r="E471" s="4" t="s">
        <v>674</v>
      </c>
      <c r="F471" s="4" t="s">
        <v>2952</v>
      </c>
      <c r="G471" s="6">
        <v>4.7</v>
      </c>
      <c r="H471" s="7">
        <v>45343.117291666669</v>
      </c>
      <c r="I471" s="7" t="str">
        <f>TEXT(multilingual_mobile_app_reviews_2025[[#This Row],[Review_date]],"dd-mm-yyyy")</f>
        <v>21-02-2024</v>
      </c>
      <c r="J471" s="7" t="str">
        <f>TEXT(multilingual_mobile_app_reviews_2025[[#This Row],[Review_date]],"YYYY")</f>
        <v>2024</v>
      </c>
      <c r="K471" s="7" t="str">
        <f>TEXT(multilingual_mobile_app_reviews_2025[[#This Row],[Review_date]],"MMMM")</f>
        <v>February</v>
      </c>
      <c r="L471" s="4" t="b">
        <v>0</v>
      </c>
      <c r="M471" s="4" t="s">
        <v>98</v>
      </c>
      <c r="N471" s="5">
        <v>728</v>
      </c>
      <c r="O471" s="5">
        <v>75</v>
      </c>
      <c r="P471" s="4" t="s">
        <v>99</v>
      </c>
      <c r="Q471" s="8" t="s">
        <v>5</v>
      </c>
      <c r="R471" s="4" t="s">
        <v>675</v>
      </c>
      <c r="S471" s="4"/>
      <c r="T471"/>
      <c r="U471" s="23"/>
    </row>
    <row r="472" spans="1:21" ht="15.6" x14ac:dyDescent="0.3">
      <c r="A472" s="4">
        <v>471</v>
      </c>
      <c r="B472" s="5">
        <v>9774609</v>
      </c>
      <c r="C472" s="4" t="s">
        <v>199</v>
      </c>
      <c r="D472" s="4" t="s">
        <v>15</v>
      </c>
      <c r="E472" s="4" t="s">
        <v>93</v>
      </c>
      <c r="F472" s="4" t="s">
        <v>2952</v>
      </c>
      <c r="G472" s="6">
        <v>3.6</v>
      </c>
      <c r="H472" s="7">
        <v>45626.297418981485</v>
      </c>
      <c r="I472" s="7" t="str">
        <f>TEXT(multilingual_mobile_app_reviews_2025[[#This Row],[Review_date]],"dd-mm-yyyy")</f>
        <v>30-11-2024</v>
      </c>
      <c r="J472" s="7" t="str">
        <f>TEXT(multilingual_mobile_app_reviews_2025[[#This Row],[Review_date]],"YYYY")</f>
        <v>2024</v>
      </c>
      <c r="K472" s="7" t="str">
        <f>TEXT(multilingual_mobile_app_reviews_2025[[#This Row],[Review_date]],"MMMM")</f>
        <v>November</v>
      </c>
      <c r="L472" s="4" t="b">
        <v>1</v>
      </c>
      <c r="M472" s="4" t="s">
        <v>3</v>
      </c>
      <c r="N472" s="5">
        <v>183</v>
      </c>
      <c r="O472" s="5">
        <v>62</v>
      </c>
      <c r="P472" s="4" t="s">
        <v>70</v>
      </c>
      <c r="Q472" s="8" t="s">
        <v>29</v>
      </c>
      <c r="R472" s="4" t="s">
        <v>676</v>
      </c>
      <c r="S472" s="4"/>
      <c r="T472"/>
      <c r="U472" s="23"/>
    </row>
    <row r="473" spans="1:21" ht="15.6" x14ac:dyDescent="0.3">
      <c r="A473" s="4">
        <v>472</v>
      </c>
      <c r="B473" s="5">
        <v>8423974</v>
      </c>
      <c r="C473" s="4" t="s">
        <v>59</v>
      </c>
      <c r="D473" s="4" t="s">
        <v>97</v>
      </c>
      <c r="E473" s="4" t="s">
        <v>16</v>
      </c>
      <c r="F473" s="4" t="s">
        <v>2950</v>
      </c>
      <c r="G473" s="6">
        <v>1.7</v>
      </c>
      <c r="H473" s="7">
        <v>45492.440821759257</v>
      </c>
      <c r="I473" s="7" t="str">
        <f>TEXT(multilingual_mobile_app_reviews_2025[[#This Row],[Review_date]],"dd-mm-yyyy")</f>
        <v>19-07-2024</v>
      </c>
      <c r="J473" s="7" t="str">
        <f>TEXT(multilingual_mobile_app_reviews_2025[[#This Row],[Review_date]],"YYYY")</f>
        <v>2024</v>
      </c>
      <c r="K473" s="7" t="str">
        <f>TEXT(multilingual_mobile_app_reviews_2025[[#This Row],[Review_date]],"MMMM")</f>
        <v>July</v>
      </c>
      <c r="L473" s="4" t="b">
        <v>1</v>
      </c>
      <c r="M473" s="4" t="s">
        <v>3</v>
      </c>
      <c r="N473" s="5">
        <v>888</v>
      </c>
      <c r="O473" s="5">
        <v>32</v>
      </c>
      <c r="P473" s="4" t="s">
        <v>28</v>
      </c>
      <c r="Q473" s="8" t="s">
        <v>5</v>
      </c>
      <c r="R473" s="4" t="s">
        <v>677</v>
      </c>
      <c r="S473" s="4"/>
      <c r="T473"/>
      <c r="U473" s="23"/>
    </row>
    <row r="474" spans="1:21" ht="15.6" x14ac:dyDescent="0.3">
      <c r="A474" s="4">
        <v>473</v>
      </c>
      <c r="B474" s="5">
        <v>6141876</v>
      </c>
      <c r="C474" s="4" t="s">
        <v>132</v>
      </c>
      <c r="D474" s="4" t="s">
        <v>15</v>
      </c>
      <c r="E474" s="4" t="s">
        <v>93</v>
      </c>
      <c r="F474" s="4" t="s">
        <v>2949</v>
      </c>
      <c r="G474" s="6">
        <v>3.9</v>
      </c>
      <c r="H474" s="7">
        <v>45181.939085648148</v>
      </c>
      <c r="I474" s="7" t="str">
        <f>TEXT(multilingual_mobile_app_reviews_2025[[#This Row],[Review_date]],"dd-mm-yyyy")</f>
        <v>12-09-2023</v>
      </c>
      <c r="J474" s="7" t="str">
        <f>TEXT(multilingual_mobile_app_reviews_2025[[#This Row],[Review_date]],"YYYY")</f>
        <v>2023</v>
      </c>
      <c r="K474" s="7" t="str">
        <f>TEXT(multilingual_mobile_app_reviews_2025[[#This Row],[Review_date]],"MMMM")</f>
        <v>September</v>
      </c>
      <c r="L474" s="4" t="b">
        <v>1</v>
      </c>
      <c r="M474" s="4" t="s">
        <v>98</v>
      </c>
      <c r="N474" s="5">
        <v>424</v>
      </c>
      <c r="O474" s="5">
        <v>74</v>
      </c>
      <c r="P474" s="4" t="s">
        <v>94</v>
      </c>
      <c r="Q474" s="8" t="s">
        <v>12</v>
      </c>
      <c r="R474" s="4" t="s">
        <v>678</v>
      </c>
      <c r="S474" s="4"/>
      <c r="T474"/>
      <c r="U474" s="23"/>
    </row>
    <row r="475" spans="1:21" ht="15.6" x14ac:dyDescent="0.3">
      <c r="A475" s="4">
        <v>474</v>
      </c>
      <c r="B475" s="5">
        <v>9610771</v>
      </c>
      <c r="C475" s="4" t="s">
        <v>14</v>
      </c>
      <c r="D475" s="4" t="s">
        <v>63</v>
      </c>
      <c r="E475" s="4" t="s">
        <v>109</v>
      </c>
      <c r="F475" s="4" t="s">
        <v>2941</v>
      </c>
      <c r="G475" s="6">
        <v>4.9000000000000004</v>
      </c>
      <c r="H475" s="7">
        <v>45268.498865740738</v>
      </c>
      <c r="I475" s="7" t="str">
        <f>TEXT(multilingual_mobile_app_reviews_2025[[#This Row],[Review_date]],"dd-mm-yyyy")</f>
        <v>08-12-2023</v>
      </c>
      <c r="J475" s="7" t="str">
        <f>TEXT(multilingual_mobile_app_reviews_2025[[#This Row],[Review_date]],"YYYY")</f>
        <v>2023</v>
      </c>
      <c r="K475" s="7" t="str">
        <f>TEXT(multilingual_mobile_app_reviews_2025[[#This Row],[Review_date]],"MMMM")</f>
        <v>December</v>
      </c>
      <c r="L475" s="4" t="b">
        <v>1</v>
      </c>
      <c r="M475" s="4" t="s">
        <v>33</v>
      </c>
      <c r="N475" s="5">
        <v>611</v>
      </c>
      <c r="O475" s="5">
        <v>36</v>
      </c>
      <c r="P475" s="4" t="s">
        <v>2963</v>
      </c>
      <c r="Q475" s="8" t="s">
        <v>5</v>
      </c>
      <c r="R475" s="4" t="s">
        <v>679</v>
      </c>
      <c r="S475" s="4"/>
      <c r="T475"/>
      <c r="U475" s="23"/>
    </row>
    <row r="476" spans="1:21" ht="15.6" x14ac:dyDescent="0.3">
      <c r="A476" s="4">
        <v>475</v>
      </c>
      <c r="B476" s="5">
        <v>2739223</v>
      </c>
      <c r="C476" s="4" t="s">
        <v>41</v>
      </c>
      <c r="D476" s="4" t="s">
        <v>71</v>
      </c>
      <c r="E476" s="4" t="s">
        <v>9</v>
      </c>
      <c r="F476" s="4" t="s">
        <v>2948</v>
      </c>
      <c r="G476" s="6">
        <v>4.5999999999999996</v>
      </c>
      <c r="H476" s="7">
        <v>45337.032777777778</v>
      </c>
      <c r="I476" s="7" t="str">
        <f>TEXT(multilingual_mobile_app_reviews_2025[[#This Row],[Review_date]],"dd-mm-yyyy")</f>
        <v>15-02-2024</v>
      </c>
      <c r="J476" s="7" t="str">
        <f>TEXT(multilingual_mobile_app_reviews_2025[[#This Row],[Review_date]],"YYYY")</f>
        <v>2024</v>
      </c>
      <c r="K476" s="7" t="str">
        <f>TEXT(multilingual_mobile_app_reviews_2025[[#This Row],[Review_date]],"MMMM")</f>
        <v>February</v>
      </c>
      <c r="L476" s="4" t="b">
        <v>0</v>
      </c>
      <c r="M476" s="4" t="s">
        <v>10</v>
      </c>
      <c r="N476" s="5">
        <v>1241</v>
      </c>
      <c r="O476" s="5">
        <v>47</v>
      </c>
      <c r="P476" s="4" t="s">
        <v>85</v>
      </c>
      <c r="Q476" s="8" t="s">
        <v>5</v>
      </c>
      <c r="R476" s="4" t="s">
        <v>680</v>
      </c>
      <c r="S476" s="4"/>
      <c r="T476"/>
      <c r="U476" s="23"/>
    </row>
    <row r="477" spans="1:21" ht="15.6" x14ac:dyDescent="0.3">
      <c r="A477" s="4">
        <v>476</v>
      </c>
      <c r="B477" s="5">
        <v>1826457</v>
      </c>
      <c r="C477" s="4" t="s">
        <v>113</v>
      </c>
      <c r="D477" s="4" t="s">
        <v>31</v>
      </c>
      <c r="E477" s="4" t="s">
        <v>93</v>
      </c>
      <c r="F477" s="4" t="s">
        <v>2945</v>
      </c>
      <c r="G477" s="6">
        <v>1.3</v>
      </c>
      <c r="H477" s="7">
        <v>45833.477071759262</v>
      </c>
      <c r="I477" s="7" t="str">
        <f>TEXT(multilingual_mobile_app_reviews_2025[[#This Row],[Review_date]],"dd-mm-yyyy")</f>
        <v>25-06-2025</v>
      </c>
      <c r="J477" s="7" t="str">
        <f>TEXT(multilingual_mobile_app_reviews_2025[[#This Row],[Review_date]],"YYYY")</f>
        <v>2025</v>
      </c>
      <c r="K477" s="7" t="str">
        <f>TEXT(multilingual_mobile_app_reviews_2025[[#This Row],[Review_date]],"MMMM")</f>
        <v>June</v>
      </c>
      <c r="L477" s="4" t="b">
        <v>1</v>
      </c>
      <c r="M477" s="4" t="s">
        <v>10</v>
      </c>
      <c r="N477" s="5">
        <v>533</v>
      </c>
      <c r="O477" s="5">
        <v>37</v>
      </c>
      <c r="P477" s="4" t="s">
        <v>38</v>
      </c>
      <c r="Q477" s="8" t="s">
        <v>5</v>
      </c>
      <c r="R477" s="4" t="s">
        <v>681</v>
      </c>
      <c r="S477" s="4"/>
      <c r="T477"/>
      <c r="U477" s="23"/>
    </row>
    <row r="478" spans="1:21" ht="15.6" x14ac:dyDescent="0.3">
      <c r="A478" s="4">
        <v>477</v>
      </c>
      <c r="B478" s="5">
        <v>2034976</v>
      </c>
      <c r="C478" s="4" t="s">
        <v>56</v>
      </c>
      <c r="D478" s="4" t="s">
        <v>220</v>
      </c>
      <c r="E478" s="4" t="s">
        <v>64</v>
      </c>
      <c r="F478" s="4" t="s">
        <v>2955</v>
      </c>
      <c r="G478" s="6">
        <v>1.7</v>
      </c>
      <c r="H478" s="7">
        <v>45316.285219907404</v>
      </c>
      <c r="I478" s="7" t="str">
        <f>TEXT(multilingual_mobile_app_reviews_2025[[#This Row],[Review_date]],"dd-mm-yyyy")</f>
        <v>25-01-2024</v>
      </c>
      <c r="J478" s="7" t="str">
        <f>TEXT(multilingual_mobile_app_reviews_2025[[#This Row],[Review_date]],"YYYY")</f>
        <v>2024</v>
      </c>
      <c r="K478" s="7" t="str">
        <f>TEXT(multilingual_mobile_app_reviews_2025[[#This Row],[Review_date]],"MMMM")</f>
        <v>January</v>
      </c>
      <c r="L478" s="4" t="b">
        <v>0</v>
      </c>
      <c r="M478" s="4" t="s">
        <v>22</v>
      </c>
      <c r="N478" s="5">
        <v>647</v>
      </c>
      <c r="O478" s="5">
        <v>63</v>
      </c>
      <c r="P478" s="4" t="s">
        <v>90</v>
      </c>
      <c r="Q478" s="8" t="s">
        <v>29</v>
      </c>
      <c r="R478" s="4" t="s">
        <v>682</v>
      </c>
      <c r="S478" s="4"/>
      <c r="T478"/>
      <c r="U478" s="23"/>
    </row>
    <row r="479" spans="1:21" ht="15.6" x14ac:dyDescent="0.3">
      <c r="A479" s="4">
        <v>478</v>
      </c>
      <c r="B479" s="5">
        <v>8636665</v>
      </c>
      <c r="C479" s="4" t="s">
        <v>46</v>
      </c>
      <c r="D479" s="4" t="s">
        <v>157</v>
      </c>
      <c r="E479" s="4" t="s">
        <v>683</v>
      </c>
      <c r="F479" s="4" t="s">
        <v>2951</v>
      </c>
      <c r="G479" s="6">
        <v>4.5</v>
      </c>
      <c r="H479" s="7">
        <v>45648.178067129629</v>
      </c>
      <c r="I479" s="7" t="str">
        <f>TEXT(multilingual_mobile_app_reviews_2025[[#This Row],[Review_date]],"dd-mm-yyyy")</f>
        <v>22-12-2024</v>
      </c>
      <c r="J479" s="7" t="str">
        <f>TEXT(multilingual_mobile_app_reviews_2025[[#This Row],[Review_date]],"YYYY")</f>
        <v>2024</v>
      </c>
      <c r="K479" s="7" t="str">
        <f>TEXT(multilingual_mobile_app_reviews_2025[[#This Row],[Review_date]],"MMMM")</f>
        <v>December</v>
      </c>
      <c r="L479" s="4" t="b">
        <v>1</v>
      </c>
      <c r="M479" s="4" t="s">
        <v>22</v>
      </c>
      <c r="N479" s="5">
        <v>560</v>
      </c>
      <c r="O479" s="5">
        <v>13</v>
      </c>
      <c r="P479" s="4" t="s">
        <v>80</v>
      </c>
      <c r="Q479" s="8" t="s">
        <v>29</v>
      </c>
      <c r="R479" s="4" t="s">
        <v>684</v>
      </c>
      <c r="S479" s="4"/>
      <c r="T479"/>
      <c r="U479" s="23"/>
    </row>
    <row r="480" spans="1:21" ht="15.6" x14ac:dyDescent="0.3">
      <c r="A480" s="4">
        <v>479</v>
      </c>
      <c r="B480" s="5">
        <v>3866741</v>
      </c>
      <c r="C480" s="4" t="s">
        <v>41</v>
      </c>
      <c r="D480" s="4" t="s">
        <v>71</v>
      </c>
      <c r="E480" s="4" t="s">
        <v>685</v>
      </c>
      <c r="F480" s="4" t="s">
        <v>2949</v>
      </c>
      <c r="G480" s="6">
        <v>2.1</v>
      </c>
      <c r="H480" s="7">
        <v>45450.285798611112</v>
      </c>
      <c r="I480" s="7" t="str">
        <f>TEXT(multilingual_mobile_app_reviews_2025[[#This Row],[Review_date]],"dd-mm-yyyy")</f>
        <v>07-06-2024</v>
      </c>
      <c r="J480" s="7" t="str">
        <f>TEXT(multilingual_mobile_app_reviews_2025[[#This Row],[Review_date]],"YYYY")</f>
        <v>2024</v>
      </c>
      <c r="K480" s="7" t="str">
        <f>TEXT(multilingual_mobile_app_reviews_2025[[#This Row],[Review_date]],"MMMM")</f>
        <v>June</v>
      </c>
      <c r="L480" s="4" t="b">
        <v>1</v>
      </c>
      <c r="M480" s="4" t="s">
        <v>98</v>
      </c>
      <c r="N480" s="5">
        <v>98</v>
      </c>
      <c r="O480" s="5">
        <v>23</v>
      </c>
      <c r="P480" s="4" t="s">
        <v>73</v>
      </c>
      <c r="Q480" s="8" t="s">
        <v>29</v>
      </c>
      <c r="R480" s="4" t="s">
        <v>686</v>
      </c>
      <c r="S480" s="4"/>
      <c r="T480"/>
      <c r="U480" s="23"/>
    </row>
    <row r="481" spans="1:21" ht="15.6" x14ac:dyDescent="0.3">
      <c r="A481" s="4">
        <v>480</v>
      </c>
      <c r="B481" s="5">
        <v>7902985</v>
      </c>
      <c r="C481" s="4" t="s">
        <v>159</v>
      </c>
      <c r="D481" s="4" t="s">
        <v>60</v>
      </c>
      <c r="E481" s="4" t="s">
        <v>687</v>
      </c>
      <c r="F481" s="4" t="s">
        <v>2951</v>
      </c>
      <c r="G481" s="6">
        <v>2.5</v>
      </c>
      <c r="H481" s="7">
        <v>45365.366863425923</v>
      </c>
      <c r="I481" s="7" t="str">
        <f>TEXT(multilingual_mobile_app_reviews_2025[[#This Row],[Review_date]],"dd-mm-yyyy")</f>
        <v>14-03-2024</v>
      </c>
      <c r="J481" s="7" t="str">
        <f>TEXT(multilingual_mobile_app_reviews_2025[[#This Row],[Review_date]],"YYYY")</f>
        <v>2024</v>
      </c>
      <c r="K481" s="7" t="str">
        <f>TEXT(multilingual_mobile_app_reviews_2025[[#This Row],[Review_date]],"MMMM")</f>
        <v>March</v>
      </c>
      <c r="L481" s="4" t="b">
        <v>1</v>
      </c>
      <c r="M481" s="4" t="s">
        <v>10</v>
      </c>
      <c r="N481" s="5">
        <v>108</v>
      </c>
      <c r="O481" s="5">
        <v>71</v>
      </c>
      <c r="P481" s="4" t="s">
        <v>44</v>
      </c>
      <c r="Q481" s="8" t="s">
        <v>39</v>
      </c>
      <c r="R481" s="4" t="s">
        <v>688</v>
      </c>
      <c r="S481" s="4"/>
      <c r="T481"/>
      <c r="U481" s="23"/>
    </row>
    <row r="482" spans="1:21" ht="15.6" x14ac:dyDescent="0.3">
      <c r="A482" s="4">
        <v>481</v>
      </c>
      <c r="B482" s="5">
        <v>5198752</v>
      </c>
      <c r="C482" s="4" t="s">
        <v>84</v>
      </c>
      <c r="D482" s="4" t="s">
        <v>57</v>
      </c>
      <c r="E482" s="4" t="s">
        <v>689</v>
      </c>
      <c r="F482" s="4" t="s">
        <v>2962</v>
      </c>
      <c r="G482" s="6">
        <v>3.5</v>
      </c>
      <c r="H482" s="7">
        <v>45255.826620370368</v>
      </c>
      <c r="I482" s="7" t="str">
        <f>TEXT(multilingual_mobile_app_reviews_2025[[#This Row],[Review_date]],"dd-mm-yyyy")</f>
        <v>25-11-2023</v>
      </c>
      <c r="J482" s="7" t="str">
        <f>TEXT(multilingual_mobile_app_reviews_2025[[#This Row],[Review_date]],"YYYY")</f>
        <v>2023</v>
      </c>
      <c r="K482" s="7" t="str">
        <f>TEXT(multilingual_mobile_app_reviews_2025[[#This Row],[Review_date]],"MMMM")</f>
        <v>November</v>
      </c>
      <c r="L482" s="4" t="b">
        <v>1</v>
      </c>
      <c r="M482" s="4" t="s">
        <v>98</v>
      </c>
      <c r="N482" s="5">
        <v>625</v>
      </c>
      <c r="O482" s="5">
        <v>39</v>
      </c>
      <c r="P482" s="4" t="s">
        <v>73</v>
      </c>
      <c r="Q482" s="8" t="s">
        <v>12</v>
      </c>
      <c r="R482" s="4" t="s">
        <v>690</v>
      </c>
      <c r="S482" s="4"/>
      <c r="T482"/>
      <c r="U482" s="23"/>
    </row>
    <row r="483" spans="1:21" ht="15.6" x14ac:dyDescent="0.3">
      <c r="A483" s="4">
        <v>482</v>
      </c>
      <c r="B483" s="5">
        <v>6979264</v>
      </c>
      <c r="C483" s="4" t="s">
        <v>106</v>
      </c>
      <c r="D483" s="4" t="s">
        <v>71</v>
      </c>
      <c r="E483" s="4" t="s">
        <v>691</v>
      </c>
      <c r="F483" s="4" t="s">
        <v>2947</v>
      </c>
      <c r="G483" s="6">
        <v>3.1</v>
      </c>
      <c r="H483" s="7">
        <v>45798.320706018516</v>
      </c>
      <c r="I483" s="7" t="str">
        <f>TEXT(multilingual_mobile_app_reviews_2025[[#This Row],[Review_date]],"dd-mm-yyyy")</f>
        <v>21-05-2025</v>
      </c>
      <c r="J483" s="7" t="str">
        <f>TEXT(multilingual_mobile_app_reviews_2025[[#This Row],[Review_date]],"YYYY")</f>
        <v>2025</v>
      </c>
      <c r="K483" s="7" t="str">
        <f>TEXT(multilingual_mobile_app_reviews_2025[[#This Row],[Review_date]],"MMMM")</f>
        <v>May</v>
      </c>
      <c r="L483" s="4" t="b">
        <v>0</v>
      </c>
      <c r="M483" s="4" t="s">
        <v>33</v>
      </c>
      <c r="N483" s="5">
        <v>255</v>
      </c>
      <c r="O483" s="5">
        <v>38</v>
      </c>
      <c r="P483" s="4" t="s">
        <v>2963</v>
      </c>
      <c r="Q483" s="8" t="s">
        <v>2963</v>
      </c>
      <c r="R483" s="4" t="s">
        <v>692</v>
      </c>
      <c r="S483" s="4"/>
      <c r="T483"/>
      <c r="U483" s="23"/>
    </row>
    <row r="484" spans="1:21" ht="15.6" x14ac:dyDescent="0.3">
      <c r="A484" s="4">
        <v>483</v>
      </c>
      <c r="B484" s="5">
        <v>5259172</v>
      </c>
      <c r="C484" s="4" t="s">
        <v>84</v>
      </c>
      <c r="D484" s="4" t="s">
        <v>8</v>
      </c>
      <c r="E484" s="4" t="s">
        <v>76</v>
      </c>
      <c r="F484" s="4" t="s">
        <v>2957</v>
      </c>
      <c r="G484" s="6">
        <v>4.7</v>
      </c>
      <c r="H484" s="7">
        <v>45219.617847222224</v>
      </c>
      <c r="I484" s="7" t="str">
        <f>TEXT(multilingual_mobile_app_reviews_2025[[#This Row],[Review_date]],"dd-mm-yyyy")</f>
        <v>20-10-2023</v>
      </c>
      <c r="J484" s="7" t="str">
        <f>TEXT(multilingual_mobile_app_reviews_2025[[#This Row],[Review_date]],"YYYY")</f>
        <v>2023</v>
      </c>
      <c r="K484" s="7" t="str">
        <f>TEXT(multilingual_mobile_app_reviews_2025[[#This Row],[Review_date]],"MMMM")</f>
        <v>October</v>
      </c>
      <c r="L484" s="4" t="b">
        <v>1</v>
      </c>
      <c r="M484" s="4" t="s">
        <v>33</v>
      </c>
      <c r="N484" s="5">
        <v>460</v>
      </c>
      <c r="O484" s="5">
        <v>24</v>
      </c>
      <c r="P484" s="4" t="s">
        <v>4</v>
      </c>
      <c r="Q484" s="8" t="s">
        <v>39</v>
      </c>
      <c r="R484" s="4" t="s">
        <v>693</v>
      </c>
      <c r="S484" s="4"/>
      <c r="T484"/>
      <c r="U484" s="23"/>
    </row>
    <row r="485" spans="1:21" ht="15.6" x14ac:dyDescent="0.3">
      <c r="A485" s="4">
        <v>484</v>
      </c>
      <c r="B485" s="5">
        <v>8988812</v>
      </c>
      <c r="C485" s="4" t="s">
        <v>258</v>
      </c>
      <c r="D485" s="4" t="s">
        <v>1</v>
      </c>
      <c r="E485" s="4" t="s">
        <v>21</v>
      </c>
      <c r="F485" s="4" t="s">
        <v>2944</v>
      </c>
      <c r="G485" s="6">
        <v>1.9</v>
      </c>
      <c r="H485" s="7">
        <v>45323.868495370371</v>
      </c>
      <c r="I485" s="7" t="str">
        <f>TEXT(multilingual_mobile_app_reviews_2025[[#This Row],[Review_date]],"dd-mm-yyyy")</f>
        <v>01-02-2024</v>
      </c>
      <c r="J485" s="7" t="str">
        <f>TEXT(multilingual_mobile_app_reviews_2025[[#This Row],[Review_date]],"YYYY")</f>
        <v>2024</v>
      </c>
      <c r="K485" s="7" t="str">
        <f>TEXT(multilingual_mobile_app_reviews_2025[[#This Row],[Review_date]],"MMMM")</f>
        <v>February</v>
      </c>
      <c r="L485" s="4" t="b">
        <v>1</v>
      </c>
      <c r="M485" s="4" t="s">
        <v>33</v>
      </c>
      <c r="N485" s="5">
        <v>806</v>
      </c>
      <c r="O485" s="5">
        <v>26</v>
      </c>
      <c r="P485" s="4" t="s">
        <v>114</v>
      </c>
      <c r="Q485" s="8" t="s">
        <v>2963</v>
      </c>
      <c r="R485" s="4" t="s">
        <v>694</v>
      </c>
      <c r="S485" s="4"/>
      <c r="T485"/>
      <c r="U485" s="23"/>
    </row>
    <row r="486" spans="1:21" ht="15.6" x14ac:dyDescent="0.3">
      <c r="A486" s="4">
        <v>485</v>
      </c>
      <c r="B486" s="5">
        <v>8354874</v>
      </c>
      <c r="C486" s="4" t="s">
        <v>84</v>
      </c>
      <c r="D486" s="4" t="s">
        <v>42</v>
      </c>
      <c r="E486" s="4" t="s">
        <v>9</v>
      </c>
      <c r="F486" s="4" t="s">
        <v>2961</v>
      </c>
      <c r="G486" s="6">
        <v>1.7</v>
      </c>
      <c r="H486" s="7">
        <v>45185.400138888886</v>
      </c>
      <c r="I486" s="7" t="str">
        <f>TEXT(multilingual_mobile_app_reviews_2025[[#This Row],[Review_date]],"dd-mm-yyyy")</f>
        <v>16-09-2023</v>
      </c>
      <c r="J486" s="7" t="str">
        <f>TEXT(multilingual_mobile_app_reviews_2025[[#This Row],[Review_date]],"YYYY")</f>
        <v>2023</v>
      </c>
      <c r="K486" s="7" t="str">
        <f>TEXT(multilingual_mobile_app_reviews_2025[[#This Row],[Review_date]],"MMMM")</f>
        <v>September</v>
      </c>
      <c r="L486" s="4" t="b">
        <v>1</v>
      </c>
      <c r="M486" s="4" t="s">
        <v>10</v>
      </c>
      <c r="N486" s="5">
        <v>18</v>
      </c>
      <c r="O486" s="5">
        <v>19</v>
      </c>
      <c r="P486" s="4" t="s">
        <v>90</v>
      </c>
      <c r="Q486" s="8" t="s">
        <v>29</v>
      </c>
      <c r="R486" s="4" t="s">
        <v>695</v>
      </c>
      <c r="S486" s="4"/>
      <c r="T486"/>
      <c r="U486" s="23"/>
    </row>
    <row r="487" spans="1:21" ht="15.6" x14ac:dyDescent="0.3">
      <c r="A487" s="4">
        <v>486</v>
      </c>
      <c r="B487" s="5">
        <v>4794689</v>
      </c>
      <c r="C487" s="4" t="s">
        <v>244</v>
      </c>
      <c r="D487" s="4" t="s">
        <v>31</v>
      </c>
      <c r="E487" s="4" t="s">
        <v>9</v>
      </c>
      <c r="F487" s="4" t="s">
        <v>2945</v>
      </c>
      <c r="G487" s="6">
        <v>4.5999999999999996</v>
      </c>
      <c r="H487" s="7">
        <v>45211.134189814817</v>
      </c>
      <c r="I487" s="7" t="str">
        <f>TEXT(multilingual_mobile_app_reviews_2025[[#This Row],[Review_date]],"dd-mm-yyyy")</f>
        <v>12-10-2023</v>
      </c>
      <c r="J487" s="7" t="str">
        <f>TEXT(multilingual_mobile_app_reviews_2025[[#This Row],[Review_date]],"YYYY")</f>
        <v>2023</v>
      </c>
      <c r="K487" s="7" t="str">
        <f>TEXT(multilingual_mobile_app_reviews_2025[[#This Row],[Review_date]],"MMMM")</f>
        <v>October</v>
      </c>
      <c r="L487" s="4" t="b">
        <v>1</v>
      </c>
      <c r="M487" s="4" t="s">
        <v>33</v>
      </c>
      <c r="N487" s="5">
        <v>551</v>
      </c>
      <c r="O487" s="5">
        <v>19</v>
      </c>
      <c r="P487" s="4" t="s">
        <v>70</v>
      </c>
      <c r="Q487" s="8" t="s">
        <v>29</v>
      </c>
      <c r="R487" s="4" t="s">
        <v>696</v>
      </c>
      <c r="S487" s="4"/>
      <c r="T487"/>
      <c r="U487" s="23"/>
    </row>
    <row r="488" spans="1:21" ht="15.6" x14ac:dyDescent="0.3">
      <c r="A488" s="4">
        <v>487</v>
      </c>
      <c r="B488" s="5">
        <v>3983465</v>
      </c>
      <c r="C488" s="4" t="s">
        <v>89</v>
      </c>
      <c r="D488" s="4" t="s">
        <v>1</v>
      </c>
      <c r="E488" s="4" t="s">
        <v>9</v>
      </c>
      <c r="F488" s="4" t="s">
        <v>2940</v>
      </c>
      <c r="G488" s="6">
        <v>1.6</v>
      </c>
      <c r="H488" s="7">
        <v>45835.82203703704</v>
      </c>
      <c r="I488" s="7" t="str">
        <f>TEXT(multilingual_mobile_app_reviews_2025[[#This Row],[Review_date]],"dd-mm-yyyy")</f>
        <v>27-06-2025</v>
      </c>
      <c r="J488" s="7" t="str">
        <f>TEXT(multilingual_mobile_app_reviews_2025[[#This Row],[Review_date]],"YYYY")</f>
        <v>2025</v>
      </c>
      <c r="K488" s="7" t="str">
        <f>TEXT(multilingual_mobile_app_reviews_2025[[#This Row],[Review_date]],"MMMM")</f>
        <v>June</v>
      </c>
      <c r="L488" s="4" t="b">
        <v>1</v>
      </c>
      <c r="M488" s="4" t="s">
        <v>22</v>
      </c>
      <c r="N488" s="5">
        <v>981</v>
      </c>
      <c r="O488" s="5">
        <v>74</v>
      </c>
      <c r="P488" s="4" t="s">
        <v>94</v>
      </c>
      <c r="Q488" s="8" t="s">
        <v>39</v>
      </c>
      <c r="R488" s="4" t="s">
        <v>697</v>
      </c>
      <c r="S488" s="4"/>
      <c r="T488"/>
      <c r="U488" s="23"/>
    </row>
    <row r="489" spans="1:21" ht="15.6" x14ac:dyDescent="0.3">
      <c r="A489" s="4">
        <v>488</v>
      </c>
      <c r="B489" s="5">
        <v>7029943</v>
      </c>
      <c r="C489" s="4" t="s">
        <v>159</v>
      </c>
      <c r="D489" s="4" t="s">
        <v>97</v>
      </c>
      <c r="E489" s="4" t="s">
        <v>698</v>
      </c>
      <c r="F489" s="4" t="s">
        <v>2943</v>
      </c>
      <c r="G489" s="6">
        <v>3</v>
      </c>
      <c r="H489" s="7">
        <v>45598.617291666669</v>
      </c>
      <c r="I489" s="7" t="str">
        <f>TEXT(multilingual_mobile_app_reviews_2025[[#This Row],[Review_date]],"dd-mm-yyyy")</f>
        <v>02-11-2024</v>
      </c>
      <c r="J489" s="7" t="str">
        <f>TEXT(multilingual_mobile_app_reviews_2025[[#This Row],[Review_date]],"YYYY")</f>
        <v>2024</v>
      </c>
      <c r="K489" s="7" t="str">
        <f>TEXT(multilingual_mobile_app_reviews_2025[[#This Row],[Review_date]],"MMMM")</f>
        <v>November</v>
      </c>
      <c r="L489" s="4" t="b">
        <v>1</v>
      </c>
      <c r="M489" s="4" t="s">
        <v>22</v>
      </c>
      <c r="N489" s="5">
        <v>106</v>
      </c>
      <c r="O489" s="5">
        <v>56</v>
      </c>
      <c r="P489" s="4" t="s">
        <v>73</v>
      </c>
      <c r="Q489" s="8" t="s">
        <v>29</v>
      </c>
      <c r="R489" s="4" t="s">
        <v>699</v>
      </c>
      <c r="S489" s="4"/>
      <c r="T489"/>
      <c r="U489" s="23"/>
    </row>
    <row r="490" spans="1:21" ht="15.6" x14ac:dyDescent="0.3">
      <c r="A490" s="4">
        <v>489</v>
      </c>
      <c r="B490" s="5">
        <v>1144933</v>
      </c>
      <c r="C490" s="4" t="s">
        <v>165</v>
      </c>
      <c r="D490" s="4" t="s">
        <v>8</v>
      </c>
      <c r="E490" s="4" t="s">
        <v>16</v>
      </c>
      <c r="F490" s="4" t="s">
        <v>2944</v>
      </c>
      <c r="G490" s="6">
        <v>5</v>
      </c>
      <c r="H490" s="7">
        <v>45476.739444444444</v>
      </c>
      <c r="I490" s="7" t="str">
        <f>TEXT(multilingual_mobile_app_reviews_2025[[#This Row],[Review_date]],"dd-mm-yyyy")</f>
        <v>03-07-2024</v>
      </c>
      <c r="J490" s="7" t="str">
        <f>TEXT(multilingual_mobile_app_reviews_2025[[#This Row],[Review_date]],"YYYY")</f>
        <v>2024</v>
      </c>
      <c r="K490" s="7" t="str">
        <f>TEXT(multilingual_mobile_app_reviews_2025[[#This Row],[Review_date]],"MMMM")</f>
        <v>July</v>
      </c>
      <c r="L490" s="4" t="b">
        <v>0</v>
      </c>
      <c r="M490" s="4" t="s">
        <v>22</v>
      </c>
      <c r="N490" s="5">
        <v>878</v>
      </c>
      <c r="O490" s="5">
        <v>25</v>
      </c>
      <c r="P490" s="4" t="s">
        <v>99</v>
      </c>
      <c r="Q490" s="8" t="s">
        <v>12</v>
      </c>
      <c r="R490" s="4" t="s">
        <v>24</v>
      </c>
      <c r="S490" s="4"/>
      <c r="T490"/>
      <c r="U490" s="23"/>
    </row>
    <row r="491" spans="1:21" ht="15.6" x14ac:dyDescent="0.3">
      <c r="A491" s="4">
        <v>490</v>
      </c>
      <c r="B491" s="5">
        <v>2292921</v>
      </c>
      <c r="C491" s="4" t="s">
        <v>0</v>
      </c>
      <c r="D491" s="4" t="s">
        <v>31</v>
      </c>
      <c r="E491" s="4" t="s">
        <v>27</v>
      </c>
      <c r="F491" s="4" t="s">
        <v>2951</v>
      </c>
      <c r="G491" s="6">
        <v>2.7</v>
      </c>
      <c r="H491" s="7">
        <v>45322.784305555557</v>
      </c>
      <c r="I491" s="7" t="str">
        <f>TEXT(multilingual_mobile_app_reviews_2025[[#This Row],[Review_date]],"dd-mm-yyyy")</f>
        <v>31-01-2024</v>
      </c>
      <c r="J491" s="7" t="str">
        <f>TEXT(multilingual_mobile_app_reviews_2025[[#This Row],[Review_date]],"YYYY")</f>
        <v>2024</v>
      </c>
      <c r="K491" s="7" t="str">
        <f>TEXT(multilingual_mobile_app_reviews_2025[[#This Row],[Review_date]],"MMMM")</f>
        <v>January</v>
      </c>
      <c r="L491" s="4" t="b">
        <v>1</v>
      </c>
      <c r="M491" s="4" t="s">
        <v>33</v>
      </c>
      <c r="N491" s="5">
        <v>408</v>
      </c>
      <c r="O491" s="5">
        <v>18</v>
      </c>
      <c r="P491" s="4" t="s">
        <v>23</v>
      </c>
      <c r="Q491" s="8" t="s">
        <v>29</v>
      </c>
      <c r="R491" s="4" t="s">
        <v>700</v>
      </c>
      <c r="S491" s="4"/>
      <c r="T491"/>
      <c r="U491" s="23"/>
    </row>
    <row r="492" spans="1:21" ht="15.6" x14ac:dyDescent="0.3">
      <c r="A492" s="4">
        <v>491</v>
      </c>
      <c r="B492" s="5">
        <v>4478701</v>
      </c>
      <c r="C492" s="4" t="s">
        <v>54</v>
      </c>
      <c r="D492" s="4" t="s">
        <v>63</v>
      </c>
      <c r="E492" s="4" t="s">
        <v>9</v>
      </c>
      <c r="F492" s="4" t="s">
        <v>2944</v>
      </c>
      <c r="G492" s="6">
        <v>4.8</v>
      </c>
      <c r="H492" s="7">
        <v>45799.802476851852</v>
      </c>
      <c r="I492" s="7" t="str">
        <f>TEXT(multilingual_mobile_app_reviews_2025[[#This Row],[Review_date]],"dd-mm-yyyy")</f>
        <v>22-05-2025</v>
      </c>
      <c r="J492" s="7" t="str">
        <f>TEXT(multilingual_mobile_app_reviews_2025[[#This Row],[Review_date]],"YYYY")</f>
        <v>2025</v>
      </c>
      <c r="K492" s="7" t="str">
        <f>TEXT(multilingual_mobile_app_reviews_2025[[#This Row],[Review_date]],"MMMM")</f>
        <v>May</v>
      </c>
      <c r="L492" s="4" t="b">
        <v>1</v>
      </c>
      <c r="M492" s="4" t="s">
        <v>3</v>
      </c>
      <c r="N492" s="5">
        <v>505</v>
      </c>
      <c r="O492" s="5">
        <v>33</v>
      </c>
      <c r="P492" s="4" t="s">
        <v>23</v>
      </c>
      <c r="Q492" s="8" t="s">
        <v>5</v>
      </c>
      <c r="R492" s="4" t="s">
        <v>701</v>
      </c>
      <c r="S492" s="4"/>
      <c r="T492"/>
      <c r="U492" s="23"/>
    </row>
    <row r="493" spans="1:21" ht="15.6" x14ac:dyDescent="0.3">
      <c r="A493" s="4">
        <v>492</v>
      </c>
      <c r="B493" s="5">
        <v>6692651</v>
      </c>
      <c r="C493" s="4" t="s">
        <v>137</v>
      </c>
      <c r="D493" s="4" t="s">
        <v>1</v>
      </c>
      <c r="E493" s="4" t="s">
        <v>16</v>
      </c>
      <c r="F493" s="4" t="s">
        <v>2942</v>
      </c>
      <c r="G493" s="6">
        <v>3.7</v>
      </c>
      <c r="H493" s="7">
        <v>45683.147928240738</v>
      </c>
      <c r="I493" s="7" t="str">
        <f>TEXT(multilingual_mobile_app_reviews_2025[[#This Row],[Review_date]],"dd-mm-yyyy")</f>
        <v>26-01-2025</v>
      </c>
      <c r="J493" s="7" t="str">
        <f>TEXT(multilingual_mobile_app_reviews_2025[[#This Row],[Review_date]],"YYYY")</f>
        <v>2025</v>
      </c>
      <c r="K493" s="7" t="str">
        <f>TEXT(multilingual_mobile_app_reviews_2025[[#This Row],[Review_date]],"MMMM")</f>
        <v>January</v>
      </c>
      <c r="L493" s="4" t="b">
        <v>0</v>
      </c>
      <c r="M493" s="4" t="s">
        <v>33</v>
      </c>
      <c r="N493" s="5">
        <v>266</v>
      </c>
      <c r="O493" s="5">
        <v>34</v>
      </c>
      <c r="P493" s="4" t="s">
        <v>162</v>
      </c>
      <c r="Q493" s="8" t="s">
        <v>39</v>
      </c>
      <c r="R493" s="4" t="s">
        <v>702</v>
      </c>
      <c r="S493" s="4"/>
      <c r="T493"/>
      <c r="U493" s="23"/>
    </row>
    <row r="494" spans="1:21" ht="15.6" x14ac:dyDescent="0.3">
      <c r="A494" s="4">
        <v>493</v>
      </c>
      <c r="B494" s="5">
        <v>5573593</v>
      </c>
      <c r="C494" s="4" t="s">
        <v>50</v>
      </c>
      <c r="D494" s="4" t="s">
        <v>15</v>
      </c>
      <c r="E494" s="4" t="s">
        <v>27</v>
      </c>
      <c r="F494" s="4" t="s">
        <v>2959</v>
      </c>
      <c r="G494" s="6">
        <v>3.8</v>
      </c>
      <c r="H494" s="7">
        <v>45385.920995370368</v>
      </c>
      <c r="I494" s="7" t="str">
        <f>TEXT(multilingual_mobile_app_reviews_2025[[#This Row],[Review_date]],"dd-mm-yyyy")</f>
        <v>03-04-2024</v>
      </c>
      <c r="J494" s="7" t="str">
        <f>TEXT(multilingual_mobile_app_reviews_2025[[#This Row],[Review_date]],"YYYY")</f>
        <v>2024</v>
      </c>
      <c r="K494" s="7" t="str">
        <f>TEXT(multilingual_mobile_app_reviews_2025[[#This Row],[Review_date]],"MMMM")</f>
        <v>April</v>
      </c>
      <c r="L494" s="4" t="b">
        <v>1</v>
      </c>
      <c r="M494" s="4" t="s">
        <v>98</v>
      </c>
      <c r="N494" s="5">
        <v>153</v>
      </c>
      <c r="O494" s="5">
        <v>73</v>
      </c>
      <c r="P494" s="4" t="s">
        <v>34</v>
      </c>
      <c r="Q494" s="8" t="s">
        <v>2963</v>
      </c>
      <c r="R494" s="4" t="s">
        <v>703</v>
      </c>
      <c r="S494" s="4"/>
      <c r="T494"/>
      <c r="U494" s="23"/>
    </row>
    <row r="495" spans="1:21" ht="15.6" x14ac:dyDescent="0.3">
      <c r="A495" s="4">
        <v>494</v>
      </c>
      <c r="B495" s="5">
        <v>4662662</v>
      </c>
      <c r="C495" s="4" t="s">
        <v>78</v>
      </c>
      <c r="D495" s="4" t="s">
        <v>31</v>
      </c>
      <c r="E495" s="4" t="s">
        <v>704</v>
      </c>
      <c r="F495" s="4" t="s">
        <v>2956</v>
      </c>
      <c r="G495" s="6">
        <v>3.9</v>
      </c>
      <c r="H495" s="7">
        <v>45737.216504629629</v>
      </c>
      <c r="I495" s="7" t="str">
        <f>TEXT(multilingual_mobile_app_reviews_2025[[#This Row],[Review_date]],"dd-mm-yyyy")</f>
        <v>21-03-2025</v>
      </c>
      <c r="J495" s="7" t="str">
        <f>TEXT(multilingual_mobile_app_reviews_2025[[#This Row],[Review_date]],"YYYY")</f>
        <v>2025</v>
      </c>
      <c r="K495" s="7" t="str">
        <f>TEXT(multilingual_mobile_app_reviews_2025[[#This Row],[Review_date]],"MMMM")</f>
        <v>March</v>
      </c>
      <c r="L495" s="4" t="b">
        <v>1</v>
      </c>
      <c r="M495" s="4" t="s">
        <v>3</v>
      </c>
      <c r="N495" s="5">
        <v>138</v>
      </c>
      <c r="O495" s="5">
        <v>43</v>
      </c>
      <c r="P495" s="4" t="s">
        <v>90</v>
      </c>
      <c r="Q495" s="8" t="s">
        <v>2963</v>
      </c>
      <c r="R495" s="4" t="s">
        <v>705</v>
      </c>
      <c r="S495" s="4"/>
      <c r="T495"/>
      <c r="U495" s="23"/>
    </row>
    <row r="496" spans="1:21" ht="15.6" x14ac:dyDescent="0.3">
      <c r="A496" s="4">
        <v>495</v>
      </c>
      <c r="B496" s="5">
        <v>7681910</v>
      </c>
      <c r="C496" s="4" t="s">
        <v>174</v>
      </c>
      <c r="D496" s="4" t="s">
        <v>71</v>
      </c>
      <c r="E496" s="4" t="s">
        <v>64</v>
      </c>
      <c r="F496" s="4" t="s">
        <v>2948</v>
      </c>
      <c r="G496" s="6">
        <v>4.9000000000000004</v>
      </c>
      <c r="H496" s="7">
        <v>45378.347939814812</v>
      </c>
      <c r="I496" s="7" t="str">
        <f>TEXT(multilingual_mobile_app_reviews_2025[[#This Row],[Review_date]],"dd-mm-yyyy")</f>
        <v>27-03-2024</v>
      </c>
      <c r="J496" s="7" t="str">
        <f>TEXT(multilingual_mobile_app_reviews_2025[[#This Row],[Review_date]],"YYYY")</f>
        <v>2024</v>
      </c>
      <c r="K496" s="7" t="str">
        <f>TEXT(multilingual_mobile_app_reviews_2025[[#This Row],[Review_date]],"MMMM")</f>
        <v>March</v>
      </c>
      <c r="L496" s="4" t="b">
        <v>1</v>
      </c>
      <c r="M496" s="4" t="s">
        <v>22</v>
      </c>
      <c r="N496" s="5">
        <v>896</v>
      </c>
      <c r="O496" s="5">
        <v>61</v>
      </c>
      <c r="P496" s="4" t="s">
        <v>85</v>
      </c>
      <c r="Q496" s="8" t="s">
        <v>29</v>
      </c>
      <c r="R496" s="4" t="s">
        <v>2963</v>
      </c>
      <c r="S496" s="4"/>
      <c r="T496"/>
      <c r="U496" s="23"/>
    </row>
    <row r="497" spans="1:21" ht="15.6" x14ac:dyDescent="0.3">
      <c r="A497" s="4">
        <v>496</v>
      </c>
      <c r="B497" s="5">
        <v>4546095</v>
      </c>
      <c r="C497" s="4" t="s">
        <v>25</v>
      </c>
      <c r="D497" s="4" t="s">
        <v>220</v>
      </c>
      <c r="E497" s="4" t="s">
        <v>706</v>
      </c>
      <c r="F497" s="4" t="s">
        <v>2962</v>
      </c>
      <c r="G497" s="6">
        <v>4.4000000000000004</v>
      </c>
      <c r="H497" s="7">
        <v>45340.955775462964</v>
      </c>
      <c r="I497" s="7" t="str">
        <f>TEXT(multilingual_mobile_app_reviews_2025[[#This Row],[Review_date]],"dd-mm-yyyy")</f>
        <v>18-02-2024</v>
      </c>
      <c r="J497" s="7" t="str">
        <f>TEXT(multilingual_mobile_app_reviews_2025[[#This Row],[Review_date]],"YYYY")</f>
        <v>2024</v>
      </c>
      <c r="K497" s="7" t="str">
        <f>TEXT(multilingual_mobile_app_reviews_2025[[#This Row],[Review_date]],"MMMM")</f>
        <v>February</v>
      </c>
      <c r="L497" s="4" t="b">
        <v>1</v>
      </c>
      <c r="M497" s="4" t="s">
        <v>10</v>
      </c>
      <c r="N497" s="5">
        <v>549</v>
      </c>
      <c r="O497" s="5">
        <v>48</v>
      </c>
      <c r="P497" s="4" t="s">
        <v>80</v>
      </c>
      <c r="Q497" s="8" t="s">
        <v>5</v>
      </c>
      <c r="R497" s="4" t="s">
        <v>707</v>
      </c>
      <c r="S497" s="4"/>
      <c r="T497"/>
      <c r="U497" s="23"/>
    </row>
    <row r="498" spans="1:21" ht="15.6" x14ac:dyDescent="0.3">
      <c r="A498" s="4">
        <v>497</v>
      </c>
      <c r="B498" s="5">
        <v>621470</v>
      </c>
      <c r="C498" s="4" t="s">
        <v>19</v>
      </c>
      <c r="D498" s="4" t="s">
        <v>31</v>
      </c>
      <c r="E498" s="4" t="s">
        <v>109</v>
      </c>
      <c r="F498" s="4" t="s">
        <v>2956</v>
      </c>
      <c r="G498" s="6">
        <v>2.4</v>
      </c>
      <c r="H498" s="7">
        <v>45452.978981481479</v>
      </c>
      <c r="I498" s="7" t="str">
        <f>TEXT(multilingual_mobile_app_reviews_2025[[#This Row],[Review_date]],"dd-mm-yyyy")</f>
        <v>09-06-2024</v>
      </c>
      <c r="J498" s="7" t="str">
        <f>TEXT(multilingual_mobile_app_reviews_2025[[#This Row],[Review_date]],"YYYY")</f>
        <v>2024</v>
      </c>
      <c r="K498" s="7" t="str">
        <f>TEXT(multilingual_mobile_app_reviews_2025[[#This Row],[Review_date]],"MMMM")</f>
        <v>June</v>
      </c>
      <c r="L498" s="4" t="b">
        <v>1</v>
      </c>
      <c r="M498" s="4" t="s">
        <v>33</v>
      </c>
      <c r="N498" s="5">
        <v>755</v>
      </c>
      <c r="O498" s="5">
        <v>33</v>
      </c>
      <c r="P498" s="4" t="s">
        <v>4</v>
      </c>
      <c r="Q498" s="8" t="s">
        <v>2963</v>
      </c>
      <c r="R498" s="4" t="s">
        <v>708</v>
      </c>
      <c r="S498" s="4"/>
      <c r="T498"/>
      <c r="U498" s="23"/>
    </row>
    <row r="499" spans="1:21" ht="15.6" x14ac:dyDescent="0.3">
      <c r="A499" s="4">
        <v>498</v>
      </c>
      <c r="B499" s="5">
        <v>9427356</v>
      </c>
      <c r="C499" s="4" t="s">
        <v>0</v>
      </c>
      <c r="D499" s="4" t="s">
        <v>42</v>
      </c>
      <c r="E499" s="4" t="s">
        <v>109</v>
      </c>
      <c r="F499" s="4" t="s">
        <v>2949</v>
      </c>
      <c r="G499" s="6">
        <v>3.6</v>
      </c>
      <c r="H499" s="7">
        <v>45719.92796296296</v>
      </c>
      <c r="I499" s="7" t="str">
        <f>TEXT(multilingual_mobile_app_reviews_2025[[#This Row],[Review_date]],"dd-mm-yyyy")</f>
        <v>03-03-2025</v>
      </c>
      <c r="J499" s="7" t="str">
        <f>TEXT(multilingual_mobile_app_reviews_2025[[#This Row],[Review_date]],"YYYY")</f>
        <v>2025</v>
      </c>
      <c r="K499" s="7" t="str">
        <f>TEXT(multilingual_mobile_app_reviews_2025[[#This Row],[Review_date]],"MMMM")</f>
        <v>March</v>
      </c>
      <c r="L499" s="4" t="b">
        <v>1</v>
      </c>
      <c r="M499" s="4" t="s">
        <v>33</v>
      </c>
      <c r="N499" s="5">
        <v>217</v>
      </c>
      <c r="O499" s="5">
        <v>59</v>
      </c>
      <c r="P499" s="4" t="s">
        <v>44</v>
      </c>
      <c r="Q499" s="8" t="s">
        <v>29</v>
      </c>
      <c r="R499" s="4" t="s">
        <v>709</v>
      </c>
      <c r="S499" s="4"/>
      <c r="T499"/>
      <c r="U499" s="23"/>
    </row>
    <row r="500" spans="1:21" ht="15.6" x14ac:dyDescent="0.3">
      <c r="A500" s="4">
        <v>499</v>
      </c>
      <c r="B500" s="5">
        <v>4291831</v>
      </c>
      <c r="C500" s="4" t="s">
        <v>104</v>
      </c>
      <c r="D500" s="4" t="s">
        <v>8</v>
      </c>
      <c r="E500" s="4" t="s">
        <v>27</v>
      </c>
      <c r="F500" s="4" t="s">
        <v>2961</v>
      </c>
      <c r="G500" s="6">
        <v>3.9</v>
      </c>
      <c r="H500" s="7">
        <v>45212.453553240739</v>
      </c>
      <c r="I500" s="7" t="str">
        <f>TEXT(multilingual_mobile_app_reviews_2025[[#This Row],[Review_date]],"dd-mm-yyyy")</f>
        <v>13-10-2023</v>
      </c>
      <c r="J500" s="7" t="str">
        <f>TEXT(multilingual_mobile_app_reviews_2025[[#This Row],[Review_date]],"YYYY")</f>
        <v>2023</v>
      </c>
      <c r="K500" s="7" t="str">
        <f>TEXT(multilingual_mobile_app_reviews_2025[[#This Row],[Review_date]],"MMMM")</f>
        <v>October</v>
      </c>
      <c r="L500" s="4" t="b">
        <v>1</v>
      </c>
      <c r="M500" s="4" t="s">
        <v>10</v>
      </c>
      <c r="N500" s="5">
        <v>303</v>
      </c>
      <c r="O500" s="5">
        <v>70</v>
      </c>
      <c r="P500" s="4" t="s">
        <v>99</v>
      </c>
      <c r="Q500" s="8" t="s">
        <v>12</v>
      </c>
      <c r="R500" s="4" t="s">
        <v>710</v>
      </c>
      <c r="S500" s="4"/>
      <c r="T500"/>
      <c r="U500" s="23"/>
    </row>
    <row r="501" spans="1:21" ht="15.6" x14ac:dyDescent="0.3">
      <c r="A501" s="4">
        <v>500</v>
      </c>
      <c r="B501" s="5">
        <v>1809721</v>
      </c>
      <c r="C501" s="4" t="s">
        <v>92</v>
      </c>
      <c r="D501" s="4" t="s">
        <v>71</v>
      </c>
      <c r="E501" s="4" t="s">
        <v>27</v>
      </c>
      <c r="F501" s="4" t="s">
        <v>2941</v>
      </c>
      <c r="G501" s="6">
        <v>1.6</v>
      </c>
      <c r="H501" s="7">
        <v>45763.283321759256</v>
      </c>
      <c r="I501" s="7" t="str">
        <f>TEXT(multilingual_mobile_app_reviews_2025[[#This Row],[Review_date]],"dd-mm-yyyy")</f>
        <v>16-04-2025</v>
      </c>
      <c r="J501" s="7" t="str">
        <f>TEXT(multilingual_mobile_app_reviews_2025[[#This Row],[Review_date]],"YYYY")</f>
        <v>2025</v>
      </c>
      <c r="K501" s="7" t="str">
        <f>TEXT(multilingual_mobile_app_reviews_2025[[#This Row],[Review_date]],"MMMM")</f>
        <v>April</v>
      </c>
      <c r="L501" s="4" t="b">
        <v>1</v>
      </c>
      <c r="M501" s="4" t="s">
        <v>3</v>
      </c>
      <c r="N501" s="5">
        <v>502</v>
      </c>
      <c r="O501" s="5">
        <v>42</v>
      </c>
      <c r="P501" s="4" t="s">
        <v>38</v>
      </c>
      <c r="Q501" s="8" t="s">
        <v>29</v>
      </c>
      <c r="R501" s="4" t="s">
        <v>711</v>
      </c>
      <c r="S501" s="4"/>
      <c r="T501"/>
      <c r="U501" s="23"/>
    </row>
    <row r="502" spans="1:21" ht="15.6" x14ac:dyDescent="0.3">
      <c r="A502" s="4">
        <v>501</v>
      </c>
      <c r="B502" s="5">
        <v>2137647</v>
      </c>
      <c r="C502" s="4" t="s">
        <v>101</v>
      </c>
      <c r="D502" s="4" t="s">
        <v>15</v>
      </c>
      <c r="E502" s="4" t="s">
        <v>16</v>
      </c>
      <c r="F502" s="4" t="s">
        <v>2944</v>
      </c>
      <c r="G502" s="6">
        <v>1.6</v>
      </c>
      <c r="H502" s="7">
        <v>45148.16547453704</v>
      </c>
      <c r="I502" s="7" t="str">
        <f>TEXT(multilingual_mobile_app_reviews_2025[[#This Row],[Review_date]],"dd-mm-yyyy")</f>
        <v>10-08-2023</v>
      </c>
      <c r="J502" s="7" t="str">
        <f>TEXT(multilingual_mobile_app_reviews_2025[[#This Row],[Review_date]],"YYYY")</f>
        <v>2023</v>
      </c>
      <c r="K502" s="7" t="str">
        <f>TEXT(multilingual_mobile_app_reviews_2025[[#This Row],[Review_date]],"MMMM")</f>
        <v>August</v>
      </c>
      <c r="L502" s="4" t="b">
        <v>1</v>
      </c>
      <c r="M502" s="4" t="s">
        <v>33</v>
      </c>
      <c r="N502" s="5">
        <v>27</v>
      </c>
      <c r="O502" s="5">
        <v>63</v>
      </c>
      <c r="P502" s="4" t="s">
        <v>118</v>
      </c>
      <c r="Q502" s="8" t="s">
        <v>12</v>
      </c>
      <c r="R502" s="4" t="s">
        <v>475</v>
      </c>
      <c r="S502" s="4"/>
      <c r="T502"/>
      <c r="U502" s="23"/>
    </row>
    <row r="503" spans="1:21" ht="15.6" x14ac:dyDescent="0.3">
      <c r="A503" s="4">
        <v>502</v>
      </c>
      <c r="B503" s="5">
        <v>3829376</v>
      </c>
      <c r="C503" s="4" t="s">
        <v>25</v>
      </c>
      <c r="D503" s="4" t="s">
        <v>57</v>
      </c>
      <c r="E503" s="4" t="s">
        <v>109</v>
      </c>
      <c r="F503" s="4" t="s">
        <v>2949</v>
      </c>
      <c r="G503" s="6">
        <v>3.8</v>
      </c>
      <c r="H503" s="7">
        <v>45240.407789351855</v>
      </c>
      <c r="I503" s="7" t="str">
        <f>TEXT(multilingual_mobile_app_reviews_2025[[#This Row],[Review_date]],"dd-mm-yyyy")</f>
        <v>10-11-2023</v>
      </c>
      <c r="J503" s="7" t="str">
        <f>TEXT(multilingual_mobile_app_reviews_2025[[#This Row],[Review_date]],"YYYY")</f>
        <v>2023</v>
      </c>
      <c r="K503" s="7" t="str">
        <f>TEXT(multilingual_mobile_app_reviews_2025[[#This Row],[Review_date]],"MMMM")</f>
        <v>November</v>
      </c>
      <c r="L503" s="4" t="b">
        <v>1</v>
      </c>
      <c r="M503" s="4" t="s">
        <v>33</v>
      </c>
      <c r="N503" s="5">
        <v>252</v>
      </c>
      <c r="O503" s="5">
        <v>14</v>
      </c>
      <c r="P503" s="4" t="s">
        <v>23</v>
      </c>
      <c r="Q503" s="8" t="s">
        <v>12</v>
      </c>
      <c r="R503" s="4" t="s">
        <v>2963</v>
      </c>
      <c r="S503" s="4"/>
      <c r="T503"/>
      <c r="U503" s="23"/>
    </row>
    <row r="504" spans="1:21" ht="15.6" x14ac:dyDescent="0.3">
      <c r="A504" s="4">
        <v>503</v>
      </c>
      <c r="B504" s="5">
        <v>6820647</v>
      </c>
      <c r="C504" s="4" t="s">
        <v>154</v>
      </c>
      <c r="D504" s="4" t="s">
        <v>42</v>
      </c>
      <c r="E504" s="4" t="s">
        <v>27</v>
      </c>
      <c r="F504" s="4" t="s">
        <v>2957</v>
      </c>
      <c r="G504" s="6">
        <v>2.5</v>
      </c>
      <c r="H504" s="7">
        <v>45428.005416666667</v>
      </c>
      <c r="I504" s="7" t="str">
        <f>TEXT(multilingual_mobile_app_reviews_2025[[#This Row],[Review_date]],"dd-mm-yyyy")</f>
        <v>16-05-2024</v>
      </c>
      <c r="J504" s="7" t="str">
        <f>TEXT(multilingual_mobile_app_reviews_2025[[#This Row],[Review_date]],"YYYY")</f>
        <v>2024</v>
      </c>
      <c r="K504" s="7" t="str">
        <f>TEXT(multilingual_mobile_app_reviews_2025[[#This Row],[Review_date]],"MMMM")</f>
        <v>May</v>
      </c>
      <c r="L504" s="4" t="b">
        <v>0</v>
      </c>
      <c r="M504" s="4" t="s">
        <v>98</v>
      </c>
      <c r="N504" s="5">
        <v>1007</v>
      </c>
      <c r="O504" s="5">
        <v>23</v>
      </c>
      <c r="P504" s="4" t="s">
        <v>80</v>
      </c>
      <c r="Q504" s="8" t="s">
        <v>5</v>
      </c>
      <c r="R504" s="4" t="s">
        <v>712</v>
      </c>
      <c r="S504" s="4"/>
      <c r="T504"/>
      <c r="U504" s="23"/>
    </row>
    <row r="505" spans="1:21" ht="15.6" x14ac:dyDescent="0.3">
      <c r="A505" s="4">
        <v>504</v>
      </c>
      <c r="B505" s="5">
        <v>1509947</v>
      </c>
      <c r="C505" s="4" t="s">
        <v>106</v>
      </c>
      <c r="D505" s="4" t="s">
        <v>63</v>
      </c>
      <c r="E505" s="4" t="s">
        <v>76</v>
      </c>
      <c r="F505" s="4" t="s">
        <v>2957</v>
      </c>
      <c r="G505" s="6">
        <v>2.7</v>
      </c>
      <c r="H505" s="7">
        <v>45591.182523148149</v>
      </c>
      <c r="I505" s="7" t="str">
        <f>TEXT(multilingual_mobile_app_reviews_2025[[#This Row],[Review_date]],"dd-mm-yyyy")</f>
        <v>26-10-2024</v>
      </c>
      <c r="J505" s="7" t="str">
        <f>TEXT(multilingual_mobile_app_reviews_2025[[#This Row],[Review_date]],"YYYY")</f>
        <v>2024</v>
      </c>
      <c r="K505" s="7" t="str">
        <f>TEXT(multilingual_mobile_app_reviews_2025[[#This Row],[Review_date]],"MMMM")</f>
        <v>October</v>
      </c>
      <c r="L505" s="4" t="b">
        <v>1</v>
      </c>
      <c r="M505" s="4" t="s">
        <v>10</v>
      </c>
      <c r="N505" s="5">
        <v>587</v>
      </c>
      <c r="O505" s="5">
        <v>35</v>
      </c>
      <c r="P505" s="4" t="s">
        <v>80</v>
      </c>
      <c r="Q505" s="8" t="s">
        <v>39</v>
      </c>
      <c r="R505" s="4" t="s">
        <v>713</v>
      </c>
      <c r="S505" s="4"/>
      <c r="T505"/>
      <c r="U505" s="23"/>
    </row>
    <row r="506" spans="1:21" ht="15.6" x14ac:dyDescent="0.3">
      <c r="A506" s="4">
        <v>505</v>
      </c>
      <c r="B506" s="5">
        <v>4442289</v>
      </c>
      <c r="C506" s="4" t="s">
        <v>264</v>
      </c>
      <c r="D506" s="4" t="s">
        <v>42</v>
      </c>
      <c r="E506" s="4" t="s">
        <v>130</v>
      </c>
      <c r="F506" s="4" t="s">
        <v>2961</v>
      </c>
      <c r="G506" s="6">
        <v>4.2</v>
      </c>
      <c r="H506" s="7">
        <v>45851.466099537036</v>
      </c>
      <c r="I506" s="7" t="str">
        <f>TEXT(multilingual_mobile_app_reviews_2025[[#This Row],[Review_date]],"dd-mm-yyyy")</f>
        <v>13-07-2025</v>
      </c>
      <c r="J506" s="7" t="str">
        <f>TEXT(multilingual_mobile_app_reviews_2025[[#This Row],[Review_date]],"YYYY")</f>
        <v>2025</v>
      </c>
      <c r="K506" s="7" t="str">
        <f>TEXT(multilingual_mobile_app_reviews_2025[[#This Row],[Review_date]],"MMMM")</f>
        <v>July</v>
      </c>
      <c r="L506" s="4" t="b">
        <v>1</v>
      </c>
      <c r="M506" s="4" t="s">
        <v>3</v>
      </c>
      <c r="N506" s="5">
        <v>137</v>
      </c>
      <c r="O506" s="5">
        <v>20</v>
      </c>
      <c r="P506" s="4" t="s">
        <v>28</v>
      </c>
      <c r="Q506" s="8" t="s">
        <v>29</v>
      </c>
      <c r="R506" s="4" t="s">
        <v>714</v>
      </c>
      <c r="S506" s="4"/>
      <c r="T506"/>
      <c r="U506" s="23"/>
    </row>
    <row r="507" spans="1:21" ht="15.6" x14ac:dyDescent="0.3">
      <c r="A507" s="4">
        <v>506</v>
      </c>
      <c r="B507" s="5">
        <v>465746</v>
      </c>
      <c r="C507" s="4" t="s">
        <v>101</v>
      </c>
      <c r="D507" s="4" t="s">
        <v>79</v>
      </c>
      <c r="E507" s="4" t="s">
        <v>9</v>
      </c>
      <c r="F507" s="4" t="s">
        <v>2951</v>
      </c>
      <c r="G507" s="6">
        <v>4.2</v>
      </c>
      <c r="H507" s="7">
        <v>45188.95517361111</v>
      </c>
      <c r="I507" s="7" t="str">
        <f>TEXT(multilingual_mobile_app_reviews_2025[[#This Row],[Review_date]],"dd-mm-yyyy")</f>
        <v>19-09-2023</v>
      </c>
      <c r="J507" s="7" t="str">
        <f>TEXT(multilingual_mobile_app_reviews_2025[[#This Row],[Review_date]],"YYYY")</f>
        <v>2023</v>
      </c>
      <c r="K507" s="7" t="str">
        <f>TEXT(multilingual_mobile_app_reviews_2025[[#This Row],[Review_date]],"MMMM")</f>
        <v>September</v>
      </c>
      <c r="L507" s="4" t="b">
        <v>1</v>
      </c>
      <c r="M507" s="4" t="s">
        <v>22</v>
      </c>
      <c r="N507" s="5">
        <v>784</v>
      </c>
      <c r="O507" s="5">
        <v>39</v>
      </c>
      <c r="P507" s="4" t="s">
        <v>34</v>
      </c>
      <c r="Q507" s="8" t="s">
        <v>29</v>
      </c>
      <c r="R507" s="4" t="s">
        <v>715</v>
      </c>
      <c r="S507" s="4"/>
      <c r="T507"/>
      <c r="U507" s="23"/>
    </row>
    <row r="508" spans="1:21" ht="15.6" x14ac:dyDescent="0.3">
      <c r="A508" s="4">
        <v>507</v>
      </c>
      <c r="B508" s="5">
        <v>7539543</v>
      </c>
      <c r="C508" s="4" t="s">
        <v>7</v>
      </c>
      <c r="D508" s="4" t="s">
        <v>97</v>
      </c>
      <c r="E508" s="4" t="s">
        <v>27</v>
      </c>
      <c r="F508" s="4" t="s">
        <v>2939</v>
      </c>
      <c r="G508" s="6">
        <v>2.4</v>
      </c>
      <c r="H508" s="7">
        <v>45767.479120370372</v>
      </c>
      <c r="I508" s="7" t="str">
        <f>TEXT(multilingual_mobile_app_reviews_2025[[#This Row],[Review_date]],"dd-mm-yyyy")</f>
        <v>20-04-2025</v>
      </c>
      <c r="J508" s="7" t="str">
        <f>TEXT(multilingual_mobile_app_reviews_2025[[#This Row],[Review_date]],"YYYY")</f>
        <v>2025</v>
      </c>
      <c r="K508" s="7" t="str">
        <f>TEXT(multilingual_mobile_app_reviews_2025[[#This Row],[Review_date]],"MMMM")</f>
        <v>April</v>
      </c>
      <c r="L508" s="4" t="b">
        <v>1</v>
      </c>
      <c r="M508" s="4" t="s">
        <v>3</v>
      </c>
      <c r="N508" s="5">
        <v>273</v>
      </c>
      <c r="O508" s="5">
        <v>71</v>
      </c>
      <c r="P508" s="4" t="s">
        <v>80</v>
      </c>
      <c r="Q508" s="8" t="s">
        <v>12</v>
      </c>
      <c r="R508" s="4" t="s">
        <v>517</v>
      </c>
      <c r="S508" s="4"/>
      <c r="T508"/>
      <c r="U508" s="23"/>
    </row>
    <row r="509" spans="1:21" ht="15.6" x14ac:dyDescent="0.3">
      <c r="A509" s="4">
        <v>508</v>
      </c>
      <c r="B509" s="5">
        <v>1643145</v>
      </c>
      <c r="C509" s="4" t="s">
        <v>69</v>
      </c>
      <c r="D509" s="4" t="s">
        <v>31</v>
      </c>
      <c r="E509" s="4" t="s">
        <v>716</v>
      </c>
      <c r="F509" s="4" t="s">
        <v>2951</v>
      </c>
      <c r="G509" s="6">
        <v>1.5</v>
      </c>
      <c r="H509" s="7">
        <v>45526.378831018519</v>
      </c>
      <c r="I509" s="7" t="str">
        <f>TEXT(multilingual_mobile_app_reviews_2025[[#This Row],[Review_date]],"dd-mm-yyyy")</f>
        <v>22-08-2024</v>
      </c>
      <c r="J509" s="7" t="str">
        <f>TEXT(multilingual_mobile_app_reviews_2025[[#This Row],[Review_date]],"YYYY")</f>
        <v>2024</v>
      </c>
      <c r="K509" s="7" t="str">
        <f>TEXT(multilingual_mobile_app_reviews_2025[[#This Row],[Review_date]],"MMMM")</f>
        <v>August</v>
      </c>
      <c r="L509" s="4" t="b">
        <v>1</v>
      </c>
      <c r="M509" s="4" t="s">
        <v>22</v>
      </c>
      <c r="N509" s="5">
        <v>773</v>
      </c>
      <c r="O509" s="5">
        <v>59</v>
      </c>
      <c r="P509" s="4" t="s">
        <v>118</v>
      </c>
      <c r="Q509" s="8" t="s">
        <v>29</v>
      </c>
      <c r="R509" s="4" t="s">
        <v>272</v>
      </c>
      <c r="S509" s="4"/>
      <c r="T509"/>
      <c r="U509" s="23"/>
    </row>
    <row r="510" spans="1:21" ht="15.6" x14ac:dyDescent="0.3">
      <c r="A510" s="4">
        <v>509</v>
      </c>
      <c r="B510" s="5">
        <v>9339022</v>
      </c>
      <c r="C510" s="4" t="s">
        <v>176</v>
      </c>
      <c r="D510" s="4" t="s">
        <v>42</v>
      </c>
      <c r="E510" s="4" t="s">
        <v>93</v>
      </c>
      <c r="F510" s="4" t="s">
        <v>2945</v>
      </c>
      <c r="G510" s="6">
        <v>1.6</v>
      </c>
      <c r="H510" s="7">
        <v>45510.952581018515</v>
      </c>
      <c r="I510" s="7" t="str">
        <f>TEXT(multilingual_mobile_app_reviews_2025[[#This Row],[Review_date]],"dd-mm-yyyy")</f>
        <v>06-08-2024</v>
      </c>
      <c r="J510" s="7" t="str">
        <f>TEXT(multilingual_mobile_app_reviews_2025[[#This Row],[Review_date]],"YYYY")</f>
        <v>2024</v>
      </c>
      <c r="K510" s="7" t="str">
        <f>TEXT(multilingual_mobile_app_reviews_2025[[#This Row],[Review_date]],"MMMM")</f>
        <v>August</v>
      </c>
      <c r="L510" s="4" t="b">
        <v>1</v>
      </c>
      <c r="M510" s="4" t="s">
        <v>22</v>
      </c>
      <c r="N510" s="5">
        <v>962</v>
      </c>
      <c r="O510" s="5">
        <v>60</v>
      </c>
      <c r="P510" s="4" t="s">
        <v>180</v>
      </c>
      <c r="Q510" s="8" t="s">
        <v>2963</v>
      </c>
      <c r="R510" s="4" t="s">
        <v>717</v>
      </c>
      <c r="S510" s="4"/>
      <c r="T510"/>
      <c r="U510" s="23"/>
    </row>
    <row r="511" spans="1:21" ht="15.6" x14ac:dyDescent="0.3">
      <c r="A511" s="4">
        <v>510</v>
      </c>
      <c r="B511" s="5">
        <v>1571723</v>
      </c>
      <c r="C511" s="4" t="s">
        <v>244</v>
      </c>
      <c r="D511" s="4" t="s">
        <v>71</v>
      </c>
      <c r="E511" s="4" t="s">
        <v>718</v>
      </c>
      <c r="F511" s="4" t="s">
        <v>2939</v>
      </c>
      <c r="G511" s="6">
        <v>2.6</v>
      </c>
      <c r="H511" s="7">
        <v>45761.940625000003</v>
      </c>
      <c r="I511" s="7" t="str">
        <f>TEXT(multilingual_mobile_app_reviews_2025[[#This Row],[Review_date]],"dd-mm-yyyy")</f>
        <v>14-04-2025</v>
      </c>
      <c r="J511" s="7" t="str">
        <f>TEXT(multilingual_mobile_app_reviews_2025[[#This Row],[Review_date]],"YYYY")</f>
        <v>2025</v>
      </c>
      <c r="K511" s="7" t="str">
        <f>TEXT(multilingual_mobile_app_reviews_2025[[#This Row],[Review_date]],"MMMM")</f>
        <v>April</v>
      </c>
      <c r="L511" s="4" t="b">
        <v>1</v>
      </c>
      <c r="M511" s="4" t="s">
        <v>3</v>
      </c>
      <c r="N511" s="5">
        <v>930</v>
      </c>
      <c r="O511" s="5">
        <v>48</v>
      </c>
      <c r="P511" s="4" t="s">
        <v>61</v>
      </c>
      <c r="Q511" s="8" t="s">
        <v>39</v>
      </c>
      <c r="R511" s="4" t="s">
        <v>719</v>
      </c>
      <c r="S511" s="4"/>
      <c r="T511"/>
      <c r="U511" s="23"/>
    </row>
    <row r="512" spans="1:21" ht="15.6" x14ac:dyDescent="0.3">
      <c r="A512" s="4">
        <v>511</v>
      </c>
      <c r="B512" s="5">
        <v>427658</v>
      </c>
      <c r="C512" s="4" t="s">
        <v>106</v>
      </c>
      <c r="D512" s="4" t="s">
        <v>97</v>
      </c>
      <c r="E512" s="4" t="s">
        <v>27</v>
      </c>
      <c r="F512" s="4" t="s">
        <v>2960</v>
      </c>
      <c r="G512" s="6">
        <v>1.7</v>
      </c>
      <c r="H512" s="7">
        <v>45435.973298611112</v>
      </c>
      <c r="I512" s="7" t="str">
        <f>TEXT(multilingual_mobile_app_reviews_2025[[#This Row],[Review_date]],"dd-mm-yyyy")</f>
        <v>23-05-2024</v>
      </c>
      <c r="J512" s="7" t="str">
        <f>TEXT(multilingual_mobile_app_reviews_2025[[#This Row],[Review_date]],"YYYY")</f>
        <v>2024</v>
      </c>
      <c r="K512" s="7" t="str">
        <f>TEXT(multilingual_mobile_app_reviews_2025[[#This Row],[Review_date]],"MMMM")</f>
        <v>May</v>
      </c>
      <c r="L512" s="4" t="b">
        <v>0</v>
      </c>
      <c r="M512" s="4" t="s">
        <v>33</v>
      </c>
      <c r="N512" s="5">
        <v>1239</v>
      </c>
      <c r="O512" s="5">
        <v>66</v>
      </c>
      <c r="P512" s="4" t="s">
        <v>4</v>
      </c>
      <c r="Q512" s="8" t="s">
        <v>29</v>
      </c>
      <c r="R512" s="4" t="s">
        <v>720</v>
      </c>
      <c r="S512" s="4"/>
      <c r="T512"/>
      <c r="U512" s="23"/>
    </row>
    <row r="513" spans="1:21" ht="15.6" x14ac:dyDescent="0.3">
      <c r="A513" s="4">
        <v>512</v>
      </c>
      <c r="B513" s="5">
        <v>6124901</v>
      </c>
      <c r="C513" s="4" t="s">
        <v>258</v>
      </c>
      <c r="D513" s="4" t="s">
        <v>157</v>
      </c>
      <c r="E513" s="4" t="s">
        <v>9</v>
      </c>
      <c r="F513" s="4" t="s">
        <v>2939</v>
      </c>
      <c r="G513" s="6">
        <v>2</v>
      </c>
      <c r="H513" s="7">
        <v>45511.460173611114</v>
      </c>
      <c r="I513" s="7" t="str">
        <f>TEXT(multilingual_mobile_app_reviews_2025[[#This Row],[Review_date]],"dd-mm-yyyy")</f>
        <v>07-08-2024</v>
      </c>
      <c r="J513" s="7" t="str">
        <f>TEXT(multilingual_mobile_app_reviews_2025[[#This Row],[Review_date]],"YYYY")</f>
        <v>2024</v>
      </c>
      <c r="K513" s="7" t="str">
        <f>TEXT(multilingual_mobile_app_reviews_2025[[#This Row],[Review_date]],"MMMM")</f>
        <v>August</v>
      </c>
      <c r="L513" s="4" t="b">
        <v>1</v>
      </c>
      <c r="M513" s="4" t="s">
        <v>22</v>
      </c>
      <c r="N513" s="5">
        <v>1109</v>
      </c>
      <c r="O513" s="5">
        <v>19</v>
      </c>
      <c r="P513" s="4" t="s">
        <v>4</v>
      </c>
      <c r="Q513" s="8" t="s">
        <v>5</v>
      </c>
      <c r="R513" s="4" t="s">
        <v>721</v>
      </c>
      <c r="S513" s="4"/>
      <c r="T513"/>
      <c r="U513" s="23"/>
    </row>
    <row r="514" spans="1:21" ht="15.6" x14ac:dyDescent="0.3">
      <c r="A514" s="4">
        <v>513</v>
      </c>
      <c r="B514" s="5">
        <v>8231572</v>
      </c>
      <c r="C514" s="4" t="s">
        <v>78</v>
      </c>
      <c r="D514" s="4" t="s">
        <v>8</v>
      </c>
      <c r="E514" s="4" t="s">
        <v>130</v>
      </c>
      <c r="F514" s="4" t="s">
        <v>2940</v>
      </c>
      <c r="G514" s="6">
        <v>1.2</v>
      </c>
      <c r="H514" s="7">
        <v>45406.097453703704</v>
      </c>
      <c r="I514" s="7" t="str">
        <f>TEXT(multilingual_mobile_app_reviews_2025[[#This Row],[Review_date]],"dd-mm-yyyy")</f>
        <v>24-04-2024</v>
      </c>
      <c r="J514" s="7" t="str">
        <f>TEXT(multilingual_mobile_app_reviews_2025[[#This Row],[Review_date]],"YYYY")</f>
        <v>2024</v>
      </c>
      <c r="K514" s="7" t="str">
        <f>TEXT(multilingual_mobile_app_reviews_2025[[#This Row],[Review_date]],"MMMM")</f>
        <v>April</v>
      </c>
      <c r="L514" s="4" t="b">
        <v>1</v>
      </c>
      <c r="M514" s="4" t="s">
        <v>98</v>
      </c>
      <c r="N514" s="5">
        <v>632</v>
      </c>
      <c r="O514" s="5">
        <v>13</v>
      </c>
      <c r="P514" s="4" t="s">
        <v>162</v>
      </c>
      <c r="Q514" s="8" t="s">
        <v>39</v>
      </c>
      <c r="R514" s="4" t="s">
        <v>722</v>
      </c>
      <c r="S514" s="4"/>
      <c r="T514"/>
      <c r="U514" s="23"/>
    </row>
    <row r="515" spans="1:21" ht="15.6" x14ac:dyDescent="0.3">
      <c r="A515" s="4">
        <v>514</v>
      </c>
      <c r="B515" s="5">
        <v>8528760</v>
      </c>
      <c r="C515" s="4" t="s">
        <v>174</v>
      </c>
      <c r="D515" s="4" t="s">
        <v>1</v>
      </c>
      <c r="E515" s="4" t="s">
        <v>76</v>
      </c>
      <c r="F515" s="4" t="s">
        <v>2939</v>
      </c>
      <c r="G515" s="6">
        <v>3.3</v>
      </c>
      <c r="H515" s="7">
        <v>45388.675798611112</v>
      </c>
      <c r="I515" s="7" t="str">
        <f>TEXT(multilingual_mobile_app_reviews_2025[[#This Row],[Review_date]],"dd-mm-yyyy")</f>
        <v>06-04-2024</v>
      </c>
      <c r="J515" s="7" t="str">
        <f>TEXT(multilingual_mobile_app_reviews_2025[[#This Row],[Review_date]],"YYYY")</f>
        <v>2024</v>
      </c>
      <c r="K515" s="7" t="str">
        <f>TEXT(multilingual_mobile_app_reviews_2025[[#This Row],[Review_date]],"MMMM")</f>
        <v>April</v>
      </c>
      <c r="L515" s="4" t="b">
        <v>1</v>
      </c>
      <c r="M515" s="4" t="s">
        <v>3</v>
      </c>
      <c r="N515" s="5">
        <v>976</v>
      </c>
      <c r="O515" s="5">
        <v>50</v>
      </c>
      <c r="P515" s="4" t="s">
        <v>23</v>
      </c>
      <c r="Q515" s="8" t="s">
        <v>39</v>
      </c>
      <c r="R515" s="4" t="s">
        <v>723</v>
      </c>
      <c r="S515" s="4"/>
      <c r="T515"/>
      <c r="U515" s="23"/>
    </row>
    <row r="516" spans="1:21" ht="15.6" x14ac:dyDescent="0.3">
      <c r="A516" s="4">
        <v>515</v>
      </c>
      <c r="B516" s="5">
        <v>4637157</v>
      </c>
      <c r="C516" s="4" t="s">
        <v>154</v>
      </c>
      <c r="D516" s="4" t="s">
        <v>220</v>
      </c>
      <c r="E516" s="4" t="s">
        <v>93</v>
      </c>
      <c r="F516" s="4" t="s">
        <v>2956</v>
      </c>
      <c r="G516" s="6">
        <v>3.1</v>
      </c>
      <c r="H516" s="7">
        <v>45278.545381944445</v>
      </c>
      <c r="I516" s="7" t="str">
        <f>TEXT(multilingual_mobile_app_reviews_2025[[#This Row],[Review_date]],"dd-mm-yyyy")</f>
        <v>18-12-2023</v>
      </c>
      <c r="J516" s="7" t="str">
        <f>TEXT(multilingual_mobile_app_reviews_2025[[#This Row],[Review_date]],"YYYY")</f>
        <v>2023</v>
      </c>
      <c r="K516" s="7" t="str">
        <f>TEXT(multilingual_mobile_app_reviews_2025[[#This Row],[Review_date]],"MMMM")</f>
        <v>December</v>
      </c>
      <c r="L516" s="4" t="b">
        <v>1</v>
      </c>
      <c r="M516" s="4" t="s">
        <v>10</v>
      </c>
      <c r="N516" s="5">
        <v>916</v>
      </c>
      <c r="O516" s="5">
        <v>63</v>
      </c>
      <c r="P516" s="4" t="s">
        <v>180</v>
      </c>
      <c r="Q516" s="8" t="s">
        <v>39</v>
      </c>
      <c r="R516" s="4" t="s">
        <v>724</v>
      </c>
      <c r="S516" s="4"/>
      <c r="T516"/>
      <c r="U516" s="23"/>
    </row>
    <row r="517" spans="1:21" ht="15.6" x14ac:dyDescent="0.3">
      <c r="A517" s="4">
        <v>516</v>
      </c>
      <c r="B517" s="5">
        <v>5449877</v>
      </c>
      <c r="C517" s="4" t="s">
        <v>101</v>
      </c>
      <c r="D517" s="4" t="s">
        <v>8</v>
      </c>
      <c r="E517" s="4" t="s">
        <v>130</v>
      </c>
      <c r="F517" s="4" t="s">
        <v>2942</v>
      </c>
      <c r="G517" s="6">
        <v>4.2</v>
      </c>
      <c r="H517" s="7">
        <v>45602.67224537037</v>
      </c>
      <c r="I517" s="7" t="str">
        <f>TEXT(multilingual_mobile_app_reviews_2025[[#This Row],[Review_date]],"dd-mm-yyyy")</f>
        <v>06-11-2024</v>
      </c>
      <c r="J517" s="7" t="str">
        <f>TEXT(multilingual_mobile_app_reviews_2025[[#This Row],[Review_date]],"YYYY")</f>
        <v>2024</v>
      </c>
      <c r="K517" s="7" t="str">
        <f>TEXT(multilingual_mobile_app_reviews_2025[[#This Row],[Review_date]],"MMMM")</f>
        <v>November</v>
      </c>
      <c r="L517" s="4" t="b">
        <v>1</v>
      </c>
      <c r="M517" s="4" t="s">
        <v>22</v>
      </c>
      <c r="N517" s="5">
        <v>633</v>
      </c>
      <c r="O517" s="5">
        <v>48</v>
      </c>
      <c r="P517" s="4" t="s">
        <v>4</v>
      </c>
      <c r="Q517" s="8" t="s">
        <v>29</v>
      </c>
      <c r="R517" s="4" t="s">
        <v>201</v>
      </c>
      <c r="S517" s="4"/>
      <c r="T517"/>
      <c r="U517" s="23"/>
    </row>
    <row r="518" spans="1:21" ht="15.6" x14ac:dyDescent="0.3">
      <c r="A518" s="4">
        <v>517</v>
      </c>
      <c r="B518" s="5">
        <v>591630</v>
      </c>
      <c r="C518" s="4" t="s">
        <v>258</v>
      </c>
      <c r="D518" s="4" t="s">
        <v>79</v>
      </c>
      <c r="E518" s="4" t="s">
        <v>725</v>
      </c>
      <c r="F518" s="4" t="s">
        <v>2956</v>
      </c>
      <c r="G518" s="6">
        <v>4.7</v>
      </c>
      <c r="H518" s="7">
        <v>45851.334756944445</v>
      </c>
      <c r="I518" s="7" t="str">
        <f>TEXT(multilingual_mobile_app_reviews_2025[[#This Row],[Review_date]],"dd-mm-yyyy")</f>
        <v>13-07-2025</v>
      </c>
      <c r="J518" s="7" t="str">
        <f>TEXT(multilingual_mobile_app_reviews_2025[[#This Row],[Review_date]],"YYYY")</f>
        <v>2025</v>
      </c>
      <c r="K518" s="7" t="str">
        <f>TEXT(multilingual_mobile_app_reviews_2025[[#This Row],[Review_date]],"MMMM")</f>
        <v>July</v>
      </c>
      <c r="L518" s="4" t="b">
        <v>0</v>
      </c>
      <c r="M518" s="4" t="s">
        <v>98</v>
      </c>
      <c r="N518" s="5">
        <v>1164</v>
      </c>
      <c r="O518" s="5">
        <v>44</v>
      </c>
      <c r="P518" s="4" t="s">
        <v>23</v>
      </c>
      <c r="Q518" s="8" t="s">
        <v>39</v>
      </c>
      <c r="R518" s="4" t="s">
        <v>726</v>
      </c>
      <c r="S518" s="4"/>
      <c r="T518"/>
      <c r="U518" s="23"/>
    </row>
    <row r="519" spans="1:21" ht="15.6" x14ac:dyDescent="0.3">
      <c r="A519" s="4">
        <v>518</v>
      </c>
      <c r="B519" s="5">
        <v>1037991</v>
      </c>
      <c r="C519" s="4" t="s">
        <v>258</v>
      </c>
      <c r="D519" s="4" t="s">
        <v>97</v>
      </c>
      <c r="E519" s="4" t="s">
        <v>2938</v>
      </c>
      <c r="F519" s="4" t="s">
        <v>2946</v>
      </c>
      <c r="G519" s="6">
        <v>2.1</v>
      </c>
      <c r="H519" s="7">
        <v>45732.33321759259</v>
      </c>
      <c r="I519" s="7" t="str">
        <f>TEXT(multilingual_mobile_app_reviews_2025[[#This Row],[Review_date]],"dd-mm-yyyy")</f>
        <v>16-03-2025</v>
      </c>
      <c r="J519" s="7" t="str">
        <f>TEXT(multilingual_mobile_app_reviews_2025[[#This Row],[Review_date]],"YYYY")</f>
        <v>2025</v>
      </c>
      <c r="K519" s="7" t="str">
        <f>TEXT(multilingual_mobile_app_reviews_2025[[#This Row],[Review_date]],"MMMM")</f>
        <v>March</v>
      </c>
      <c r="L519" s="4" t="b">
        <v>1</v>
      </c>
      <c r="M519" s="4" t="s">
        <v>98</v>
      </c>
      <c r="N519" s="5">
        <v>116</v>
      </c>
      <c r="O519" s="5">
        <v>60</v>
      </c>
      <c r="P519" s="4" t="s">
        <v>17</v>
      </c>
      <c r="Q519" s="8" t="s">
        <v>2963</v>
      </c>
      <c r="R519" s="4" t="s">
        <v>727</v>
      </c>
      <c r="S519" s="4"/>
      <c r="T519"/>
      <c r="U519" s="23"/>
    </row>
    <row r="520" spans="1:21" ht="15.6" x14ac:dyDescent="0.3">
      <c r="A520" s="4">
        <v>519</v>
      </c>
      <c r="B520" s="5">
        <v>9758510</v>
      </c>
      <c r="C520" s="4" t="s">
        <v>264</v>
      </c>
      <c r="D520" s="4" t="s">
        <v>8</v>
      </c>
      <c r="E520" s="4" t="s">
        <v>64</v>
      </c>
      <c r="F520" s="4" t="s">
        <v>2946</v>
      </c>
      <c r="G520" s="6">
        <v>1.4</v>
      </c>
      <c r="H520" s="7">
        <v>45796.378194444442</v>
      </c>
      <c r="I520" s="7" t="str">
        <f>TEXT(multilingual_mobile_app_reviews_2025[[#This Row],[Review_date]],"dd-mm-yyyy")</f>
        <v>19-05-2025</v>
      </c>
      <c r="J520" s="7" t="str">
        <f>TEXT(multilingual_mobile_app_reviews_2025[[#This Row],[Review_date]],"YYYY")</f>
        <v>2025</v>
      </c>
      <c r="K520" s="7" t="str">
        <f>TEXT(multilingual_mobile_app_reviews_2025[[#This Row],[Review_date]],"MMMM")</f>
        <v>May</v>
      </c>
      <c r="L520" s="4" t="b">
        <v>1</v>
      </c>
      <c r="M520" s="4" t="s">
        <v>22</v>
      </c>
      <c r="N520" s="5">
        <v>221</v>
      </c>
      <c r="O520" s="5">
        <v>71</v>
      </c>
      <c r="P520" s="4" t="s">
        <v>11</v>
      </c>
      <c r="Q520" s="8" t="s">
        <v>29</v>
      </c>
      <c r="R520" s="4" t="s">
        <v>728</v>
      </c>
      <c r="S520" s="4"/>
      <c r="T520"/>
      <c r="U520" s="23"/>
    </row>
    <row r="521" spans="1:21" ht="15.6" x14ac:dyDescent="0.3">
      <c r="A521" s="4">
        <v>520</v>
      </c>
      <c r="B521" s="5">
        <v>6052633</v>
      </c>
      <c r="C521" s="4" t="s">
        <v>54</v>
      </c>
      <c r="D521" s="4" t="s">
        <v>1</v>
      </c>
      <c r="E521" s="4" t="s">
        <v>729</v>
      </c>
      <c r="F521" s="4" t="s">
        <v>2959</v>
      </c>
      <c r="G521" s="6">
        <v>2.2999999999999998</v>
      </c>
      <c r="H521" s="7">
        <v>45396.543668981481</v>
      </c>
      <c r="I521" s="7" t="str">
        <f>TEXT(multilingual_mobile_app_reviews_2025[[#This Row],[Review_date]],"dd-mm-yyyy")</f>
        <v>14-04-2024</v>
      </c>
      <c r="J521" s="7" t="str">
        <f>TEXT(multilingual_mobile_app_reviews_2025[[#This Row],[Review_date]],"YYYY")</f>
        <v>2024</v>
      </c>
      <c r="K521" s="7" t="str">
        <f>TEXT(multilingual_mobile_app_reviews_2025[[#This Row],[Review_date]],"MMMM")</f>
        <v>April</v>
      </c>
      <c r="L521" s="4" t="b">
        <v>0</v>
      </c>
      <c r="M521" s="4" t="s">
        <v>98</v>
      </c>
      <c r="N521" s="5">
        <v>1231</v>
      </c>
      <c r="O521" s="5">
        <v>62</v>
      </c>
      <c r="P521" s="4" t="s">
        <v>11</v>
      </c>
      <c r="Q521" s="8" t="s">
        <v>12</v>
      </c>
      <c r="R521" s="4" t="s">
        <v>730</v>
      </c>
      <c r="S521" s="4"/>
      <c r="T521"/>
      <c r="U521" s="23"/>
    </row>
    <row r="522" spans="1:21" ht="15.6" x14ac:dyDescent="0.3">
      <c r="A522" s="4">
        <v>521</v>
      </c>
      <c r="B522" s="5">
        <v>3480011</v>
      </c>
      <c r="C522" s="4" t="s">
        <v>132</v>
      </c>
      <c r="D522" s="4" t="s">
        <v>157</v>
      </c>
      <c r="E522" s="4" t="s">
        <v>21</v>
      </c>
      <c r="F522" s="4" t="s">
        <v>2960</v>
      </c>
      <c r="G522" s="6">
        <v>1.3</v>
      </c>
      <c r="H522" s="7">
        <v>45765.262928240743</v>
      </c>
      <c r="I522" s="7" t="str">
        <f>TEXT(multilingual_mobile_app_reviews_2025[[#This Row],[Review_date]],"dd-mm-yyyy")</f>
        <v>18-04-2025</v>
      </c>
      <c r="J522" s="7" t="str">
        <f>TEXT(multilingual_mobile_app_reviews_2025[[#This Row],[Review_date]],"YYYY")</f>
        <v>2025</v>
      </c>
      <c r="K522" s="7" t="str">
        <f>TEXT(multilingual_mobile_app_reviews_2025[[#This Row],[Review_date]],"MMMM")</f>
        <v>April</v>
      </c>
      <c r="L522" s="4" t="b">
        <v>1</v>
      </c>
      <c r="M522" s="4" t="s">
        <v>3</v>
      </c>
      <c r="N522" s="5">
        <v>859</v>
      </c>
      <c r="O522" s="5">
        <v>46</v>
      </c>
      <c r="P522" s="4" t="s">
        <v>127</v>
      </c>
      <c r="Q522" s="8" t="s">
        <v>39</v>
      </c>
      <c r="R522" s="4" t="s">
        <v>731</v>
      </c>
      <c r="S522" s="4"/>
      <c r="T522"/>
      <c r="U522" s="23"/>
    </row>
    <row r="523" spans="1:21" ht="15.6" x14ac:dyDescent="0.3">
      <c r="A523" s="4">
        <v>522</v>
      </c>
      <c r="B523" s="5">
        <v>5816988</v>
      </c>
      <c r="C523" s="4" t="s">
        <v>123</v>
      </c>
      <c r="D523" s="4" t="s">
        <v>47</v>
      </c>
      <c r="E523" s="4" t="s">
        <v>76</v>
      </c>
      <c r="F523" s="4" t="s">
        <v>2958</v>
      </c>
      <c r="G523" s="6">
        <v>2.7</v>
      </c>
      <c r="H523" s="7">
        <v>45695.740185185183</v>
      </c>
      <c r="I523" s="7" t="str">
        <f>TEXT(multilingual_mobile_app_reviews_2025[[#This Row],[Review_date]],"dd-mm-yyyy")</f>
        <v>07-02-2025</v>
      </c>
      <c r="J523" s="7" t="str">
        <f>TEXT(multilingual_mobile_app_reviews_2025[[#This Row],[Review_date]],"YYYY")</f>
        <v>2025</v>
      </c>
      <c r="K523" s="7" t="str">
        <f>TEXT(multilingual_mobile_app_reviews_2025[[#This Row],[Review_date]],"MMMM")</f>
        <v>February</v>
      </c>
      <c r="L523" s="4" t="b">
        <v>1</v>
      </c>
      <c r="M523" s="4" t="s">
        <v>33</v>
      </c>
      <c r="N523" s="5">
        <v>796</v>
      </c>
      <c r="O523" s="5">
        <v>65</v>
      </c>
      <c r="P523" s="4" t="s">
        <v>118</v>
      </c>
      <c r="Q523" s="8" t="s">
        <v>2963</v>
      </c>
      <c r="R523" s="4" t="s">
        <v>732</v>
      </c>
      <c r="S523" s="4"/>
      <c r="T523"/>
      <c r="U523" s="23"/>
    </row>
    <row r="524" spans="1:21" ht="15.6" x14ac:dyDescent="0.3">
      <c r="A524" s="4">
        <v>523</v>
      </c>
      <c r="B524" s="5">
        <v>5528919</v>
      </c>
      <c r="C524" s="4" t="s">
        <v>208</v>
      </c>
      <c r="D524" s="4" t="s">
        <v>26</v>
      </c>
      <c r="E524" s="4" t="s">
        <v>733</v>
      </c>
      <c r="F524" s="4" t="s">
        <v>2945</v>
      </c>
      <c r="G524" s="6">
        <v>2.1</v>
      </c>
      <c r="H524" s="7">
        <v>45517.297696759262</v>
      </c>
      <c r="I524" s="7" t="str">
        <f>TEXT(multilingual_mobile_app_reviews_2025[[#This Row],[Review_date]],"dd-mm-yyyy")</f>
        <v>13-08-2024</v>
      </c>
      <c r="J524" s="7" t="str">
        <f>TEXT(multilingual_mobile_app_reviews_2025[[#This Row],[Review_date]],"YYYY")</f>
        <v>2024</v>
      </c>
      <c r="K524" s="7" t="str">
        <f>TEXT(multilingual_mobile_app_reviews_2025[[#This Row],[Review_date]],"MMMM")</f>
        <v>August</v>
      </c>
      <c r="L524" s="4" t="b">
        <v>0</v>
      </c>
      <c r="M524" s="4" t="s">
        <v>98</v>
      </c>
      <c r="N524" s="5">
        <v>922</v>
      </c>
      <c r="O524" s="5">
        <v>73</v>
      </c>
      <c r="P524" s="4" t="s">
        <v>180</v>
      </c>
      <c r="Q524" s="8" t="s">
        <v>29</v>
      </c>
      <c r="R524" s="4" t="s">
        <v>734</v>
      </c>
      <c r="S524" s="4"/>
      <c r="T524"/>
      <c r="U524" s="23"/>
    </row>
    <row r="525" spans="1:21" ht="15.6" x14ac:dyDescent="0.3">
      <c r="A525" s="4">
        <v>524</v>
      </c>
      <c r="B525" s="5">
        <v>5423132</v>
      </c>
      <c r="C525" s="4" t="s">
        <v>56</v>
      </c>
      <c r="D525" s="4" t="s">
        <v>47</v>
      </c>
      <c r="E525" s="4" t="s">
        <v>735</v>
      </c>
      <c r="F525" s="4" t="s">
        <v>2939</v>
      </c>
      <c r="G525" s="6">
        <v>2.5</v>
      </c>
      <c r="H525" s="7">
        <v>45737.599918981483</v>
      </c>
      <c r="I525" s="7" t="str">
        <f>TEXT(multilingual_mobile_app_reviews_2025[[#This Row],[Review_date]],"dd-mm-yyyy")</f>
        <v>21-03-2025</v>
      </c>
      <c r="J525" s="7" t="str">
        <f>TEXT(multilingual_mobile_app_reviews_2025[[#This Row],[Review_date]],"YYYY")</f>
        <v>2025</v>
      </c>
      <c r="K525" s="7" t="str">
        <f>TEXT(multilingual_mobile_app_reviews_2025[[#This Row],[Review_date]],"MMMM")</f>
        <v>March</v>
      </c>
      <c r="L525" s="4" t="b">
        <v>1</v>
      </c>
      <c r="M525" s="4" t="s">
        <v>10</v>
      </c>
      <c r="N525" s="5">
        <v>33</v>
      </c>
      <c r="O525" s="5">
        <v>32</v>
      </c>
      <c r="P525" s="4" t="s">
        <v>114</v>
      </c>
      <c r="Q525" s="8" t="s">
        <v>2963</v>
      </c>
      <c r="R525" s="4" t="s">
        <v>736</v>
      </c>
      <c r="S525" s="4"/>
      <c r="T525"/>
      <c r="U525" s="23"/>
    </row>
    <row r="526" spans="1:21" ht="15.6" x14ac:dyDescent="0.3">
      <c r="A526" s="4">
        <v>525</v>
      </c>
      <c r="B526" s="5">
        <v>643292</v>
      </c>
      <c r="C526" s="4" t="s">
        <v>84</v>
      </c>
      <c r="D526" s="4" t="s">
        <v>79</v>
      </c>
      <c r="E526" s="4" t="s">
        <v>76</v>
      </c>
      <c r="F526" s="4" t="s">
        <v>2946</v>
      </c>
      <c r="G526" s="6">
        <v>2.7</v>
      </c>
      <c r="H526" s="7">
        <v>45280.305335648147</v>
      </c>
      <c r="I526" s="7" t="str">
        <f>TEXT(multilingual_mobile_app_reviews_2025[[#This Row],[Review_date]],"dd-mm-yyyy")</f>
        <v>20-12-2023</v>
      </c>
      <c r="J526" s="7" t="str">
        <f>TEXT(multilingual_mobile_app_reviews_2025[[#This Row],[Review_date]],"YYYY")</f>
        <v>2023</v>
      </c>
      <c r="K526" s="7" t="str">
        <f>TEXT(multilingual_mobile_app_reviews_2025[[#This Row],[Review_date]],"MMMM")</f>
        <v>December</v>
      </c>
      <c r="L526" s="4" t="b">
        <v>1</v>
      </c>
      <c r="M526" s="4" t="s">
        <v>22</v>
      </c>
      <c r="N526" s="5">
        <v>1132</v>
      </c>
      <c r="O526" s="5">
        <v>51</v>
      </c>
      <c r="P526" s="4" t="s">
        <v>65</v>
      </c>
      <c r="Q526" s="8" t="s">
        <v>2963</v>
      </c>
      <c r="R526" s="4" t="s">
        <v>737</v>
      </c>
      <c r="S526" s="4"/>
      <c r="T526"/>
      <c r="U526" s="23"/>
    </row>
    <row r="527" spans="1:21" ht="15.6" x14ac:dyDescent="0.3">
      <c r="A527" s="4">
        <v>526</v>
      </c>
      <c r="B527" s="5">
        <v>5438793</v>
      </c>
      <c r="C527" s="4" t="s">
        <v>147</v>
      </c>
      <c r="D527" s="4" t="s">
        <v>1</v>
      </c>
      <c r="E527" s="4" t="s">
        <v>738</v>
      </c>
      <c r="F527" s="4" t="s">
        <v>2961</v>
      </c>
      <c r="G527" s="6">
        <v>4</v>
      </c>
      <c r="H527" s="7">
        <v>45147.729502314818</v>
      </c>
      <c r="I527" s="7" t="str">
        <f>TEXT(multilingual_mobile_app_reviews_2025[[#This Row],[Review_date]],"dd-mm-yyyy")</f>
        <v>09-08-2023</v>
      </c>
      <c r="J527" s="7" t="str">
        <f>TEXT(multilingual_mobile_app_reviews_2025[[#This Row],[Review_date]],"YYYY")</f>
        <v>2023</v>
      </c>
      <c r="K527" s="7" t="str">
        <f>TEXT(multilingual_mobile_app_reviews_2025[[#This Row],[Review_date]],"MMMM")</f>
        <v>August</v>
      </c>
      <c r="L527" s="4" t="b">
        <v>1</v>
      </c>
      <c r="M527" s="4" t="s">
        <v>33</v>
      </c>
      <c r="N527" s="5">
        <v>204</v>
      </c>
      <c r="O527" s="5">
        <v>53</v>
      </c>
      <c r="P527" s="4" t="s">
        <v>70</v>
      </c>
      <c r="Q527" s="8" t="s">
        <v>2963</v>
      </c>
      <c r="R527" s="4" t="s">
        <v>739</v>
      </c>
      <c r="S527" s="4"/>
      <c r="T527"/>
      <c r="U527" s="23"/>
    </row>
    <row r="528" spans="1:21" ht="15.6" x14ac:dyDescent="0.3">
      <c r="A528" s="4">
        <v>527</v>
      </c>
      <c r="B528" s="5">
        <v>3617918</v>
      </c>
      <c r="C528" s="4" t="s">
        <v>69</v>
      </c>
      <c r="D528" s="4" t="s">
        <v>51</v>
      </c>
      <c r="E528" s="4" t="s">
        <v>130</v>
      </c>
      <c r="F528" s="4" t="s">
        <v>2945</v>
      </c>
      <c r="G528" s="6">
        <v>4.5999999999999996</v>
      </c>
      <c r="H528" s="7">
        <v>45332.702372685184</v>
      </c>
      <c r="I528" s="7" t="str">
        <f>TEXT(multilingual_mobile_app_reviews_2025[[#This Row],[Review_date]],"dd-mm-yyyy")</f>
        <v>10-02-2024</v>
      </c>
      <c r="J528" s="7" t="str">
        <f>TEXT(multilingual_mobile_app_reviews_2025[[#This Row],[Review_date]],"YYYY")</f>
        <v>2024</v>
      </c>
      <c r="K528" s="7" t="str">
        <f>TEXT(multilingual_mobile_app_reviews_2025[[#This Row],[Review_date]],"MMMM")</f>
        <v>February</v>
      </c>
      <c r="L528" s="4" t="b">
        <v>0</v>
      </c>
      <c r="M528" s="4" t="s">
        <v>3</v>
      </c>
      <c r="N528" s="5">
        <v>15</v>
      </c>
      <c r="O528" s="5">
        <v>73</v>
      </c>
      <c r="P528" s="4" t="s">
        <v>162</v>
      </c>
      <c r="Q528" s="8" t="s">
        <v>5</v>
      </c>
      <c r="R528" s="4" t="s">
        <v>740</v>
      </c>
      <c r="S528" s="4"/>
      <c r="T528"/>
      <c r="U528" s="23"/>
    </row>
    <row r="529" spans="1:21" ht="15.6" x14ac:dyDescent="0.3">
      <c r="A529" s="4">
        <v>528</v>
      </c>
      <c r="B529" s="5">
        <v>1237407</v>
      </c>
      <c r="C529" s="4" t="s">
        <v>7</v>
      </c>
      <c r="D529" s="4" t="s">
        <v>8</v>
      </c>
      <c r="E529" s="4" t="s">
        <v>9</v>
      </c>
      <c r="F529" s="4" t="s">
        <v>2948</v>
      </c>
      <c r="G529" s="6">
        <v>4.3</v>
      </c>
      <c r="H529" s="7">
        <v>45411.105023148149</v>
      </c>
      <c r="I529" s="7" t="str">
        <f>TEXT(multilingual_mobile_app_reviews_2025[[#This Row],[Review_date]],"dd-mm-yyyy")</f>
        <v>29-04-2024</v>
      </c>
      <c r="J529" s="7" t="str">
        <f>TEXT(multilingual_mobile_app_reviews_2025[[#This Row],[Review_date]],"YYYY")</f>
        <v>2024</v>
      </c>
      <c r="K529" s="7" t="str">
        <f>TEXT(multilingual_mobile_app_reviews_2025[[#This Row],[Review_date]],"MMMM")</f>
        <v>April</v>
      </c>
      <c r="L529" s="4" t="b">
        <v>1</v>
      </c>
      <c r="M529" s="4" t="s">
        <v>33</v>
      </c>
      <c r="N529" s="5">
        <v>650</v>
      </c>
      <c r="O529" s="5">
        <v>34</v>
      </c>
      <c r="P529" s="4" t="s">
        <v>65</v>
      </c>
      <c r="Q529" s="8" t="s">
        <v>2963</v>
      </c>
      <c r="R529" s="4" t="s">
        <v>741</v>
      </c>
      <c r="S529" s="4"/>
      <c r="T529"/>
      <c r="U529" s="23"/>
    </row>
    <row r="530" spans="1:21" ht="15.6" x14ac:dyDescent="0.3">
      <c r="A530" s="4">
        <v>529</v>
      </c>
      <c r="B530" s="5">
        <v>1912519</v>
      </c>
      <c r="C530" s="4" t="s">
        <v>75</v>
      </c>
      <c r="D530" s="4" t="s">
        <v>157</v>
      </c>
      <c r="E530" s="4" t="s">
        <v>742</v>
      </c>
      <c r="F530" s="4" t="s">
        <v>2945</v>
      </c>
      <c r="G530" s="6">
        <v>1.9</v>
      </c>
      <c r="H530" s="7">
        <v>45268.077141203707</v>
      </c>
      <c r="I530" s="7" t="str">
        <f>TEXT(multilingual_mobile_app_reviews_2025[[#This Row],[Review_date]],"dd-mm-yyyy")</f>
        <v>08-12-2023</v>
      </c>
      <c r="J530" s="7" t="str">
        <f>TEXT(multilingual_mobile_app_reviews_2025[[#This Row],[Review_date]],"YYYY")</f>
        <v>2023</v>
      </c>
      <c r="K530" s="7" t="str">
        <f>TEXT(multilingual_mobile_app_reviews_2025[[#This Row],[Review_date]],"MMMM")</f>
        <v>December</v>
      </c>
      <c r="L530" s="4" t="b">
        <v>1</v>
      </c>
      <c r="M530" s="4" t="s">
        <v>22</v>
      </c>
      <c r="N530" s="5">
        <v>1032</v>
      </c>
      <c r="O530" s="5">
        <v>20</v>
      </c>
      <c r="P530" s="4" t="s">
        <v>38</v>
      </c>
      <c r="Q530" s="8" t="s">
        <v>2963</v>
      </c>
      <c r="R530" s="4" t="s">
        <v>743</v>
      </c>
      <c r="S530" s="4"/>
      <c r="T530"/>
      <c r="U530" s="23"/>
    </row>
    <row r="531" spans="1:21" ht="15.6" x14ac:dyDescent="0.3">
      <c r="A531" s="4">
        <v>530</v>
      </c>
      <c r="B531" s="5">
        <v>8372543</v>
      </c>
      <c r="C531" s="4" t="s">
        <v>208</v>
      </c>
      <c r="D531" s="4" t="s">
        <v>220</v>
      </c>
      <c r="E531" s="4" t="s">
        <v>93</v>
      </c>
      <c r="F531" s="4" t="s">
        <v>2951</v>
      </c>
      <c r="G531" s="6">
        <v>1.1000000000000001</v>
      </c>
      <c r="H531" s="7">
        <v>45823.769780092596</v>
      </c>
      <c r="I531" s="7" t="str">
        <f>TEXT(multilingual_mobile_app_reviews_2025[[#This Row],[Review_date]],"dd-mm-yyyy")</f>
        <v>15-06-2025</v>
      </c>
      <c r="J531" s="7" t="str">
        <f>TEXT(multilingual_mobile_app_reviews_2025[[#This Row],[Review_date]],"YYYY")</f>
        <v>2025</v>
      </c>
      <c r="K531" s="7" t="str">
        <f>TEXT(multilingual_mobile_app_reviews_2025[[#This Row],[Review_date]],"MMMM")</f>
        <v>June</v>
      </c>
      <c r="L531" s="4" t="b">
        <v>1</v>
      </c>
      <c r="M531" s="4" t="s">
        <v>33</v>
      </c>
      <c r="N531" s="5">
        <v>161</v>
      </c>
      <c r="O531" s="5">
        <v>49</v>
      </c>
      <c r="P531" s="4" t="s">
        <v>11</v>
      </c>
      <c r="Q531" s="8" t="s">
        <v>12</v>
      </c>
      <c r="R531" s="4" t="s">
        <v>744</v>
      </c>
      <c r="S531" s="4"/>
      <c r="T531"/>
      <c r="U531" s="23"/>
    </row>
    <row r="532" spans="1:21" ht="15.6" x14ac:dyDescent="0.3">
      <c r="A532" s="4">
        <v>531</v>
      </c>
      <c r="B532" s="5">
        <v>5992681</v>
      </c>
      <c r="C532" s="4" t="s">
        <v>67</v>
      </c>
      <c r="D532" s="4" t="s">
        <v>8</v>
      </c>
      <c r="E532" s="4" t="s">
        <v>745</v>
      </c>
      <c r="F532" s="4" t="s">
        <v>2944</v>
      </c>
      <c r="G532" s="6">
        <v>1.3</v>
      </c>
      <c r="H532" s="7">
        <v>45759.631030092591</v>
      </c>
      <c r="I532" s="7" t="str">
        <f>TEXT(multilingual_mobile_app_reviews_2025[[#This Row],[Review_date]],"dd-mm-yyyy")</f>
        <v>12-04-2025</v>
      </c>
      <c r="J532" s="7" t="str">
        <f>TEXT(multilingual_mobile_app_reviews_2025[[#This Row],[Review_date]],"YYYY")</f>
        <v>2025</v>
      </c>
      <c r="K532" s="7" t="str">
        <f>TEXT(multilingual_mobile_app_reviews_2025[[#This Row],[Review_date]],"MMMM")</f>
        <v>April</v>
      </c>
      <c r="L532" s="4" t="b">
        <v>1</v>
      </c>
      <c r="M532" s="4" t="s">
        <v>22</v>
      </c>
      <c r="N532" s="5">
        <v>47</v>
      </c>
      <c r="O532" s="5">
        <v>53</v>
      </c>
      <c r="P532" s="4" t="s">
        <v>28</v>
      </c>
      <c r="Q532" s="8" t="s">
        <v>12</v>
      </c>
      <c r="R532" s="4" t="s">
        <v>746</v>
      </c>
      <c r="S532" s="4"/>
      <c r="T532"/>
      <c r="U532" s="23"/>
    </row>
    <row r="533" spans="1:21" ht="15.6" x14ac:dyDescent="0.3">
      <c r="A533" s="4">
        <v>532</v>
      </c>
      <c r="B533" s="5">
        <v>5047745</v>
      </c>
      <c r="C533" s="4" t="s">
        <v>92</v>
      </c>
      <c r="D533" s="4" t="s">
        <v>20</v>
      </c>
      <c r="E533" s="4" t="s">
        <v>109</v>
      </c>
      <c r="F533" s="4" t="s">
        <v>2945</v>
      </c>
      <c r="G533" s="6">
        <v>1.3</v>
      </c>
      <c r="H533" s="7">
        <v>45154.473298611112</v>
      </c>
      <c r="I533" s="7" t="str">
        <f>TEXT(multilingual_mobile_app_reviews_2025[[#This Row],[Review_date]],"dd-mm-yyyy")</f>
        <v>16-08-2023</v>
      </c>
      <c r="J533" s="7" t="str">
        <f>TEXT(multilingual_mobile_app_reviews_2025[[#This Row],[Review_date]],"YYYY")</f>
        <v>2023</v>
      </c>
      <c r="K533" s="7" t="str">
        <f>TEXT(multilingual_mobile_app_reviews_2025[[#This Row],[Review_date]],"MMMM")</f>
        <v>August</v>
      </c>
      <c r="L533" s="4" t="b">
        <v>1</v>
      </c>
      <c r="M533" s="4" t="s">
        <v>98</v>
      </c>
      <c r="N533" s="5">
        <v>430</v>
      </c>
      <c r="O533" s="5">
        <v>56</v>
      </c>
      <c r="P533" s="4" t="s">
        <v>90</v>
      </c>
      <c r="Q533" s="8" t="s">
        <v>29</v>
      </c>
      <c r="R533" s="4" t="s">
        <v>747</v>
      </c>
      <c r="S533" s="4"/>
      <c r="T533"/>
      <c r="U533" s="23"/>
    </row>
    <row r="534" spans="1:21" ht="15.6" x14ac:dyDescent="0.3">
      <c r="A534" s="4">
        <v>533</v>
      </c>
      <c r="B534" s="5">
        <v>4480995</v>
      </c>
      <c r="C534" s="4" t="s">
        <v>92</v>
      </c>
      <c r="D534" s="4" t="s">
        <v>63</v>
      </c>
      <c r="E534" s="4" t="s">
        <v>109</v>
      </c>
      <c r="F534" s="4" t="s">
        <v>2952</v>
      </c>
      <c r="G534" s="6">
        <v>3.1</v>
      </c>
      <c r="H534" s="7">
        <v>45220.220613425925</v>
      </c>
      <c r="I534" s="7" t="str">
        <f>TEXT(multilingual_mobile_app_reviews_2025[[#This Row],[Review_date]],"dd-mm-yyyy")</f>
        <v>21-10-2023</v>
      </c>
      <c r="J534" s="7" t="str">
        <f>TEXT(multilingual_mobile_app_reviews_2025[[#This Row],[Review_date]],"YYYY")</f>
        <v>2023</v>
      </c>
      <c r="K534" s="7" t="str">
        <f>TEXT(multilingual_mobile_app_reviews_2025[[#This Row],[Review_date]],"MMMM")</f>
        <v>October</v>
      </c>
      <c r="L534" s="4" t="b">
        <v>1</v>
      </c>
      <c r="M534" s="4" t="s">
        <v>10</v>
      </c>
      <c r="N534" s="5">
        <v>249</v>
      </c>
      <c r="O534" s="5">
        <v>25</v>
      </c>
      <c r="P534" s="4" t="s">
        <v>144</v>
      </c>
      <c r="Q534" s="8" t="s">
        <v>12</v>
      </c>
      <c r="R534" s="4" t="s">
        <v>748</v>
      </c>
      <c r="S534" s="4"/>
      <c r="T534"/>
      <c r="U534" s="23"/>
    </row>
    <row r="535" spans="1:21" ht="15.6" x14ac:dyDescent="0.3">
      <c r="A535" s="4">
        <v>534</v>
      </c>
      <c r="B535" s="5">
        <v>5834590</v>
      </c>
      <c r="C535" s="4" t="s">
        <v>113</v>
      </c>
      <c r="D535" s="4" t="s">
        <v>42</v>
      </c>
      <c r="E535" s="4" t="s">
        <v>130</v>
      </c>
      <c r="F535" s="4" t="s">
        <v>2959</v>
      </c>
      <c r="G535" s="6">
        <v>4.8</v>
      </c>
      <c r="H535" s="7">
        <v>45271.002870370372</v>
      </c>
      <c r="I535" s="7" t="str">
        <f>TEXT(multilingual_mobile_app_reviews_2025[[#This Row],[Review_date]],"dd-mm-yyyy")</f>
        <v>11-12-2023</v>
      </c>
      <c r="J535" s="7" t="str">
        <f>TEXT(multilingual_mobile_app_reviews_2025[[#This Row],[Review_date]],"YYYY")</f>
        <v>2023</v>
      </c>
      <c r="K535" s="7" t="str">
        <f>TEXT(multilingual_mobile_app_reviews_2025[[#This Row],[Review_date]],"MMMM")</f>
        <v>December</v>
      </c>
      <c r="L535" s="4" t="b">
        <v>1</v>
      </c>
      <c r="M535" s="4" t="s">
        <v>10</v>
      </c>
      <c r="N535" s="5">
        <v>1129</v>
      </c>
      <c r="O535" s="5">
        <v>54</v>
      </c>
      <c r="P535" s="4" t="s">
        <v>114</v>
      </c>
      <c r="Q535" s="8" t="s">
        <v>29</v>
      </c>
      <c r="R535" s="4" t="s">
        <v>394</v>
      </c>
      <c r="S535" s="4"/>
      <c r="T535"/>
      <c r="U535" s="23"/>
    </row>
    <row r="536" spans="1:21" ht="15.6" x14ac:dyDescent="0.3">
      <c r="A536" s="4">
        <v>535</v>
      </c>
      <c r="B536" s="5">
        <v>2799529</v>
      </c>
      <c r="C536" s="4" t="s">
        <v>92</v>
      </c>
      <c r="D536" s="4" t="s">
        <v>220</v>
      </c>
      <c r="E536" s="4" t="s">
        <v>749</v>
      </c>
      <c r="F536" s="4" t="s">
        <v>2952</v>
      </c>
      <c r="G536" s="6">
        <v>4.2</v>
      </c>
      <c r="H536" s="7">
        <v>45286.443391203706</v>
      </c>
      <c r="I536" s="7" t="str">
        <f>TEXT(multilingual_mobile_app_reviews_2025[[#This Row],[Review_date]],"dd-mm-yyyy")</f>
        <v>26-12-2023</v>
      </c>
      <c r="J536" s="7" t="str">
        <f>TEXT(multilingual_mobile_app_reviews_2025[[#This Row],[Review_date]],"YYYY")</f>
        <v>2023</v>
      </c>
      <c r="K536" s="7" t="str">
        <f>TEXT(multilingual_mobile_app_reviews_2025[[#This Row],[Review_date]],"MMMM")</f>
        <v>December</v>
      </c>
      <c r="L536" s="4" t="b">
        <v>1</v>
      </c>
      <c r="M536" s="4" t="s">
        <v>3</v>
      </c>
      <c r="N536" s="5">
        <v>887</v>
      </c>
      <c r="O536" s="5">
        <v>69</v>
      </c>
      <c r="P536" s="4" t="s">
        <v>70</v>
      </c>
      <c r="Q536" s="8" t="s">
        <v>29</v>
      </c>
      <c r="R536" s="4" t="s">
        <v>750</v>
      </c>
      <c r="S536" s="4"/>
      <c r="T536"/>
      <c r="U536" s="23"/>
    </row>
    <row r="537" spans="1:21" ht="15.6" x14ac:dyDescent="0.3">
      <c r="A537" s="4">
        <v>536</v>
      </c>
      <c r="B537" s="5">
        <v>9396463</v>
      </c>
      <c r="C537" s="4" t="s">
        <v>89</v>
      </c>
      <c r="D537" s="4" t="s">
        <v>79</v>
      </c>
      <c r="E537" s="4" t="s">
        <v>751</v>
      </c>
      <c r="F537" s="4" t="s">
        <v>2945</v>
      </c>
      <c r="G537" s="6">
        <v>2.2000000000000002</v>
      </c>
      <c r="H537" s="7">
        <v>45447.600277777776</v>
      </c>
      <c r="I537" s="7" t="str">
        <f>TEXT(multilingual_mobile_app_reviews_2025[[#This Row],[Review_date]],"dd-mm-yyyy")</f>
        <v>04-06-2024</v>
      </c>
      <c r="J537" s="7" t="str">
        <f>TEXT(multilingual_mobile_app_reviews_2025[[#This Row],[Review_date]],"YYYY")</f>
        <v>2024</v>
      </c>
      <c r="K537" s="7" t="str">
        <f>TEXT(multilingual_mobile_app_reviews_2025[[#This Row],[Review_date]],"MMMM")</f>
        <v>June</v>
      </c>
      <c r="L537" s="4" t="b">
        <v>1</v>
      </c>
      <c r="M537" s="4" t="s">
        <v>33</v>
      </c>
      <c r="N537" s="5">
        <v>721</v>
      </c>
      <c r="O537" s="5">
        <v>38</v>
      </c>
      <c r="P537" s="4" t="s">
        <v>118</v>
      </c>
      <c r="Q537" s="8" t="s">
        <v>12</v>
      </c>
      <c r="R537" s="4" t="s">
        <v>752</v>
      </c>
      <c r="S537" s="4"/>
      <c r="T537"/>
      <c r="U537" s="23"/>
    </row>
    <row r="538" spans="1:21" ht="15.6" x14ac:dyDescent="0.3">
      <c r="A538" s="4">
        <v>537</v>
      </c>
      <c r="B538" s="5">
        <v>8305682</v>
      </c>
      <c r="C538" s="4" t="s">
        <v>258</v>
      </c>
      <c r="D538" s="4" t="s">
        <v>79</v>
      </c>
      <c r="E538" s="4" t="s">
        <v>9</v>
      </c>
      <c r="F538" s="4" t="s">
        <v>2959</v>
      </c>
      <c r="G538" s="6">
        <v>2.9</v>
      </c>
      <c r="H538" s="7">
        <v>45833.950150462966</v>
      </c>
      <c r="I538" s="7" t="str">
        <f>TEXT(multilingual_mobile_app_reviews_2025[[#This Row],[Review_date]],"dd-mm-yyyy")</f>
        <v>25-06-2025</v>
      </c>
      <c r="J538" s="7" t="str">
        <f>TEXT(multilingual_mobile_app_reviews_2025[[#This Row],[Review_date]],"YYYY")</f>
        <v>2025</v>
      </c>
      <c r="K538" s="7" t="str">
        <f>TEXT(multilingual_mobile_app_reviews_2025[[#This Row],[Review_date]],"MMMM")</f>
        <v>June</v>
      </c>
      <c r="L538" s="4" t="b">
        <v>0</v>
      </c>
      <c r="M538" s="4" t="s">
        <v>10</v>
      </c>
      <c r="N538" s="5">
        <v>476</v>
      </c>
      <c r="O538" s="5">
        <v>48</v>
      </c>
      <c r="P538" s="4" t="s">
        <v>4</v>
      </c>
      <c r="Q538" s="8" t="s">
        <v>29</v>
      </c>
      <c r="R538" s="4" t="s">
        <v>753</v>
      </c>
      <c r="S538" s="4"/>
      <c r="T538"/>
      <c r="U538" s="23"/>
    </row>
    <row r="539" spans="1:21" ht="15.6" x14ac:dyDescent="0.3">
      <c r="A539" s="4">
        <v>538</v>
      </c>
      <c r="B539" s="5">
        <v>4546036</v>
      </c>
      <c r="C539" s="4" t="s">
        <v>264</v>
      </c>
      <c r="D539" s="4" t="s">
        <v>157</v>
      </c>
      <c r="E539" s="4" t="s">
        <v>130</v>
      </c>
      <c r="F539" s="4" t="s">
        <v>2947</v>
      </c>
      <c r="G539" s="6">
        <v>1.2</v>
      </c>
      <c r="H539" s="7">
        <v>45209.666365740741</v>
      </c>
      <c r="I539" s="7" t="str">
        <f>TEXT(multilingual_mobile_app_reviews_2025[[#This Row],[Review_date]],"dd-mm-yyyy")</f>
        <v>10-10-2023</v>
      </c>
      <c r="J539" s="7" t="str">
        <f>TEXT(multilingual_mobile_app_reviews_2025[[#This Row],[Review_date]],"YYYY")</f>
        <v>2023</v>
      </c>
      <c r="K539" s="7" t="str">
        <f>TEXT(multilingual_mobile_app_reviews_2025[[#This Row],[Review_date]],"MMMM")</f>
        <v>October</v>
      </c>
      <c r="L539" s="4" t="b">
        <v>0</v>
      </c>
      <c r="M539" s="4" t="s">
        <v>10</v>
      </c>
      <c r="N539" s="5">
        <v>862</v>
      </c>
      <c r="O539" s="5">
        <v>20</v>
      </c>
      <c r="P539" s="4" t="s">
        <v>80</v>
      </c>
      <c r="Q539" s="8" t="s">
        <v>29</v>
      </c>
      <c r="R539" s="4" t="s">
        <v>754</v>
      </c>
      <c r="S539" s="4"/>
      <c r="T539"/>
      <c r="U539" s="23"/>
    </row>
    <row r="540" spans="1:21" ht="15.6" x14ac:dyDescent="0.3">
      <c r="A540" s="4">
        <v>539</v>
      </c>
      <c r="B540" s="5">
        <v>9228919</v>
      </c>
      <c r="C540" s="4" t="s">
        <v>25</v>
      </c>
      <c r="D540" s="4" t="s">
        <v>42</v>
      </c>
      <c r="E540" s="4" t="s">
        <v>64</v>
      </c>
      <c r="F540" s="4" t="s">
        <v>2948</v>
      </c>
      <c r="G540" s="6">
        <v>1.2</v>
      </c>
      <c r="H540" s="7">
        <v>45439.879467592589</v>
      </c>
      <c r="I540" s="7" t="str">
        <f>TEXT(multilingual_mobile_app_reviews_2025[[#This Row],[Review_date]],"dd-mm-yyyy")</f>
        <v>27-05-2024</v>
      </c>
      <c r="J540" s="7" t="str">
        <f>TEXT(multilingual_mobile_app_reviews_2025[[#This Row],[Review_date]],"YYYY")</f>
        <v>2024</v>
      </c>
      <c r="K540" s="7" t="str">
        <f>TEXT(multilingual_mobile_app_reviews_2025[[#This Row],[Review_date]],"MMMM")</f>
        <v>May</v>
      </c>
      <c r="L540" s="4" t="b">
        <v>1</v>
      </c>
      <c r="M540" s="4" t="s">
        <v>98</v>
      </c>
      <c r="N540" s="5">
        <v>142</v>
      </c>
      <c r="O540" s="5">
        <v>43</v>
      </c>
      <c r="P540" s="4" t="s">
        <v>80</v>
      </c>
      <c r="Q540" s="8" t="s">
        <v>29</v>
      </c>
      <c r="R540" s="4" t="s">
        <v>755</v>
      </c>
      <c r="S540" s="4"/>
      <c r="T540"/>
      <c r="U540" s="23"/>
    </row>
    <row r="541" spans="1:21" ht="15.6" x14ac:dyDescent="0.3">
      <c r="A541" s="4">
        <v>540</v>
      </c>
      <c r="B541" s="5">
        <v>6324691</v>
      </c>
      <c r="C541" s="4" t="s">
        <v>208</v>
      </c>
      <c r="D541" s="4" t="s">
        <v>60</v>
      </c>
      <c r="E541" s="4" t="s">
        <v>16</v>
      </c>
      <c r="F541" s="4" t="s">
        <v>2943</v>
      </c>
      <c r="G541" s="6">
        <v>4.8</v>
      </c>
      <c r="H541" s="7">
        <v>45826.660763888889</v>
      </c>
      <c r="I541" s="7" t="str">
        <f>TEXT(multilingual_mobile_app_reviews_2025[[#This Row],[Review_date]],"dd-mm-yyyy")</f>
        <v>18-06-2025</v>
      </c>
      <c r="J541" s="7" t="str">
        <f>TEXT(multilingual_mobile_app_reviews_2025[[#This Row],[Review_date]],"YYYY")</f>
        <v>2025</v>
      </c>
      <c r="K541" s="7" t="str">
        <f>TEXT(multilingual_mobile_app_reviews_2025[[#This Row],[Review_date]],"MMMM")</f>
        <v>June</v>
      </c>
      <c r="L541" s="4" t="b">
        <v>1</v>
      </c>
      <c r="M541" s="4" t="s">
        <v>98</v>
      </c>
      <c r="N541" s="5">
        <v>59</v>
      </c>
      <c r="O541" s="5">
        <v>27</v>
      </c>
      <c r="P541" s="4" t="s">
        <v>23</v>
      </c>
      <c r="Q541" s="8" t="s">
        <v>12</v>
      </c>
      <c r="R541" s="4" t="s">
        <v>756</v>
      </c>
      <c r="S541" s="4"/>
      <c r="T541"/>
      <c r="U541" s="23"/>
    </row>
    <row r="542" spans="1:21" ht="15.6" x14ac:dyDescent="0.3">
      <c r="A542" s="4">
        <v>541</v>
      </c>
      <c r="B542" s="5">
        <v>6297531</v>
      </c>
      <c r="C542" s="4" t="s">
        <v>106</v>
      </c>
      <c r="D542" s="4" t="s">
        <v>220</v>
      </c>
      <c r="E542" s="4" t="s">
        <v>109</v>
      </c>
      <c r="F542" s="4" t="s">
        <v>2942</v>
      </c>
      <c r="G542" s="6">
        <v>1.2</v>
      </c>
      <c r="H542" s="7">
        <v>45283.801516203705</v>
      </c>
      <c r="I542" s="7" t="str">
        <f>TEXT(multilingual_mobile_app_reviews_2025[[#This Row],[Review_date]],"dd-mm-yyyy")</f>
        <v>23-12-2023</v>
      </c>
      <c r="J542" s="7" t="str">
        <f>TEXT(multilingual_mobile_app_reviews_2025[[#This Row],[Review_date]],"YYYY")</f>
        <v>2023</v>
      </c>
      <c r="K542" s="7" t="str">
        <f>TEXT(multilingual_mobile_app_reviews_2025[[#This Row],[Review_date]],"MMMM")</f>
        <v>December</v>
      </c>
      <c r="L542" s="4" t="b">
        <v>1</v>
      </c>
      <c r="M542" s="4" t="s">
        <v>10</v>
      </c>
      <c r="N542" s="5">
        <v>153</v>
      </c>
      <c r="O542" s="5">
        <v>29</v>
      </c>
      <c r="P542" s="4" t="s">
        <v>73</v>
      </c>
      <c r="Q542" s="8" t="s">
        <v>2963</v>
      </c>
      <c r="R542" s="4" t="s">
        <v>757</v>
      </c>
      <c r="S542" s="4"/>
      <c r="T542"/>
      <c r="U542" s="23"/>
    </row>
    <row r="543" spans="1:21" ht="15.6" x14ac:dyDescent="0.3">
      <c r="A543" s="4">
        <v>542</v>
      </c>
      <c r="B543" s="5">
        <v>848547</v>
      </c>
      <c r="C543" s="4" t="s">
        <v>14</v>
      </c>
      <c r="D543" s="4" t="s">
        <v>31</v>
      </c>
      <c r="E543" s="4" t="s">
        <v>16</v>
      </c>
      <c r="F543" s="4" t="s">
        <v>2948</v>
      </c>
      <c r="G543" s="6">
        <v>3.1</v>
      </c>
      <c r="H543" s="7">
        <v>45343.386284722219</v>
      </c>
      <c r="I543" s="7" t="str">
        <f>TEXT(multilingual_mobile_app_reviews_2025[[#This Row],[Review_date]],"dd-mm-yyyy")</f>
        <v>21-02-2024</v>
      </c>
      <c r="J543" s="7" t="str">
        <f>TEXT(multilingual_mobile_app_reviews_2025[[#This Row],[Review_date]],"YYYY")</f>
        <v>2024</v>
      </c>
      <c r="K543" s="7" t="str">
        <f>TEXT(multilingual_mobile_app_reviews_2025[[#This Row],[Review_date]],"MMMM")</f>
        <v>February</v>
      </c>
      <c r="L543" s="4" t="b">
        <v>1</v>
      </c>
      <c r="M543" s="4" t="s">
        <v>33</v>
      </c>
      <c r="N543" s="5">
        <v>978</v>
      </c>
      <c r="O543" s="5">
        <v>55</v>
      </c>
      <c r="P543" s="4" t="s">
        <v>99</v>
      </c>
      <c r="Q543" s="8" t="s">
        <v>39</v>
      </c>
      <c r="R543" s="4" t="s">
        <v>758</v>
      </c>
      <c r="S543" s="4"/>
      <c r="T543"/>
      <c r="U543" s="23"/>
    </row>
    <row r="544" spans="1:21" ht="15.6" x14ac:dyDescent="0.3">
      <c r="A544" s="4">
        <v>543</v>
      </c>
      <c r="B544" s="5">
        <v>7902377</v>
      </c>
      <c r="C544" s="4" t="s">
        <v>106</v>
      </c>
      <c r="D544" s="4" t="s">
        <v>79</v>
      </c>
      <c r="E544" s="4" t="s">
        <v>130</v>
      </c>
      <c r="F544" s="4" t="s">
        <v>2940</v>
      </c>
      <c r="G544" s="6">
        <v>1.8</v>
      </c>
      <c r="H544" s="7">
        <v>45343.467719907407</v>
      </c>
      <c r="I544" s="7" t="str">
        <f>TEXT(multilingual_mobile_app_reviews_2025[[#This Row],[Review_date]],"dd-mm-yyyy")</f>
        <v>21-02-2024</v>
      </c>
      <c r="J544" s="7" t="str">
        <f>TEXT(multilingual_mobile_app_reviews_2025[[#This Row],[Review_date]],"YYYY")</f>
        <v>2024</v>
      </c>
      <c r="K544" s="7" t="str">
        <f>TEXT(multilingual_mobile_app_reviews_2025[[#This Row],[Review_date]],"MMMM")</f>
        <v>February</v>
      </c>
      <c r="L544" s="4" t="b">
        <v>1</v>
      </c>
      <c r="M544" s="4" t="s">
        <v>22</v>
      </c>
      <c r="N544" s="5">
        <v>958</v>
      </c>
      <c r="O544" s="5">
        <v>65</v>
      </c>
      <c r="P544" s="4" t="s">
        <v>11</v>
      </c>
      <c r="Q544" s="8" t="s">
        <v>5</v>
      </c>
      <c r="R544" s="4" t="s">
        <v>759</v>
      </c>
      <c r="S544" s="4"/>
      <c r="T544"/>
      <c r="U544" s="23"/>
    </row>
    <row r="545" spans="1:21" ht="15.6" x14ac:dyDescent="0.3">
      <c r="A545" s="4">
        <v>544</v>
      </c>
      <c r="B545" s="5">
        <v>4605722</v>
      </c>
      <c r="C545" s="4" t="s">
        <v>208</v>
      </c>
      <c r="D545" s="4" t="s">
        <v>71</v>
      </c>
      <c r="E545" s="4" t="s">
        <v>76</v>
      </c>
      <c r="F545" s="4" t="s">
        <v>2953</v>
      </c>
      <c r="G545" s="6">
        <v>4.7</v>
      </c>
      <c r="H545" s="7">
        <v>45577.141539351855</v>
      </c>
      <c r="I545" s="7" t="str">
        <f>TEXT(multilingual_mobile_app_reviews_2025[[#This Row],[Review_date]],"dd-mm-yyyy")</f>
        <v>12-10-2024</v>
      </c>
      <c r="J545" s="7" t="str">
        <f>TEXT(multilingual_mobile_app_reviews_2025[[#This Row],[Review_date]],"YYYY")</f>
        <v>2024</v>
      </c>
      <c r="K545" s="7" t="str">
        <f>TEXT(multilingual_mobile_app_reviews_2025[[#This Row],[Review_date]],"MMMM")</f>
        <v>October</v>
      </c>
      <c r="L545" s="4" t="b">
        <v>1</v>
      </c>
      <c r="M545" s="4" t="s">
        <v>3</v>
      </c>
      <c r="N545" s="5">
        <v>926</v>
      </c>
      <c r="O545" s="5">
        <v>68</v>
      </c>
      <c r="P545" s="4" t="s">
        <v>144</v>
      </c>
      <c r="Q545" s="8" t="s">
        <v>2963</v>
      </c>
      <c r="R545" s="4" t="s">
        <v>760</v>
      </c>
      <c r="S545" s="4"/>
      <c r="T545"/>
      <c r="U545" s="23"/>
    </row>
    <row r="546" spans="1:21" ht="15.6" x14ac:dyDescent="0.3">
      <c r="A546" s="4">
        <v>545</v>
      </c>
      <c r="B546" s="5">
        <v>2635551</v>
      </c>
      <c r="C546" s="4" t="s">
        <v>25</v>
      </c>
      <c r="D546" s="4" t="s">
        <v>1</v>
      </c>
      <c r="E546" s="4" t="s">
        <v>130</v>
      </c>
      <c r="F546" s="4" t="s">
        <v>2952</v>
      </c>
      <c r="G546" s="6">
        <v>2.1</v>
      </c>
      <c r="H546" s="7">
        <v>45723.1565625</v>
      </c>
      <c r="I546" s="7" t="str">
        <f>TEXT(multilingual_mobile_app_reviews_2025[[#This Row],[Review_date]],"dd-mm-yyyy")</f>
        <v>07-03-2025</v>
      </c>
      <c r="J546" s="7" t="str">
        <f>TEXT(multilingual_mobile_app_reviews_2025[[#This Row],[Review_date]],"YYYY")</f>
        <v>2025</v>
      </c>
      <c r="K546" s="7" t="str">
        <f>TEXT(multilingual_mobile_app_reviews_2025[[#This Row],[Review_date]],"MMMM")</f>
        <v>March</v>
      </c>
      <c r="L546" s="4" t="b">
        <v>0</v>
      </c>
      <c r="M546" s="4" t="s">
        <v>3</v>
      </c>
      <c r="N546" s="5">
        <v>1087</v>
      </c>
      <c r="O546" s="5">
        <v>41</v>
      </c>
      <c r="P546" s="4" t="s">
        <v>162</v>
      </c>
      <c r="Q546" s="8" t="s">
        <v>39</v>
      </c>
      <c r="R546" s="4" t="s">
        <v>225</v>
      </c>
      <c r="S546" s="4"/>
      <c r="T546"/>
      <c r="U546" s="23"/>
    </row>
    <row r="547" spans="1:21" ht="15.6" x14ac:dyDescent="0.3">
      <c r="A547" s="4">
        <v>546</v>
      </c>
      <c r="B547" s="5">
        <v>1722400</v>
      </c>
      <c r="C547" s="4" t="s">
        <v>165</v>
      </c>
      <c r="D547" s="4" t="s">
        <v>97</v>
      </c>
      <c r="E547" s="4" t="s">
        <v>32</v>
      </c>
      <c r="F547" s="4" t="s">
        <v>2961</v>
      </c>
      <c r="G547" s="6">
        <v>4.7</v>
      </c>
      <c r="H547" s="7">
        <v>45205.449097222219</v>
      </c>
      <c r="I547" s="7" t="str">
        <f>TEXT(multilingual_mobile_app_reviews_2025[[#This Row],[Review_date]],"dd-mm-yyyy")</f>
        <v>06-10-2023</v>
      </c>
      <c r="J547" s="7" t="str">
        <f>TEXT(multilingual_mobile_app_reviews_2025[[#This Row],[Review_date]],"YYYY")</f>
        <v>2023</v>
      </c>
      <c r="K547" s="7" t="str">
        <f>TEXT(multilingual_mobile_app_reviews_2025[[#This Row],[Review_date]],"MMMM")</f>
        <v>October</v>
      </c>
      <c r="L547" s="4" t="b">
        <v>0</v>
      </c>
      <c r="M547" s="4" t="s">
        <v>22</v>
      </c>
      <c r="N547" s="5">
        <v>602</v>
      </c>
      <c r="O547" s="5">
        <v>25</v>
      </c>
      <c r="P547" s="4" t="s">
        <v>11</v>
      </c>
      <c r="Q547" s="8" t="s">
        <v>5</v>
      </c>
      <c r="R547" s="4" t="s">
        <v>761</v>
      </c>
      <c r="S547" s="4"/>
      <c r="T547"/>
      <c r="U547" s="23"/>
    </row>
    <row r="548" spans="1:21" ht="15.6" x14ac:dyDescent="0.3">
      <c r="A548" s="4">
        <v>547</v>
      </c>
      <c r="B548" s="5">
        <v>5867862</v>
      </c>
      <c r="C548" s="4" t="s">
        <v>67</v>
      </c>
      <c r="D548" s="4" t="s">
        <v>1</v>
      </c>
      <c r="E548" s="4" t="s">
        <v>16</v>
      </c>
      <c r="F548" s="4" t="s">
        <v>2949</v>
      </c>
      <c r="G548" s="6">
        <v>1.4</v>
      </c>
      <c r="H548" s="7">
        <v>45766.610347222224</v>
      </c>
      <c r="I548" s="7" t="str">
        <f>TEXT(multilingual_mobile_app_reviews_2025[[#This Row],[Review_date]],"dd-mm-yyyy")</f>
        <v>19-04-2025</v>
      </c>
      <c r="J548" s="7" t="str">
        <f>TEXT(multilingual_mobile_app_reviews_2025[[#This Row],[Review_date]],"YYYY")</f>
        <v>2025</v>
      </c>
      <c r="K548" s="7" t="str">
        <f>TEXT(multilingual_mobile_app_reviews_2025[[#This Row],[Review_date]],"MMMM")</f>
        <v>April</v>
      </c>
      <c r="L548" s="4" t="b">
        <v>1</v>
      </c>
      <c r="M548" s="4" t="s">
        <v>22</v>
      </c>
      <c r="N548" s="5">
        <v>828</v>
      </c>
      <c r="O548" s="5">
        <v>38</v>
      </c>
      <c r="P548" s="4" t="s">
        <v>11</v>
      </c>
      <c r="Q548" s="8" t="s">
        <v>12</v>
      </c>
      <c r="R548" s="4" t="s">
        <v>762</v>
      </c>
      <c r="S548" s="4"/>
      <c r="T548"/>
      <c r="U548" s="23"/>
    </row>
    <row r="549" spans="1:21" ht="15.6" x14ac:dyDescent="0.3">
      <c r="A549" s="4">
        <v>548</v>
      </c>
      <c r="B549" s="5">
        <v>7045543</v>
      </c>
      <c r="C549" s="4" t="s">
        <v>113</v>
      </c>
      <c r="D549" s="4" t="s">
        <v>79</v>
      </c>
      <c r="E549" s="4" t="s">
        <v>763</v>
      </c>
      <c r="F549" s="4" t="s">
        <v>2948</v>
      </c>
      <c r="G549" s="6">
        <v>4.5999999999999996</v>
      </c>
      <c r="H549" s="7">
        <v>45321.906828703701</v>
      </c>
      <c r="I549" s="7" t="str">
        <f>TEXT(multilingual_mobile_app_reviews_2025[[#This Row],[Review_date]],"dd-mm-yyyy")</f>
        <v>30-01-2024</v>
      </c>
      <c r="J549" s="7" t="str">
        <f>TEXT(multilingual_mobile_app_reviews_2025[[#This Row],[Review_date]],"YYYY")</f>
        <v>2024</v>
      </c>
      <c r="K549" s="7" t="str">
        <f>TEXT(multilingual_mobile_app_reviews_2025[[#This Row],[Review_date]],"MMMM")</f>
        <v>January</v>
      </c>
      <c r="L549" s="4" t="b">
        <v>1</v>
      </c>
      <c r="M549" s="4" t="s">
        <v>33</v>
      </c>
      <c r="N549" s="5">
        <v>976</v>
      </c>
      <c r="O549" s="5">
        <v>60</v>
      </c>
      <c r="P549" s="4" t="s">
        <v>114</v>
      </c>
      <c r="Q549" s="8" t="s">
        <v>5</v>
      </c>
      <c r="R549" s="4" t="s">
        <v>764</v>
      </c>
      <c r="S549" s="4"/>
      <c r="T549"/>
      <c r="U549" s="23"/>
    </row>
    <row r="550" spans="1:21" ht="15.6" x14ac:dyDescent="0.3">
      <c r="A550" s="4">
        <v>549</v>
      </c>
      <c r="B550" s="5">
        <v>5113906</v>
      </c>
      <c r="C550" s="4" t="s">
        <v>244</v>
      </c>
      <c r="D550" s="4" t="s">
        <v>60</v>
      </c>
      <c r="E550" s="4" t="s">
        <v>765</v>
      </c>
      <c r="F550" s="4" t="s">
        <v>2939</v>
      </c>
      <c r="G550" s="6">
        <v>3.4</v>
      </c>
      <c r="H550" s="7">
        <v>45777.782627314817</v>
      </c>
      <c r="I550" s="7" t="str">
        <f>TEXT(multilingual_mobile_app_reviews_2025[[#This Row],[Review_date]],"dd-mm-yyyy")</f>
        <v>30-04-2025</v>
      </c>
      <c r="J550" s="7" t="str">
        <f>TEXT(multilingual_mobile_app_reviews_2025[[#This Row],[Review_date]],"YYYY")</f>
        <v>2025</v>
      </c>
      <c r="K550" s="7" t="str">
        <f>TEXT(multilingual_mobile_app_reviews_2025[[#This Row],[Review_date]],"MMMM")</f>
        <v>April</v>
      </c>
      <c r="L550" s="4" t="b">
        <v>0</v>
      </c>
      <c r="M550" s="4" t="s">
        <v>3</v>
      </c>
      <c r="N550" s="5">
        <v>1194</v>
      </c>
      <c r="O550" s="5">
        <v>13</v>
      </c>
      <c r="P550" s="4" t="s">
        <v>2963</v>
      </c>
      <c r="Q550" s="8" t="s">
        <v>5</v>
      </c>
      <c r="R550" s="4" t="s">
        <v>766</v>
      </c>
      <c r="S550" s="4"/>
      <c r="T550"/>
      <c r="U550" s="23"/>
    </row>
    <row r="551" spans="1:21" ht="15.6" x14ac:dyDescent="0.3">
      <c r="A551" s="4">
        <v>550</v>
      </c>
      <c r="B551" s="5">
        <v>2580985</v>
      </c>
      <c r="C551" s="4" t="s">
        <v>154</v>
      </c>
      <c r="D551" s="4" t="s">
        <v>97</v>
      </c>
      <c r="E551" s="4" t="s">
        <v>9</v>
      </c>
      <c r="F551" s="4" t="s">
        <v>2946</v>
      </c>
      <c r="G551" s="6">
        <v>3</v>
      </c>
      <c r="H551" s="7">
        <v>45786.749189814815</v>
      </c>
      <c r="I551" s="7" t="str">
        <f>TEXT(multilingual_mobile_app_reviews_2025[[#This Row],[Review_date]],"dd-mm-yyyy")</f>
        <v>09-05-2025</v>
      </c>
      <c r="J551" s="7" t="str">
        <f>TEXT(multilingual_mobile_app_reviews_2025[[#This Row],[Review_date]],"YYYY")</f>
        <v>2025</v>
      </c>
      <c r="K551" s="7" t="str">
        <f>TEXT(multilingual_mobile_app_reviews_2025[[#This Row],[Review_date]],"MMMM")</f>
        <v>May</v>
      </c>
      <c r="L551" s="4" t="b">
        <v>1</v>
      </c>
      <c r="M551" s="4" t="s">
        <v>10</v>
      </c>
      <c r="N551" s="5">
        <v>1117</v>
      </c>
      <c r="O551" s="5">
        <v>29</v>
      </c>
      <c r="P551" s="4" t="s">
        <v>94</v>
      </c>
      <c r="Q551" s="8" t="s">
        <v>29</v>
      </c>
      <c r="R551" s="4" t="s">
        <v>767</v>
      </c>
      <c r="S551" s="4"/>
      <c r="T551"/>
      <c r="U551" s="23"/>
    </row>
    <row r="552" spans="1:21" ht="15.6" x14ac:dyDescent="0.3">
      <c r="A552" s="4">
        <v>551</v>
      </c>
      <c r="B552" s="5">
        <v>4426615</v>
      </c>
      <c r="C552" s="4" t="s">
        <v>41</v>
      </c>
      <c r="D552" s="4" t="s">
        <v>60</v>
      </c>
      <c r="E552" s="4" t="s">
        <v>32</v>
      </c>
      <c r="F552" s="4" t="s">
        <v>2953</v>
      </c>
      <c r="G552" s="6">
        <v>3.6</v>
      </c>
      <c r="H552" s="7">
        <v>45387.235023148147</v>
      </c>
      <c r="I552" s="7" t="str">
        <f>TEXT(multilingual_mobile_app_reviews_2025[[#This Row],[Review_date]],"dd-mm-yyyy")</f>
        <v>05-04-2024</v>
      </c>
      <c r="J552" s="7" t="str">
        <f>TEXT(multilingual_mobile_app_reviews_2025[[#This Row],[Review_date]],"YYYY")</f>
        <v>2024</v>
      </c>
      <c r="K552" s="7" t="str">
        <f>TEXT(multilingual_mobile_app_reviews_2025[[#This Row],[Review_date]],"MMMM")</f>
        <v>April</v>
      </c>
      <c r="L552" s="4" t="b">
        <v>0</v>
      </c>
      <c r="M552" s="4" t="s">
        <v>22</v>
      </c>
      <c r="N552" s="5">
        <v>731</v>
      </c>
      <c r="O552" s="5">
        <v>44</v>
      </c>
      <c r="P552" s="4" t="s">
        <v>118</v>
      </c>
      <c r="Q552" s="8" t="s">
        <v>5</v>
      </c>
      <c r="R552" s="4" t="s">
        <v>116</v>
      </c>
      <c r="S552" s="4"/>
      <c r="T552"/>
      <c r="U552" s="23"/>
    </row>
    <row r="553" spans="1:21" ht="15.6" x14ac:dyDescent="0.3">
      <c r="A553" s="4">
        <v>552</v>
      </c>
      <c r="B553" s="5">
        <v>1224274</v>
      </c>
      <c r="C553" s="4" t="s">
        <v>101</v>
      </c>
      <c r="D553" s="4" t="s">
        <v>1</v>
      </c>
      <c r="E553" s="4" t="s">
        <v>9</v>
      </c>
      <c r="F553" s="4" t="s">
        <v>2954</v>
      </c>
      <c r="G553" s="6">
        <v>2.6</v>
      </c>
      <c r="H553" s="7">
        <v>45206.47446759259</v>
      </c>
      <c r="I553" s="7" t="str">
        <f>TEXT(multilingual_mobile_app_reviews_2025[[#This Row],[Review_date]],"dd-mm-yyyy")</f>
        <v>07-10-2023</v>
      </c>
      <c r="J553" s="7" t="str">
        <f>TEXT(multilingual_mobile_app_reviews_2025[[#This Row],[Review_date]],"YYYY")</f>
        <v>2023</v>
      </c>
      <c r="K553" s="7" t="str">
        <f>TEXT(multilingual_mobile_app_reviews_2025[[#This Row],[Review_date]],"MMMM")</f>
        <v>October</v>
      </c>
      <c r="L553" s="4" t="b">
        <v>1</v>
      </c>
      <c r="M553" s="4" t="s">
        <v>3</v>
      </c>
      <c r="N553" s="5">
        <v>565</v>
      </c>
      <c r="O553" s="5">
        <v>32</v>
      </c>
      <c r="P553" s="4" t="s">
        <v>127</v>
      </c>
      <c r="Q553" s="8" t="s">
        <v>12</v>
      </c>
      <c r="R553" s="4" t="s">
        <v>49</v>
      </c>
      <c r="S553" s="4"/>
      <c r="T553"/>
      <c r="U553" s="23"/>
    </row>
    <row r="554" spans="1:21" ht="15.6" x14ac:dyDescent="0.3">
      <c r="A554" s="4">
        <v>553</v>
      </c>
      <c r="B554" s="5">
        <v>9434242</v>
      </c>
      <c r="C554" s="4" t="s">
        <v>25</v>
      </c>
      <c r="D554" s="4" t="s">
        <v>79</v>
      </c>
      <c r="E554" s="4" t="s">
        <v>76</v>
      </c>
      <c r="F554" s="4" t="s">
        <v>2948</v>
      </c>
      <c r="G554" s="6">
        <v>4.9000000000000004</v>
      </c>
      <c r="H554" s="7">
        <v>45447.513009259259</v>
      </c>
      <c r="I554" s="7" t="str">
        <f>TEXT(multilingual_mobile_app_reviews_2025[[#This Row],[Review_date]],"dd-mm-yyyy")</f>
        <v>04-06-2024</v>
      </c>
      <c r="J554" s="7" t="str">
        <f>TEXT(multilingual_mobile_app_reviews_2025[[#This Row],[Review_date]],"YYYY")</f>
        <v>2024</v>
      </c>
      <c r="K554" s="7" t="str">
        <f>TEXT(multilingual_mobile_app_reviews_2025[[#This Row],[Review_date]],"MMMM")</f>
        <v>June</v>
      </c>
      <c r="L554" s="4" t="b">
        <v>1</v>
      </c>
      <c r="M554" s="4" t="s">
        <v>33</v>
      </c>
      <c r="N554" s="5">
        <v>1143</v>
      </c>
      <c r="O554" s="5">
        <v>55</v>
      </c>
      <c r="P554" s="4" t="s">
        <v>65</v>
      </c>
      <c r="Q554" s="8" t="s">
        <v>39</v>
      </c>
      <c r="R554" s="4" t="s">
        <v>768</v>
      </c>
      <c r="S554" s="4"/>
      <c r="T554"/>
      <c r="U554" s="23"/>
    </row>
    <row r="555" spans="1:21" ht="15.6" x14ac:dyDescent="0.3">
      <c r="A555" s="4">
        <v>554</v>
      </c>
      <c r="B555" s="5">
        <v>5571499</v>
      </c>
      <c r="C555" s="4" t="s">
        <v>50</v>
      </c>
      <c r="D555" s="4" t="s">
        <v>1</v>
      </c>
      <c r="E555" s="4" t="s">
        <v>109</v>
      </c>
      <c r="F555" s="4" t="s">
        <v>2940</v>
      </c>
      <c r="G555" s="6">
        <v>2</v>
      </c>
      <c r="H555" s="7">
        <v>45804.237928240742</v>
      </c>
      <c r="I555" s="7" t="str">
        <f>TEXT(multilingual_mobile_app_reviews_2025[[#This Row],[Review_date]],"dd-mm-yyyy")</f>
        <v>27-05-2025</v>
      </c>
      <c r="J555" s="7" t="str">
        <f>TEXT(multilingual_mobile_app_reviews_2025[[#This Row],[Review_date]],"YYYY")</f>
        <v>2025</v>
      </c>
      <c r="K555" s="7" t="str">
        <f>TEXT(multilingual_mobile_app_reviews_2025[[#This Row],[Review_date]],"MMMM")</f>
        <v>May</v>
      </c>
      <c r="L555" s="4" t="b">
        <v>1</v>
      </c>
      <c r="M555" s="4" t="s">
        <v>10</v>
      </c>
      <c r="N555" s="5">
        <v>580</v>
      </c>
      <c r="O555" s="5">
        <v>63</v>
      </c>
      <c r="P555" s="4" t="s">
        <v>85</v>
      </c>
      <c r="Q555" s="8" t="s">
        <v>2963</v>
      </c>
      <c r="R555" s="4" t="s">
        <v>769</v>
      </c>
      <c r="S555" s="4"/>
      <c r="T555"/>
      <c r="U555" s="23"/>
    </row>
    <row r="556" spans="1:21" ht="15.6" x14ac:dyDescent="0.3">
      <c r="A556" s="4">
        <v>555</v>
      </c>
      <c r="B556" s="5">
        <v>8818920</v>
      </c>
      <c r="C556" s="4" t="s">
        <v>50</v>
      </c>
      <c r="D556" s="4" t="s">
        <v>20</v>
      </c>
      <c r="E556" s="4" t="s">
        <v>32</v>
      </c>
      <c r="F556" s="4" t="s">
        <v>2945</v>
      </c>
      <c r="G556" s="6">
        <v>2.6</v>
      </c>
      <c r="H556" s="7">
        <v>45494.73945601852</v>
      </c>
      <c r="I556" s="7" t="str">
        <f>TEXT(multilingual_mobile_app_reviews_2025[[#This Row],[Review_date]],"dd-mm-yyyy")</f>
        <v>21-07-2024</v>
      </c>
      <c r="J556" s="7" t="str">
        <f>TEXT(multilingual_mobile_app_reviews_2025[[#This Row],[Review_date]],"YYYY")</f>
        <v>2024</v>
      </c>
      <c r="K556" s="7" t="str">
        <f>TEXT(multilingual_mobile_app_reviews_2025[[#This Row],[Review_date]],"MMMM")</f>
        <v>July</v>
      </c>
      <c r="L556" s="4" t="b">
        <v>1</v>
      </c>
      <c r="M556" s="4" t="s">
        <v>98</v>
      </c>
      <c r="N556" s="5">
        <v>535</v>
      </c>
      <c r="O556" s="5">
        <v>71</v>
      </c>
      <c r="P556" s="4" t="s">
        <v>114</v>
      </c>
      <c r="Q556" s="8" t="s">
        <v>2963</v>
      </c>
      <c r="R556" s="4" t="s">
        <v>770</v>
      </c>
      <c r="S556" s="4"/>
      <c r="T556"/>
      <c r="U556" s="23"/>
    </row>
    <row r="557" spans="1:21" ht="15.6" x14ac:dyDescent="0.3">
      <c r="A557" s="4">
        <v>556</v>
      </c>
      <c r="B557" s="5">
        <v>9957890</v>
      </c>
      <c r="C557" s="4" t="s">
        <v>89</v>
      </c>
      <c r="D557" s="4" t="s">
        <v>111</v>
      </c>
      <c r="E557" s="4" t="s">
        <v>21</v>
      </c>
      <c r="F557" s="4" t="s">
        <v>2950</v>
      </c>
      <c r="G557" s="6">
        <v>4.7</v>
      </c>
      <c r="H557" s="7">
        <v>45544.764166666668</v>
      </c>
      <c r="I557" s="7" t="str">
        <f>TEXT(multilingual_mobile_app_reviews_2025[[#This Row],[Review_date]],"dd-mm-yyyy")</f>
        <v>09-09-2024</v>
      </c>
      <c r="J557" s="7" t="str">
        <f>TEXT(multilingual_mobile_app_reviews_2025[[#This Row],[Review_date]],"YYYY")</f>
        <v>2024</v>
      </c>
      <c r="K557" s="7" t="str">
        <f>TEXT(multilingual_mobile_app_reviews_2025[[#This Row],[Review_date]],"MMMM")</f>
        <v>September</v>
      </c>
      <c r="L557" s="4" t="b">
        <v>1</v>
      </c>
      <c r="M557" s="4" t="s">
        <v>3</v>
      </c>
      <c r="N557" s="5">
        <v>1117</v>
      </c>
      <c r="O557" s="5">
        <v>24</v>
      </c>
      <c r="P557" s="4" t="s">
        <v>11</v>
      </c>
      <c r="Q557" s="8" t="s">
        <v>29</v>
      </c>
      <c r="R557" s="4" t="s">
        <v>771</v>
      </c>
      <c r="S557" s="4"/>
      <c r="T557"/>
      <c r="U557" s="23"/>
    </row>
    <row r="558" spans="1:21" ht="15.6" x14ac:dyDescent="0.3">
      <c r="A558" s="4">
        <v>557</v>
      </c>
      <c r="B558" s="5">
        <v>1987752</v>
      </c>
      <c r="C558" s="4" t="s">
        <v>84</v>
      </c>
      <c r="D558" s="4" t="s">
        <v>57</v>
      </c>
      <c r="E558" s="4" t="s">
        <v>64</v>
      </c>
      <c r="F558" s="4" t="s">
        <v>2939</v>
      </c>
      <c r="G558" s="6">
        <v>4.8</v>
      </c>
      <c r="H558" s="7">
        <v>45460.785185185188</v>
      </c>
      <c r="I558" s="7" t="str">
        <f>TEXT(multilingual_mobile_app_reviews_2025[[#This Row],[Review_date]],"dd-mm-yyyy")</f>
        <v>17-06-2024</v>
      </c>
      <c r="J558" s="7" t="str">
        <f>TEXT(multilingual_mobile_app_reviews_2025[[#This Row],[Review_date]],"YYYY")</f>
        <v>2024</v>
      </c>
      <c r="K558" s="7" t="str">
        <f>TEXT(multilingual_mobile_app_reviews_2025[[#This Row],[Review_date]],"MMMM")</f>
        <v>June</v>
      </c>
      <c r="L558" s="4" t="b">
        <v>1</v>
      </c>
      <c r="M558" s="4" t="s">
        <v>3</v>
      </c>
      <c r="N558" s="5">
        <v>181</v>
      </c>
      <c r="O558" s="5">
        <v>61</v>
      </c>
      <c r="P558" s="4" t="s">
        <v>180</v>
      </c>
      <c r="Q558" s="8" t="s">
        <v>2963</v>
      </c>
      <c r="R558" s="4" t="s">
        <v>772</v>
      </c>
      <c r="S558" s="4"/>
      <c r="T558"/>
      <c r="U558" s="23"/>
    </row>
    <row r="559" spans="1:21" ht="15.6" x14ac:dyDescent="0.3">
      <c r="A559" s="4">
        <v>558</v>
      </c>
      <c r="B559" s="5">
        <v>2586379</v>
      </c>
      <c r="C559" s="4" t="s">
        <v>25</v>
      </c>
      <c r="D559" s="4" t="s">
        <v>71</v>
      </c>
      <c r="E559" s="4" t="s">
        <v>64</v>
      </c>
      <c r="F559" s="4" t="s">
        <v>2946</v>
      </c>
      <c r="G559" s="6">
        <v>4.4000000000000004</v>
      </c>
      <c r="H559" s="7">
        <v>45578.964768518519</v>
      </c>
      <c r="I559" s="7" t="str">
        <f>TEXT(multilingual_mobile_app_reviews_2025[[#This Row],[Review_date]],"dd-mm-yyyy")</f>
        <v>13-10-2024</v>
      </c>
      <c r="J559" s="7" t="str">
        <f>TEXT(multilingual_mobile_app_reviews_2025[[#This Row],[Review_date]],"YYYY")</f>
        <v>2024</v>
      </c>
      <c r="K559" s="7" t="str">
        <f>TEXT(multilingual_mobile_app_reviews_2025[[#This Row],[Review_date]],"MMMM")</f>
        <v>October</v>
      </c>
      <c r="L559" s="4" t="b">
        <v>1</v>
      </c>
      <c r="M559" s="4" t="s">
        <v>98</v>
      </c>
      <c r="N559" s="5">
        <v>112</v>
      </c>
      <c r="O559" s="5">
        <v>30</v>
      </c>
      <c r="P559" s="4" t="s">
        <v>38</v>
      </c>
      <c r="Q559" s="8" t="s">
        <v>12</v>
      </c>
      <c r="R559" s="4" t="s">
        <v>773</v>
      </c>
      <c r="S559" s="4"/>
      <c r="T559"/>
      <c r="U559" s="23"/>
    </row>
    <row r="560" spans="1:21" ht="15.6" x14ac:dyDescent="0.3">
      <c r="A560" s="4">
        <v>559</v>
      </c>
      <c r="B560" s="5">
        <v>9875699</v>
      </c>
      <c r="C560" s="4" t="s">
        <v>75</v>
      </c>
      <c r="D560" s="4" t="s">
        <v>1</v>
      </c>
      <c r="E560" s="4" t="s">
        <v>774</v>
      </c>
      <c r="F560" s="4" t="s">
        <v>2949</v>
      </c>
      <c r="G560" s="6">
        <v>4</v>
      </c>
      <c r="H560" s="7">
        <v>45554.917083333334</v>
      </c>
      <c r="I560" s="7" t="str">
        <f>TEXT(multilingual_mobile_app_reviews_2025[[#This Row],[Review_date]],"dd-mm-yyyy")</f>
        <v>19-09-2024</v>
      </c>
      <c r="J560" s="7" t="str">
        <f>TEXT(multilingual_mobile_app_reviews_2025[[#This Row],[Review_date]],"YYYY")</f>
        <v>2024</v>
      </c>
      <c r="K560" s="7" t="str">
        <f>TEXT(multilingual_mobile_app_reviews_2025[[#This Row],[Review_date]],"MMMM")</f>
        <v>September</v>
      </c>
      <c r="L560" s="4" t="b">
        <v>1</v>
      </c>
      <c r="M560" s="4" t="s">
        <v>3</v>
      </c>
      <c r="N560" s="5">
        <v>279</v>
      </c>
      <c r="O560" s="5">
        <v>27</v>
      </c>
      <c r="P560" s="4" t="s">
        <v>94</v>
      </c>
      <c r="Q560" s="8" t="s">
        <v>2963</v>
      </c>
      <c r="R560" s="4" t="s">
        <v>775</v>
      </c>
      <c r="S560" s="4"/>
      <c r="T560"/>
      <c r="U560" s="23"/>
    </row>
    <row r="561" spans="1:21" ht="15.6" x14ac:dyDescent="0.3">
      <c r="A561" s="4">
        <v>560</v>
      </c>
      <c r="B561" s="5">
        <v>6993590</v>
      </c>
      <c r="C561" s="4" t="s">
        <v>89</v>
      </c>
      <c r="D561" s="4" t="s">
        <v>1</v>
      </c>
      <c r="E561" s="4" t="s">
        <v>27</v>
      </c>
      <c r="F561" s="4" t="s">
        <v>2959</v>
      </c>
      <c r="G561" s="6">
        <v>1.4</v>
      </c>
      <c r="H561" s="7">
        <v>45344.039247685185</v>
      </c>
      <c r="I561" s="7" t="str">
        <f>TEXT(multilingual_mobile_app_reviews_2025[[#This Row],[Review_date]],"dd-mm-yyyy")</f>
        <v>22-02-2024</v>
      </c>
      <c r="J561" s="7" t="str">
        <f>TEXT(multilingual_mobile_app_reviews_2025[[#This Row],[Review_date]],"YYYY")</f>
        <v>2024</v>
      </c>
      <c r="K561" s="7" t="str">
        <f>TEXT(multilingual_mobile_app_reviews_2025[[#This Row],[Review_date]],"MMMM")</f>
        <v>February</v>
      </c>
      <c r="L561" s="4" t="b">
        <v>1</v>
      </c>
      <c r="M561" s="4" t="s">
        <v>98</v>
      </c>
      <c r="N561" s="5">
        <v>1035</v>
      </c>
      <c r="O561" s="5">
        <v>41</v>
      </c>
      <c r="P561" s="4" t="s">
        <v>11</v>
      </c>
      <c r="Q561" s="8" t="s">
        <v>12</v>
      </c>
      <c r="R561" s="4" t="s">
        <v>776</v>
      </c>
      <c r="S561" s="4"/>
      <c r="T561"/>
      <c r="U561" s="23"/>
    </row>
    <row r="562" spans="1:21" ht="15.6" x14ac:dyDescent="0.3">
      <c r="A562" s="4">
        <v>561</v>
      </c>
      <c r="B562" s="5">
        <v>8246760</v>
      </c>
      <c r="C562" s="4" t="s">
        <v>56</v>
      </c>
      <c r="D562" s="4" t="s">
        <v>111</v>
      </c>
      <c r="E562" s="4" t="s">
        <v>76</v>
      </c>
      <c r="F562" s="4" t="s">
        <v>2956</v>
      </c>
      <c r="G562" s="6">
        <v>1.1000000000000001</v>
      </c>
      <c r="H562" s="7">
        <v>45583.181840277779</v>
      </c>
      <c r="I562" s="7" t="str">
        <f>TEXT(multilingual_mobile_app_reviews_2025[[#This Row],[Review_date]],"dd-mm-yyyy")</f>
        <v>18-10-2024</v>
      </c>
      <c r="J562" s="7" t="str">
        <f>TEXT(multilingual_mobile_app_reviews_2025[[#This Row],[Review_date]],"YYYY")</f>
        <v>2024</v>
      </c>
      <c r="K562" s="7" t="str">
        <f>TEXT(multilingual_mobile_app_reviews_2025[[#This Row],[Review_date]],"MMMM")</f>
        <v>October</v>
      </c>
      <c r="L562" s="4" t="b">
        <v>1</v>
      </c>
      <c r="M562" s="4" t="s">
        <v>22</v>
      </c>
      <c r="N562" s="5">
        <v>492</v>
      </c>
      <c r="O562" s="5">
        <v>23</v>
      </c>
      <c r="P562" s="4" t="s">
        <v>85</v>
      </c>
      <c r="Q562" s="8" t="s">
        <v>2963</v>
      </c>
      <c r="R562" s="4" t="s">
        <v>777</v>
      </c>
      <c r="S562" s="4"/>
      <c r="T562"/>
      <c r="U562" s="23"/>
    </row>
    <row r="563" spans="1:21" ht="15.6" x14ac:dyDescent="0.3">
      <c r="A563" s="4">
        <v>562</v>
      </c>
      <c r="B563" s="5">
        <v>8036405</v>
      </c>
      <c r="C563" s="4" t="s">
        <v>258</v>
      </c>
      <c r="D563" s="4" t="s">
        <v>111</v>
      </c>
      <c r="E563" s="4" t="s">
        <v>32</v>
      </c>
      <c r="F563" s="4" t="s">
        <v>2951</v>
      </c>
      <c r="G563" s="6">
        <v>1.1000000000000001</v>
      </c>
      <c r="H563" s="7">
        <v>45167.978703703702</v>
      </c>
      <c r="I563" s="7" t="str">
        <f>TEXT(multilingual_mobile_app_reviews_2025[[#This Row],[Review_date]],"dd-mm-yyyy")</f>
        <v>29-08-2023</v>
      </c>
      <c r="J563" s="7" t="str">
        <f>TEXT(multilingual_mobile_app_reviews_2025[[#This Row],[Review_date]],"YYYY")</f>
        <v>2023</v>
      </c>
      <c r="K563" s="7" t="str">
        <f>TEXT(multilingual_mobile_app_reviews_2025[[#This Row],[Review_date]],"MMMM")</f>
        <v>August</v>
      </c>
      <c r="L563" s="4" t="b">
        <v>1</v>
      </c>
      <c r="M563" s="4" t="s">
        <v>3</v>
      </c>
      <c r="N563" s="5">
        <v>246</v>
      </c>
      <c r="O563" s="5">
        <v>49</v>
      </c>
      <c r="P563" s="4" t="s">
        <v>11</v>
      </c>
      <c r="Q563" s="8" t="s">
        <v>12</v>
      </c>
      <c r="R563" s="4" t="s">
        <v>778</v>
      </c>
      <c r="S563" s="4"/>
      <c r="T563"/>
      <c r="U563" s="23"/>
    </row>
    <row r="564" spans="1:21" ht="15.6" x14ac:dyDescent="0.3">
      <c r="A564" s="4">
        <v>563</v>
      </c>
      <c r="B564" s="5">
        <v>4720682</v>
      </c>
      <c r="C564" s="4" t="s">
        <v>84</v>
      </c>
      <c r="D564" s="4" t="s">
        <v>31</v>
      </c>
      <c r="E564" s="4" t="s">
        <v>64</v>
      </c>
      <c r="F564" s="4" t="s">
        <v>2959</v>
      </c>
      <c r="G564" s="6">
        <v>2.4</v>
      </c>
      <c r="H564" s="7">
        <v>45451.877384259256</v>
      </c>
      <c r="I564" s="7" t="str">
        <f>TEXT(multilingual_mobile_app_reviews_2025[[#This Row],[Review_date]],"dd-mm-yyyy")</f>
        <v>08-06-2024</v>
      </c>
      <c r="J564" s="7" t="str">
        <f>TEXT(multilingual_mobile_app_reviews_2025[[#This Row],[Review_date]],"YYYY")</f>
        <v>2024</v>
      </c>
      <c r="K564" s="7" t="str">
        <f>TEXT(multilingual_mobile_app_reviews_2025[[#This Row],[Review_date]],"MMMM")</f>
        <v>June</v>
      </c>
      <c r="L564" s="4" t="b">
        <v>1</v>
      </c>
      <c r="M564" s="4" t="s">
        <v>33</v>
      </c>
      <c r="N564" s="5">
        <v>799</v>
      </c>
      <c r="O564" s="5">
        <v>45</v>
      </c>
      <c r="P564" s="4" t="s">
        <v>4</v>
      </c>
      <c r="Q564" s="8" t="s">
        <v>5</v>
      </c>
      <c r="R564" s="4" t="s">
        <v>779</v>
      </c>
      <c r="S564" s="4"/>
      <c r="T564"/>
      <c r="U564" s="23"/>
    </row>
    <row r="565" spans="1:21" ht="15.6" x14ac:dyDescent="0.3">
      <c r="A565" s="4">
        <v>564</v>
      </c>
      <c r="B565" s="5">
        <v>6839741</v>
      </c>
      <c r="C565" s="4" t="s">
        <v>174</v>
      </c>
      <c r="D565" s="4" t="s">
        <v>111</v>
      </c>
      <c r="E565" s="4" t="s">
        <v>130</v>
      </c>
      <c r="F565" s="4" t="s">
        <v>2955</v>
      </c>
      <c r="G565" s="6">
        <v>3.6</v>
      </c>
      <c r="H565" s="7">
        <v>45169.001539351855</v>
      </c>
      <c r="I565" s="7" t="str">
        <f>TEXT(multilingual_mobile_app_reviews_2025[[#This Row],[Review_date]],"dd-mm-yyyy")</f>
        <v>31-08-2023</v>
      </c>
      <c r="J565" s="7" t="str">
        <f>TEXT(multilingual_mobile_app_reviews_2025[[#This Row],[Review_date]],"YYYY")</f>
        <v>2023</v>
      </c>
      <c r="K565" s="7" t="str">
        <f>TEXT(multilingual_mobile_app_reviews_2025[[#This Row],[Review_date]],"MMMM")</f>
        <v>August</v>
      </c>
      <c r="L565" s="4" t="b">
        <v>1</v>
      </c>
      <c r="M565" s="4" t="s">
        <v>33</v>
      </c>
      <c r="N565" s="5">
        <v>1038</v>
      </c>
      <c r="O565" s="5">
        <v>62</v>
      </c>
      <c r="P565" s="4" t="s">
        <v>94</v>
      </c>
      <c r="Q565" s="8" t="s">
        <v>2963</v>
      </c>
      <c r="R565" s="4" t="s">
        <v>780</v>
      </c>
      <c r="S565" s="4"/>
      <c r="T565"/>
      <c r="U565" s="23"/>
    </row>
    <row r="566" spans="1:21" ht="15.6" x14ac:dyDescent="0.3">
      <c r="A566" s="4">
        <v>565</v>
      </c>
      <c r="B566" s="5">
        <v>5661547</v>
      </c>
      <c r="C566" s="4" t="s">
        <v>159</v>
      </c>
      <c r="D566" s="4" t="s">
        <v>20</v>
      </c>
      <c r="E566" s="4" t="s">
        <v>16</v>
      </c>
      <c r="F566" s="4" t="s">
        <v>2947</v>
      </c>
      <c r="G566" s="6">
        <v>4.7</v>
      </c>
      <c r="H566" s="7">
        <v>45675.216145833336</v>
      </c>
      <c r="I566" s="7" t="str">
        <f>TEXT(multilingual_mobile_app_reviews_2025[[#This Row],[Review_date]],"dd-mm-yyyy")</f>
        <v>18-01-2025</v>
      </c>
      <c r="J566" s="7" t="str">
        <f>TEXT(multilingual_mobile_app_reviews_2025[[#This Row],[Review_date]],"YYYY")</f>
        <v>2025</v>
      </c>
      <c r="K566" s="7" t="str">
        <f>TEXT(multilingual_mobile_app_reviews_2025[[#This Row],[Review_date]],"MMMM")</f>
        <v>January</v>
      </c>
      <c r="L566" s="4" t="b">
        <v>1</v>
      </c>
      <c r="M566" s="4" t="s">
        <v>3</v>
      </c>
      <c r="N566" s="5">
        <v>662</v>
      </c>
      <c r="O566" s="5">
        <v>61</v>
      </c>
      <c r="P566" s="4" t="s">
        <v>17</v>
      </c>
      <c r="Q566" s="8" t="s">
        <v>5</v>
      </c>
      <c r="R566" s="4" t="s">
        <v>781</v>
      </c>
      <c r="S566" s="4"/>
      <c r="T566"/>
      <c r="U566" s="23"/>
    </row>
    <row r="567" spans="1:21" ht="15.6" x14ac:dyDescent="0.3">
      <c r="A567" s="4">
        <v>566</v>
      </c>
      <c r="B567" s="5">
        <v>926965</v>
      </c>
      <c r="C567" s="4" t="s">
        <v>264</v>
      </c>
      <c r="D567" s="4" t="s">
        <v>63</v>
      </c>
      <c r="E567" s="4" t="s">
        <v>9</v>
      </c>
      <c r="F567" s="4" t="s">
        <v>2955</v>
      </c>
      <c r="G567" s="6">
        <v>3.5</v>
      </c>
      <c r="H567" s="7">
        <v>45718.119270833333</v>
      </c>
      <c r="I567" s="7" t="str">
        <f>TEXT(multilingual_mobile_app_reviews_2025[[#This Row],[Review_date]],"dd-mm-yyyy")</f>
        <v>02-03-2025</v>
      </c>
      <c r="J567" s="7" t="str">
        <f>TEXT(multilingual_mobile_app_reviews_2025[[#This Row],[Review_date]],"YYYY")</f>
        <v>2025</v>
      </c>
      <c r="K567" s="7" t="str">
        <f>TEXT(multilingual_mobile_app_reviews_2025[[#This Row],[Review_date]],"MMMM")</f>
        <v>March</v>
      </c>
      <c r="L567" s="4" t="b">
        <v>1</v>
      </c>
      <c r="M567" s="4" t="s">
        <v>98</v>
      </c>
      <c r="N567" s="5">
        <v>356</v>
      </c>
      <c r="O567" s="5">
        <v>33</v>
      </c>
      <c r="P567" s="4" t="s">
        <v>80</v>
      </c>
      <c r="Q567" s="8" t="s">
        <v>29</v>
      </c>
      <c r="R567" s="4" t="s">
        <v>782</v>
      </c>
      <c r="S567" s="4"/>
      <c r="T567"/>
      <c r="U567" s="23"/>
    </row>
    <row r="568" spans="1:21" ht="15.6" x14ac:dyDescent="0.3">
      <c r="A568" s="4">
        <v>567</v>
      </c>
      <c r="B568" s="5">
        <v>4606097</v>
      </c>
      <c r="C568" s="4" t="s">
        <v>104</v>
      </c>
      <c r="D568" s="4" t="s">
        <v>71</v>
      </c>
      <c r="E568" s="4" t="s">
        <v>783</v>
      </c>
      <c r="F568" s="4" t="s">
        <v>2941</v>
      </c>
      <c r="G568" s="6">
        <v>3.3</v>
      </c>
      <c r="H568" s="7">
        <v>45215.165960648148</v>
      </c>
      <c r="I568" s="7" t="str">
        <f>TEXT(multilingual_mobile_app_reviews_2025[[#This Row],[Review_date]],"dd-mm-yyyy")</f>
        <v>16-10-2023</v>
      </c>
      <c r="J568" s="7" t="str">
        <f>TEXT(multilingual_mobile_app_reviews_2025[[#This Row],[Review_date]],"YYYY")</f>
        <v>2023</v>
      </c>
      <c r="K568" s="7" t="str">
        <f>TEXT(multilingual_mobile_app_reviews_2025[[#This Row],[Review_date]],"MMMM")</f>
        <v>October</v>
      </c>
      <c r="L568" s="4" t="b">
        <v>1</v>
      </c>
      <c r="M568" s="4" t="s">
        <v>98</v>
      </c>
      <c r="N568" s="5">
        <v>416</v>
      </c>
      <c r="O568" s="5">
        <v>15</v>
      </c>
      <c r="P568" s="4" t="s">
        <v>180</v>
      </c>
      <c r="Q568" s="8" t="s">
        <v>12</v>
      </c>
      <c r="R568" s="4" t="s">
        <v>784</v>
      </c>
      <c r="S568" s="4"/>
      <c r="T568"/>
      <c r="U568" s="23"/>
    </row>
    <row r="569" spans="1:21" ht="15.6" x14ac:dyDescent="0.3">
      <c r="A569" s="4">
        <v>568</v>
      </c>
      <c r="B569" s="5">
        <v>2354614</v>
      </c>
      <c r="C569" s="4" t="s">
        <v>41</v>
      </c>
      <c r="D569" s="4" t="s">
        <v>60</v>
      </c>
      <c r="E569" s="4" t="s">
        <v>93</v>
      </c>
      <c r="F569" s="4" t="s">
        <v>2949</v>
      </c>
      <c r="G569" s="6">
        <v>4.4000000000000004</v>
      </c>
      <c r="H569" s="7">
        <v>45372.268321759257</v>
      </c>
      <c r="I569" s="7" t="str">
        <f>TEXT(multilingual_mobile_app_reviews_2025[[#This Row],[Review_date]],"dd-mm-yyyy")</f>
        <v>21-03-2024</v>
      </c>
      <c r="J569" s="7" t="str">
        <f>TEXT(multilingual_mobile_app_reviews_2025[[#This Row],[Review_date]],"YYYY")</f>
        <v>2024</v>
      </c>
      <c r="K569" s="7" t="str">
        <f>TEXT(multilingual_mobile_app_reviews_2025[[#This Row],[Review_date]],"MMMM")</f>
        <v>March</v>
      </c>
      <c r="L569" s="4" t="b">
        <v>0</v>
      </c>
      <c r="M569" s="4" t="s">
        <v>98</v>
      </c>
      <c r="N569" s="5">
        <v>898</v>
      </c>
      <c r="O569" s="5">
        <v>40</v>
      </c>
      <c r="P569" s="4" t="s">
        <v>38</v>
      </c>
      <c r="Q569" s="8" t="s">
        <v>29</v>
      </c>
      <c r="R569" s="4" t="s">
        <v>785</v>
      </c>
      <c r="S569" s="4"/>
      <c r="T569"/>
      <c r="U569" s="23"/>
    </row>
    <row r="570" spans="1:21" ht="15.6" x14ac:dyDescent="0.3">
      <c r="A570" s="4">
        <v>569</v>
      </c>
      <c r="B570" s="5">
        <v>7534162</v>
      </c>
      <c r="C570" s="4" t="s">
        <v>59</v>
      </c>
      <c r="D570" s="4" t="s">
        <v>8</v>
      </c>
      <c r="E570" s="4" t="s">
        <v>21</v>
      </c>
      <c r="F570" s="4" t="s">
        <v>2944</v>
      </c>
      <c r="G570" s="6">
        <v>2.6</v>
      </c>
      <c r="H570" s="7">
        <v>45740.085833333331</v>
      </c>
      <c r="I570" s="7" t="str">
        <f>TEXT(multilingual_mobile_app_reviews_2025[[#This Row],[Review_date]],"dd-mm-yyyy")</f>
        <v>24-03-2025</v>
      </c>
      <c r="J570" s="7" t="str">
        <f>TEXT(multilingual_mobile_app_reviews_2025[[#This Row],[Review_date]],"YYYY")</f>
        <v>2025</v>
      </c>
      <c r="K570" s="7" t="str">
        <f>TEXT(multilingual_mobile_app_reviews_2025[[#This Row],[Review_date]],"MMMM")</f>
        <v>March</v>
      </c>
      <c r="L570" s="4" t="b">
        <v>1</v>
      </c>
      <c r="M570" s="4" t="s">
        <v>10</v>
      </c>
      <c r="N570" s="5">
        <v>139</v>
      </c>
      <c r="O570" s="5">
        <v>68</v>
      </c>
      <c r="P570" s="4" t="s">
        <v>65</v>
      </c>
      <c r="Q570" s="8" t="s">
        <v>39</v>
      </c>
      <c r="R570" s="4" t="s">
        <v>786</v>
      </c>
      <c r="S570" s="4"/>
      <c r="T570"/>
      <c r="U570" s="23"/>
    </row>
    <row r="571" spans="1:21" ht="15.6" x14ac:dyDescent="0.3">
      <c r="A571" s="4">
        <v>570</v>
      </c>
      <c r="B571" s="5">
        <v>4620117</v>
      </c>
      <c r="C571" s="4" t="s">
        <v>159</v>
      </c>
      <c r="D571" s="4" t="s">
        <v>63</v>
      </c>
      <c r="E571" s="4" t="s">
        <v>109</v>
      </c>
      <c r="F571" s="4" t="s">
        <v>2954</v>
      </c>
      <c r="G571" s="6">
        <v>2.7</v>
      </c>
      <c r="H571" s="7">
        <v>45704.95349537037</v>
      </c>
      <c r="I571" s="7" t="str">
        <f>TEXT(multilingual_mobile_app_reviews_2025[[#This Row],[Review_date]],"dd-mm-yyyy")</f>
        <v>16-02-2025</v>
      </c>
      <c r="J571" s="7" t="str">
        <f>TEXT(multilingual_mobile_app_reviews_2025[[#This Row],[Review_date]],"YYYY")</f>
        <v>2025</v>
      </c>
      <c r="K571" s="7" t="str">
        <f>TEXT(multilingual_mobile_app_reviews_2025[[#This Row],[Review_date]],"MMMM")</f>
        <v>February</v>
      </c>
      <c r="L571" s="4" t="b">
        <v>1</v>
      </c>
      <c r="M571" s="4" t="s">
        <v>22</v>
      </c>
      <c r="N571" s="5">
        <v>685</v>
      </c>
      <c r="O571" s="5">
        <v>69</v>
      </c>
      <c r="P571" s="4" t="s">
        <v>23</v>
      </c>
      <c r="Q571" s="8" t="s">
        <v>5</v>
      </c>
      <c r="R571" s="4" t="s">
        <v>787</v>
      </c>
      <c r="S571" s="4"/>
      <c r="T571"/>
      <c r="U571" s="23"/>
    </row>
    <row r="572" spans="1:21" ht="15.6" x14ac:dyDescent="0.3">
      <c r="A572" s="4">
        <v>571</v>
      </c>
      <c r="B572" s="5">
        <v>1597984</v>
      </c>
      <c r="C572" s="4" t="s">
        <v>75</v>
      </c>
      <c r="D572" s="4" t="s">
        <v>8</v>
      </c>
      <c r="E572" s="4" t="s">
        <v>16</v>
      </c>
      <c r="F572" s="4" t="s">
        <v>2945</v>
      </c>
      <c r="G572" s="6">
        <v>3.4</v>
      </c>
      <c r="H572" s="7">
        <v>45284.852222222224</v>
      </c>
      <c r="I572" s="7" t="str">
        <f>TEXT(multilingual_mobile_app_reviews_2025[[#This Row],[Review_date]],"dd-mm-yyyy")</f>
        <v>24-12-2023</v>
      </c>
      <c r="J572" s="7" t="str">
        <f>TEXT(multilingual_mobile_app_reviews_2025[[#This Row],[Review_date]],"YYYY")</f>
        <v>2023</v>
      </c>
      <c r="K572" s="7" t="str">
        <f>TEXT(multilingual_mobile_app_reviews_2025[[#This Row],[Review_date]],"MMMM")</f>
        <v>December</v>
      </c>
      <c r="L572" s="4" t="b">
        <v>1</v>
      </c>
      <c r="M572" s="4" t="s">
        <v>33</v>
      </c>
      <c r="N572" s="5">
        <v>165</v>
      </c>
      <c r="O572" s="5">
        <v>69</v>
      </c>
      <c r="P572" s="4" t="s">
        <v>34</v>
      </c>
      <c r="Q572" s="8" t="s">
        <v>29</v>
      </c>
      <c r="R572" s="4" t="s">
        <v>788</v>
      </c>
      <c r="S572" s="4"/>
      <c r="T572"/>
      <c r="U572" s="23"/>
    </row>
    <row r="573" spans="1:21" ht="15.6" x14ac:dyDescent="0.3">
      <c r="A573" s="4">
        <v>572</v>
      </c>
      <c r="B573" s="5">
        <v>3646544</v>
      </c>
      <c r="C573" s="4" t="s">
        <v>84</v>
      </c>
      <c r="D573" s="4" t="s">
        <v>157</v>
      </c>
      <c r="E573" s="4" t="s">
        <v>27</v>
      </c>
      <c r="F573" s="4" t="s">
        <v>2949</v>
      </c>
      <c r="G573" s="6">
        <v>3.4</v>
      </c>
      <c r="H573" s="7">
        <v>45848.362488425926</v>
      </c>
      <c r="I573" s="7" t="str">
        <f>TEXT(multilingual_mobile_app_reviews_2025[[#This Row],[Review_date]],"dd-mm-yyyy")</f>
        <v>10-07-2025</v>
      </c>
      <c r="J573" s="7" t="str">
        <f>TEXT(multilingual_mobile_app_reviews_2025[[#This Row],[Review_date]],"YYYY")</f>
        <v>2025</v>
      </c>
      <c r="K573" s="7" t="str">
        <f>TEXT(multilingual_mobile_app_reviews_2025[[#This Row],[Review_date]],"MMMM")</f>
        <v>July</v>
      </c>
      <c r="L573" s="4" t="b">
        <v>1</v>
      </c>
      <c r="M573" s="4" t="s">
        <v>3</v>
      </c>
      <c r="N573" s="5">
        <v>37</v>
      </c>
      <c r="O573" s="5">
        <v>48</v>
      </c>
      <c r="P573" s="4" t="s">
        <v>99</v>
      </c>
      <c r="Q573" s="8" t="s">
        <v>12</v>
      </c>
      <c r="R573" s="4" t="s">
        <v>789</v>
      </c>
      <c r="S573" s="4"/>
      <c r="T573"/>
      <c r="U573" s="23"/>
    </row>
    <row r="574" spans="1:21" ht="15.6" x14ac:dyDescent="0.3">
      <c r="A574" s="4">
        <v>573</v>
      </c>
      <c r="B574" s="5">
        <v>8227895</v>
      </c>
      <c r="C574" s="4" t="s">
        <v>14</v>
      </c>
      <c r="D574" s="4" t="s">
        <v>57</v>
      </c>
      <c r="E574" s="4" t="s">
        <v>109</v>
      </c>
      <c r="F574" s="4" t="s">
        <v>2953</v>
      </c>
      <c r="G574" s="6">
        <v>1.9</v>
      </c>
      <c r="H574" s="7">
        <v>45728.79414351852</v>
      </c>
      <c r="I574" s="7" t="str">
        <f>TEXT(multilingual_mobile_app_reviews_2025[[#This Row],[Review_date]],"dd-mm-yyyy")</f>
        <v>12-03-2025</v>
      </c>
      <c r="J574" s="7" t="str">
        <f>TEXT(multilingual_mobile_app_reviews_2025[[#This Row],[Review_date]],"YYYY")</f>
        <v>2025</v>
      </c>
      <c r="K574" s="7" t="str">
        <f>TEXT(multilingual_mobile_app_reviews_2025[[#This Row],[Review_date]],"MMMM")</f>
        <v>March</v>
      </c>
      <c r="L574" s="4" t="b">
        <v>1</v>
      </c>
      <c r="M574" s="4" t="s">
        <v>33</v>
      </c>
      <c r="N574" s="5">
        <v>20</v>
      </c>
      <c r="O574" s="5">
        <v>27</v>
      </c>
      <c r="P574" s="4" t="s">
        <v>2963</v>
      </c>
      <c r="Q574" s="8" t="s">
        <v>2963</v>
      </c>
      <c r="R574" s="4" t="s">
        <v>790</v>
      </c>
      <c r="S574" s="4"/>
      <c r="T574"/>
      <c r="U574" s="23"/>
    </row>
    <row r="575" spans="1:21" ht="15.6" x14ac:dyDescent="0.3">
      <c r="A575" s="4">
        <v>574</v>
      </c>
      <c r="B575" s="5">
        <v>6373172</v>
      </c>
      <c r="C575" s="4" t="s">
        <v>264</v>
      </c>
      <c r="D575" s="4" t="s">
        <v>63</v>
      </c>
      <c r="E575" s="4" t="s">
        <v>93</v>
      </c>
      <c r="F575" s="4" t="s">
        <v>2956</v>
      </c>
      <c r="G575" s="6">
        <v>4.5999999999999996</v>
      </c>
      <c r="H575" s="7">
        <v>45776.581319444442</v>
      </c>
      <c r="I575" s="7" t="str">
        <f>TEXT(multilingual_mobile_app_reviews_2025[[#This Row],[Review_date]],"dd-mm-yyyy")</f>
        <v>29-04-2025</v>
      </c>
      <c r="J575" s="7" t="str">
        <f>TEXT(multilingual_mobile_app_reviews_2025[[#This Row],[Review_date]],"YYYY")</f>
        <v>2025</v>
      </c>
      <c r="K575" s="7" t="str">
        <f>TEXT(multilingual_mobile_app_reviews_2025[[#This Row],[Review_date]],"MMMM")</f>
        <v>April</v>
      </c>
      <c r="L575" s="4" t="b">
        <v>1</v>
      </c>
      <c r="M575" s="4" t="s">
        <v>10</v>
      </c>
      <c r="N575" s="5">
        <v>265</v>
      </c>
      <c r="O575" s="5">
        <v>51</v>
      </c>
      <c r="P575" s="4" t="s">
        <v>11</v>
      </c>
      <c r="Q575" s="8" t="s">
        <v>29</v>
      </c>
      <c r="R575" s="4" t="s">
        <v>791</v>
      </c>
      <c r="S575" s="4"/>
      <c r="T575"/>
      <c r="U575" s="23"/>
    </row>
    <row r="576" spans="1:21" ht="15.6" x14ac:dyDescent="0.3">
      <c r="A576" s="4">
        <v>575</v>
      </c>
      <c r="B576" s="5">
        <v>8744791</v>
      </c>
      <c r="C576" s="4" t="s">
        <v>84</v>
      </c>
      <c r="D576" s="4" t="s">
        <v>8</v>
      </c>
      <c r="E576" s="4" t="s">
        <v>792</v>
      </c>
      <c r="F576" s="4" t="s">
        <v>2944</v>
      </c>
      <c r="G576" s="6">
        <v>2.2999999999999998</v>
      </c>
      <c r="H576" s="7">
        <v>45162.617395833331</v>
      </c>
      <c r="I576" s="7" t="str">
        <f>TEXT(multilingual_mobile_app_reviews_2025[[#This Row],[Review_date]],"dd-mm-yyyy")</f>
        <v>24-08-2023</v>
      </c>
      <c r="J576" s="7" t="str">
        <f>TEXT(multilingual_mobile_app_reviews_2025[[#This Row],[Review_date]],"YYYY")</f>
        <v>2023</v>
      </c>
      <c r="K576" s="7" t="str">
        <f>TEXT(multilingual_mobile_app_reviews_2025[[#This Row],[Review_date]],"MMMM")</f>
        <v>August</v>
      </c>
      <c r="L576" s="4" t="b">
        <v>1</v>
      </c>
      <c r="M576" s="4" t="s">
        <v>33</v>
      </c>
      <c r="N576" s="5">
        <v>1031</v>
      </c>
      <c r="O576" s="5">
        <v>19</v>
      </c>
      <c r="P576" s="4" t="s">
        <v>23</v>
      </c>
      <c r="Q576" s="8" t="s">
        <v>39</v>
      </c>
      <c r="R576" s="4" t="s">
        <v>793</v>
      </c>
      <c r="S576" s="4"/>
      <c r="T576"/>
      <c r="U576" s="23"/>
    </row>
    <row r="577" spans="1:21" ht="15.6" x14ac:dyDescent="0.3">
      <c r="A577" s="4">
        <v>576</v>
      </c>
      <c r="B577" s="5">
        <v>6348955</v>
      </c>
      <c r="C577" s="4" t="s">
        <v>174</v>
      </c>
      <c r="D577" s="4" t="s">
        <v>97</v>
      </c>
      <c r="E577" s="4" t="s">
        <v>76</v>
      </c>
      <c r="F577" s="4" t="s">
        <v>2940</v>
      </c>
      <c r="G577" s="6">
        <v>4.9000000000000004</v>
      </c>
      <c r="H577" s="7">
        <v>45518.530138888891</v>
      </c>
      <c r="I577" s="7" t="str">
        <f>TEXT(multilingual_mobile_app_reviews_2025[[#This Row],[Review_date]],"dd-mm-yyyy")</f>
        <v>14-08-2024</v>
      </c>
      <c r="J577" s="7" t="str">
        <f>TEXT(multilingual_mobile_app_reviews_2025[[#This Row],[Review_date]],"YYYY")</f>
        <v>2024</v>
      </c>
      <c r="K577" s="7" t="str">
        <f>TEXT(multilingual_mobile_app_reviews_2025[[#This Row],[Review_date]],"MMMM")</f>
        <v>August</v>
      </c>
      <c r="L577" s="4" t="b">
        <v>1</v>
      </c>
      <c r="M577" s="4" t="s">
        <v>3</v>
      </c>
      <c r="N577" s="5">
        <v>929</v>
      </c>
      <c r="O577" s="5">
        <v>73</v>
      </c>
      <c r="P577" s="4" t="s">
        <v>80</v>
      </c>
      <c r="Q577" s="8" t="s">
        <v>12</v>
      </c>
      <c r="R577" s="4" t="s">
        <v>794</v>
      </c>
      <c r="S577" s="4"/>
      <c r="T577"/>
      <c r="U577" s="23"/>
    </row>
    <row r="578" spans="1:21" ht="15.6" x14ac:dyDescent="0.3">
      <c r="A578" s="4">
        <v>577</v>
      </c>
      <c r="B578" s="5">
        <v>7584373</v>
      </c>
      <c r="C578" s="4" t="s">
        <v>106</v>
      </c>
      <c r="D578" s="4" t="s">
        <v>63</v>
      </c>
      <c r="E578" s="4" t="s">
        <v>795</v>
      </c>
      <c r="F578" s="4" t="s">
        <v>2940</v>
      </c>
      <c r="G578" s="6">
        <v>1.9</v>
      </c>
      <c r="H578" s="7">
        <v>45583.364236111112</v>
      </c>
      <c r="I578" s="7" t="str">
        <f>TEXT(multilingual_mobile_app_reviews_2025[[#This Row],[Review_date]],"dd-mm-yyyy")</f>
        <v>18-10-2024</v>
      </c>
      <c r="J578" s="7" t="str">
        <f>TEXT(multilingual_mobile_app_reviews_2025[[#This Row],[Review_date]],"YYYY")</f>
        <v>2024</v>
      </c>
      <c r="K578" s="7" t="str">
        <f>TEXT(multilingual_mobile_app_reviews_2025[[#This Row],[Review_date]],"MMMM")</f>
        <v>October</v>
      </c>
      <c r="L578" s="4" t="b">
        <v>0</v>
      </c>
      <c r="M578" s="4" t="s">
        <v>3</v>
      </c>
      <c r="N578" s="5">
        <v>377</v>
      </c>
      <c r="O578" s="5">
        <v>55</v>
      </c>
      <c r="P578" s="4" t="s">
        <v>90</v>
      </c>
      <c r="Q578" s="8" t="s">
        <v>2963</v>
      </c>
      <c r="R578" s="4" t="s">
        <v>796</v>
      </c>
      <c r="S578" s="4"/>
      <c r="T578"/>
      <c r="U578" s="23"/>
    </row>
    <row r="579" spans="1:21" ht="15.6" x14ac:dyDescent="0.3">
      <c r="A579" s="4">
        <v>578</v>
      </c>
      <c r="B579" s="5">
        <v>3695669</v>
      </c>
      <c r="C579" s="4" t="s">
        <v>137</v>
      </c>
      <c r="D579" s="4" t="s">
        <v>26</v>
      </c>
      <c r="E579" s="4" t="s">
        <v>797</v>
      </c>
      <c r="F579" s="4" t="s">
        <v>2955</v>
      </c>
      <c r="G579" s="6">
        <v>2.7</v>
      </c>
      <c r="H579" s="7">
        <v>45692.480162037034</v>
      </c>
      <c r="I579" s="7" t="str">
        <f>TEXT(multilingual_mobile_app_reviews_2025[[#This Row],[Review_date]],"dd-mm-yyyy")</f>
        <v>04-02-2025</v>
      </c>
      <c r="J579" s="7" t="str">
        <f>TEXT(multilingual_mobile_app_reviews_2025[[#This Row],[Review_date]],"YYYY")</f>
        <v>2025</v>
      </c>
      <c r="K579" s="7" t="str">
        <f>TEXT(multilingual_mobile_app_reviews_2025[[#This Row],[Review_date]],"MMMM")</f>
        <v>February</v>
      </c>
      <c r="L579" s="4" t="b">
        <v>0</v>
      </c>
      <c r="M579" s="4" t="s">
        <v>3</v>
      </c>
      <c r="N579" s="5">
        <v>116</v>
      </c>
      <c r="O579" s="5">
        <v>64</v>
      </c>
      <c r="P579" s="4" t="s">
        <v>80</v>
      </c>
      <c r="Q579" s="8" t="s">
        <v>2963</v>
      </c>
      <c r="R579" s="4" t="s">
        <v>515</v>
      </c>
      <c r="S579" s="4"/>
      <c r="T579"/>
      <c r="U579" s="23"/>
    </row>
    <row r="580" spans="1:21" ht="15.6" x14ac:dyDescent="0.3">
      <c r="A580" s="4">
        <v>579</v>
      </c>
      <c r="B580" s="5">
        <v>4720085</v>
      </c>
      <c r="C580" s="4" t="s">
        <v>69</v>
      </c>
      <c r="D580" s="4" t="s">
        <v>157</v>
      </c>
      <c r="E580" s="4" t="s">
        <v>32</v>
      </c>
      <c r="F580" s="4" t="s">
        <v>2946</v>
      </c>
      <c r="G580" s="6">
        <v>4</v>
      </c>
      <c r="H580" s="7">
        <v>45468.05872685185</v>
      </c>
      <c r="I580" s="7" t="str">
        <f>TEXT(multilingual_mobile_app_reviews_2025[[#This Row],[Review_date]],"dd-mm-yyyy")</f>
        <v>25-06-2024</v>
      </c>
      <c r="J580" s="7" t="str">
        <f>TEXT(multilingual_mobile_app_reviews_2025[[#This Row],[Review_date]],"YYYY")</f>
        <v>2024</v>
      </c>
      <c r="K580" s="7" t="str">
        <f>TEXT(multilingual_mobile_app_reviews_2025[[#This Row],[Review_date]],"MMMM")</f>
        <v>June</v>
      </c>
      <c r="L580" s="4" t="b">
        <v>1</v>
      </c>
      <c r="M580" s="4" t="s">
        <v>22</v>
      </c>
      <c r="N580" s="5">
        <v>270</v>
      </c>
      <c r="O580" s="5">
        <v>71</v>
      </c>
      <c r="P580" s="4" t="s">
        <v>118</v>
      </c>
      <c r="Q580" s="8" t="s">
        <v>39</v>
      </c>
      <c r="R580" s="4" t="s">
        <v>798</v>
      </c>
      <c r="S580" s="4"/>
      <c r="T580"/>
      <c r="U580" s="23"/>
    </row>
    <row r="581" spans="1:21" ht="15.6" x14ac:dyDescent="0.3">
      <c r="A581" s="4">
        <v>580</v>
      </c>
      <c r="B581" s="5">
        <v>5950369</v>
      </c>
      <c r="C581" s="4" t="s">
        <v>36</v>
      </c>
      <c r="D581" s="4" t="s">
        <v>15</v>
      </c>
      <c r="E581" s="4" t="s">
        <v>93</v>
      </c>
      <c r="F581" s="4" t="s">
        <v>2939</v>
      </c>
      <c r="G581" s="6">
        <v>1.5</v>
      </c>
      <c r="H581" s="7">
        <v>45495.392557870371</v>
      </c>
      <c r="I581" s="7" t="str">
        <f>TEXT(multilingual_mobile_app_reviews_2025[[#This Row],[Review_date]],"dd-mm-yyyy")</f>
        <v>22-07-2024</v>
      </c>
      <c r="J581" s="7" t="str">
        <f>TEXT(multilingual_mobile_app_reviews_2025[[#This Row],[Review_date]],"YYYY")</f>
        <v>2024</v>
      </c>
      <c r="K581" s="7" t="str">
        <f>TEXT(multilingual_mobile_app_reviews_2025[[#This Row],[Review_date]],"MMMM")</f>
        <v>July</v>
      </c>
      <c r="L581" s="4" t="b">
        <v>1</v>
      </c>
      <c r="M581" s="4" t="s">
        <v>33</v>
      </c>
      <c r="N581" s="5">
        <v>657</v>
      </c>
      <c r="O581" s="5">
        <v>66</v>
      </c>
      <c r="P581" s="4" t="s">
        <v>2963</v>
      </c>
      <c r="Q581" s="8" t="s">
        <v>5</v>
      </c>
      <c r="R581" s="4" t="s">
        <v>799</v>
      </c>
      <c r="S581" s="4"/>
      <c r="T581"/>
      <c r="U581" s="23"/>
    </row>
    <row r="582" spans="1:21" ht="15.6" x14ac:dyDescent="0.3">
      <c r="A582" s="4">
        <v>581</v>
      </c>
      <c r="B582" s="5">
        <v>3760940</v>
      </c>
      <c r="C582" s="4" t="s">
        <v>0</v>
      </c>
      <c r="D582" s="4" t="s">
        <v>51</v>
      </c>
      <c r="E582" s="4" t="s">
        <v>93</v>
      </c>
      <c r="F582" s="4" t="s">
        <v>2949</v>
      </c>
      <c r="G582" s="6">
        <v>2.2999999999999998</v>
      </c>
      <c r="H582" s="7">
        <v>45501.37332175926</v>
      </c>
      <c r="I582" s="7" t="str">
        <f>TEXT(multilingual_mobile_app_reviews_2025[[#This Row],[Review_date]],"dd-mm-yyyy")</f>
        <v>28-07-2024</v>
      </c>
      <c r="J582" s="7" t="str">
        <f>TEXT(multilingual_mobile_app_reviews_2025[[#This Row],[Review_date]],"YYYY")</f>
        <v>2024</v>
      </c>
      <c r="K582" s="7" t="str">
        <f>TEXT(multilingual_mobile_app_reviews_2025[[#This Row],[Review_date]],"MMMM")</f>
        <v>July</v>
      </c>
      <c r="L582" s="4" t="b">
        <v>1</v>
      </c>
      <c r="M582" s="4" t="s">
        <v>98</v>
      </c>
      <c r="N582" s="5">
        <v>902</v>
      </c>
      <c r="O582" s="5">
        <v>24</v>
      </c>
      <c r="P582" s="4" t="s">
        <v>230</v>
      </c>
      <c r="Q582" s="8" t="s">
        <v>39</v>
      </c>
      <c r="R582" s="4" t="s">
        <v>800</v>
      </c>
      <c r="S582" s="4"/>
      <c r="T582"/>
      <c r="U582" s="23"/>
    </row>
    <row r="583" spans="1:21" ht="15.6" x14ac:dyDescent="0.3">
      <c r="A583" s="4">
        <v>582</v>
      </c>
      <c r="B583" s="5">
        <v>8834854</v>
      </c>
      <c r="C583" s="4" t="s">
        <v>75</v>
      </c>
      <c r="D583" s="4" t="s">
        <v>8</v>
      </c>
      <c r="E583" s="4" t="s">
        <v>109</v>
      </c>
      <c r="F583" s="4" t="s">
        <v>2949</v>
      </c>
      <c r="G583" s="6">
        <v>3.9</v>
      </c>
      <c r="H583" s="7">
        <v>45779.139398148145</v>
      </c>
      <c r="I583" s="7" t="str">
        <f>TEXT(multilingual_mobile_app_reviews_2025[[#This Row],[Review_date]],"dd-mm-yyyy")</f>
        <v>02-05-2025</v>
      </c>
      <c r="J583" s="7" t="str">
        <f>TEXT(multilingual_mobile_app_reviews_2025[[#This Row],[Review_date]],"YYYY")</f>
        <v>2025</v>
      </c>
      <c r="K583" s="7" t="str">
        <f>TEXT(multilingual_mobile_app_reviews_2025[[#This Row],[Review_date]],"MMMM")</f>
        <v>May</v>
      </c>
      <c r="L583" s="4" t="b">
        <v>0</v>
      </c>
      <c r="M583" s="4" t="s">
        <v>98</v>
      </c>
      <c r="N583" s="5">
        <v>530</v>
      </c>
      <c r="O583" s="5">
        <v>75</v>
      </c>
      <c r="P583" s="4" t="s">
        <v>230</v>
      </c>
      <c r="Q583" s="8" t="s">
        <v>12</v>
      </c>
      <c r="R583" s="4" t="s">
        <v>801</v>
      </c>
      <c r="S583" s="4"/>
      <c r="T583"/>
      <c r="U583" s="23"/>
    </row>
    <row r="584" spans="1:21" ht="15.6" x14ac:dyDescent="0.3">
      <c r="A584" s="4">
        <v>583</v>
      </c>
      <c r="B584" s="5">
        <v>6763113</v>
      </c>
      <c r="C584" s="4" t="s">
        <v>84</v>
      </c>
      <c r="D584" s="4" t="s">
        <v>1</v>
      </c>
      <c r="E584" s="4" t="s">
        <v>27</v>
      </c>
      <c r="F584" s="4" t="s">
        <v>2954</v>
      </c>
      <c r="G584" s="6">
        <v>3.3</v>
      </c>
      <c r="H584" s="7">
        <v>45592.862858796296</v>
      </c>
      <c r="I584" s="7" t="str">
        <f>TEXT(multilingual_mobile_app_reviews_2025[[#This Row],[Review_date]],"dd-mm-yyyy")</f>
        <v>27-10-2024</v>
      </c>
      <c r="J584" s="7" t="str">
        <f>TEXT(multilingual_mobile_app_reviews_2025[[#This Row],[Review_date]],"YYYY")</f>
        <v>2024</v>
      </c>
      <c r="K584" s="7" t="str">
        <f>TEXT(multilingual_mobile_app_reviews_2025[[#This Row],[Review_date]],"MMMM")</f>
        <v>October</v>
      </c>
      <c r="L584" s="4" t="b">
        <v>1</v>
      </c>
      <c r="M584" s="4" t="s">
        <v>3</v>
      </c>
      <c r="N584" s="5">
        <v>146</v>
      </c>
      <c r="O584" s="5">
        <v>54</v>
      </c>
      <c r="P584" s="4" t="s">
        <v>90</v>
      </c>
      <c r="Q584" s="8" t="s">
        <v>39</v>
      </c>
      <c r="R584" s="4" t="s">
        <v>802</v>
      </c>
      <c r="S584" s="4"/>
      <c r="T584"/>
      <c r="U584" s="23"/>
    </row>
    <row r="585" spans="1:21" ht="15.6" x14ac:dyDescent="0.3">
      <c r="A585" s="4">
        <v>584</v>
      </c>
      <c r="B585" s="5">
        <v>223271</v>
      </c>
      <c r="C585" s="4" t="s">
        <v>258</v>
      </c>
      <c r="D585" s="4" t="s">
        <v>60</v>
      </c>
      <c r="E585" s="4" t="s">
        <v>76</v>
      </c>
      <c r="F585" s="4" t="s">
        <v>2950</v>
      </c>
      <c r="G585" s="6">
        <v>1.1000000000000001</v>
      </c>
      <c r="H585" s="7">
        <v>45536.182708333334</v>
      </c>
      <c r="I585" s="7" t="str">
        <f>TEXT(multilingual_mobile_app_reviews_2025[[#This Row],[Review_date]],"dd-mm-yyyy")</f>
        <v>01-09-2024</v>
      </c>
      <c r="J585" s="7" t="str">
        <f>TEXT(multilingual_mobile_app_reviews_2025[[#This Row],[Review_date]],"YYYY")</f>
        <v>2024</v>
      </c>
      <c r="K585" s="7" t="str">
        <f>TEXT(multilingual_mobile_app_reviews_2025[[#This Row],[Review_date]],"MMMM")</f>
        <v>September</v>
      </c>
      <c r="L585" s="4" t="b">
        <v>0</v>
      </c>
      <c r="M585" s="4" t="s">
        <v>33</v>
      </c>
      <c r="N585" s="5">
        <v>433</v>
      </c>
      <c r="O585" s="5">
        <v>64</v>
      </c>
      <c r="P585" s="4" t="s">
        <v>73</v>
      </c>
      <c r="Q585" s="8" t="s">
        <v>2963</v>
      </c>
      <c r="R585" s="4" t="s">
        <v>803</v>
      </c>
      <c r="S585" s="4"/>
      <c r="T585"/>
      <c r="U585" s="23"/>
    </row>
    <row r="586" spans="1:21" ht="15.6" x14ac:dyDescent="0.3">
      <c r="A586" s="4">
        <v>585</v>
      </c>
      <c r="B586" s="5">
        <v>6378533</v>
      </c>
      <c r="C586" s="4" t="s">
        <v>101</v>
      </c>
      <c r="D586" s="4" t="s">
        <v>63</v>
      </c>
      <c r="E586" s="4" t="s">
        <v>804</v>
      </c>
      <c r="F586" s="4" t="s">
        <v>2948</v>
      </c>
      <c r="G586" s="6">
        <v>5</v>
      </c>
      <c r="H586" s="7">
        <v>45667.636886574073</v>
      </c>
      <c r="I586" s="7" t="str">
        <f>TEXT(multilingual_mobile_app_reviews_2025[[#This Row],[Review_date]],"dd-mm-yyyy")</f>
        <v>10-01-2025</v>
      </c>
      <c r="J586" s="7" t="str">
        <f>TEXT(multilingual_mobile_app_reviews_2025[[#This Row],[Review_date]],"YYYY")</f>
        <v>2025</v>
      </c>
      <c r="K586" s="7" t="str">
        <f>TEXT(multilingual_mobile_app_reviews_2025[[#This Row],[Review_date]],"MMMM")</f>
        <v>January</v>
      </c>
      <c r="L586" s="4" t="b">
        <v>1</v>
      </c>
      <c r="M586" s="4" t="s">
        <v>33</v>
      </c>
      <c r="N586" s="5">
        <v>856</v>
      </c>
      <c r="O586" s="5">
        <v>47</v>
      </c>
      <c r="P586" s="4" t="s">
        <v>44</v>
      </c>
      <c r="Q586" s="8" t="s">
        <v>12</v>
      </c>
      <c r="R586" s="4" t="s">
        <v>805</v>
      </c>
      <c r="S586" s="4"/>
      <c r="T586"/>
      <c r="U586" s="23"/>
    </row>
    <row r="587" spans="1:21" ht="15.6" x14ac:dyDescent="0.3">
      <c r="A587" s="4">
        <v>586</v>
      </c>
      <c r="B587" s="5">
        <v>527068</v>
      </c>
      <c r="C587" s="4" t="s">
        <v>104</v>
      </c>
      <c r="D587" s="4" t="s">
        <v>26</v>
      </c>
      <c r="E587" s="4" t="s">
        <v>9</v>
      </c>
      <c r="F587" s="4" t="s">
        <v>2953</v>
      </c>
      <c r="G587" s="6">
        <v>2.8</v>
      </c>
      <c r="H587" s="7">
        <v>45647.942928240744</v>
      </c>
      <c r="I587" s="7" t="str">
        <f>TEXT(multilingual_mobile_app_reviews_2025[[#This Row],[Review_date]],"dd-mm-yyyy")</f>
        <v>21-12-2024</v>
      </c>
      <c r="J587" s="7" t="str">
        <f>TEXT(multilingual_mobile_app_reviews_2025[[#This Row],[Review_date]],"YYYY")</f>
        <v>2024</v>
      </c>
      <c r="K587" s="7" t="str">
        <f>TEXT(multilingual_mobile_app_reviews_2025[[#This Row],[Review_date]],"MMMM")</f>
        <v>December</v>
      </c>
      <c r="L587" s="4" t="b">
        <v>1</v>
      </c>
      <c r="M587" s="4" t="s">
        <v>98</v>
      </c>
      <c r="N587" s="5">
        <v>493</v>
      </c>
      <c r="O587" s="5">
        <v>41</v>
      </c>
      <c r="P587" s="4" t="s">
        <v>44</v>
      </c>
      <c r="Q587" s="8" t="s">
        <v>29</v>
      </c>
      <c r="R587" s="4" t="s">
        <v>806</v>
      </c>
      <c r="S587" s="4"/>
      <c r="T587"/>
      <c r="U587" s="23"/>
    </row>
    <row r="588" spans="1:21" ht="15.6" x14ac:dyDescent="0.3">
      <c r="A588" s="4">
        <v>587</v>
      </c>
      <c r="B588" s="5">
        <v>5059422</v>
      </c>
      <c r="C588" s="4" t="s">
        <v>137</v>
      </c>
      <c r="D588" s="4" t="s">
        <v>8</v>
      </c>
      <c r="E588" s="4" t="s">
        <v>807</v>
      </c>
      <c r="F588" s="4" t="s">
        <v>2957</v>
      </c>
      <c r="G588" s="6">
        <v>3.3</v>
      </c>
      <c r="H588" s="7">
        <v>45660.733935185184</v>
      </c>
      <c r="I588" s="7" t="str">
        <f>TEXT(multilingual_mobile_app_reviews_2025[[#This Row],[Review_date]],"dd-mm-yyyy")</f>
        <v>03-01-2025</v>
      </c>
      <c r="J588" s="7" t="str">
        <f>TEXT(multilingual_mobile_app_reviews_2025[[#This Row],[Review_date]],"YYYY")</f>
        <v>2025</v>
      </c>
      <c r="K588" s="7" t="str">
        <f>TEXT(multilingual_mobile_app_reviews_2025[[#This Row],[Review_date]],"MMMM")</f>
        <v>January</v>
      </c>
      <c r="L588" s="4" t="b">
        <v>1</v>
      </c>
      <c r="M588" s="4" t="s">
        <v>22</v>
      </c>
      <c r="N588" s="5">
        <v>1240</v>
      </c>
      <c r="O588" s="5">
        <v>29</v>
      </c>
      <c r="P588" s="4" t="s">
        <v>114</v>
      </c>
      <c r="Q588" s="8" t="s">
        <v>39</v>
      </c>
      <c r="R588" s="4" t="s">
        <v>808</v>
      </c>
      <c r="S588" s="4"/>
      <c r="T588"/>
      <c r="U588" s="23"/>
    </row>
    <row r="589" spans="1:21" ht="15.6" x14ac:dyDescent="0.3">
      <c r="A589" s="4">
        <v>588</v>
      </c>
      <c r="B589" s="5">
        <v>8611330</v>
      </c>
      <c r="C589" s="4" t="s">
        <v>0</v>
      </c>
      <c r="D589" s="4" t="s">
        <v>220</v>
      </c>
      <c r="E589" s="4" t="s">
        <v>2938</v>
      </c>
      <c r="F589" s="4" t="s">
        <v>2949</v>
      </c>
      <c r="G589" s="6">
        <v>3.8</v>
      </c>
      <c r="H589" s="7">
        <v>45372.046469907407</v>
      </c>
      <c r="I589" s="7" t="str">
        <f>TEXT(multilingual_mobile_app_reviews_2025[[#This Row],[Review_date]],"dd-mm-yyyy")</f>
        <v>21-03-2024</v>
      </c>
      <c r="J589" s="7" t="str">
        <f>TEXT(multilingual_mobile_app_reviews_2025[[#This Row],[Review_date]],"YYYY")</f>
        <v>2024</v>
      </c>
      <c r="K589" s="7" t="str">
        <f>TEXT(multilingual_mobile_app_reviews_2025[[#This Row],[Review_date]],"MMMM")</f>
        <v>March</v>
      </c>
      <c r="L589" s="4" t="b">
        <v>1</v>
      </c>
      <c r="M589" s="4" t="s">
        <v>3</v>
      </c>
      <c r="N589" s="5">
        <v>206</v>
      </c>
      <c r="O589" s="5">
        <v>21</v>
      </c>
      <c r="P589" s="4" t="s">
        <v>23</v>
      </c>
      <c r="Q589" s="8" t="s">
        <v>29</v>
      </c>
      <c r="R589" s="4" t="s">
        <v>809</v>
      </c>
      <c r="S589" s="4"/>
      <c r="T589"/>
      <c r="U589" s="23"/>
    </row>
    <row r="590" spans="1:21" ht="15.6" x14ac:dyDescent="0.3">
      <c r="A590" s="4">
        <v>589</v>
      </c>
      <c r="B590" s="5">
        <v>9465848</v>
      </c>
      <c r="C590" s="4" t="s">
        <v>101</v>
      </c>
      <c r="D590" s="4" t="s">
        <v>157</v>
      </c>
      <c r="E590" s="4" t="s">
        <v>810</v>
      </c>
      <c r="F590" s="4" t="s">
        <v>2954</v>
      </c>
      <c r="G590" s="6">
        <v>3.4</v>
      </c>
      <c r="H590" s="7">
        <v>45377.3984375</v>
      </c>
      <c r="I590" s="7" t="str">
        <f>TEXT(multilingual_mobile_app_reviews_2025[[#This Row],[Review_date]],"dd-mm-yyyy")</f>
        <v>26-03-2024</v>
      </c>
      <c r="J590" s="7" t="str">
        <f>TEXT(multilingual_mobile_app_reviews_2025[[#This Row],[Review_date]],"YYYY")</f>
        <v>2024</v>
      </c>
      <c r="K590" s="7" t="str">
        <f>TEXT(multilingual_mobile_app_reviews_2025[[#This Row],[Review_date]],"MMMM")</f>
        <v>March</v>
      </c>
      <c r="L590" s="4" t="b">
        <v>1</v>
      </c>
      <c r="M590" s="4" t="s">
        <v>33</v>
      </c>
      <c r="N590" s="5">
        <v>220</v>
      </c>
      <c r="O590" s="5">
        <v>59</v>
      </c>
      <c r="P590" s="4" t="s">
        <v>23</v>
      </c>
      <c r="Q590" s="8" t="s">
        <v>12</v>
      </c>
      <c r="R590" s="4" t="s">
        <v>394</v>
      </c>
      <c r="S590" s="4"/>
      <c r="T590"/>
      <c r="U590" s="23"/>
    </row>
    <row r="591" spans="1:21" ht="15.6" x14ac:dyDescent="0.3">
      <c r="A591" s="4">
        <v>590</v>
      </c>
      <c r="B591" s="5">
        <v>5658579</v>
      </c>
      <c r="C591" s="4" t="s">
        <v>165</v>
      </c>
      <c r="D591" s="4" t="s">
        <v>71</v>
      </c>
      <c r="E591" s="4" t="s">
        <v>811</v>
      </c>
      <c r="F591" s="4" t="s">
        <v>2941</v>
      </c>
      <c r="G591" s="6">
        <v>1.6</v>
      </c>
      <c r="H591" s="7">
        <v>45494.284502314818</v>
      </c>
      <c r="I591" s="7" t="str">
        <f>TEXT(multilingual_mobile_app_reviews_2025[[#This Row],[Review_date]],"dd-mm-yyyy")</f>
        <v>21-07-2024</v>
      </c>
      <c r="J591" s="7" t="str">
        <f>TEXT(multilingual_mobile_app_reviews_2025[[#This Row],[Review_date]],"YYYY")</f>
        <v>2024</v>
      </c>
      <c r="K591" s="7" t="str">
        <f>TEXT(multilingual_mobile_app_reviews_2025[[#This Row],[Review_date]],"MMMM")</f>
        <v>July</v>
      </c>
      <c r="L591" s="4" t="b">
        <v>1</v>
      </c>
      <c r="M591" s="4" t="s">
        <v>98</v>
      </c>
      <c r="N591" s="5">
        <v>1215</v>
      </c>
      <c r="O591" s="5">
        <v>50</v>
      </c>
      <c r="P591" s="4" t="s">
        <v>162</v>
      </c>
      <c r="Q591" s="8" t="s">
        <v>29</v>
      </c>
      <c r="R591" s="4" t="s">
        <v>812</v>
      </c>
      <c r="S591" s="4"/>
      <c r="T591"/>
      <c r="U591" s="23"/>
    </row>
    <row r="592" spans="1:21" ht="15.6" x14ac:dyDescent="0.3">
      <c r="A592" s="4">
        <v>591</v>
      </c>
      <c r="B592" s="5">
        <v>5408033</v>
      </c>
      <c r="C592" s="4" t="s">
        <v>134</v>
      </c>
      <c r="D592" s="4" t="s">
        <v>8</v>
      </c>
      <c r="E592" s="4" t="s">
        <v>64</v>
      </c>
      <c r="F592" s="4" t="s">
        <v>2950</v>
      </c>
      <c r="G592" s="6">
        <v>3</v>
      </c>
      <c r="H592" s="7">
        <v>45808.71943287037</v>
      </c>
      <c r="I592" s="7" t="str">
        <f>TEXT(multilingual_mobile_app_reviews_2025[[#This Row],[Review_date]],"dd-mm-yyyy")</f>
        <v>31-05-2025</v>
      </c>
      <c r="J592" s="7" t="str">
        <f>TEXT(multilingual_mobile_app_reviews_2025[[#This Row],[Review_date]],"YYYY")</f>
        <v>2025</v>
      </c>
      <c r="K592" s="7" t="str">
        <f>TEXT(multilingual_mobile_app_reviews_2025[[#This Row],[Review_date]],"MMMM")</f>
        <v>May</v>
      </c>
      <c r="L592" s="4" t="b">
        <v>0</v>
      </c>
      <c r="M592" s="4" t="s">
        <v>3</v>
      </c>
      <c r="N592" s="5">
        <v>584</v>
      </c>
      <c r="O592" s="5">
        <v>33</v>
      </c>
      <c r="P592" s="4" t="s">
        <v>11</v>
      </c>
      <c r="Q592" s="8" t="s">
        <v>39</v>
      </c>
      <c r="R592" s="4" t="s">
        <v>813</v>
      </c>
      <c r="S592" s="4"/>
      <c r="T592"/>
      <c r="U592" s="23"/>
    </row>
    <row r="593" spans="1:21" ht="15.6" x14ac:dyDescent="0.3">
      <c r="A593" s="4">
        <v>592</v>
      </c>
      <c r="B593" s="5">
        <v>3125884</v>
      </c>
      <c r="C593" s="4" t="s">
        <v>113</v>
      </c>
      <c r="D593" s="4" t="s">
        <v>157</v>
      </c>
      <c r="E593" s="4" t="s">
        <v>76</v>
      </c>
      <c r="F593" s="4" t="s">
        <v>2942</v>
      </c>
      <c r="G593" s="6">
        <v>2.2000000000000002</v>
      </c>
      <c r="H593" s="7">
        <v>45743.899756944447</v>
      </c>
      <c r="I593" s="7" t="str">
        <f>TEXT(multilingual_mobile_app_reviews_2025[[#This Row],[Review_date]],"dd-mm-yyyy")</f>
        <v>27-03-2025</v>
      </c>
      <c r="J593" s="7" t="str">
        <f>TEXT(multilingual_mobile_app_reviews_2025[[#This Row],[Review_date]],"YYYY")</f>
        <v>2025</v>
      </c>
      <c r="K593" s="7" t="str">
        <f>TEXT(multilingual_mobile_app_reviews_2025[[#This Row],[Review_date]],"MMMM")</f>
        <v>March</v>
      </c>
      <c r="L593" s="4" t="b">
        <v>1</v>
      </c>
      <c r="M593" s="4" t="s">
        <v>3</v>
      </c>
      <c r="N593" s="5">
        <v>898</v>
      </c>
      <c r="O593" s="5">
        <v>27</v>
      </c>
      <c r="P593" s="4" t="s">
        <v>65</v>
      </c>
      <c r="Q593" s="8" t="s">
        <v>39</v>
      </c>
      <c r="R593" s="4" t="s">
        <v>814</v>
      </c>
      <c r="S593" s="4"/>
      <c r="T593"/>
      <c r="U593" s="23"/>
    </row>
    <row r="594" spans="1:21" ht="15.6" x14ac:dyDescent="0.3">
      <c r="A594" s="4">
        <v>593</v>
      </c>
      <c r="B594" s="5">
        <v>8280249</v>
      </c>
      <c r="C594" s="4" t="s">
        <v>19</v>
      </c>
      <c r="D594" s="4" t="s">
        <v>31</v>
      </c>
      <c r="E594" s="4" t="s">
        <v>109</v>
      </c>
      <c r="F594" s="4" t="s">
        <v>2949</v>
      </c>
      <c r="G594" s="6">
        <v>3.2</v>
      </c>
      <c r="H594" s="7">
        <v>45397.239189814813</v>
      </c>
      <c r="I594" s="7" t="str">
        <f>TEXT(multilingual_mobile_app_reviews_2025[[#This Row],[Review_date]],"dd-mm-yyyy")</f>
        <v>15-04-2024</v>
      </c>
      <c r="J594" s="7" t="str">
        <f>TEXT(multilingual_mobile_app_reviews_2025[[#This Row],[Review_date]],"YYYY")</f>
        <v>2024</v>
      </c>
      <c r="K594" s="7" t="str">
        <f>TEXT(multilingual_mobile_app_reviews_2025[[#This Row],[Review_date]],"MMMM")</f>
        <v>April</v>
      </c>
      <c r="L594" s="4" t="b">
        <v>0</v>
      </c>
      <c r="M594" s="4" t="s">
        <v>22</v>
      </c>
      <c r="N594" s="5">
        <v>13</v>
      </c>
      <c r="O594" s="5">
        <v>44</v>
      </c>
      <c r="P594" s="4" t="s">
        <v>118</v>
      </c>
      <c r="Q594" s="8" t="s">
        <v>39</v>
      </c>
      <c r="R594" s="4" t="s">
        <v>299</v>
      </c>
      <c r="S594" s="4"/>
      <c r="T594"/>
      <c r="U594" s="23"/>
    </row>
    <row r="595" spans="1:21" ht="15.6" x14ac:dyDescent="0.3">
      <c r="A595" s="4">
        <v>594</v>
      </c>
      <c r="B595" s="5">
        <v>3066618</v>
      </c>
      <c r="C595" s="4" t="s">
        <v>69</v>
      </c>
      <c r="D595" s="4" t="s">
        <v>71</v>
      </c>
      <c r="E595" s="4" t="s">
        <v>815</v>
      </c>
      <c r="F595" s="4" t="s">
        <v>2941</v>
      </c>
      <c r="G595" s="6">
        <v>4.5</v>
      </c>
      <c r="H595" s="7">
        <v>45142.504884259259</v>
      </c>
      <c r="I595" s="7" t="str">
        <f>TEXT(multilingual_mobile_app_reviews_2025[[#This Row],[Review_date]],"dd-mm-yyyy")</f>
        <v>04-08-2023</v>
      </c>
      <c r="J595" s="7" t="str">
        <f>TEXT(multilingual_mobile_app_reviews_2025[[#This Row],[Review_date]],"YYYY")</f>
        <v>2023</v>
      </c>
      <c r="K595" s="7" t="str">
        <f>TEXT(multilingual_mobile_app_reviews_2025[[#This Row],[Review_date]],"MMMM")</f>
        <v>August</v>
      </c>
      <c r="L595" s="4" t="b">
        <v>1</v>
      </c>
      <c r="M595" s="4" t="s">
        <v>10</v>
      </c>
      <c r="N595" s="5">
        <v>238</v>
      </c>
      <c r="O595" s="5">
        <v>74</v>
      </c>
      <c r="P595" s="4" t="s">
        <v>162</v>
      </c>
      <c r="Q595" s="8" t="s">
        <v>12</v>
      </c>
      <c r="R595" s="4" t="s">
        <v>816</v>
      </c>
      <c r="S595" s="4"/>
      <c r="T595"/>
      <c r="U595" s="23"/>
    </row>
    <row r="596" spans="1:21" ht="15.6" x14ac:dyDescent="0.3">
      <c r="A596" s="4">
        <v>595</v>
      </c>
      <c r="B596" s="5">
        <v>9055386</v>
      </c>
      <c r="C596" s="4" t="s">
        <v>69</v>
      </c>
      <c r="D596" s="4" t="s">
        <v>97</v>
      </c>
      <c r="E596" s="4" t="s">
        <v>64</v>
      </c>
      <c r="F596" s="4" t="s">
        <v>2954</v>
      </c>
      <c r="G596" s="6">
        <v>1.8</v>
      </c>
      <c r="H596" s="7">
        <v>45293.767881944441</v>
      </c>
      <c r="I596" s="7" t="str">
        <f>TEXT(multilingual_mobile_app_reviews_2025[[#This Row],[Review_date]],"dd-mm-yyyy")</f>
        <v>02-01-2024</v>
      </c>
      <c r="J596" s="7" t="str">
        <f>TEXT(multilingual_mobile_app_reviews_2025[[#This Row],[Review_date]],"YYYY")</f>
        <v>2024</v>
      </c>
      <c r="K596" s="7" t="str">
        <f>TEXT(multilingual_mobile_app_reviews_2025[[#This Row],[Review_date]],"MMMM")</f>
        <v>January</v>
      </c>
      <c r="L596" s="4" t="b">
        <v>0</v>
      </c>
      <c r="M596" s="4" t="s">
        <v>33</v>
      </c>
      <c r="N596" s="5">
        <v>72</v>
      </c>
      <c r="O596" s="5">
        <v>73</v>
      </c>
      <c r="P596" s="4" t="s">
        <v>38</v>
      </c>
      <c r="Q596" s="8" t="s">
        <v>12</v>
      </c>
      <c r="R596" s="4" t="s">
        <v>817</v>
      </c>
      <c r="S596" s="4"/>
      <c r="T596"/>
      <c r="U596" s="23"/>
    </row>
    <row r="597" spans="1:21" ht="15.6" x14ac:dyDescent="0.3">
      <c r="A597" s="4">
        <v>596</v>
      </c>
      <c r="B597" s="5">
        <v>6359602</v>
      </c>
      <c r="C597" s="4" t="s">
        <v>54</v>
      </c>
      <c r="D597" s="4" t="s">
        <v>31</v>
      </c>
      <c r="E597" s="4" t="s">
        <v>16</v>
      </c>
      <c r="F597" s="4" t="s">
        <v>2948</v>
      </c>
      <c r="G597" s="6">
        <v>4.4000000000000004</v>
      </c>
      <c r="H597" s="7">
        <v>45149.812280092592</v>
      </c>
      <c r="I597" s="7" t="str">
        <f>TEXT(multilingual_mobile_app_reviews_2025[[#This Row],[Review_date]],"dd-mm-yyyy")</f>
        <v>11-08-2023</v>
      </c>
      <c r="J597" s="7" t="str">
        <f>TEXT(multilingual_mobile_app_reviews_2025[[#This Row],[Review_date]],"YYYY")</f>
        <v>2023</v>
      </c>
      <c r="K597" s="7" t="str">
        <f>TEXT(multilingual_mobile_app_reviews_2025[[#This Row],[Review_date]],"MMMM")</f>
        <v>August</v>
      </c>
      <c r="L597" s="4" t="b">
        <v>1</v>
      </c>
      <c r="M597" s="4" t="s">
        <v>22</v>
      </c>
      <c r="N597" s="5">
        <v>6</v>
      </c>
      <c r="O597" s="5">
        <v>40</v>
      </c>
      <c r="P597" s="4" t="s">
        <v>4</v>
      </c>
      <c r="Q597" s="8" t="s">
        <v>29</v>
      </c>
      <c r="R597" s="4" t="s">
        <v>818</v>
      </c>
      <c r="S597" s="4"/>
      <c r="T597"/>
      <c r="U597" s="23"/>
    </row>
    <row r="598" spans="1:21" ht="15.6" x14ac:dyDescent="0.3">
      <c r="A598" s="4">
        <v>597</v>
      </c>
      <c r="B598" s="5">
        <v>9009268</v>
      </c>
      <c r="C598" s="4" t="s">
        <v>101</v>
      </c>
      <c r="D598" s="4" t="s">
        <v>8</v>
      </c>
      <c r="E598" s="4" t="s">
        <v>819</v>
      </c>
      <c r="F598" s="4" t="s">
        <v>2962</v>
      </c>
      <c r="G598" s="6">
        <v>3.7</v>
      </c>
      <c r="H598" s="7">
        <v>45381.287488425929</v>
      </c>
      <c r="I598" s="7" t="str">
        <f>TEXT(multilingual_mobile_app_reviews_2025[[#This Row],[Review_date]],"dd-mm-yyyy")</f>
        <v>30-03-2024</v>
      </c>
      <c r="J598" s="7" t="str">
        <f>TEXT(multilingual_mobile_app_reviews_2025[[#This Row],[Review_date]],"YYYY")</f>
        <v>2024</v>
      </c>
      <c r="K598" s="7" t="str">
        <f>TEXT(multilingual_mobile_app_reviews_2025[[#This Row],[Review_date]],"MMMM")</f>
        <v>March</v>
      </c>
      <c r="L598" s="4" t="b">
        <v>1</v>
      </c>
      <c r="M598" s="4" t="s">
        <v>3</v>
      </c>
      <c r="N598" s="5">
        <v>803</v>
      </c>
      <c r="O598" s="5">
        <v>51</v>
      </c>
      <c r="P598" s="4" t="s">
        <v>162</v>
      </c>
      <c r="Q598" s="8" t="s">
        <v>2963</v>
      </c>
      <c r="R598" s="4" t="s">
        <v>820</v>
      </c>
      <c r="S598" s="4"/>
      <c r="T598"/>
      <c r="U598" s="23"/>
    </row>
    <row r="599" spans="1:21" ht="15.6" x14ac:dyDescent="0.3">
      <c r="A599" s="4">
        <v>598</v>
      </c>
      <c r="B599" s="5">
        <v>1823158</v>
      </c>
      <c r="C599" s="4" t="s">
        <v>96</v>
      </c>
      <c r="D599" s="4" t="s">
        <v>157</v>
      </c>
      <c r="E599" s="4" t="s">
        <v>9</v>
      </c>
      <c r="F599" s="4" t="s">
        <v>2957</v>
      </c>
      <c r="G599" s="6">
        <v>1.5</v>
      </c>
      <c r="H599" s="7">
        <v>45436.790717592594</v>
      </c>
      <c r="I599" s="7" t="str">
        <f>TEXT(multilingual_mobile_app_reviews_2025[[#This Row],[Review_date]],"dd-mm-yyyy")</f>
        <v>24-05-2024</v>
      </c>
      <c r="J599" s="7" t="str">
        <f>TEXT(multilingual_mobile_app_reviews_2025[[#This Row],[Review_date]],"YYYY")</f>
        <v>2024</v>
      </c>
      <c r="K599" s="7" t="str">
        <f>TEXT(multilingual_mobile_app_reviews_2025[[#This Row],[Review_date]],"MMMM")</f>
        <v>May</v>
      </c>
      <c r="L599" s="4" t="b">
        <v>1</v>
      </c>
      <c r="M599" s="4" t="s">
        <v>3</v>
      </c>
      <c r="N599" s="5">
        <v>262</v>
      </c>
      <c r="O599" s="5">
        <v>62</v>
      </c>
      <c r="P599" s="4" t="s">
        <v>99</v>
      </c>
      <c r="Q599" s="8" t="s">
        <v>29</v>
      </c>
      <c r="R599" s="4" t="s">
        <v>821</v>
      </c>
      <c r="S599" s="4"/>
      <c r="T599"/>
      <c r="U599" s="23"/>
    </row>
    <row r="600" spans="1:21" ht="15.6" x14ac:dyDescent="0.3">
      <c r="A600" s="4">
        <v>599</v>
      </c>
      <c r="B600" s="5">
        <v>9976255</v>
      </c>
      <c r="C600" s="4" t="s">
        <v>7</v>
      </c>
      <c r="D600" s="4" t="s">
        <v>63</v>
      </c>
      <c r="E600" s="4" t="s">
        <v>130</v>
      </c>
      <c r="F600" s="4" t="s">
        <v>2945</v>
      </c>
      <c r="G600" s="6">
        <v>2.6</v>
      </c>
      <c r="H600" s="7">
        <v>45376.644884259258</v>
      </c>
      <c r="I600" s="7" t="str">
        <f>TEXT(multilingual_mobile_app_reviews_2025[[#This Row],[Review_date]],"dd-mm-yyyy")</f>
        <v>25-03-2024</v>
      </c>
      <c r="J600" s="7" t="str">
        <f>TEXT(multilingual_mobile_app_reviews_2025[[#This Row],[Review_date]],"YYYY")</f>
        <v>2024</v>
      </c>
      <c r="K600" s="7" t="str">
        <f>TEXT(multilingual_mobile_app_reviews_2025[[#This Row],[Review_date]],"MMMM")</f>
        <v>March</v>
      </c>
      <c r="L600" s="4" t="b">
        <v>1</v>
      </c>
      <c r="M600" s="4" t="s">
        <v>98</v>
      </c>
      <c r="N600" s="5">
        <v>549</v>
      </c>
      <c r="O600" s="5">
        <v>44</v>
      </c>
      <c r="P600" s="4" t="s">
        <v>44</v>
      </c>
      <c r="Q600" s="8" t="s">
        <v>5</v>
      </c>
      <c r="R600" s="4" t="s">
        <v>822</v>
      </c>
      <c r="S600" s="4"/>
      <c r="T600"/>
      <c r="U600" s="23"/>
    </row>
    <row r="601" spans="1:21" ht="15.6" x14ac:dyDescent="0.3">
      <c r="A601" s="4">
        <v>600</v>
      </c>
      <c r="B601" s="5">
        <v>1195334</v>
      </c>
      <c r="C601" s="4" t="s">
        <v>176</v>
      </c>
      <c r="D601" s="4" t="s">
        <v>51</v>
      </c>
      <c r="E601" s="4" t="s">
        <v>109</v>
      </c>
      <c r="F601" s="4" t="s">
        <v>2961</v>
      </c>
      <c r="G601" s="6">
        <v>1.1000000000000001</v>
      </c>
      <c r="H601" s="7">
        <v>45778.776678240742</v>
      </c>
      <c r="I601" s="7" t="str">
        <f>TEXT(multilingual_mobile_app_reviews_2025[[#This Row],[Review_date]],"dd-mm-yyyy")</f>
        <v>01-05-2025</v>
      </c>
      <c r="J601" s="7" t="str">
        <f>TEXT(multilingual_mobile_app_reviews_2025[[#This Row],[Review_date]],"YYYY")</f>
        <v>2025</v>
      </c>
      <c r="K601" s="7" t="str">
        <f>TEXT(multilingual_mobile_app_reviews_2025[[#This Row],[Review_date]],"MMMM")</f>
        <v>May</v>
      </c>
      <c r="L601" s="4" t="b">
        <v>1</v>
      </c>
      <c r="M601" s="4" t="s">
        <v>3</v>
      </c>
      <c r="N601" s="5">
        <v>184</v>
      </c>
      <c r="O601" s="5">
        <v>62</v>
      </c>
      <c r="P601" s="4" t="s">
        <v>61</v>
      </c>
      <c r="Q601" s="8" t="s">
        <v>39</v>
      </c>
      <c r="R601" s="4" t="s">
        <v>160</v>
      </c>
      <c r="S601" s="4"/>
      <c r="T601"/>
      <c r="U601" s="23"/>
    </row>
    <row r="602" spans="1:21" ht="15.6" x14ac:dyDescent="0.3">
      <c r="A602" s="4">
        <v>601</v>
      </c>
      <c r="B602" s="5">
        <v>5103003</v>
      </c>
      <c r="C602" s="4" t="s">
        <v>258</v>
      </c>
      <c r="D602" s="4" t="s">
        <v>51</v>
      </c>
      <c r="E602" s="4" t="s">
        <v>76</v>
      </c>
      <c r="F602" s="4" t="s">
        <v>2943</v>
      </c>
      <c r="G602" s="6">
        <v>2.2999999999999998</v>
      </c>
      <c r="H602" s="7">
        <v>45364.770879629628</v>
      </c>
      <c r="I602" s="7" t="str">
        <f>TEXT(multilingual_mobile_app_reviews_2025[[#This Row],[Review_date]],"dd-mm-yyyy")</f>
        <v>13-03-2024</v>
      </c>
      <c r="J602" s="7" t="str">
        <f>TEXT(multilingual_mobile_app_reviews_2025[[#This Row],[Review_date]],"YYYY")</f>
        <v>2024</v>
      </c>
      <c r="K602" s="7" t="str">
        <f>TEXT(multilingual_mobile_app_reviews_2025[[#This Row],[Review_date]],"MMMM")</f>
        <v>March</v>
      </c>
      <c r="L602" s="4" t="b">
        <v>1</v>
      </c>
      <c r="M602" s="4" t="s">
        <v>22</v>
      </c>
      <c r="N602" s="5">
        <v>1132</v>
      </c>
      <c r="O602" s="5">
        <v>59</v>
      </c>
      <c r="P602" s="4" t="s">
        <v>17</v>
      </c>
      <c r="Q602" s="8" t="s">
        <v>12</v>
      </c>
      <c r="R602" s="4" t="s">
        <v>170</v>
      </c>
      <c r="S602" s="4"/>
      <c r="T602"/>
      <c r="U602" s="23"/>
    </row>
    <row r="603" spans="1:21" ht="15.6" x14ac:dyDescent="0.3">
      <c r="A603" s="4">
        <v>602</v>
      </c>
      <c r="B603" s="5">
        <v>8828991</v>
      </c>
      <c r="C603" s="4" t="s">
        <v>59</v>
      </c>
      <c r="D603" s="4" t="s">
        <v>63</v>
      </c>
      <c r="E603" s="4" t="s">
        <v>27</v>
      </c>
      <c r="F603" s="4" t="s">
        <v>2940</v>
      </c>
      <c r="G603" s="6">
        <v>2.1</v>
      </c>
      <c r="H603" s="7">
        <v>45602.092465277776</v>
      </c>
      <c r="I603" s="7" t="str">
        <f>TEXT(multilingual_mobile_app_reviews_2025[[#This Row],[Review_date]],"dd-mm-yyyy")</f>
        <v>06-11-2024</v>
      </c>
      <c r="J603" s="7" t="str">
        <f>TEXT(multilingual_mobile_app_reviews_2025[[#This Row],[Review_date]],"YYYY")</f>
        <v>2024</v>
      </c>
      <c r="K603" s="7" t="str">
        <f>TEXT(multilingual_mobile_app_reviews_2025[[#This Row],[Review_date]],"MMMM")</f>
        <v>November</v>
      </c>
      <c r="L603" s="4" t="b">
        <v>1</v>
      </c>
      <c r="M603" s="4" t="s">
        <v>98</v>
      </c>
      <c r="N603" s="5">
        <v>773</v>
      </c>
      <c r="O603" s="5">
        <v>54</v>
      </c>
      <c r="P603" s="4" t="s">
        <v>11</v>
      </c>
      <c r="Q603" s="8" t="s">
        <v>5</v>
      </c>
      <c r="R603" s="4" t="s">
        <v>257</v>
      </c>
      <c r="S603" s="4"/>
      <c r="T603"/>
      <c r="U603" s="23"/>
    </row>
    <row r="604" spans="1:21" ht="15.6" x14ac:dyDescent="0.3">
      <c r="A604" s="4">
        <v>603</v>
      </c>
      <c r="B604" s="5">
        <v>5767933</v>
      </c>
      <c r="C604" s="4" t="s">
        <v>7</v>
      </c>
      <c r="D604" s="4" t="s">
        <v>42</v>
      </c>
      <c r="E604" s="4" t="s">
        <v>823</v>
      </c>
      <c r="F604" s="4" t="s">
        <v>2959</v>
      </c>
      <c r="G604" s="6">
        <v>4.3</v>
      </c>
      <c r="H604" s="7">
        <v>45234.540995370371</v>
      </c>
      <c r="I604" s="7" t="str">
        <f>TEXT(multilingual_mobile_app_reviews_2025[[#This Row],[Review_date]],"dd-mm-yyyy")</f>
        <v>04-11-2023</v>
      </c>
      <c r="J604" s="7" t="str">
        <f>TEXT(multilingual_mobile_app_reviews_2025[[#This Row],[Review_date]],"YYYY")</f>
        <v>2023</v>
      </c>
      <c r="K604" s="7" t="str">
        <f>TEXT(multilingual_mobile_app_reviews_2025[[#This Row],[Review_date]],"MMMM")</f>
        <v>November</v>
      </c>
      <c r="L604" s="4" t="b">
        <v>1</v>
      </c>
      <c r="M604" s="4" t="s">
        <v>10</v>
      </c>
      <c r="N604" s="5">
        <v>662</v>
      </c>
      <c r="O604" s="5">
        <v>40</v>
      </c>
      <c r="P604" s="4" t="s">
        <v>85</v>
      </c>
      <c r="Q604" s="8" t="s">
        <v>12</v>
      </c>
      <c r="R604" s="4" t="s">
        <v>824</v>
      </c>
      <c r="S604" s="4"/>
      <c r="T604"/>
      <c r="U604" s="23"/>
    </row>
    <row r="605" spans="1:21" ht="15.6" x14ac:dyDescent="0.3">
      <c r="A605" s="4">
        <v>604</v>
      </c>
      <c r="B605" s="5">
        <v>726854</v>
      </c>
      <c r="C605" s="4" t="s">
        <v>101</v>
      </c>
      <c r="D605" s="4" t="s">
        <v>71</v>
      </c>
      <c r="E605" s="4" t="s">
        <v>21</v>
      </c>
      <c r="F605" s="4" t="s">
        <v>2958</v>
      </c>
      <c r="G605" s="6">
        <v>3.1</v>
      </c>
      <c r="H605" s="7">
        <v>45430.298831018517</v>
      </c>
      <c r="I605" s="7" t="str">
        <f>TEXT(multilingual_mobile_app_reviews_2025[[#This Row],[Review_date]],"dd-mm-yyyy")</f>
        <v>18-05-2024</v>
      </c>
      <c r="J605" s="7" t="str">
        <f>TEXT(multilingual_mobile_app_reviews_2025[[#This Row],[Review_date]],"YYYY")</f>
        <v>2024</v>
      </c>
      <c r="K605" s="7" t="str">
        <f>TEXT(multilingual_mobile_app_reviews_2025[[#This Row],[Review_date]],"MMMM")</f>
        <v>May</v>
      </c>
      <c r="L605" s="4" t="b">
        <v>0</v>
      </c>
      <c r="M605" s="4" t="s">
        <v>22</v>
      </c>
      <c r="N605" s="5">
        <v>783</v>
      </c>
      <c r="O605" s="5">
        <v>14</v>
      </c>
      <c r="P605" s="4" t="s">
        <v>99</v>
      </c>
      <c r="Q605" s="8" t="s">
        <v>29</v>
      </c>
      <c r="R605" s="4" t="s">
        <v>825</v>
      </c>
      <c r="S605" s="4"/>
      <c r="T605"/>
      <c r="U605" s="23"/>
    </row>
    <row r="606" spans="1:21" ht="15.6" x14ac:dyDescent="0.3">
      <c r="A606" s="4">
        <v>605</v>
      </c>
      <c r="B606" s="5">
        <v>4391430</v>
      </c>
      <c r="C606" s="4" t="s">
        <v>132</v>
      </c>
      <c r="D606" s="4" t="s">
        <v>15</v>
      </c>
      <c r="E606" s="4" t="s">
        <v>21</v>
      </c>
      <c r="F606" s="4" t="s">
        <v>2954</v>
      </c>
      <c r="G606" s="6">
        <v>1.6</v>
      </c>
      <c r="H606" s="7">
        <v>45737.925578703704</v>
      </c>
      <c r="I606" s="7" t="str">
        <f>TEXT(multilingual_mobile_app_reviews_2025[[#This Row],[Review_date]],"dd-mm-yyyy")</f>
        <v>21-03-2025</v>
      </c>
      <c r="J606" s="7" t="str">
        <f>TEXT(multilingual_mobile_app_reviews_2025[[#This Row],[Review_date]],"YYYY")</f>
        <v>2025</v>
      </c>
      <c r="K606" s="7" t="str">
        <f>TEXT(multilingual_mobile_app_reviews_2025[[#This Row],[Review_date]],"MMMM")</f>
        <v>March</v>
      </c>
      <c r="L606" s="4" t="b">
        <v>1</v>
      </c>
      <c r="M606" s="4" t="s">
        <v>98</v>
      </c>
      <c r="N606" s="5">
        <v>195</v>
      </c>
      <c r="O606" s="5">
        <v>48</v>
      </c>
      <c r="P606" s="4" t="s">
        <v>65</v>
      </c>
      <c r="Q606" s="8" t="s">
        <v>5</v>
      </c>
      <c r="R606" s="4" t="s">
        <v>826</v>
      </c>
      <c r="S606" s="4"/>
      <c r="T606"/>
      <c r="U606" s="23"/>
    </row>
    <row r="607" spans="1:21" ht="15.6" x14ac:dyDescent="0.3">
      <c r="A607" s="4">
        <v>606</v>
      </c>
      <c r="B607" s="5">
        <v>915153</v>
      </c>
      <c r="C607" s="4" t="s">
        <v>54</v>
      </c>
      <c r="D607" s="4" t="s">
        <v>97</v>
      </c>
      <c r="E607" s="4" t="s">
        <v>827</v>
      </c>
      <c r="F607" s="4" t="s">
        <v>2962</v>
      </c>
      <c r="G607" s="6">
        <v>4</v>
      </c>
      <c r="H607" s="7">
        <v>45622.61959490741</v>
      </c>
      <c r="I607" s="7" t="str">
        <f>TEXT(multilingual_mobile_app_reviews_2025[[#This Row],[Review_date]],"dd-mm-yyyy")</f>
        <v>26-11-2024</v>
      </c>
      <c r="J607" s="7" t="str">
        <f>TEXT(multilingual_mobile_app_reviews_2025[[#This Row],[Review_date]],"YYYY")</f>
        <v>2024</v>
      </c>
      <c r="K607" s="7" t="str">
        <f>TEXT(multilingual_mobile_app_reviews_2025[[#This Row],[Review_date]],"MMMM")</f>
        <v>November</v>
      </c>
      <c r="L607" s="4" t="b">
        <v>1</v>
      </c>
      <c r="M607" s="4" t="s">
        <v>22</v>
      </c>
      <c r="N607" s="5">
        <v>74</v>
      </c>
      <c r="O607" s="5">
        <v>33</v>
      </c>
      <c r="P607" s="4" t="s">
        <v>61</v>
      </c>
      <c r="Q607" s="8" t="s">
        <v>2963</v>
      </c>
      <c r="R607" s="4" t="s">
        <v>828</v>
      </c>
      <c r="S607" s="4"/>
      <c r="T607"/>
      <c r="U607" s="23"/>
    </row>
    <row r="608" spans="1:21" ht="15.6" x14ac:dyDescent="0.3">
      <c r="A608" s="4">
        <v>607</v>
      </c>
      <c r="B608" s="5">
        <v>2401222</v>
      </c>
      <c r="C608" s="4" t="s">
        <v>59</v>
      </c>
      <c r="D608" s="4" t="s">
        <v>51</v>
      </c>
      <c r="E608" s="4" t="s">
        <v>130</v>
      </c>
      <c r="F608" s="4" t="s">
        <v>2948</v>
      </c>
      <c r="G608" s="6">
        <v>3.2</v>
      </c>
      <c r="H608" s="7">
        <v>45464.189837962964</v>
      </c>
      <c r="I608" s="7" t="str">
        <f>TEXT(multilingual_mobile_app_reviews_2025[[#This Row],[Review_date]],"dd-mm-yyyy")</f>
        <v>21-06-2024</v>
      </c>
      <c r="J608" s="7" t="str">
        <f>TEXT(multilingual_mobile_app_reviews_2025[[#This Row],[Review_date]],"YYYY")</f>
        <v>2024</v>
      </c>
      <c r="K608" s="7" t="str">
        <f>TEXT(multilingual_mobile_app_reviews_2025[[#This Row],[Review_date]],"MMMM")</f>
        <v>June</v>
      </c>
      <c r="L608" s="4" t="b">
        <v>1</v>
      </c>
      <c r="M608" s="4" t="s">
        <v>98</v>
      </c>
      <c r="N608" s="5">
        <v>215</v>
      </c>
      <c r="O608" s="5">
        <v>40</v>
      </c>
      <c r="P608" s="4" t="s">
        <v>61</v>
      </c>
      <c r="Q608" s="8" t="s">
        <v>12</v>
      </c>
      <c r="R608" s="4" t="s">
        <v>829</v>
      </c>
      <c r="S608" s="4"/>
      <c r="T608"/>
      <c r="U608" s="23"/>
    </row>
    <row r="609" spans="1:21" ht="15.6" x14ac:dyDescent="0.3">
      <c r="A609" s="4">
        <v>608</v>
      </c>
      <c r="B609" s="5">
        <v>8682968</v>
      </c>
      <c r="C609" s="4" t="s">
        <v>104</v>
      </c>
      <c r="D609" s="4" t="s">
        <v>1</v>
      </c>
      <c r="E609" s="4" t="s">
        <v>64</v>
      </c>
      <c r="F609" s="4" t="s">
        <v>2945</v>
      </c>
      <c r="G609" s="6">
        <v>2.6</v>
      </c>
      <c r="H609" s="7">
        <v>45697.160486111112</v>
      </c>
      <c r="I609" s="7" t="str">
        <f>TEXT(multilingual_mobile_app_reviews_2025[[#This Row],[Review_date]],"dd-mm-yyyy")</f>
        <v>09-02-2025</v>
      </c>
      <c r="J609" s="7" t="str">
        <f>TEXT(multilingual_mobile_app_reviews_2025[[#This Row],[Review_date]],"YYYY")</f>
        <v>2025</v>
      </c>
      <c r="K609" s="7" t="str">
        <f>TEXT(multilingual_mobile_app_reviews_2025[[#This Row],[Review_date]],"MMMM")</f>
        <v>February</v>
      </c>
      <c r="L609" s="4" t="b">
        <v>0</v>
      </c>
      <c r="M609" s="4" t="s">
        <v>10</v>
      </c>
      <c r="N609" s="5">
        <v>240</v>
      </c>
      <c r="O609" s="5">
        <v>40</v>
      </c>
      <c r="P609" s="4" t="s">
        <v>114</v>
      </c>
      <c r="Q609" s="8" t="s">
        <v>39</v>
      </c>
      <c r="R609" s="4" t="s">
        <v>830</v>
      </c>
      <c r="S609" s="4"/>
      <c r="T609"/>
      <c r="U609" s="23"/>
    </row>
    <row r="610" spans="1:21" ht="15.6" x14ac:dyDescent="0.3">
      <c r="A610" s="4">
        <v>609</v>
      </c>
      <c r="B610" s="5">
        <v>2075258</v>
      </c>
      <c r="C610" s="4" t="s">
        <v>41</v>
      </c>
      <c r="D610" s="4" t="s">
        <v>220</v>
      </c>
      <c r="E610" s="4" t="s">
        <v>2938</v>
      </c>
      <c r="F610" s="4" t="s">
        <v>2946</v>
      </c>
      <c r="G610" s="6">
        <v>1.8</v>
      </c>
      <c r="H610" s="7">
        <v>45358.463101851848</v>
      </c>
      <c r="I610" s="7" t="str">
        <f>TEXT(multilingual_mobile_app_reviews_2025[[#This Row],[Review_date]],"dd-mm-yyyy")</f>
        <v>07-03-2024</v>
      </c>
      <c r="J610" s="7" t="str">
        <f>TEXT(multilingual_mobile_app_reviews_2025[[#This Row],[Review_date]],"YYYY")</f>
        <v>2024</v>
      </c>
      <c r="K610" s="7" t="str">
        <f>TEXT(multilingual_mobile_app_reviews_2025[[#This Row],[Review_date]],"MMMM")</f>
        <v>March</v>
      </c>
      <c r="L610" s="4" t="b">
        <v>1</v>
      </c>
      <c r="M610" s="4" t="s">
        <v>10</v>
      </c>
      <c r="N610" s="5">
        <v>277</v>
      </c>
      <c r="O610" s="5">
        <v>23</v>
      </c>
      <c r="P610" s="4" t="s">
        <v>85</v>
      </c>
      <c r="Q610" s="8" t="s">
        <v>29</v>
      </c>
      <c r="R610" s="4" t="s">
        <v>831</v>
      </c>
      <c r="S610" s="4"/>
      <c r="T610"/>
      <c r="U610" s="23"/>
    </row>
    <row r="611" spans="1:21" ht="15.6" x14ac:dyDescent="0.3">
      <c r="A611" s="4">
        <v>610</v>
      </c>
      <c r="B611" s="5">
        <v>1882809</v>
      </c>
      <c r="C611" s="4" t="s">
        <v>123</v>
      </c>
      <c r="D611" s="4" t="s">
        <v>220</v>
      </c>
      <c r="E611" s="4" t="s">
        <v>93</v>
      </c>
      <c r="F611" s="4" t="s">
        <v>2946</v>
      </c>
      <c r="G611" s="6">
        <v>3</v>
      </c>
      <c r="H611" s="7">
        <v>45525.483622685184</v>
      </c>
      <c r="I611" s="7" t="str">
        <f>TEXT(multilingual_mobile_app_reviews_2025[[#This Row],[Review_date]],"dd-mm-yyyy")</f>
        <v>21-08-2024</v>
      </c>
      <c r="J611" s="7" t="str">
        <f>TEXT(multilingual_mobile_app_reviews_2025[[#This Row],[Review_date]],"YYYY")</f>
        <v>2024</v>
      </c>
      <c r="K611" s="7" t="str">
        <f>TEXT(multilingual_mobile_app_reviews_2025[[#This Row],[Review_date]],"MMMM")</f>
        <v>August</v>
      </c>
      <c r="L611" s="4" t="b">
        <v>1</v>
      </c>
      <c r="M611" s="4" t="s">
        <v>98</v>
      </c>
      <c r="N611" s="5">
        <v>717</v>
      </c>
      <c r="O611" s="5">
        <v>53</v>
      </c>
      <c r="P611" s="4" t="s">
        <v>34</v>
      </c>
      <c r="Q611" s="8" t="s">
        <v>5</v>
      </c>
      <c r="R611" s="4" t="s">
        <v>832</v>
      </c>
      <c r="S611" s="4"/>
      <c r="T611"/>
      <c r="U611" s="23"/>
    </row>
    <row r="612" spans="1:21" ht="15.6" x14ac:dyDescent="0.3">
      <c r="A612" s="4">
        <v>611</v>
      </c>
      <c r="B612" s="5">
        <v>3451238</v>
      </c>
      <c r="C612" s="4" t="s">
        <v>165</v>
      </c>
      <c r="D612" s="4" t="s">
        <v>71</v>
      </c>
      <c r="E612" s="4" t="s">
        <v>27</v>
      </c>
      <c r="F612" s="4" t="s">
        <v>2941</v>
      </c>
      <c r="G612" s="6">
        <v>3.4</v>
      </c>
      <c r="H612" s="7">
        <v>45743.136817129627</v>
      </c>
      <c r="I612" s="7" t="str">
        <f>TEXT(multilingual_mobile_app_reviews_2025[[#This Row],[Review_date]],"dd-mm-yyyy")</f>
        <v>27-03-2025</v>
      </c>
      <c r="J612" s="7" t="str">
        <f>TEXT(multilingual_mobile_app_reviews_2025[[#This Row],[Review_date]],"YYYY")</f>
        <v>2025</v>
      </c>
      <c r="K612" s="7" t="str">
        <f>TEXT(multilingual_mobile_app_reviews_2025[[#This Row],[Review_date]],"MMMM")</f>
        <v>March</v>
      </c>
      <c r="L612" s="4" t="b">
        <v>1</v>
      </c>
      <c r="M612" s="4" t="s">
        <v>98</v>
      </c>
      <c r="N612" s="5">
        <v>443</v>
      </c>
      <c r="O612" s="5">
        <v>30</v>
      </c>
      <c r="P612" s="4" t="s">
        <v>65</v>
      </c>
      <c r="Q612" s="8" t="s">
        <v>39</v>
      </c>
      <c r="R612" s="4" t="s">
        <v>833</v>
      </c>
      <c r="S612" s="4"/>
      <c r="T612"/>
      <c r="U612" s="23"/>
    </row>
    <row r="613" spans="1:21" ht="15.6" x14ac:dyDescent="0.3">
      <c r="A613" s="4">
        <v>612</v>
      </c>
      <c r="B613" s="5">
        <v>8876935</v>
      </c>
      <c r="C613" s="4" t="s">
        <v>25</v>
      </c>
      <c r="D613" s="4" t="s">
        <v>111</v>
      </c>
      <c r="E613" s="4" t="s">
        <v>27</v>
      </c>
      <c r="F613" s="4" t="s">
        <v>2959</v>
      </c>
      <c r="G613" s="6">
        <v>1.4</v>
      </c>
      <c r="H613" s="7">
        <v>45295.522453703707</v>
      </c>
      <c r="I613" s="7" t="str">
        <f>TEXT(multilingual_mobile_app_reviews_2025[[#This Row],[Review_date]],"dd-mm-yyyy")</f>
        <v>04-01-2024</v>
      </c>
      <c r="J613" s="7" t="str">
        <f>TEXT(multilingual_mobile_app_reviews_2025[[#This Row],[Review_date]],"YYYY")</f>
        <v>2024</v>
      </c>
      <c r="K613" s="7" t="str">
        <f>TEXT(multilingual_mobile_app_reviews_2025[[#This Row],[Review_date]],"MMMM")</f>
        <v>January</v>
      </c>
      <c r="L613" s="4" t="b">
        <v>1</v>
      </c>
      <c r="M613" s="4" t="s">
        <v>33</v>
      </c>
      <c r="N613" s="5">
        <v>300</v>
      </c>
      <c r="O613" s="5">
        <v>22</v>
      </c>
      <c r="P613" s="4" t="s">
        <v>65</v>
      </c>
      <c r="Q613" s="8" t="s">
        <v>29</v>
      </c>
      <c r="R613" s="4" t="s">
        <v>163</v>
      </c>
      <c r="S613" s="4"/>
      <c r="T613"/>
      <c r="U613" s="23"/>
    </row>
    <row r="614" spans="1:21" ht="15.6" x14ac:dyDescent="0.3">
      <c r="A614" s="4">
        <v>613</v>
      </c>
      <c r="B614" s="5">
        <v>6974568</v>
      </c>
      <c r="C614" s="4" t="s">
        <v>104</v>
      </c>
      <c r="D614" s="4" t="s">
        <v>157</v>
      </c>
      <c r="E614" s="4" t="s">
        <v>834</v>
      </c>
      <c r="F614" s="4" t="s">
        <v>2960</v>
      </c>
      <c r="G614" s="6">
        <v>2.5</v>
      </c>
      <c r="H614" s="7">
        <v>45841.641180555554</v>
      </c>
      <c r="I614" s="7" t="str">
        <f>TEXT(multilingual_mobile_app_reviews_2025[[#This Row],[Review_date]],"dd-mm-yyyy")</f>
        <v>03-07-2025</v>
      </c>
      <c r="J614" s="7" t="str">
        <f>TEXT(multilingual_mobile_app_reviews_2025[[#This Row],[Review_date]],"YYYY")</f>
        <v>2025</v>
      </c>
      <c r="K614" s="7" t="str">
        <f>TEXT(multilingual_mobile_app_reviews_2025[[#This Row],[Review_date]],"MMMM")</f>
        <v>July</v>
      </c>
      <c r="L614" s="4" t="b">
        <v>1</v>
      </c>
      <c r="M614" s="4" t="s">
        <v>3</v>
      </c>
      <c r="N614" s="5">
        <v>971</v>
      </c>
      <c r="O614" s="5">
        <v>35</v>
      </c>
      <c r="P614" s="4" t="s">
        <v>114</v>
      </c>
      <c r="Q614" s="8" t="s">
        <v>2963</v>
      </c>
      <c r="R614" s="4" t="s">
        <v>835</v>
      </c>
      <c r="S614" s="4"/>
      <c r="T614"/>
      <c r="U614" s="23"/>
    </row>
    <row r="615" spans="1:21" ht="15.6" x14ac:dyDescent="0.3">
      <c r="A615" s="4">
        <v>614</v>
      </c>
      <c r="B615" s="5">
        <v>3978226</v>
      </c>
      <c r="C615" s="4" t="s">
        <v>0</v>
      </c>
      <c r="D615" s="4" t="s">
        <v>111</v>
      </c>
      <c r="E615" s="4" t="s">
        <v>21</v>
      </c>
      <c r="F615" s="4" t="s">
        <v>2957</v>
      </c>
      <c r="G615" s="6">
        <v>1.5</v>
      </c>
      <c r="H615" s="7">
        <v>45493.647430555553</v>
      </c>
      <c r="I615" s="7" t="str">
        <f>TEXT(multilingual_mobile_app_reviews_2025[[#This Row],[Review_date]],"dd-mm-yyyy")</f>
        <v>20-07-2024</v>
      </c>
      <c r="J615" s="7" t="str">
        <f>TEXT(multilingual_mobile_app_reviews_2025[[#This Row],[Review_date]],"YYYY")</f>
        <v>2024</v>
      </c>
      <c r="K615" s="7" t="str">
        <f>TEXT(multilingual_mobile_app_reviews_2025[[#This Row],[Review_date]],"MMMM")</f>
        <v>July</v>
      </c>
      <c r="L615" s="4" t="b">
        <v>1</v>
      </c>
      <c r="M615" s="4" t="s">
        <v>3</v>
      </c>
      <c r="N615" s="5">
        <v>713</v>
      </c>
      <c r="O615" s="5">
        <v>24</v>
      </c>
      <c r="P615" s="4" t="s">
        <v>118</v>
      </c>
      <c r="Q615" s="8" t="s">
        <v>39</v>
      </c>
      <c r="R615" s="4" t="s">
        <v>836</v>
      </c>
      <c r="S615" s="4"/>
      <c r="T615"/>
      <c r="U615" s="23"/>
    </row>
    <row r="616" spans="1:21" ht="15.6" x14ac:dyDescent="0.3">
      <c r="A616" s="4">
        <v>615</v>
      </c>
      <c r="B616" s="5">
        <v>4531282</v>
      </c>
      <c r="C616" s="4" t="s">
        <v>89</v>
      </c>
      <c r="D616" s="4" t="s">
        <v>15</v>
      </c>
      <c r="E616" s="4" t="s">
        <v>64</v>
      </c>
      <c r="F616" s="4" t="s">
        <v>2959</v>
      </c>
      <c r="G616" s="6">
        <v>3</v>
      </c>
      <c r="H616" s="7">
        <v>45499.493148148147</v>
      </c>
      <c r="I616" s="7" t="str">
        <f>TEXT(multilingual_mobile_app_reviews_2025[[#This Row],[Review_date]],"dd-mm-yyyy")</f>
        <v>26-07-2024</v>
      </c>
      <c r="J616" s="7" t="str">
        <f>TEXT(multilingual_mobile_app_reviews_2025[[#This Row],[Review_date]],"YYYY")</f>
        <v>2024</v>
      </c>
      <c r="K616" s="7" t="str">
        <f>TEXT(multilingual_mobile_app_reviews_2025[[#This Row],[Review_date]],"MMMM")</f>
        <v>July</v>
      </c>
      <c r="L616" s="4" t="b">
        <v>1</v>
      </c>
      <c r="M616" s="4" t="s">
        <v>10</v>
      </c>
      <c r="N616" s="5">
        <v>672</v>
      </c>
      <c r="O616" s="5">
        <v>19</v>
      </c>
      <c r="P616" s="4" t="s">
        <v>162</v>
      </c>
      <c r="Q616" s="8" t="s">
        <v>39</v>
      </c>
      <c r="R616" s="4" t="s">
        <v>394</v>
      </c>
      <c r="S616" s="4"/>
      <c r="T616"/>
      <c r="U616" s="23"/>
    </row>
    <row r="617" spans="1:21" ht="15.6" x14ac:dyDescent="0.3">
      <c r="A617" s="4">
        <v>616</v>
      </c>
      <c r="B617" s="5">
        <v>1774515</v>
      </c>
      <c r="C617" s="4" t="s">
        <v>159</v>
      </c>
      <c r="D617" s="4" t="s">
        <v>63</v>
      </c>
      <c r="E617" s="4" t="s">
        <v>837</v>
      </c>
      <c r="F617" s="4" t="s">
        <v>2947</v>
      </c>
      <c r="G617" s="6">
        <v>5</v>
      </c>
      <c r="H617" s="7">
        <v>45708.268969907411</v>
      </c>
      <c r="I617" s="7" t="str">
        <f>TEXT(multilingual_mobile_app_reviews_2025[[#This Row],[Review_date]],"dd-mm-yyyy")</f>
        <v>20-02-2025</v>
      </c>
      <c r="J617" s="7" t="str">
        <f>TEXT(multilingual_mobile_app_reviews_2025[[#This Row],[Review_date]],"YYYY")</f>
        <v>2025</v>
      </c>
      <c r="K617" s="7" t="str">
        <f>TEXT(multilingual_mobile_app_reviews_2025[[#This Row],[Review_date]],"MMMM")</f>
        <v>February</v>
      </c>
      <c r="L617" s="4" t="b">
        <v>1</v>
      </c>
      <c r="M617" s="4" t="s">
        <v>3</v>
      </c>
      <c r="N617" s="5">
        <v>1004</v>
      </c>
      <c r="O617" s="5">
        <v>24</v>
      </c>
      <c r="P617" s="4" t="s">
        <v>99</v>
      </c>
      <c r="Q617" s="8" t="s">
        <v>2963</v>
      </c>
      <c r="R617" s="4" t="s">
        <v>838</v>
      </c>
      <c r="S617" s="4"/>
      <c r="T617"/>
      <c r="U617" s="23"/>
    </row>
    <row r="618" spans="1:21" ht="15.6" x14ac:dyDescent="0.3">
      <c r="A618" s="4">
        <v>617</v>
      </c>
      <c r="B618" s="5">
        <v>6351562</v>
      </c>
      <c r="C618" s="4" t="s">
        <v>92</v>
      </c>
      <c r="D618" s="4" t="s">
        <v>31</v>
      </c>
      <c r="E618" s="4" t="s">
        <v>109</v>
      </c>
      <c r="F618" s="4" t="s">
        <v>2954</v>
      </c>
      <c r="G618" s="6">
        <v>1.4</v>
      </c>
      <c r="H618" s="7">
        <v>45771.879733796297</v>
      </c>
      <c r="I618" s="7" t="str">
        <f>TEXT(multilingual_mobile_app_reviews_2025[[#This Row],[Review_date]],"dd-mm-yyyy")</f>
        <v>24-04-2025</v>
      </c>
      <c r="J618" s="7" t="str">
        <f>TEXT(multilingual_mobile_app_reviews_2025[[#This Row],[Review_date]],"YYYY")</f>
        <v>2025</v>
      </c>
      <c r="K618" s="7" t="str">
        <f>TEXT(multilingual_mobile_app_reviews_2025[[#This Row],[Review_date]],"MMMM")</f>
        <v>April</v>
      </c>
      <c r="L618" s="4" t="b">
        <v>1</v>
      </c>
      <c r="M618" s="4" t="s">
        <v>33</v>
      </c>
      <c r="N618" s="5">
        <v>568</v>
      </c>
      <c r="O618" s="5">
        <v>75</v>
      </c>
      <c r="P618" s="4" t="s">
        <v>127</v>
      </c>
      <c r="Q618" s="8" t="s">
        <v>2963</v>
      </c>
      <c r="R618" s="4" t="s">
        <v>839</v>
      </c>
      <c r="S618" s="4"/>
      <c r="T618"/>
      <c r="U618" s="23"/>
    </row>
    <row r="619" spans="1:21" ht="15.6" x14ac:dyDescent="0.3">
      <c r="A619" s="4">
        <v>618</v>
      </c>
      <c r="B619" s="5">
        <v>3168039</v>
      </c>
      <c r="C619" s="4" t="s">
        <v>176</v>
      </c>
      <c r="D619" s="4" t="s">
        <v>79</v>
      </c>
      <c r="E619" s="4" t="s">
        <v>840</v>
      </c>
      <c r="F619" s="4" t="s">
        <v>2941</v>
      </c>
      <c r="G619" s="6">
        <v>1.8</v>
      </c>
      <c r="H619" s="7">
        <v>45799.61440972222</v>
      </c>
      <c r="I619" s="7" t="str">
        <f>TEXT(multilingual_mobile_app_reviews_2025[[#This Row],[Review_date]],"dd-mm-yyyy")</f>
        <v>22-05-2025</v>
      </c>
      <c r="J619" s="7" t="str">
        <f>TEXT(multilingual_mobile_app_reviews_2025[[#This Row],[Review_date]],"YYYY")</f>
        <v>2025</v>
      </c>
      <c r="K619" s="7" t="str">
        <f>TEXT(multilingual_mobile_app_reviews_2025[[#This Row],[Review_date]],"MMMM")</f>
        <v>May</v>
      </c>
      <c r="L619" s="4" t="b">
        <v>1</v>
      </c>
      <c r="M619" s="4" t="s">
        <v>33</v>
      </c>
      <c r="N619" s="5">
        <v>302</v>
      </c>
      <c r="O619" s="5">
        <v>59</v>
      </c>
      <c r="P619" s="4" t="s">
        <v>230</v>
      </c>
      <c r="Q619" s="8" t="s">
        <v>12</v>
      </c>
      <c r="R619" s="4" t="s">
        <v>841</v>
      </c>
      <c r="S619" s="4"/>
      <c r="T619"/>
      <c r="U619" s="23"/>
    </row>
    <row r="620" spans="1:21" ht="15.6" x14ac:dyDescent="0.3">
      <c r="A620" s="4">
        <v>619</v>
      </c>
      <c r="B620" s="5">
        <v>7175620</v>
      </c>
      <c r="C620" s="4" t="s">
        <v>0</v>
      </c>
      <c r="D620" s="4" t="s">
        <v>42</v>
      </c>
      <c r="E620" s="4" t="s">
        <v>93</v>
      </c>
      <c r="F620" s="4" t="s">
        <v>2958</v>
      </c>
      <c r="G620" s="6">
        <v>1.3</v>
      </c>
      <c r="H620" s="7">
        <v>45642.852222222224</v>
      </c>
      <c r="I620" s="7" t="str">
        <f>TEXT(multilingual_mobile_app_reviews_2025[[#This Row],[Review_date]],"dd-mm-yyyy")</f>
        <v>16-12-2024</v>
      </c>
      <c r="J620" s="7" t="str">
        <f>TEXT(multilingual_mobile_app_reviews_2025[[#This Row],[Review_date]],"YYYY")</f>
        <v>2024</v>
      </c>
      <c r="K620" s="7" t="str">
        <f>TEXT(multilingual_mobile_app_reviews_2025[[#This Row],[Review_date]],"MMMM")</f>
        <v>December</v>
      </c>
      <c r="L620" s="4" t="b">
        <v>1</v>
      </c>
      <c r="M620" s="4" t="s">
        <v>3</v>
      </c>
      <c r="N620" s="5">
        <v>180</v>
      </c>
      <c r="O620" s="5">
        <v>20</v>
      </c>
      <c r="P620" s="4" t="s">
        <v>4</v>
      </c>
      <c r="Q620" s="8" t="s">
        <v>5</v>
      </c>
      <c r="R620" s="4" t="s">
        <v>842</v>
      </c>
      <c r="S620" s="4"/>
      <c r="T620"/>
      <c r="U620" s="23"/>
    </row>
    <row r="621" spans="1:21" ht="15.6" x14ac:dyDescent="0.3">
      <c r="A621" s="4">
        <v>620</v>
      </c>
      <c r="B621" s="5">
        <v>1996774</v>
      </c>
      <c r="C621" s="4" t="s">
        <v>244</v>
      </c>
      <c r="D621" s="4" t="s">
        <v>220</v>
      </c>
      <c r="E621" s="4" t="s">
        <v>27</v>
      </c>
      <c r="F621" s="4" t="s">
        <v>2961</v>
      </c>
      <c r="G621" s="6">
        <v>4</v>
      </c>
      <c r="H621" s="7">
        <v>45241.803043981483</v>
      </c>
      <c r="I621" s="7" t="str">
        <f>TEXT(multilingual_mobile_app_reviews_2025[[#This Row],[Review_date]],"dd-mm-yyyy")</f>
        <v>11-11-2023</v>
      </c>
      <c r="J621" s="7" t="str">
        <f>TEXT(multilingual_mobile_app_reviews_2025[[#This Row],[Review_date]],"YYYY")</f>
        <v>2023</v>
      </c>
      <c r="K621" s="7" t="str">
        <f>TEXT(multilingual_mobile_app_reviews_2025[[#This Row],[Review_date]],"MMMM")</f>
        <v>November</v>
      </c>
      <c r="L621" s="4" t="b">
        <v>0</v>
      </c>
      <c r="M621" s="4" t="s">
        <v>22</v>
      </c>
      <c r="N621" s="5">
        <v>635</v>
      </c>
      <c r="O621" s="5">
        <v>16</v>
      </c>
      <c r="P621" s="4" t="s">
        <v>11</v>
      </c>
      <c r="Q621" s="8" t="s">
        <v>39</v>
      </c>
      <c r="R621" s="4" t="s">
        <v>820</v>
      </c>
      <c r="S621" s="4"/>
      <c r="T621"/>
      <c r="U621" s="23"/>
    </row>
    <row r="622" spans="1:21" ht="15.6" x14ac:dyDescent="0.3">
      <c r="A622" s="4">
        <v>621</v>
      </c>
      <c r="B622" s="5">
        <v>1083923</v>
      </c>
      <c r="C622" s="4" t="s">
        <v>89</v>
      </c>
      <c r="D622" s="4" t="s">
        <v>47</v>
      </c>
      <c r="E622" s="4" t="s">
        <v>9</v>
      </c>
      <c r="F622" s="4" t="s">
        <v>2950</v>
      </c>
      <c r="G622" s="6">
        <v>2.5</v>
      </c>
      <c r="H622" s="7">
        <v>45794.70417824074</v>
      </c>
      <c r="I622" s="7" t="str">
        <f>TEXT(multilingual_mobile_app_reviews_2025[[#This Row],[Review_date]],"dd-mm-yyyy")</f>
        <v>17-05-2025</v>
      </c>
      <c r="J622" s="7" t="str">
        <f>TEXT(multilingual_mobile_app_reviews_2025[[#This Row],[Review_date]],"YYYY")</f>
        <v>2025</v>
      </c>
      <c r="K622" s="7" t="str">
        <f>TEXT(multilingual_mobile_app_reviews_2025[[#This Row],[Review_date]],"MMMM")</f>
        <v>May</v>
      </c>
      <c r="L622" s="4" t="b">
        <v>1</v>
      </c>
      <c r="M622" s="4" t="s">
        <v>33</v>
      </c>
      <c r="N622" s="5">
        <v>920</v>
      </c>
      <c r="O622" s="5">
        <v>66</v>
      </c>
      <c r="P622" s="4" t="s">
        <v>38</v>
      </c>
      <c r="Q622" s="8" t="s">
        <v>5</v>
      </c>
      <c r="R622" s="4" t="s">
        <v>843</v>
      </c>
      <c r="S622" s="4"/>
      <c r="T622"/>
      <c r="U622" s="23"/>
    </row>
    <row r="623" spans="1:21" ht="15.6" x14ac:dyDescent="0.3">
      <c r="A623" s="4">
        <v>622</v>
      </c>
      <c r="B623" s="5">
        <v>1840017</v>
      </c>
      <c r="C623" s="4" t="s">
        <v>165</v>
      </c>
      <c r="D623" s="4" t="s">
        <v>79</v>
      </c>
      <c r="E623" s="4" t="s">
        <v>21</v>
      </c>
      <c r="F623" s="4" t="s">
        <v>2941</v>
      </c>
      <c r="G623" s="6">
        <v>3.1</v>
      </c>
      <c r="H623" s="7">
        <v>45462.016539351855</v>
      </c>
      <c r="I623" s="7" t="str">
        <f>TEXT(multilingual_mobile_app_reviews_2025[[#This Row],[Review_date]],"dd-mm-yyyy")</f>
        <v>19-06-2024</v>
      </c>
      <c r="J623" s="7" t="str">
        <f>TEXT(multilingual_mobile_app_reviews_2025[[#This Row],[Review_date]],"YYYY")</f>
        <v>2024</v>
      </c>
      <c r="K623" s="7" t="str">
        <f>TEXT(multilingual_mobile_app_reviews_2025[[#This Row],[Review_date]],"MMMM")</f>
        <v>June</v>
      </c>
      <c r="L623" s="4" t="b">
        <v>1</v>
      </c>
      <c r="M623" s="4" t="s">
        <v>22</v>
      </c>
      <c r="N623" s="5">
        <v>528</v>
      </c>
      <c r="O623" s="5">
        <v>26</v>
      </c>
      <c r="P623" s="4" t="s">
        <v>70</v>
      </c>
      <c r="Q623" s="8" t="s">
        <v>39</v>
      </c>
      <c r="R623" s="4" t="s">
        <v>844</v>
      </c>
      <c r="S623" s="4"/>
      <c r="T623"/>
      <c r="U623" s="23"/>
    </row>
    <row r="624" spans="1:21" ht="15.6" x14ac:dyDescent="0.3">
      <c r="A624" s="4">
        <v>623</v>
      </c>
      <c r="B624" s="5">
        <v>8197940</v>
      </c>
      <c r="C624" s="4" t="s">
        <v>50</v>
      </c>
      <c r="D624" s="4" t="s">
        <v>26</v>
      </c>
      <c r="E624" s="4" t="s">
        <v>16</v>
      </c>
      <c r="F624" s="4" t="s">
        <v>2956</v>
      </c>
      <c r="G624" s="6">
        <v>2.4</v>
      </c>
      <c r="H624" s="7">
        <v>45762.015740740739</v>
      </c>
      <c r="I624" s="7" t="str">
        <f>TEXT(multilingual_mobile_app_reviews_2025[[#This Row],[Review_date]],"dd-mm-yyyy")</f>
        <v>15-04-2025</v>
      </c>
      <c r="J624" s="7" t="str">
        <f>TEXT(multilingual_mobile_app_reviews_2025[[#This Row],[Review_date]],"YYYY")</f>
        <v>2025</v>
      </c>
      <c r="K624" s="7" t="str">
        <f>TEXT(multilingual_mobile_app_reviews_2025[[#This Row],[Review_date]],"MMMM")</f>
        <v>April</v>
      </c>
      <c r="L624" s="4" t="b">
        <v>1</v>
      </c>
      <c r="M624" s="4" t="s">
        <v>98</v>
      </c>
      <c r="N624" s="5">
        <v>325</v>
      </c>
      <c r="O624" s="5">
        <v>39</v>
      </c>
      <c r="P624" s="4" t="s">
        <v>99</v>
      </c>
      <c r="Q624" s="8" t="s">
        <v>39</v>
      </c>
      <c r="R624" s="4" t="s">
        <v>845</v>
      </c>
      <c r="S624" s="4"/>
      <c r="T624"/>
      <c r="U624" s="23"/>
    </row>
    <row r="625" spans="1:21" ht="15.6" x14ac:dyDescent="0.3">
      <c r="A625" s="4">
        <v>624</v>
      </c>
      <c r="B625" s="5">
        <v>7451152</v>
      </c>
      <c r="C625" s="4" t="s">
        <v>56</v>
      </c>
      <c r="D625" s="4" t="s">
        <v>47</v>
      </c>
      <c r="E625" s="4" t="s">
        <v>32</v>
      </c>
      <c r="F625" s="4" t="s">
        <v>2961</v>
      </c>
      <c r="G625" s="6">
        <v>2.6</v>
      </c>
      <c r="H625" s="7">
        <v>45279.667500000003</v>
      </c>
      <c r="I625" s="7" t="str">
        <f>TEXT(multilingual_mobile_app_reviews_2025[[#This Row],[Review_date]],"dd-mm-yyyy")</f>
        <v>19-12-2023</v>
      </c>
      <c r="J625" s="7" t="str">
        <f>TEXT(multilingual_mobile_app_reviews_2025[[#This Row],[Review_date]],"YYYY")</f>
        <v>2023</v>
      </c>
      <c r="K625" s="7" t="str">
        <f>TEXT(multilingual_mobile_app_reviews_2025[[#This Row],[Review_date]],"MMMM")</f>
        <v>December</v>
      </c>
      <c r="L625" s="4" t="b">
        <v>0</v>
      </c>
      <c r="M625" s="4" t="s">
        <v>22</v>
      </c>
      <c r="N625" s="5">
        <v>517</v>
      </c>
      <c r="O625" s="5">
        <v>59</v>
      </c>
      <c r="P625" s="4" t="s">
        <v>162</v>
      </c>
      <c r="Q625" s="8" t="s">
        <v>2963</v>
      </c>
      <c r="R625" s="4" t="s">
        <v>846</v>
      </c>
      <c r="S625" s="4"/>
      <c r="T625"/>
      <c r="U625" s="23"/>
    </row>
    <row r="626" spans="1:21" ht="15.6" x14ac:dyDescent="0.3">
      <c r="A626" s="4">
        <v>625</v>
      </c>
      <c r="B626" s="5">
        <v>6471160</v>
      </c>
      <c r="C626" s="4" t="s">
        <v>192</v>
      </c>
      <c r="D626" s="4" t="s">
        <v>1</v>
      </c>
      <c r="E626" s="4" t="s">
        <v>109</v>
      </c>
      <c r="F626" s="4" t="s">
        <v>2952</v>
      </c>
      <c r="G626" s="6">
        <v>3</v>
      </c>
      <c r="H626" s="7">
        <v>45744.073055555556</v>
      </c>
      <c r="I626" s="7" t="str">
        <f>TEXT(multilingual_mobile_app_reviews_2025[[#This Row],[Review_date]],"dd-mm-yyyy")</f>
        <v>28-03-2025</v>
      </c>
      <c r="J626" s="7" t="str">
        <f>TEXT(multilingual_mobile_app_reviews_2025[[#This Row],[Review_date]],"YYYY")</f>
        <v>2025</v>
      </c>
      <c r="K626" s="7" t="str">
        <f>TEXT(multilingual_mobile_app_reviews_2025[[#This Row],[Review_date]],"MMMM")</f>
        <v>March</v>
      </c>
      <c r="L626" s="4" t="b">
        <v>1</v>
      </c>
      <c r="M626" s="4" t="s">
        <v>10</v>
      </c>
      <c r="N626" s="5">
        <v>1222</v>
      </c>
      <c r="O626" s="5">
        <v>74</v>
      </c>
      <c r="P626" s="4" t="s">
        <v>61</v>
      </c>
      <c r="Q626" s="8" t="s">
        <v>2963</v>
      </c>
      <c r="R626" s="4" t="s">
        <v>847</v>
      </c>
      <c r="S626" s="4"/>
      <c r="T626"/>
      <c r="U626" s="23"/>
    </row>
    <row r="627" spans="1:21" ht="15.6" x14ac:dyDescent="0.3">
      <c r="A627" s="4">
        <v>626</v>
      </c>
      <c r="B627" s="5">
        <v>583456</v>
      </c>
      <c r="C627" s="4" t="s">
        <v>75</v>
      </c>
      <c r="D627" s="4" t="s">
        <v>20</v>
      </c>
      <c r="E627" s="4" t="s">
        <v>109</v>
      </c>
      <c r="F627" s="4" t="s">
        <v>2957</v>
      </c>
      <c r="G627" s="6">
        <v>1.6</v>
      </c>
      <c r="H627" s="7">
        <v>45808.860671296294</v>
      </c>
      <c r="I627" s="7" t="str">
        <f>TEXT(multilingual_mobile_app_reviews_2025[[#This Row],[Review_date]],"dd-mm-yyyy")</f>
        <v>31-05-2025</v>
      </c>
      <c r="J627" s="7" t="str">
        <f>TEXT(multilingual_mobile_app_reviews_2025[[#This Row],[Review_date]],"YYYY")</f>
        <v>2025</v>
      </c>
      <c r="K627" s="7" t="str">
        <f>TEXT(multilingual_mobile_app_reviews_2025[[#This Row],[Review_date]],"MMMM")</f>
        <v>May</v>
      </c>
      <c r="L627" s="4" t="b">
        <v>0</v>
      </c>
      <c r="M627" s="4" t="s">
        <v>22</v>
      </c>
      <c r="N627" s="5">
        <v>617</v>
      </c>
      <c r="O627" s="5">
        <v>32</v>
      </c>
      <c r="P627" s="4" t="s">
        <v>4</v>
      </c>
      <c r="Q627" s="8" t="s">
        <v>5</v>
      </c>
      <c r="R627" s="4" t="s">
        <v>848</v>
      </c>
      <c r="S627" s="4"/>
      <c r="T627"/>
      <c r="U627" s="23"/>
    </row>
    <row r="628" spans="1:21" ht="15.6" x14ac:dyDescent="0.3">
      <c r="A628" s="4">
        <v>627</v>
      </c>
      <c r="B628" s="5">
        <v>2292032</v>
      </c>
      <c r="C628" s="4" t="s">
        <v>258</v>
      </c>
      <c r="D628" s="4" t="s">
        <v>42</v>
      </c>
      <c r="E628" s="4" t="s">
        <v>32</v>
      </c>
      <c r="F628" s="4" t="s">
        <v>2958</v>
      </c>
      <c r="G628" s="6">
        <v>1.8</v>
      </c>
      <c r="H628" s="7">
        <v>45514.097314814811</v>
      </c>
      <c r="I628" s="7" t="str">
        <f>TEXT(multilingual_mobile_app_reviews_2025[[#This Row],[Review_date]],"dd-mm-yyyy")</f>
        <v>10-08-2024</v>
      </c>
      <c r="J628" s="7" t="str">
        <f>TEXT(multilingual_mobile_app_reviews_2025[[#This Row],[Review_date]],"YYYY")</f>
        <v>2024</v>
      </c>
      <c r="K628" s="7" t="str">
        <f>TEXT(multilingual_mobile_app_reviews_2025[[#This Row],[Review_date]],"MMMM")</f>
        <v>August</v>
      </c>
      <c r="L628" s="4" t="b">
        <v>1</v>
      </c>
      <c r="M628" s="4" t="s">
        <v>3</v>
      </c>
      <c r="N628" s="5">
        <v>770</v>
      </c>
      <c r="O628" s="5">
        <v>66</v>
      </c>
      <c r="P628" s="4" t="s">
        <v>70</v>
      </c>
      <c r="Q628" s="8" t="s">
        <v>5</v>
      </c>
      <c r="R628" s="4" t="s">
        <v>849</v>
      </c>
      <c r="S628" s="4"/>
      <c r="T628"/>
      <c r="U628" s="23"/>
    </row>
    <row r="629" spans="1:21" ht="15.6" x14ac:dyDescent="0.3">
      <c r="A629" s="4">
        <v>628</v>
      </c>
      <c r="B629" s="5">
        <v>1994776</v>
      </c>
      <c r="C629" s="4" t="s">
        <v>208</v>
      </c>
      <c r="D629" s="4" t="s">
        <v>71</v>
      </c>
      <c r="E629" s="4" t="s">
        <v>130</v>
      </c>
      <c r="F629" s="4" t="s">
        <v>2957</v>
      </c>
      <c r="G629" s="6">
        <v>4</v>
      </c>
      <c r="H629" s="7">
        <v>45828.292847222219</v>
      </c>
      <c r="I629" s="7" t="str">
        <f>TEXT(multilingual_mobile_app_reviews_2025[[#This Row],[Review_date]],"dd-mm-yyyy")</f>
        <v>20-06-2025</v>
      </c>
      <c r="J629" s="7" t="str">
        <f>TEXT(multilingual_mobile_app_reviews_2025[[#This Row],[Review_date]],"YYYY")</f>
        <v>2025</v>
      </c>
      <c r="K629" s="7" t="str">
        <f>TEXT(multilingual_mobile_app_reviews_2025[[#This Row],[Review_date]],"MMMM")</f>
        <v>June</v>
      </c>
      <c r="L629" s="4" t="b">
        <v>1</v>
      </c>
      <c r="M629" s="4" t="s">
        <v>33</v>
      </c>
      <c r="N629" s="5">
        <v>55</v>
      </c>
      <c r="O629" s="5">
        <v>27</v>
      </c>
      <c r="P629" s="4" t="s">
        <v>144</v>
      </c>
      <c r="Q629" s="8" t="s">
        <v>5</v>
      </c>
      <c r="R629" s="4" t="s">
        <v>850</v>
      </c>
      <c r="S629" s="4"/>
      <c r="T629"/>
      <c r="U629" s="23"/>
    </row>
    <row r="630" spans="1:21" ht="15.6" x14ac:dyDescent="0.3">
      <c r="A630" s="4">
        <v>629</v>
      </c>
      <c r="B630" s="5">
        <v>7493515</v>
      </c>
      <c r="C630" s="4" t="s">
        <v>159</v>
      </c>
      <c r="D630" s="4" t="s">
        <v>20</v>
      </c>
      <c r="E630" s="4" t="s">
        <v>21</v>
      </c>
      <c r="F630" s="4" t="s">
        <v>2945</v>
      </c>
      <c r="G630" s="6">
        <v>1.4</v>
      </c>
      <c r="H630" s="7">
        <v>45174.586018518516</v>
      </c>
      <c r="I630" s="7" t="str">
        <f>TEXT(multilingual_mobile_app_reviews_2025[[#This Row],[Review_date]],"dd-mm-yyyy")</f>
        <v>05-09-2023</v>
      </c>
      <c r="J630" s="7" t="str">
        <f>TEXT(multilingual_mobile_app_reviews_2025[[#This Row],[Review_date]],"YYYY")</f>
        <v>2023</v>
      </c>
      <c r="K630" s="7" t="str">
        <f>TEXT(multilingual_mobile_app_reviews_2025[[#This Row],[Review_date]],"MMMM")</f>
        <v>September</v>
      </c>
      <c r="L630" s="4" t="b">
        <v>1</v>
      </c>
      <c r="M630" s="4" t="s">
        <v>3</v>
      </c>
      <c r="N630" s="5">
        <v>368</v>
      </c>
      <c r="O630" s="5">
        <v>40</v>
      </c>
      <c r="P630" s="4" t="s">
        <v>180</v>
      </c>
      <c r="Q630" s="8" t="s">
        <v>39</v>
      </c>
      <c r="R630" s="4" t="s">
        <v>851</v>
      </c>
      <c r="S630" s="4"/>
      <c r="T630"/>
      <c r="U630" s="23"/>
    </row>
    <row r="631" spans="1:21" ht="15.6" x14ac:dyDescent="0.3">
      <c r="A631" s="4">
        <v>630</v>
      </c>
      <c r="B631" s="5">
        <v>4489135</v>
      </c>
      <c r="C631" s="4" t="s">
        <v>92</v>
      </c>
      <c r="D631" s="4" t="s">
        <v>47</v>
      </c>
      <c r="E631" s="4" t="s">
        <v>16</v>
      </c>
      <c r="F631" s="4" t="s">
        <v>2956</v>
      </c>
      <c r="G631" s="6">
        <v>4.4000000000000004</v>
      </c>
      <c r="H631" s="7">
        <v>45647.611273148148</v>
      </c>
      <c r="I631" s="7" t="str">
        <f>TEXT(multilingual_mobile_app_reviews_2025[[#This Row],[Review_date]],"dd-mm-yyyy")</f>
        <v>21-12-2024</v>
      </c>
      <c r="J631" s="7" t="str">
        <f>TEXT(multilingual_mobile_app_reviews_2025[[#This Row],[Review_date]],"YYYY")</f>
        <v>2024</v>
      </c>
      <c r="K631" s="7" t="str">
        <f>TEXT(multilingual_mobile_app_reviews_2025[[#This Row],[Review_date]],"MMMM")</f>
        <v>December</v>
      </c>
      <c r="L631" s="4" t="b">
        <v>1</v>
      </c>
      <c r="M631" s="4" t="s">
        <v>98</v>
      </c>
      <c r="N631" s="5">
        <v>329</v>
      </c>
      <c r="O631" s="5">
        <v>33</v>
      </c>
      <c r="P631" s="4" t="s">
        <v>2963</v>
      </c>
      <c r="Q631" s="8" t="s">
        <v>2963</v>
      </c>
      <c r="R631" s="4" t="s">
        <v>852</v>
      </c>
      <c r="S631" s="4"/>
      <c r="T631"/>
      <c r="U631" s="23"/>
    </row>
    <row r="632" spans="1:21" ht="15.6" x14ac:dyDescent="0.3">
      <c r="A632" s="4">
        <v>631</v>
      </c>
      <c r="B632" s="5">
        <v>307369</v>
      </c>
      <c r="C632" s="4" t="s">
        <v>165</v>
      </c>
      <c r="D632" s="4" t="s">
        <v>63</v>
      </c>
      <c r="E632" s="4" t="s">
        <v>853</v>
      </c>
      <c r="F632" s="4" t="s">
        <v>2943</v>
      </c>
      <c r="G632" s="6">
        <v>4.0999999999999996</v>
      </c>
      <c r="H632" s="7">
        <v>45325.984467592592</v>
      </c>
      <c r="I632" s="7" t="str">
        <f>TEXT(multilingual_mobile_app_reviews_2025[[#This Row],[Review_date]],"dd-mm-yyyy")</f>
        <v>03-02-2024</v>
      </c>
      <c r="J632" s="7" t="str">
        <f>TEXT(multilingual_mobile_app_reviews_2025[[#This Row],[Review_date]],"YYYY")</f>
        <v>2024</v>
      </c>
      <c r="K632" s="7" t="str">
        <f>TEXT(multilingual_mobile_app_reviews_2025[[#This Row],[Review_date]],"MMMM")</f>
        <v>February</v>
      </c>
      <c r="L632" s="4" t="b">
        <v>1</v>
      </c>
      <c r="M632" s="4" t="s">
        <v>10</v>
      </c>
      <c r="N632" s="5">
        <v>1095</v>
      </c>
      <c r="O632" s="5">
        <v>75</v>
      </c>
      <c r="P632" s="4" t="s">
        <v>162</v>
      </c>
      <c r="Q632" s="8" t="s">
        <v>12</v>
      </c>
      <c r="R632" s="4" t="s">
        <v>854</v>
      </c>
      <c r="S632" s="4"/>
      <c r="T632"/>
      <c r="U632" s="23"/>
    </row>
    <row r="633" spans="1:21" ht="15.6" x14ac:dyDescent="0.3">
      <c r="A633" s="4">
        <v>632</v>
      </c>
      <c r="B633" s="5">
        <v>4766702</v>
      </c>
      <c r="C633" s="4" t="s">
        <v>199</v>
      </c>
      <c r="D633" s="4" t="s">
        <v>42</v>
      </c>
      <c r="E633" s="4" t="s">
        <v>855</v>
      </c>
      <c r="F633" s="4" t="s">
        <v>2945</v>
      </c>
      <c r="G633" s="6">
        <v>1.2</v>
      </c>
      <c r="H633" s="7">
        <v>45384.370509259257</v>
      </c>
      <c r="I633" s="7" t="str">
        <f>TEXT(multilingual_mobile_app_reviews_2025[[#This Row],[Review_date]],"dd-mm-yyyy")</f>
        <v>02-04-2024</v>
      </c>
      <c r="J633" s="7" t="str">
        <f>TEXT(multilingual_mobile_app_reviews_2025[[#This Row],[Review_date]],"YYYY")</f>
        <v>2024</v>
      </c>
      <c r="K633" s="7" t="str">
        <f>TEXT(multilingual_mobile_app_reviews_2025[[#This Row],[Review_date]],"MMMM")</f>
        <v>April</v>
      </c>
      <c r="L633" s="4" t="b">
        <v>1</v>
      </c>
      <c r="M633" s="4" t="s">
        <v>10</v>
      </c>
      <c r="N633" s="5">
        <v>81</v>
      </c>
      <c r="O633" s="5">
        <v>20</v>
      </c>
      <c r="P633" s="4" t="s">
        <v>99</v>
      </c>
      <c r="Q633" s="8" t="s">
        <v>29</v>
      </c>
      <c r="R633" s="4" t="s">
        <v>856</v>
      </c>
      <c r="S633" s="4"/>
      <c r="T633"/>
      <c r="U633" s="23"/>
    </row>
    <row r="634" spans="1:21" ht="15.6" x14ac:dyDescent="0.3">
      <c r="A634" s="4">
        <v>633</v>
      </c>
      <c r="B634" s="5">
        <v>8444540</v>
      </c>
      <c r="C634" s="4" t="s">
        <v>96</v>
      </c>
      <c r="D634" s="4" t="s">
        <v>42</v>
      </c>
      <c r="E634" s="4" t="s">
        <v>130</v>
      </c>
      <c r="F634" s="4" t="s">
        <v>2954</v>
      </c>
      <c r="G634" s="6">
        <v>2.2000000000000002</v>
      </c>
      <c r="H634" s="7">
        <v>45717.72247685185</v>
      </c>
      <c r="I634" s="7" t="str">
        <f>TEXT(multilingual_mobile_app_reviews_2025[[#This Row],[Review_date]],"dd-mm-yyyy")</f>
        <v>01-03-2025</v>
      </c>
      <c r="J634" s="7" t="str">
        <f>TEXT(multilingual_mobile_app_reviews_2025[[#This Row],[Review_date]],"YYYY")</f>
        <v>2025</v>
      </c>
      <c r="K634" s="7" t="str">
        <f>TEXT(multilingual_mobile_app_reviews_2025[[#This Row],[Review_date]],"MMMM")</f>
        <v>March</v>
      </c>
      <c r="L634" s="4" t="b">
        <v>0</v>
      </c>
      <c r="M634" s="4" t="s">
        <v>98</v>
      </c>
      <c r="N634" s="5">
        <v>1220</v>
      </c>
      <c r="O634" s="5">
        <v>20</v>
      </c>
      <c r="P634" s="4" t="s">
        <v>162</v>
      </c>
      <c r="Q634" s="8" t="s">
        <v>12</v>
      </c>
      <c r="R634" s="4" t="s">
        <v>461</v>
      </c>
      <c r="S634" s="4"/>
      <c r="T634"/>
      <c r="U634" s="23"/>
    </row>
    <row r="635" spans="1:21" ht="15.6" x14ac:dyDescent="0.3">
      <c r="A635" s="4">
        <v>634</v>
      </c>
      <c r="B635" s="5">
        <v>398116</v>
      </c>
      <c r="C635" s="4" t="s">
        <v>199</v>
      </c>
      <c r="D635" s="4" t="s">
        <v>60</v>
      </c>
      <c r="E635" s="4" t="s">
        <v>64</v>
      </c>
      <c r="F635" s="4" t="s">
        <v>2950</v>
      </c>
      <c r="G635" s="6">
        <v>2.8</v>
      </c>
      <c r="H635" s="7">
        <v>45218.603680555556</v>
      </c>
      <c r="I635" s="7" t="str">
        <f>TEXT(multilingual_mobile_app_reviews_2025[[#This Row],[Review_date]],"dd-mm-yyyy")</f>
        <v>19-10-2023</v>
      </c>
      <c r="J635" s="7" t="str">
        <f>TEXT(multilingual_mobile_app_reviews_2025[[#This Row],[Review_date]],"YYYY")</f>
        <v>2023</v>
      </c>
      <c r="K635" s="7" t="str">
        <f>TEXT(multilingual_mobile_app_reviews_2025[[#This Row],[Review_date]],"MMMM")</f>
        <v>October</v>
      </c>
      <c r="L635" s="4" t="b">
        <v>1</v>
      </c>
      <c r="M635" s="4" t="s">
        <v>98</v>
      </c>
      <c r="N635" s="5">
        <v>668</v>
      </c>
      <c r="O635" s="5">
        <v>36</v>
      </c>
      <c r="P635" s="4" t="s">
        <v>23</v>
      </c>
      <c r="Q635" s="8" t="s">
        <v>5</v>
      </c>
      <c r="R635" s="4" t="s">
        <v>857</v>
      </c>
      <c r="S635" s="4"/>
      <c r="T635"/>
      <c r="U635" s="23"/>
    </row>
    <row r="636" spans="1:21" ht="15.6" x14ac:dyDescent="0.3">
      <c r="A636" s="4">
        <v>635</v>
      </c>
      <c r="B636" s="5">
        <v>7017892</v>
      </c>
      <c r="C636" s="4" t="s">
        <v>106</v>
      </c>
      <c r="D636" s="4" t="s">
        <v>26</v>
      </c>
      <c r="E636" s="4" t="s">
        <v>21</v>
      </c>
      <c r="F636" s="4" t="s">
        <v>2961</v>
      </c>
      <c r="G636" s="6">
        <v>3.6</v>
      </c>
      <c r="H636" s="7">
        <v>45166.709745370368</v>
      </c>
      <c r="I636" s="7" t="str">
        <f>TEXT(multilingual_mobile_app_reviews_2025[[#This Row],[Review_date]],"dd-mm-yyyy")</f>
        <v>28-08-2023</v>
      </c>
      <c r="J636" s="7" t="str">
        <f>TEXT(multilingual_mobile_app_reviews_2025[[#This Row],[Review_date]],"YYYY")</f>
        <v>2023</v>
      </c>
      <c r="K636" s="7" t="str">
        <f>TEXT(multilingual_mobile_app_reviews_2025[[#This Row],[Review_date]],"MMMM")</f>
        <v>August</v>
      </c>
      <c r="L636" s="4" t="b">
        <v>1</v>
      </c>
      <c r="M636" s="4" t="s">
        <v>98</v>
      </c>
      <c r="N636" s="5">
        <v>887</v>
      </c>
      <c r="O636" s="5">
        <v>74</v>
      </c>
      <c r="P636" s="4" t="s">
        <v>80</v>
      </c>
      <c r="Q636" s="8" t="s">
        <v>5</v>
      </c>
      <c r="R636" s="4" t="s">
        <v>858</v>
      </c>
      <c r="S636" s="4"/>
      <c r="T636"/>
      <c r="U636" s="23"/>
    </row>
    <row r="637" spans="1:21" ht="15.6" x14ac:dyDescent="0.3">
      <c r="A637" s="4">
        <v>636</v>
      </c>
      <c r="B637" s="5">
        <v>9312349</v>
      </c>
      <c r="C637" s="4" t="s">
        <v>75</v>
      </c>
      <c r="D637" s="4" t="s">
        <v>79</v>
      </c>
      <c r="E637" s="4" t="s">
        <v>859</v>
      </c>
      <c r="F637" s="4" t="s">
        <v>2944</v>
      </c>
      <c r="G637" s="6">
        <v>3</v>
      </c>
      <c r="H637" s="7">
        <v>45634.068761574075</v>
      </c>
      <c r="I637" s="7" t="str">
        <f>TEXT(multilingual_mobile_app_reviews_2025[[#This Row],[Review_date]],"dd-mm-yyyy")</f>
        <v>08-12-2024</v>
      </c>
      <c r="J637" s="7" t="str">
        <f>TEXT(multilingual_mobile_app_reviews_2025[[#This Row],[Review_date]],"YYYY")</f>
        <v>2024</v>
      </c>
      <c r="K637" s="7" t="str">
        <f>TEXT(multilingual_mobile_app_reviews_2025[[#This Row],[Review_date]],"MMMM")</f>
        <v>December</v>
      </c>
      <c r="L637" s="4" t="b">
        <v>1</v>
      </c>
      <c r="M637" s="4" t="s">
        <v>98</v>
      </c>
      <c r="N637" s="5">
        <v>1238</v>
      </c>
      <c r="O637" s="5">
        <v>38</v>
      </c>
      <c r="P637" s="4" t="s">
        <v>2963</v>
      </c>
      <c r="Q637" s="8" t="s">
        <v>39</v>
      </c>
      <c r="R637" s="4" t="s">
        <v>860</v>
      </c>
      <c r="S637" s="4"/>
      <c r="T637"/>
      <c r="U637" s="23"/>
    </row>
    <row r="638" spans="1:21" ht="15.6" x14ac:dyDescent="0.3">
      <c r="A638" s="4">
        <v>637</v>
      </c>
      <c r="B638" s="5">
        <v>8628492</v>
      </c>
      <c r="C638" s="4" t="s">
        <v>19</v>
      </c>
      <c r="D638" s="4" t="s">
        <v>57</v>
      </c>
      <c r="E638" s="4" t="s">
        <v>9</v>
      </c>
      <c r="F638" s="4" t="s">
        <v>2953</v>
      </c>
      <c r="G638" s="6">
        <v>1.3</v>
      </c>
      <c r="H638" s="7">
        <v>45575.65488425926</v>
      </c>
      <c r="I638" s="7" t="str">
        <f>TEXT(multilingual_mobile_app_reviews_2025[[#This Row],[Review_date]],"dd-mm-yyyy")</f>
        <v>10-10-2024</v>
      </c>
      <c r="J638" s="7" t="str">
        <f>TEXT(multilingual_mobile_app_reviews_2025[[#This Row],[Review_date]],"YYYY")</f>
        <v>2024</v>
      </c>
      <c r="K638" s="7" t="str">
        <f>TEXT(multilingual_mobile_app_reviews_2025[[#This Row],[Review_date]],"MMMM")</f>
        <v>October</v>
      </c>
      <c r="L638" s="4" t="b">
        <v>1</v>
      </c>
      <c r="M638" s="4" t="s">
        <v>10</v>
      </c>
      <c r="N638" s="5">
        <v>1247</v>
      </c>
      <c r="O638" s="5">
        <v>65</v>
      </c>
      <c r="P638" s="4" t="s">
        <v>70</v>
      </c>
      <c r="Q638" s="8" t="s">
        <v>2963</v>
      </c>
      <c r="R638" s="4" t="s">
        <v>508</v>
      </c>
      <c r="S638" s="4"/>
      <c r="T638"/>
      <c r="U638" s="23"/>
    </row>
    <row r="639" spans="1:21" ht="15.6" x14ac:dyDescent="0.3">
      <c r="A639" s="4">
        <v>638</v>
      </c>
      <c r="B639" s="5">
        <v>7753898</v>
      </c>
      <c r="C639" s="4" t="s">
        <v>36</v>
      </c>
      <c r="D639" s="4" t="s">
        <v>26</v>
      </c>
      <c r="E639" s="4" t="s">
        <v>861</v>
      </c>
      <c r="F639" s="4" t="s">
        <v>2949</v>
      </c>
      <c r="G639" s="6">
        <v>3.8</v>
      </c>
      <c r="H639" s="7">
        <v>45506.372048611112</v>
      </c>
      <c r="I639" s="7" t="str">
        <f>TEXT(multilingual_mobile_app_reviews_2025[[#This Row],[Review_date]],"dd-mm-yyyy")</f>
        <v>02-08-2024</v>
      </c>
      <c r="J639" s="7" t="str">
        <f>TEXT(multilingual_mobile_app_reviews_2025[[#This Row],[Review_date]],"YYYY")</f>
        <v>2024</v>
      </c>
      <c r="K639" s="7" t="str">
        <f>TEXT(multilingual_mobile_app_reviews_2025[[#This Row],[Review_date]],"MMMM")</f>
        <v>August</v>
      </c>
      <c r="L639" s="4" t="b">
        <v>0</v>
      </c>
      <c r="M639" s="4" t="s">
        <v>3</v>
      </c>
      <c r="N639" s="5">
        <v>523</v>
      </c>
      <c r="O639" s="5">
        <v>38</v>
      </c>
      <c r="P639" s="4" t="s">
        <v>23</v>
      </c>
      <c r="Q639" s="8" t="s">
        <v>2963</v>
      </c>
      <c r="R639" s="4" t="s">
        <v>862</v>
      </c>
      <c r="S639" s="4"/>
      <c r="T639"/>
      <c r="U639" s="23"/>
    </row>
    <row r="640" spans="1:21" ht="15.6" x14ac:dyDescent="0.3">
      <c r="A640" s="4">
        <v>639</v>
      </c>
      <c r="B640" s="5">
        <v>6195071</v>
      </c>
      <c r="C640" s="4" t="s">
        <v>41</v>
      </c>
      <c r="D640" s="4" t="s">
        <v>79</v>
      </c>
      <c r="E640" s="4" t="s">
        <v>109</v>
      </c>
      <c r="F640" s="4" t="s">
        <v>2951</v>
      </c>
      <c r="G640" s="6">
        <v>3.5</v>
      </c>
      <c r="H640" s="7">
        <v>45694.944710648146</v>
      </c>
      <c r="I640" s="7" t="str">
        <f>TEXT(multilingual_mobile_app_reviews_2025[[#This Row],[Review_date]],"dd-mm-yyyy")</f>
        <v>06-02-2025</v>
      </c>
      <c r="J640" s="7" t="str">
        <f>TEXT(multilingual_mobile_app_reviews_2025[[#This Row],[Review_date]],"YYYY")</f>
        <v>2025</v>
      </c>
      <c r="K640" s="7" t="str">
        <f>TEXT(multilingual_mobile_app_reviews_2025[[#This Row],[Review_date]],"MMMM")</f>
        <v>February</v>
      </c>
      <c r="L640" s="4" t="b">
        <v>1</v>
      </c>
      <c r="M640" s="4" t="s">
        <v>22</v>
      </c>
      <c r="N640" s="5">
        <v>720</v>
      </c>
      <c r="O640" s="5">
        <v>49</v>
      </c>
      <c r="P640" s="4" t="s">
        <v>90</v>
      </c>
      <c r="Q640" s="8" t="s">
        <v>29</v>
      </c>
      <c r="R640" s="4" t="s">
        <v>863</v>
      </c>
      <c r="S640" s="4"/>
      <c r="T640"/>
      <c r="U640" s="23"/>
    </row>
    <row r="641" spans="1:21" ht="15.6" x14ac:dyDescent="0.3">
      <c r="A641" s="4">
        <v>640</v>
      </c>
      <c r="B641" s="5">
        <v>2012994</v>
      </c>
      <c r="C641" s="4" t="s">
        <v>67</v>
      </c>
      <c r="D641" s="4" t="s">
        <v>15</v>
      </c>
      <c r="E641" s="4" t="s">
        <v>864</v>
      </c>
      <c r="F641" s="4" t="s">
        <v>2960</v>
      </c>
      <c r="G641" s="6">
        <v>1.9</v>
      </c>
      <c r="H641" s="7">
        <v>45760.188831018517</v>
      </c>
      <c r="I641" s="7" t="str">
        <f>TEXT(multilingual_mobile_app_reviews_2025[[#This Row],[Review_date]],"dd-mm-yyyy")</f>
        <v>13-04-2025</v>
      </c>
      <c r="J641" s="7" t="str">
        <f>TEXT(multilingual_mobile_app_reviews_2025[[#This Row],[Review_date]],"YYYY")</f>
        <v>2025</v>
      </c>
      <c r="K641" s="7" t="str">
        <f>TEXT(multilingual_mobile_app_reviews_2025[[#This Row],[Review_date]],"MMMM")</f>
        <v>April</v>
      </c>
      <c r="L641" s="4" t="b">
        <v>1</v>
      </c>
      <c r="M641" s="4" t="s">
        <v>98</v>
      </c>
      <c r="N641" s="5">
        <v>1168</v>
      </c>
      <c r="O641" s="5">
        <v>31</v>
      </c>
      <c r="P641" s="4" t="s">
        <v>65</v>
      </c>
      <c r="Q641" s="8" t="s">
        <v>5</v>
      </c>
      <c r="R641" s="4" t="s">
        <v>865</v>
      </c>
      <c r="S641" s="4"/>
      <c r="T641"/>
      <c r="U641" s="23"/>
    </row>
    <row r="642" spans="1:21" ht="15.6" x14ac:dyDescent="0.3">
      <c r="A642" s="4">
        <v>641</v>
      </c>
      <c r="B642" s="5">
        <v>9288723</v>
      </c>
      <c r="C642" s="4" t="s">
        <v>113</v>
      </c>
      <c r="D642" s="4" t="s">
        <v>157</v>
      </c>
      <c r="E642" s="4" t="s">
        <v>9</v>
      </c>
      <c r="F642" s="4" t="s">
        <v>2948</v>
      </c>
      <c r="G642" s="6">
        <v>3.1</v>
      </c>
      <c r="H642" s="7">
        <v>45544.316064814811</v>
      </c>
      <c r="I642" s="7" t="str">
        <f>TEXT(multilingual_mobile_app_reviews_2025[[#This Row],[Review_date]],"dd-mm-yyyy")</f>
        <v>09-09-2024</v>
      </c>
      <c r="J642" s="7" t="str">
        <f>TEXT(multilingual_mobile_app_reviews_2025[[#This Row],[Review_date]],"YYYY")</f>
        <v>2024</v>
      </c>
      <c r="K642" s="7" t="str">
        <f>TEXT(multilingual_mobile_app_reviews_2025[[#This Row],[Review_date]],"MMMM")</f>
        <v>September</v>
      </c>
      <c r="L642" s="4" t="b">
        <v>1</v>
      </c>
      <c r="M642" s="4" t="s">
        <v>3</v>
      </c>
      <c r="N642" s="5">
        <v>461</v>
      </c>
      <c r="O642" s="5">
        <v>67</v>
      </c>
      <c r="P642" s="4" t="s">
        <v>11</v>
      </c>
      <c r="Q642" s="8" t="s">
        <v>29</v>
      </c>
      <c r="R642" s="4" t="s">
        <v>866</v>
      </c>
      <c r="S642" s="4"/>
      <c r="T642"/>
      <c r="U642" s="23"/>
    </row>
    <row r="643" spans="1:21" ht="15.6" x14ac:dyDescent="0.3">
      <c r="A643" s="4">
        <v>642</v>
      </c>
      <c r="B643" s="5">
        <v>1883791</v>
      </c>
      <c r="C643" s="4" t="s">
        <v>159</v>
      </c>
      <c r="D643" s="4" t="s">
        <v>71</v>
      </c>
      <c r="E643" s="4" t="s">
        <v>16</v>
      </c>
      <c r="F643" s="4" t="s">
        <v>2960</v>
      </c>
      <c r="G643" s="6">
        <v>3.3</v>
      </c>
      <c r="H643" s="7">
        <v>45174.435162037036</v>
      </c>
      <c r="I643" s="7" t="str">
        <f>TEXT(multilingual_mobile_app_reviews_2025[[#This Row],[Review_date]],"dd-mm-yyyy")</f>
        <v>05-09-2023</v>
      </c>
      <c r="J643" s="7" t="str">
        <f>TEXT(multilingual_mobile_app_reviews_2025[[#This Row],[Review_date]],"YYYY")</f>
        <v>2023</v>
      </c>
      <c r="K643" s="7" t="str">
        <f>TEXT(multilingual_mobile_app_reviews_2025[[#This Row],[Review_date]],"MMMM")</f>
        <v>September</v>
      </c>
      <c r="L643" s="4" t="b">
        <v>1</v>
      </c>
      <c r="M643" s="4" t="s">
        <v>3</v>
      </c>
      <c r="N643" s="5">
        <v>856</v>
      </c>
      <c r="O643" s="5">
        <v>39</v>
      </c>
      <c r="P643" s="4" t="s">
        <v>127</v>
      </c>
      <c r="Q643" s="8" t="s">
        <v>12</v>
      </c>
      <c r="R643" s="4" t="s">
        <v>191</v>
      </c>
      <c r="S643" s="4"/>
      <c r="T643"/>
      <c r="U643" s="23"/>
    </row>
    <row r="644" spans="1:21" ht="15.6" x14ac:dyDescent="0.3">
      <c r="A644" s="4">
        <v>643</v>
      </c>
      <c r="B644" s="5">
        <v>8361472</v>
      </c>
      <c r="C644" s="4" t="s">
        <v>7</v>
      </c>
      <c r="D644" s="4" t="s">
        <v>42</v>
      </c>
      <c r="E644" s="4" t="s">
        <v>16</v>
      </c>
      <c r="F644" s="4" t="s">
        <v>2943</v>
      </c>
      <c r="G644" s="6">
        <v>1.1000000000000001</v>
      </c>
      <c r="H644" s="7">
        <v>45247.968368055554</v>
      </c>
      <c r="I644" s="7" t="str">
        <f>TEXT(multilingual_mobile_app_reviews_2025[[#This Row],[Review_date]],"dd-mm-yyyy")</f>
        <v>17-11-2023</v>
      </c>
      <c r="J644" s="7" t="str">
        <f>TEXT(multilingual_mobile_app_reviews_2025[[#This Row],[Review_date]],"YYYY")</f>
        <v>2023</v>
      </c>
      <c r="K644" s="7" t="str">
        <f>TEXT(multilingual_mobile_app_reviews_2025[[#This Row],[Review_date]],"MMMM")</f>
        <v>November</v>
      </c>
      <c r="L644" s="4" t="b">
        <v>0</v>
      </c>
      <c r="M644" s="4" t="s">
        <v>33</v>
      </c>
      <c r="N644" s="5">
        <v>797</v>
      </c>
      <c r="O644" s="5">
        <v>48</v>
      </c>
      <c r="P644" s="4" t="s">
        <v>85</v>
      </c>
      <c r="Q644" s="8" t="s">
        <v>5</v>
      </c>
      <c r="R644" s="4" t="s">
        <v>867</v>
      </c>
      <c r="S644" s="4"/>
      <c r="T644"/>
      <c r="U644" s="23"/>
    </row>
    <row r="645" spans="1:21" ht="15.6" x14ac:dyDescent="0.3">
      <c r="A645" s="4">
        <v>644</v>
      </c>
      <c r="B645" s="5">
        <v>6965417</v>
      </c>
      <c r="C645" s="4" t="s">
        <v>89</v>
      </c>
      <c r="D645" s="4" t="s">
        <v>26</v>
      </c>
      <c r="E645" s="4" t="s">
        <v>130</v>
      </c>
      <c r="F645" s="4" t="s">
        <v>2953</v>
      </c>
      <c r="G645" s="6">
        <v>3.7</v>
      </c>
      <c r="H645" s="7">
        <v>45221.957719907405</v>
      </c>
      <c r="I645" s="7" t="str">
        <f>TEXT(multilingual_mobile_app_reviews_2025[[#This Row],[Review_date]],"dd-mm-yyyy")</f>
        <v>22-10-2023</v>
      </c>
      <c r="J645" s="7" t="str">
        <f>TEXT(multilingual_mobile_app_reviews_2025[[#This Row],[Review_date]],"YYYY")</f>
        <v>2023</v>
      </c>
      <c r="K645" s="7" t="str">
        <f>TEXT(multilingual_mobile_app_reviews_2025[[#This Row],[Review_date]],"MMMM")</f>
        <v>October</v>
      </c>
      <c r="L645" s="4" t="b">
        <v>1</v>
      </c>
      <c r="M645" s="4" t="s">
        <v>3</v>
      </c>
      <c r="N645" s="5">
        <v>495</v>
      </c>
      <c r="O645" s="5">
        <v>63</v>
      </c>
      <c r="P645" s="4" t="s">
        <v>65</v>
      </c>
      <c r="Q645" s="8" t="s">
        <v>29</v>
      </c>
      <c r="R645" s="4" t="s">
        <v>257</v>
      </c>
      <c r="S645" s="4"/>
      <c r="T645"/>
      <c r="U645" s="23"/>
    </row>
    <row r="646" spans="1:21" ht="15.6" x14ac:dyDescent="0.3">
      <c r="A646" s="4">
        <v>645</v>
      </c>
      <c r="B646" s="5">
        <v>3387016</v>
      </c>
      <c r="C646" s="4" t="s">
        <v>176</v>
      </c>
      <c r="D646" s="4" t="s">
        <v>8</v>
      </c>
      <c r="E646" s="4" t="s">
        <v>868</v>
      </c>
      <c r="F646" s="4" t="s">
        <v>2941</v>
      </c>
      <c r="G646" s="6">
        <v>4.0999999999999996</v>
      </c>
      <c r="H646" s="7">
        <v>45488.795520833337</v>
      </c>
      <c r="I646" s="7" t="str">
        <f>TEXT(multilingual_mobile_app_reviews_2025[[#This Row],[Review_date]],"dd-mm-yyyy")</f>
        <v>15-07-2024</v>
      </c>
      <c r="J646" s="7" t="str">
        <f>TEXT(multilingual_mobile_app_reviews_2025[[#This Row],[Review_date]],"YYYY")</f>
        <v>2024</v>
      </c>
      <c r="K646" s="7" t="str">
        <f>TEXT(multilingual_mobile_app_reviews_2025[[#This Row],[Review_date]],"MMMM")</f>
        <v>July</v>
      </c>
      <c r="L646" s="4" t="b">
        <v>1</v>
      </c>
      <c r="M646" s="4" t="s">
        <v>10</v>
      </c>
      <c r="N646" s="5">
        <v>1100</v>
      </c>
      <c r="O646" s="5">
        <v>20</v>
      </c>
      <c r="P646" s="4" t="s">
        <v>61</v>
      </c>
      <c r="Q646" s="8" t="s">
        <v>2963</v>
      </c>
      <c r="R646" s="4" t="s">
        <v>869</v>
      </c>
      <c r="S646" s="4"/>
      <c r="T646"/>
      <c r="U646" s="23"/>
    </row>
    <row r="647" spans="1:21" ht="15.6" x14ac:dyDescent="0.3">
      <c r="A647" s="4">
        <v>646</v>
      </c>
      <c r="B647" s="5">
        <v>9987084</v>
      </c>
      <c r="C647" s="4" t="s">
        <v>96</v>
      </c>
      <c r="D647" s="4" t="s">
        <v>15</v>
      </c>
      <c r="E647" s="4" t="s">
        <v>130</v>
      </c>
      <c r="F647" s="4" t="s">
        <v>2945</v>
      </c>
      <c r="G647" s="6">
        <v>4.0999999999999996</v>
      </c>
      <c r="H647" s="7">
        <v>45530.500092592592</v>
      </c>
      <c r="I647" s="7" t="str">
        <f>TEXT(multilingual_mobile_app_reviews_2025[[#This Row],[Review_date]],"dd-mm-yyyy")</f>
        <v>26-08-2024</v>
      </c>
      <c r="J647" s="7" t="str">
        <f>TEXT(multilingual_mobile_app_reviews_2025[[#This Row],[Review_date]],"YYYY")</f>
        <v>2024</v>
      </c>
      <c r="K647" s="7" t="str">
        <f>TEXT(multilingual_mobile_app_reviews_2025[[#This Row],[Review_date]],"MMMM")</f>
        <v>August</v>
      </c>
      <c r="L647" s="4" t="b">
        <v>1</v>
      </c>
      <c r="M647" s="4" t="s">
        <v>98</v>
      </c>
      <c r="N647" s="5">
        <v>298</v>
      </c>
      <c r="O647" s="5">
        <v>67</v>
      </c>
      <c r="P647" s="4" t="s">
        <v>230</v>
      </c>
      <c r="Q647" s="8" t="s">
        <v>2963</v>
      </c>
      <c r="R647" s="4" t="s">
        <v>870</v>
      </c>
      <c r="S647" s="4"/>
      <c r="T647"/>
      <c r="U647" s="23"/>
    </row>
    <row r="648" spans="1:21" ht="15.6" x14ac:dyDescent="0.3">
      <c r="A648" s="4">
        <v>647</v>
      </c>
      <c r="B648" s="5">
        <v>8468955</v>
      </c>
      <c r="C648" s="4" t="s">
        <v>67</v>
      </c>
      <c r="D648" s="4" t="s">
        <v>60</v>
      </c>
      <c r="E648" s="4" t="s">
        <v>130</v>
      </c>
      <c r="F648" s="4" t="s">
        <v>2953</v>
      </c>
      <c r="G648" s="6">
        <v>4</v>
      </c>
      <c r="H648" s="7">
        <v>45142.247395833336</v>
      </c>
      <c r="I648" s="7" t="str">
        <f>TEXT(multilingual_mobile_app_reviews_2025[[#This Row],[Review_date]],"dd-mm-yyyy")</f>
        <v>04-08-2023</v>
      </c>
      <c r="J648" s="7" t="str">
        <f>TEXT(multilingual_mobile_app_reviews_2025[[#This Row],[Review_date]],"YYYY")</f>
        <v>2023</v>
      </c>
      <c r="K648" s="7" t="str">
        <f>TEXT(multilingual_mobile_app_reviews_2025[[#This Row],[Review_date]],"MMMM")</f>
        <v>August</v>
      </c>
      <c r="L648" s="4" t="b">
        <v>1</v>
      </c>
      <c r="M648" s="4" t="s">
        <v>10</v>
      </c>
      <c r="N648" s="5">
        <v>604</v>
      </c>
      <c r="O648" s="5">
        <v>57</v>
      </c>
      <c r="P648" s="4" t="s">
        <v>70</v>
      </c>
      <c r="Q648" s="8" t="s">
        <v>39</v>
      </c>
      <c r="R648" s="4" t="s">
        <v>871</v>
      </c>
      <c r="S648" s="4"/>
      <c r="T648"/>
      <c r="U648" s="23"/>
    </row>
    <row r="649" spans="1:21" ht="15.6" x14ac:dyDescent="0.3">
      <c r="A649" s="4">
        <v>648</v>
      </c>
      <c r="B649" s="5">
        <v>914896</v>
      </c>
      <c r="C649" s="4" t="s">
        <v>199</v>
      </c>
      <c r="D649" s="4" t="s">
        <v>97</v>
      </c>
      <c r="E649" s="4" t="s">
        <v>21</v>
      </c>
      <c r="F649" s="4" t="s">
        <v>2962</v>
      </c>
      <c r="G649" s="6">
        <v>4.8</v>
      </c>
      <c r="H649" s="7">
        <v>45568.58185185185</v>
      </c>
      <c r="I649" s="7" t="str">
        <f>TEXT(multilingual_mobile_app_reviews_2025[[#This Row],[Review_date]],"dd-mm-yyyy")</f>
        <v>03-10-2024</v>
      </c>
      <c r="J649" s="7" t="str">
        <f>TEXT(multilingual_mobile_app_reviews_2025[[#This Row],[Review_date]],"YYYY")</f>
        <v>2024</v>
      </c>
      <c r="K649" s="7" t="str">
        <f>TEXT(multilingual_mobile_app_reviews_2025[[#This Row],[Review_date]],"MMMM")</f>
        <v>October</v>
      </c>
      <c r="L649" s="4" t="b">
        <v>1</v>
      </c>
      <c r="M649" s="4" t="s">
        <v>22</v>
      </c>
      <c r="N649" s="5">
        <v>1162</v>
      </c>
      <c r="O649" s="5">
        <v>53</v>
      </c>
      <c r="P649" s="4" t="s">
        <v>114</v>
      </c>
      <c r="Q649" s="8" t="s">
        <v>29</v>
      </c>
      <c r="R649" s="4" t="s">
        <v>872</v>
      </c>
      <c r="S649" s="4"/>
      <c r="T649"/>
      <c r="U649" s="23"/>
    </row>
    <row r="650" spans="1:21" ht="15.6" x14ac:dyDescent="0.3">
      <c r="A650" s="4">
        <v>649</v>
      </c>
      <c r="B650" s="5">
        <v>9916696</v>
      </c>
      <c r="C650" s="4" t="s">
        <v>137</v>
      </c>
      <c r="D650" s="4" t="s">
        <v>71</v>
      </c>
      <c r="E650" s="4" t="s">
        <v>873</v>
      </c>
      <c r="F650" s="4" t="s">
        <v>2951</v>
      </c>
      <c r="G650" s="6">
        <v>3.3</v>
      </c>
      <c r="H650" s="7">
        <v>45405.184560185182</v>
      </c>
      <c r="I650" s="7" t="str">
        <f>TEXT(multilingual_mobile_app_reviews_2025[[#This Row],[Review_date]],"dd-mm-yyyy")</f>
        <v>23-04-2024</v>
      </c>
      <c r="J650" s="7" t="str">
        <f>TEXT(multilingual_mobile_app_reviews_2025[[#This Row],[Review_date]],"YYYY")</f>
        <v>2024</v>
      </c>
      <c r="K650" s="7" t="str">
        <f>TEXT(multilingual_mobile_app_reviews_2025[[#This Row],[Review_date]],"MMMM")</f>
        <v>April</v>
      </c>
      <c r="L650" s="4" t="b">
        <v>1</v>
      </c>
      <c r="M650" s="4" t="s">
        <v>10</v>
      </c>
      <c r="N650" s="5">
        <v>745</v>
      </c>
      <c r="O650" s="5">
        <v>59</v>
      </c>
      <c r="P650" s="4" t="s">
        <v>85</v>
      </c>
      <c r="Q650" s="8" t="s">
        <v>2963</v>
      </c>
      <c r="R650" s="4" t="s">
        <v>874</v>
      </c>
      <c r="S650" s="4"/>
      <c r="T650"/>
      <c r="U650" s="23"/>
    </row>
    <row r="651" spans="1:21" ht="15.6" x14ac:dyDescent="0.3">
      <c r="A651" s="4">
        <v>650</v>
      </c>
      <c r="B651" s="5">
        <v>7697490</v>
      </c>
      <c r="C651" s="4" t="s">
        <v>192</v>
      </c>
      <c r="D651" s="4" t="s">
        <v>26</v>
      </c>
      <c r="E651" s="4" t="s">
        <v>875</v>
      </c>
      <c r="F651" s="4" t="s">
        <v>2947</v>
      </c>
      <c r="G651" s="6">
        <v>4.5999999999999996</v>
      </c>
      <c r="H651" s="7">
        <v>45793.713530092595</v>
      </c>
      <c r="I651" s="7" t="str">
        <f>TEXT(multilingual_mobile_app_reviews_2025[[#This Row],[Review_date]],"dd-mm-yyyy")</f>
        <v>16-05-2025</v>
      </c>
      <c r="J651" s="7" t="str">
        <f>TEXT(multilingual_mobile_app_reviews_2025[[#This Row],[Review_date]],"YYYY")</f>
        <v>2025</v>
      </c>
      <c r="K651" s="7" t="str">
        <f>TEXT(multilingual_mobile_app_reviews_2025[[#This Row],[Review_date]],"MMMM")</f>
        <v>May</v>
      </c>
      <c r="L651" s="4" t="b">
        <v>0</v>
      </c>
      <c r="M651" s="4" t="s">
        <v>98</v>
      </c>
      <c r="N651" s="5">
        <v>132</v>
      </c>
      <c r="O651" s="5">
        <v>34</v>
      </c>
      <c r="P651" s="4" t="s">
        <v>17</v>
      </c>
      <c r="Q651" s="8" t="s">
        <v>39</v>
      </c>
      <c r="R651" s="4" t="s">
        <v>876</v>
      </c>
      <c r="S651" s="4"/>
      <c r="T651"/>
      <c r="U651" s="23"/>
    </row>
    <row r="652" spans="1:21" ht="15.6" x14ac:dyDescent="0.3">
      <c r="A652" s="4">
        <v>651</v>
      </c>
      <c r="B652" s="5">
        <v>9290659</v>
      </c>
      <c r="C652" s="4" t="s">
        <v>89</v>
      </c>
      <c r="D652" s="4" t="s">
        <v>79</v>
      </c>
      <c r="E652" s="4" t="s">
        <v>877</v>
      </c>
      <c r="F652" s="4" t="s">
        <v>2943</v>
      </c>
      <c r="G652" s="6">
        <v>3.7</v>
      </c>
      <c r="H652" s="7">
        <v>45407.075706018521</v>
      </c>
      <c r="I652" s="7" t="str">
        <f>TEXT(multilingual_mobile_app_reviews_2025[[#This Row],[Review_date]],"dd-mm-yyyy")</f>
        <v>25-04-2024</v>
      </c>
      <c r="J652" s="7" t="str">
        <f>TEXT(multilingual_mobile_app_reviews_2025[[#This Row],[Review_date]],"YYYY")</f>
        <v>2024</v>
      </c>
      <c r="K652" s="7" t="str">
        <f>TEXT(multilingual_mobile_app_reviews_2025[[#This Row],[Review_date]],"MMMM")</f>
        <v>April</v>
      </c>
      <c r="L652" s="4" t="b">
        <v>0</v>
      </c>
      <c r="M652" s="4" t="s">
        <v>3</v>
      </c>
      <c r="N652" s="5">
        <v>202</v>
      </c>
      <c r="O652" s="5">
        <v>73</v>
      </c>
      <c r="P652" s="4" t="s">
        <v>73</v>
      </c>
      <c r="Q652" s="8" t="s">
        <v>2963</v>
      </c>
      <c r="R652" s="4" t="s">
        <v>878</v>
      </c>
      <c r="S652" s="4"/>
      <c r="T652"/>
      <c r="U652" s="23"/>
    </row>
    <row r="653" spans="1:21" ht="15.6" x14ac:dyDescent="0.3">
      <c r="A653" s="4">
        <v>652</v>
      </c>
      <c r="B653" s="5">
        <v>2325862</v>
      </c>
      <c r="C653" s="4" t="s">
        <v>75</v>
      </c>
      <c r="D653" s="4" t="s">
        <v>57</v>
      </c>
      <c r="E653" s="4" t="s">
        <v>879</v>
      </c>
      <c r="F653" s="4" t="s">
        <v>2956</v>
      </c>
      <c r="G653" s="6">
        <v>4.4000000000000004</v>
      </c>
      <c r="H653" s="7">
        <v>45294.147060185183</v>
      </c>
      <c r="I653" s="7" t="str">
        <f>TEXT(multilingual_mobile_app_reviews_2025[[#This Row],[Review_date]],"dd-mm-yyyy")</f>
        <v>03-01-2024</v>
      </c>
      <c r="J653" s="7" t="str">
        <f>TEXT(multilingual_mobile_app_reviews_2025[[#This Row],[Review_date]],"YYYY")</f>
        <v>2024</v>
      </c>
      <c r="K653" s="7" t="str">
        <f>TEXT(multilingual_mobile_app_reviews_2025[[#This Row],[Review_date]],"MMMM")</f>
        <v>January</v>
      </c>
      <c r="L653" s="4" t="b">
        <v>1</v>
      </c>
      <c r="M653" s="4" t="s">
        <v>22</v>
      </c>
      <c r="N653" s="5">
        <v>934</v>
      </c>
      <c r="O653" s="5">
        <v>24</v>
      </c>
      <c r="P653" s="4" t="s">
        <v>23</v>
      </c>
      <c r="Q653" s="8" t="s">
        <v>2963</v>
      </c>
      <c r="R653" s="4" t="s">
        <v>880</v>
      </c>
      <c r="S653" s="4"/>
      <c r="T653"/>
      <c r="U653" s="23"/>
    </row>
    <row r="654" spans="1:21" ht="15.6" x14ac:dyDescent="0.3">
      <c r="A654" s="4">
        <v>653</v>
      </c>
      <c r="B654" s="5">
        <v>2800047</v>
      </c>
      <c r="C654" s="4" t="s">
        <v>174</v>
      </c>
      <c r="D654" s="4" t="s">
        <v>97</v>
      </c>
      <c r="E654" s="4" t="s">
        <v>93</v>
      </c>
      <c r="F654" s="4" t="s">
        <v>2947</v>
      </c>
      <c r="G654" s="6">
        <v>2.9</v>
      </c>
      <c r="H654" s="7">
        <v>45361.499131944445</v>
      </c>
      <c r="I654" s="7" t="str">
        <f>TEXT(multilingual_mobile_app_reviews_2025[[#This Row],[Review_date]],"dd-mm-yyyy")</f>
        <v>10-03-2024</v>
      </c>
      <c r="J654" s="7" t="str">
        <f>TEXT(multilingual_mobile_app_reviews_2025[[#This Row],[Review_date]],"YYYY")</f>
        <v>2024</v>
      </c>
      <c r="K654" s="7" t="str">
        <f>TEXT(multilingual_mobile_app_reviews_2025[[#This Row],[Review_date]],"MMMM")</f>
        <v>March</v>
      </c>
      <c r="L654" s="4" t="b">
        <v>0</v>
      </c>
      <c r="M654" s="4" t="s">
        <v>33</v>
      </c>
      <c r="N654" s="5">
        <v>104</v>
      </c>
      <c r="O654" s="5">
        <v>33</v>
      </c>
      <c r="P654" s="4" t="s">
        <v>38</v>
      </c>
      <c r="Q654" s="8" t="s">
        <v>12</v>
      </c>
      <c r="R654" s="4" t="s">
        <v>708</v>
      </c>
      <c r="S654" s="4"/>
      <c r="T654"/>
      <c r="U654" s="23"/>
    </row>
    <row r="655" spans="1:21" ht="15.6" x14ac:dyDescent="0.3">
      <c r="A655" s="4">
        <v>654</v>
      </c>
      <c r="B655" s="5">
        <v>4303716</v>
      </c>
      <c r="C655" s="4" t="s">
        <v>113</v>
      </c>
      <c r="D655" s="4" t="s">
        <v>60</v>
      </c>
      <c r="E655" s="4" t="s">
        <v>881</v>
      </c>
      <c r="F655" s="4" t="s">
        <v>2946</v>
      </c>
      <c r="G655" s="6">
        <v>4.0999999999999996</v>
      </c>
      <c r="H655" s="7">
        <v>45655.005671296298</v>
      </c>
      <c r="I655" s="7" t="str">
        <f>TEXT(multilingual_mobile_app_reviews_2025[[#This Row],[Review_date]],"dd-mm-yyyy")</f>
        <v>29-12-2024</v>
      </c>
      <c r="J655" s="7" t="str">
        <f>TEXT(multilingual_mobile_app_reviews_2025[[#This Row],[Review_date]],"YYYY")</f>
        <v>2024</v>
      </c>
      <c r="K655" s="7" t="str">
        <f>TEXT(multilingual_mobile_app_reviews_2025[[#This Row],[Review_date]],"MMMM")</f>
        <v>December</v>
      </c>
      <c r="L655" s="4" t="b">
        <v>1</v>
      </c>
      <c r="M655" s="4" t="s">
        <v>22</v>
      </c>
      <c r="N655" s="5">
        <v>1206</v>
      </c>
      <c r="O655" s="5">
        <v>64</v>
      </c>
      <c r="P655" s="4" t="s">
        <v>38</v>
      </c>
      <c r="Q655" s="8" t="s">
        <v>2963</v>
      </c>
      <c r="R655" s="4" t="s">
        <v>882</v>
      </c>
      <c r="S655" s="4"/>
      <c r="T655"/>
      <c r="U655" s="23"/>
    </row>
    <row r="656" spans="1:21" ht="15.6" x14ac:dyDescent="0.3">
      <c r="A656" s="4">
        <v>655</v>
      </c>
      <c r="B656" s="5">
        <v>6501894</v>
      </c>
      <c r="C656" s="4" t="s">
        <v>0</v>
      </c>
      <c r="D656" s="4" t="s">
        <v>47</v>
      </c>
      <c r="E656" s="4" t="s">
        <v>883</v>
      </c>
      <c r="F656" s="4" t="s">
        <v>2949</v>
      </c>
      <c r="G656" s="6">
        <v>2</v>
      </c>
      <c r="H656" s="7">
        <v>45686.179837962962</v>
      </c>
      <c r="I656" s="7" t="str">
        <f>TEXT(multilingual_mobile_app_reviews_2025[[#This Row],[Review_date]],"dd-mm-yyyy")</f>
        <v>29-01-2025</v>
      </c>
      <c r="J656" s="7" t="str">
        <f>TEXT(multilingual_mobile_app_reviews_2025[[#This Row],[Review_date]],"YYYY")</f>
        <v>2025</v>
      </c>
      <c r="K656" s="7" t="str">
        <f>TEXT(multilingual_mobile_app_reviews_2025[[#This Row],[Review_date]],"MMMM")</f>
        <v>January</v>
      </c>
      <c r="L656" s="4" t="b">
        <v>0</v>
      </c>
      <c r="M656" s="4" t="s">
        <v>10</v>
      </c>
      <c r="N656" s="5">
        <v>1149</v>
      </c>
      <c r="O656" s="5">
        <v>45</v>
      </c>
      <c r="P656" s="4" t="s">
        <v>114</v>
      </c>
      <c r="Q656" s="8" t="s">
        <v>2963</v>
      </c>
      <c r="R656" s="4" t="s">
        <v>884</v>
      </c>
      <c r="S656" s="4"/>
      <c r="T656"/>
      <c r="U656" s="23"/>
    </row>
    <row r="657" spans="1:21" ht="15.6" x14ac:dyDescent="0.3">
      <c r="A657" s="4">
        <v>656</v>
      </c>
      <c r="B657" s="5">
        <v>6269672</v>
      </c>
      <c r="C657" s="4" t="s">
        <v>192</v>
      </c>
      <c r="D657" s="4" t="s">
        <v>60</v>
      </c>
      <c r="E657" s="4" t="s">
        <v>16</v>
      </c>
      <c r="F657" s="4" t="s">
        <v>2946</v>
      </c>
      <c r="G657" s="6">
        <v>2.4</v>
      </c>
      <c r="H657" s="7">
        <v>45725.387754629628</v>
      </c>
      <c r="I657" s="7" t="str">
        <f>TEXT(multilingual_mobile_app_reviews_2025[[#This Row],[Review_date]],"dd-mm-yyyy")</f>
        <v>09-03-2025</v>
      </c>
      <c r="J657" s="7" t="str">
        <f>TEXT(multilingual_mobile_app_reviews_2025[[#This Row],[Review_date]],"YYYY")</f>
        <v>2025</v>
      </c>
      <c r="K657" s="7" t="str">
        <f>TEXT(multilingual_mobile_app_reviews_2025[[#This Row],[Review_date]],"MMMM")</f>
        <v>March</v>
      </c>
      <c r="L657" s="4" t="b">
        <v>1</v>
      </c>
      <c r="M657" s="4" t="s">
        <v>33</v>
      </c>
      <c r="N657" s="5">
        <v>374</v>
      </c>
      <c r="O657" s="5">
        <v>25</v>
      </c>
      <c r="P657" s="4" t="s">
        <v>80</v>
      </c>
      <c r="Q657" s="8" t="s">
        <v>5</v>
      </c>
      <c r="R657" s="4" t="s">
        <v>885</v>
      </c>
      <c r="S657" s="4"/>
      <c r="T657"/>
      <c r="U657" s="23"/>
    </row>
    <row r="658" spans="1:21" ht="15.6" x14ac:dyDescent="0.3">
      <c r="A658" s="4">
        <v>657</v>
      </c>
      <c r="B658" s="5">
        <v>9270680</v>
      </c>
      <c r="C658" s="4" t="s">
        <v>123</v>
      </c>
      <c r="D658" s="4" t="s">
        <v>220</v>
      </c>
      <c r="E658" s="4" t="s">
        <v>886</v>
      </c>
      <c r="F658" s="4" t="s">
        <v>2952</v>
      </c>
      <c r="G658" s="6">
        <v>3.4</v>
      </c>
      <c r="H658" s="7">
        <v>45231.583101851851</v>
      </c>
      <c r="I658" s="7" t="str">
        <f>TEXT(multilingual_mobile_app_reviews_2025[[#This Row],[Review_date]],"dd-mm-yyyy")</f>
        <v>01-11-2023</v>
      </c>
      <c r="J658" s="7" t="str">
        <f>TEXT(multilingual_mobile_app_reviews_2025[[#This Row],[Review_date]],"YYYY")</f>
        <v>2023</v>
      </c>
      <c r="K658" s="7" t="str">
        <f>TEXT(multilingual_mobile_app_reviews_2025[[#This Row],[Review_date]],"MMMM")</f>
        <v>November</v>
      </c>
      <c r="L658" s="4" t="b">
        <v>1</v>
      </c>
      <c r="M658" s="4" t="s">
        <v>22</v>
      </c>
      <c r="N658" s="5">
        <v>666</v>
      </c>
      <c r="O658" s="5">
        <v>74</v>
      </c>
      <c r="P658" s="4" t="s">
        <v>85</v>
      </c>
      <c r="Q658" s="8" t="s">
        <v>29</v>
      </c>
      <c r="R658" s="4" t="s">
        <v>24</v>
      </c>
      <c r="S658" s="4"/>
      <c r="T658"/>
      <c r="U658" s="23"/>
    </row>
    <row r="659" spans="1:21" ht="15.6" x14ac:dyDescent="0.3">
      <c r="A659" s="4">
        <v>658</v>
      </c>
      <c r="B659" s="5">
        <v>781729</v>
      </c>
      <c r="C659" s="4" t="s">
        <v>54</v>
      </c>
      <c r="D659" s="4" t="s">
        <v>71</v>
      </c>
      <c r="E659" s="4" t="s">
        <v>887</v>
      </c>
      <c r="F659" s="4" t="s">
        <v>2962</v>
      </c>
      <c r="G659" s="6">
        <v>2.7</v>
      </c>
      <c r="H659" s="7">
        <v>45624.614907407406</v>
      </c>
      <c r="I659" s="7" t="str">
        <f>TEXT(multilingual_mobile_app_reviews_2025[[#This Row],[Review_date]],"dd-mm-yyyy")</f>
        <v>28-11-2024</v>
      </c>
      <c r="J659" s="7" t="str">
        <f>TEXT(multilingual_mobile_app_reviews_2025[[#This Row],[Review_date]],"YYYY")</f>
        <v>2024</v>
      </c>
      <c r="K659" s="7" t="str">
        <f>TEXT(multilingual_mobile_app_reviews_2025[[#This Row],[Review_date]],"MMMM")</f>
        <v>November</v>
      </c>
      <c r="L659" s="4" t="b">
        <v>0</v>
      </c>
      <c r="M659" s="4" t="s">
        <v>3</v>
      </c>
      <c r="N659" s="5">
        <v>854</v>
      </c>
      <c r="O659" s="5">
        <v>13</v>
      </c>
      <c r="P659" s="4" t="s">
        <v>11</v>
      </c>
      <c r="Q659" s="8" t="s">
        <v>12</v>
      </c>
      <c r="R659" s="4" t="s">
        <v>888</v>
      </c>
      <c r="S659" s="4"/>
      <c r="T659"/>
      <c r="U659" s="23"/>
    </row>
    <row r="660" spans="1:21" ht="15.6" x14ac:dyDescent="0.3">
      <c r="A660" s="4">
        <v>659</v>
      </c>
      <c r="B660" s="5">
        <v>5152539</v>
      </c>
      <c r="C660" s="4" t="s">
        <v>132</v>
      </c>
      <c r="D660" s="4" t="s">
        <v>220</v>
      </c>
      <c r="E660" s="4" t="s">
        <v>32</v>
      </c>
      <c r="F660" s="4" t="s">
        <v>2954</v>
      </c>
      <c r="G660" s="6">
        <v>3.2</v>
      </c>
      <c r="H660" s="7">
        <v>45519.900439814817</v>
      </c>
      <c r="I660" s="7" t="str">
        <f>TEXT(multilingual_mobile_app_reviews_2025[[#This Row],[Review_date]],"dd-mm-yyyy")</f>
        <v>15-08-2024</v>
      </c>
      <c r="J660" s="7" t="str">
        <f>TEXT(multilingual_mobile_app_reviews_2025[[#This Row],[Review_date]],"YYYY")</f>
        <v>2024</v>
      </c>
      <c r="K660" s="7" t="str">
        <f>TEXT(multilingual_mobile_app_reviews_2025[[#This Row],[Review_date]],"MMMM")</f>
        <v>August</v>
      </c>
      <c r="L660" s="4" t="b">
        <v>1</v>
      </c>
      <c r="M660" s="4" t="s">
        <v>22</v>
      </c>
      <c r="N660" s="5">
        <v>440</v>
      </c>
      <c r="O660" s="5">
        <v>52</v>
      </c>
      <c r="P660" s="4" t="s">
        <v>85</v>
      </c>
      <c r="Q660" s="8" t="s">
        <v>29</v>
      </c>
      <c r="R660" s="4" t="s">
        <v>889</v>
      </c>
      <c r="S660" s="4"/>
      <c r="T660"/>
      <c r="U660" s="23"/>
    </row>
    <row r="661" spans="1:21" ht="15.6" x14ac:dyDescent="0.3">
      <c r="A661" s="4">
        <v>660</v>
      </c>
      <c r="B661" s="5">
        <v>9330156</v>
      </c>
      <c r="C661" s="4" t="s">
        <v>50</v>
      </c>
      <c r="D661" s="4" t="s">
        <v>60</v>
      </c>
      <c r="E661" s="4" t="s">
        <v>93</v>
      </c>
      <c r="F661" s="4" t="s">
        <v>2950</v>
      </c>
      <c r="G661" s="6">
        <v>2.5</v>
      </c>
      <c r="H661" s="7">
        <v>45417.011562500003</v>
      </c>
      <c r="I661" s="7" t="str">
        <f>TEXT(multilingual_mobile_app_reviews_2025[[#This Row],[Review_date]],"dd-mm-yyyy")</f>
        <v>05-05-2024</v>
      </c>
      <c r="J661" s="7" t="str">
        <f>TEXT(multilingual_mobile_app_reviews_2025[[#This Row],[Review_date]],"YYYY")</f>
        <v>2024</v>
      </c>
      <c r="K661" s="7" t="str">
        <f>TEXT(multilingual_mobile_app_reviews_2025[[#This Row],[Review_date]],"MMMM")</f>
        <v>May</v>
      </c>
      <c r="L661" s="4" t="b">
        <v>1</v>
      </c>
      <c r="M661" s="4" t="s">
        <v>98</v>
      </c>
      <c r="N661" s="5">
        <v>114</v>
      </c>
      <c r="O661" s="5">
        <v>53</v>
      </c>
      <c r="P661" s="4" t="s">
        <v>73</v>
      </c>
      <c r="Q661" s="8" t="s">
        <v>39</v>
      </c>
      <c r="R661" s="4" t="s">
        <v>890</v>
      </c>
      <c r="S661" s="4"/>
      <c r="T661"/>
      <c r="U661" s="23"/>
    </row>
    <row r="662" spans="1:21" ht="15.6" x14ac:dyDescent="0.3">
      <c r="A662" s="4">
        <v>661</v>
      </c>
      <c r="B662" s="5">
        <v>5432789</v>
      </c>
      <c r="C662" s="4" t="s">
        <v>264</v>
      </c>
      <c r="D662" s="4" t="s">
        <v>26</v>
      </c>
      <c r="E662" s="4" t="s">
        <v>27</v>
      </c>
      <c r="F662" s="4" t="s">
        <v>2949</v>
      </c>
      <c r="G662" s="6">
        <v>1.4</v>
      </c>
      <c r="H662" s="7">
        <v>45546.964675925927</v>
      </c>
      <c r="I662" s="7" t="str">
        <f>TEXT(multilingual_mobile_app_reviews_2025[[#This Row],[Review_date]],"dd-mm-yyyy")</f>
        <v>11-09-2024</v>
      </c>
      <c r="J662" s="7" t="str">
        <f>TEXT(multilingual_mobile_app_reviews_2025[[#This Row],[Review_date]],"YYYY")</f>
        <v>2024</v>
      </c>
      <c r="K662" s="7" t="str">
        <f>TEXT(multilingual_mobile_app_reviews_2025[[#This Row],[Review_date]],"MMMM")</f>
        <v>September</v>
      </c>
      <c r="L662" s="4" t="b">
        <v>1</v>
      </c>
      <c r="M662" s="4" t="s">
        <v>22</v>
      </c>
      <c r="N662" s="5">
        <v>671</v>
      </c>
      <c r="O662" s="5">
        <v>49</v>
      </c>
      <c r="P662" s="4" t="s">
        <v>34</v>
      </c>
      <c r="Q662" s="8" t="s">
        <v>39</v>
      </c>
      <c r="R662" s="4" t="s">
        <v>891</v>
      </c>
      <c r="S662" s="4"/>
      <c r="T662"/>
      <c r="U662" s="23"/>
    </row>
    <row r="663" spans="1:21" ht="15.6" x14ac:dyDescent="0.3">
      <c r="A663" s="4">
        <v>662</v>
      </c>
      <c r="B663" s="5">
        <v>3184811</v>
      </c>
      <c r="C663" s="4" t="s">
        <v>208</v>
      </c>
      <c r="D663" s="4" t="s">
        <v>79</v>
      </c>
      <c r="E663" s="4" t="s">
        <v>27</v>
      </c>
      <c r="F663" s="4" t="s">
        <v>2946</v>
      </c>
      <c r="G663" s="6">
        <v>2.4</v>
      </c>
      <c r="H663" s="7">
        <v>45543.245115740741</v>
      </c>
      <c r="I663" s="7" t="str">
        <f>TEXT(multilingual_mobile_app_reviews_2025[[#This Row],[Review_date]],"dd-mm-yyyy")</f>
        <v>08-09-2024</v>
      </c>
      <c r="J663" s="7" t="str">
        <f>TEXT(multilingual_mobile_app_reviews_2025[[#This Row],[Review_date]],"YYYY")</f>
        <v>2024</v>
      </c>
      <c r="K663" s="7" t="str">
        <f>TEXT(multilingual_mobile_app_reviews_2025[[#This Row],[Review_date]],"MMMM")</f>
        <v>September</v>
      </c>
      <c r="L663" s="4" t="b">
        <v>1</v>
      </c>
      <c r="M663" s="4" t="s">
        <v>22</v>
      </c>
      <c r="N663" s="5">
        <v>530</v>
      </c>
      <c r="O663" s="5">
        <v>29</v>
      </c>
      <c r="P663" s="4" t="s">
        <v>144</v>
      </c>
      <c r="Q663" s="8" t="s">
        <v>12</v>
      </c>
      <c r="R663" s="4" t="s">
        <v>892</v>
      </c>
      <c r="S663" s="4"/>
      <c r="T663"/>
      <c r="U663" s="23"/>
    </row>
    <row r="664" spans="1:21" ht="15.6" x14ac:dyDescent="0.3">
      <c r="A664" s="4">
        <v>663</v>
      </c>
      <c r="B664" s="5">
        <v>8574848</v>
      </c>
      <c r="C664" s="4" t="s">
        <v>41</v>
      </c>
      <c r="D664" s="4" t="s">
        <v>63</v>
      </c>
      <c r="E664" s="4" t="s">
        <v>109</v>
      </c>
      <c r="F664" s="4" t="s">
        <v>2948</v>
      </c>
      <c r="G664" s="6">
        <v>4.5</v>
      </c>
      <c r="H664" s="7">
        <v>45262.664976851855</v>
      </c>
      <c r="I664" s="7" t="str">
        <f>TEXT(multilingual_mobile_app_reviews_2025[[#This Row],[Review_date]],"dd-mm-yyyy")</f>
        <v>02-12-2023</v>
      </c>
      <c r="J664" s="7" t="str">
        <f>TEXT(multilingual_mobile_app_reviews_2025[[#This Row],[Review_date]],"YYYY")</f>
        <v>2023</v>
      </c>
      <c r="K664" s="7" t="str">
        <f>TEXT(multilingual_mobile_app_reviews_2025[[#This Row],[Review_date]],"MMMM")</f>
        <v>December</v>
      </c>
      <c r="L664" s="4" t="b">
        <v>1</v>
      </c>
      <c r="M664" s="4" t="s">
        <v>10</v>
      </c>
      <c r="N664" s="5">
        <v>1103</v>
      </c>
      <c r="O664" s="5">
        <v>44</v>
      </c>
      <c r="P664" s="4" t="s">
        <v>114</v>
      </c>
      <c r="Q664" s="8" t="s">
        <v>2963</v>
      </c>
      <c r="R664" s="4" t="s">
        <v>893</v>
      </c>
      <c r="S664" s="4"/>
      <c r="T664"/>
      <c r="U664" s="23"/>
    </row>
    <row r="665" spans="1:21" ht="15.6" x14ac:dyDescent="0.3">
      <c r="A665" s="4">
        <v>664</v>
      </c>
      <c r="B665" s="5">
        <v>9211373</v>
      </c>
      <c r="C665" s="4" t="s">
        <v>14</v>
      </c>
      <c r="D665" s="4" t="s">
        <v>51</v>
      </c>
      <c r="E665" s="4" t="s">
        <v>27</v>
      </c>
      <c r="F665" s="4" t="s">
        <v>2941</v>
      </c>
      <c r="G665" s="6">
        <v>4.0999999999999996</v>
      </c>
      <c r="H665" s="7">
        <v>45556.006412037037</v>
      </c>
      <c r="I665" s="7" t="str">
        <f>TEXT(multilingual_mobile_app_reviews_2025[[#This Row],[Review_date]],"dd-mm-yyyy")</f>
        <v>21-09-2024</v>
      </c>
      <c r="J665" s="7" t="str">
        <f>TEXT(multilingual_mobile_app_reviews_2025[[#This Row],[Review_date]],"YYYY")</f>
        <v>2024</v>
      </c>
      <c r="K665" s="7" t="str">
        <f>TEXT(multilingual_mobile_app_reviews_2025[[#This Row],[Review_date]],"MMMM")</f>
        <v>September</v>
      </c>
      <c r="L665" s="4" t="b">
        <v>1</v>
      </c>
      <c r="M665" s="4" t="s">
        <v>3</v>
      </c>
      <c r="N665" s="5">
        <v>567</v>
      </c>
      <c r="O665" s="5">
        <v>42</v>
      </c>
      <c r="P665" s="4" t="s">
        <v>70</v>
      </c>
      <c r="Q665" s="8" t="s">
        <v>5</v>
      </c>
      <c r="R665" s="4" t="s">
        <v>894</v>
      </c>
      <c r="S665" s="4"/>
      <c r="T665"/>
      <c r="U665" s="23"/>
    </row>
    <row r="666" spans="1:21" ht="15.6" x14ac:dyDescent="0.3">
      <c r="A666" s="4">
        <v>665</v>
      </c>
      <c r="B666" s="5">
        <v>1642590</v>
      </c>
      <c r="C666" s="4" t="s">
        <v>165</v>
      </c>
      <c r="D666" s="4" t="s">
        <v>42</v>
      </c>
      <c r="E666" s="4" t="s">
        <v>895</v>
      </c>
      <c r="F666" s="4" t="s">
        <v>2953</v>
      </c>
      <c r="G666" s="6">
        <v>2.2999999999999998</v>
      </c>
      <c r="H666" s="7">
        <v>45550.928935185184</v>
      </c>
      <c r="I666" s="7" t="str">
        <f>TEXT(multilingual_mobile_app_reviews_2025[[#This Row],[Review_date]],"dd-mm-yyyy")</f>
        <v>15-09-2024</v>
      </c>
      <c r="J666" s="7" t="str">
        <f>TEXT(multilingual_mobile_app_reviews_2025[[#This Row],[Review_date]],"YYYY")</f>
        <v>2024</v>
      </c>
      <c r="K666" s="7" t="str">
        <f>TEXT(multilingual_mobile_app_reviews_2025[[#This Row],[Review_date]],"MMMM")</f>
        <v>September</v>
      </c>
      <c r="L666" s="4" t="b">
        <v>1</v>
      </c>
      <c r="M666" s="4" t="s">
        <v>22</v>
      </c>
      <c r="N666" s="5">
        <v>530</v>
      </c>
      <c r="O666" s="5">
        <v>67</v>
      </c>
      <c r="P666" s="4" t="s">
        <v>17</v>
      </c>
      <c r="Q666" s="8" t="s">
        <v>2963</v>
      </c>
      <c r="R666" s="4" t="s">
        <v>896</v>
      </c>
      <c r="S666" s="4"/>
      <c r="T666"/>
      <c r="U666" s="23"/>
    </row>
    <row r="667" spans="1:21" ht="15.6" x14ac:dyDescent="0.3">
      <c r="A667" s="4">
        <v>666</v>
      </c>
      <c r="B667" s="5">
        <v>9517633</v>
      </c>
      <c r="C667" s="4" t="s">
        <v>25</v>
      </c>
      <c r="D667" s="4" t="s">
        <v>79</v>
      </c>
      <c r="E667" s="4" t="s">
        <v>76</v>
      </c>
      <c r="F667" s="4" t="s">
        <v>2942</v>
      </c>
      <c r="G667" s="6">
        <v>1.1000000000000001</v>
      </c>
      <c r="H667" s="7">
        <v>45778.655949074076</v>
      </c>
      <c r="I667" s="7" t="str">
        <f>TEXT(multilingual_mobile_app_reviews_2025[[#This Row],[Review_date]],"dd-mm-yyyy")</f>
        <v>01-05-2025</v>
      </c>
      <c r="J667" s="7" t="str">
        <f>TEXT(multilingual_mobile_app_reviews_2025[[#This Row],[Review_date]],"YYYY")</f>
        <v>2025</v>
      </c>
      <c r="K667" s="7" t="str">
        <f>TEXT(multilingual_mobile_app_reviews_2025[[#This Row],[Review_date]],"MMMM")</f>
        <v>May</v>
      </c>
      <c r="L667" s="4" t="b">
        <v>0</v>
      </c>
      <c r="M667" s="4" t="s">
        <v>33</v>
      </c>
      <c r="N667" s="5">
        <v>80</v>
      </c>
      <c r="O667" s="5">
        <v>62</v>
      </c>
      <c r="P667" s="4" t="s">
        <v>180</v>
      </c>
      <c r="Q667" s="8" t="s">
        <v>2963</v>
      </c>
      <c r="R667" s="4" t="s">
        <v>897</v>
      </c>
      <c r="S667" s="4"/>
      <c r="T667"/>
      <c r="U667" s="23"/>
    </row>
    <row r="668" spans="1:21" ht="15.6" x14ac:dyDescent="0.3">
      <c r="A668" s="4">
        <v>667</v>
      </c>
      <c r="B668" s="5">
        <v>247701</v>
      </c>
      <c r="C668" s="4" t="s">
        <v>89</v>
      </c>
      <c r="D668" s="4" t="s">
        <v>71</v>
      </c>
      <c r="E668" s="4" t="s">
        <v>898</v>
      </c>
      <c r="F668" s="4" t="s">
        <v>2946</v>
      </c>
      <c r="G668" s="6">
        <v>1.5</v>
      </c>
      <c r="H668" s="7">
        <v>45621.325509259259</v>
      </c>
      <c r="I668" s="7" t="str">
        <f>TEXT(multilingual_mobile_app_reviews_2025[[#This Row],[Review_date]],"dd-mm-yyyy")</f>
        <v>25-11-2024</v>
      </c>
      <c r="J668" s="7" t="str">
        <f>TEXT(multilingual_mobile_app_reviews_2025[[#This Row],[Review_date]],"YYYY")</f>
        <v>2024</v>
      </c>
      <c r="K668" s="7" t="str">
        <f>TEXT(multilingual_mobile_app_reviews_2025[[#This Row],[Review_date]],"MMMM")</f>
        <v>November</v>
      </c>
      <c r="L668" s="4" t="b">
        <v>1</v>
      </c>
      <c r="M668" s="4" t="s">
        <v>3</v>
      </c>
      <c r="N668" s="5">
        <v>52</v>
      </c>
      <c r="O668" s="5">
        <v>41</v>
      </c>
      <c r="P668" s="4" t="s">
        <v>44</v>
      </c>
      <c r="Q668" s="8" t="s">
        <v>5</v>
      </c>
      <c r="R668" s="4" t="s">
        <v>899</v>
      </c>
      <c r="S668" s="4"/>
      <c r="T668"/>
      <c r="U668" s="23"/>
    </row>
    <row r="669" spans="1:21" ht="15.6" x14ac:dyDescent="0.3">
      <c r="A669" s="4">
        <v>668</v>
      </c>
      <c r="B669" s="5">
        <v>769029</v>
      </c>
      <c r="C669" s="4" t="s">
        <v>14</v>
      </c>
      <c r="D669" s="4" t="s">
        <v>20</v>
      </c>
      <c r="E669" s="4" t="s">
        <v>27</v>
      </c>
      <c r="F669" s="4" t="s">
        <v>2942</v>
      </c>
      <c r="G669" s="6">
        <v>4.8</v>
      </c>
      <c r="H669" s="7">
        <v>45669.031574074077</v>
      </c>
      <c r="I669" s="7" t="str">
        <f>TEXT(multilingual_mobile_app_reviews_2025[[#This Row],[Review_date]],"dd-mm-yyyy")</f>
        <v>12-01-2025</v>
      </c>
      <c r="J669" s="7" t="str">
        <f>TEXT(multilingual_mobile_app_reviews_2025[[#This Row],[Review_date]],"YYYY")</f>
        <v>2025</v>
      </c>
      <c r="K669" s="7" t="str">
        <f>TEXT(multilingual_mobile_app_reviews_2025[[#This Row],[Review_date]],"MMMM")</f>
        <v>January</v>
      </c>
      <c r="L669" s="4" t="b">
        <v>1</v>
      </c>
      <c r="M669" s="4" t="s">
        <v>33</v>
      </c>
      <c r="N669" s="5">
        <v>733</v>
      </c>
      <c r="O669" s="5">
        <v>60</v>
      </c>
      <c r="P669" s="4" t="s">
        <v>73</v>
      </c>
      <c r="Q669" s="8" t="s">
        <v>29</v>
      </c>
      <c r="R669" s="4" t="s">
        <v>900</v>
      </c>
      <c r="S669" s="4"/>
      <c r="T669"/>
      <c r="U669" s="23"/>
    </row>
    <row r="670" spans="1:21" ht="15.6" x14ac:dyDescent="0.3">
      <c r="A670" s="4">
        <v>669</v>
      </c>
      <c r="B670" s="5">
        <v>6498370</v>
      </c>
      <c r="C670" s="4" t="s">
        <v>14</v>
      </c>
      <c r="D670" s="4" t="s">
        <v>57</v>
      </c>
      <c r="E670" s="4" t="s">
        <v>901</v>
      </c>
      <c r="F670" s="4" t="s">
        <v>2943</v>
      </c>
      <c r="G670" s="6">
        <v>4.8</v>
      </c>
      <c r="H670" s="7">
        <v>45202.837858796294</v>
      </c>
      <c r="I670" s="7" t="str">
        <f>TEXT(multilingual_mobile_app_reviews_2025[[#This Row],[Review_date]],"dd-mm-yyyy")</f>
        <v>03-10-2023</v>
      </c>
      <c r="J670" s="7" t="str">
        <f>TEXT(multilingual_mobile_app_reviews_2025[[#This Row],[Review_date]],"YYYY")</f>
        <v>2023</v>
      </c>
      <c r="K670" s="7" t="str">
        <f>TEXT(multilingual_mobile_app_reviews_2025[[#This Row],[Review_date]],"MMMM")</f>
        <v>October</v>
      </c>
      <c r="L670" s="4" t="b">
        <v>1</v>
      </c>
      <c r="M670" s="4" t="s">
        <v>98</v>
      </c>
      <c r="N670" s="5">
        <v>889</v>
      </c>
      <c r="O670" s="5">
        <v>73</v>
      </c>
      <c r="P670" s="4" t="s">
        <v>38</v>
      </c>
      <c r="Q670" s="8" t="s">
        <v>39</v>
      </c>
      <c r="R670" s="4" t="s">
        <v>902</v>
      </c>
      <c r="S670" s="4"/>
      <c r="T670"/>
      <c r="U670" s="23"/>
    </row>
    <row r="671" spans="1:21" ht="15.6" x14ac:dyDescent="0.3">
      <c r="A671" s="4">
        <v>670</v>
      </c>
      <c r="B671" s="5">
        <v>2908418</v>
      </c>
      <c r="C671" s="4" t="s">
        <v>132</v>
      </c>
      <c r="D671" s="4" t="s">
        <v>111</v>
      </c>
      <c r="E671" s="4" t="s">
        <v>109</v>
      </c>
      <c r="F671" s="4" t="s">
        <v>2951</v>
      </c>
      <c r="G671" s="6">
        <v>3.1</v>
      </c>
      <c r="H671" s="7">
        <v>45739.532511574071</v>
      </c>
      <c r="I671" s="7" t="str">
        <f>TEXT(multilingual_mobile_app_reviews_2025[[#This Row],[Review_date]],"dd-mm-yyyy")</f>
        <v>23-03-2025</v>
      </c>
      <c r="J671" s="7" t="str">
        <f>TEXT(multilingual_mobile_app_reviews_2025[[#This Row],[Review_date]],"YYYY")</f>
        <v>2025</v>
      </c>
      <c r="K671" s="7" t="str">
        <f>TEXT(multilingual_mobile_app_reviews_2025[[#This Row],[Review_date]],"MMMM")</f>
        <v>March</v>
      </c>
      <c r="L671" s="4" t="b">
        <v>1</v>
      </c>
      <c r="M671" s="4" t="s">
        <v>22</v>
      </c>
      <c r="N671" s="5">
        <v>962</v>
      </c>
      <c r="O671" s="5">
        <v>61</v>
      </c>
      <c r="P671" s="4" t="s">
        <v>23</v>
      </c>
      <c r="Q671" s="8" t="s">
        <v>12</v>
      </c>
      <c r="R671" s="4" t="s">
        <v>303</v>
      </c>
      <c r="S671" s="4"/>
      <c r="T671"/>
      <c r="U671" s="23"/>
    </row>
    <row r="672" spans="1:21" ht="15.6" x14ac:dyDescent="0.3">
      <c r="A672" s="4">
        <v>671</v>
      </c>
      <c r="B672" s="5">
        <v>9045709</v>
      </c>
      <c r="C672" s="4" t="s">
        <v>176</v>
      </c>
      <c r="D672" s="4" t="s">
        <v>157</v>
      </c>
      <c r="E672" s="4" t="s">
        <v>16</v>
      </c>
      <c r="F672" s="4" t="s">
        <v>2952</v>
      </c>
      <c r="G672" s="6">
        <v>1.1000000000000001</v>
      </c>
      <c r="H672" s="7">
        <v>45144.572094907409</v>
      </c>
      <c r="I672" s="7" t="str">
        <f>TEXT(multilingual_mobile_app_reviews_2025[[#This Row],[Review_date]],"dd-mm-yyyy")</f>
        <v>06-08-2023</v>
      </c>
      <c r="J672" s="7" t="str">
        <f>TEXT(multilingual_mobile_app_reviews_2025[[#This Row],[Review_date]],"YYYY")</f>
        <v>2023</v>
      </c>
      <c r="K672" s="7" t="str">
        <f>TEXT(multilingual_mobile_app_reviews_2025[[#This Row],[Review_date]],"MMMM")</f>
        <v>August</v>
      </c>
      <c r="L672" s="4" t="b">
        <v>0</v>
      </c>
      <c r="M672" s="4" t="s">
        <v>22</v>
      </c>
      <c r="N672" s="5">
        <v>626</v>
      </c>
      <c r="O672" s="5">
        <v>38</v>
      </c>
      <c r="P672" s="4" t="s">
        <v>38</v>
      </c>
      <c r="Q672" s="8" t="s">
        <v>39</v>
      </c>
      <c r="R672" s="4" t="s">
        <v>903</v>
      </c>
      <c r="S672" s="4"/>
      <c r="T672"/>
      <c r="U672" s="23"/>
    </row>
    <row r="673" spans="1:21" ht="15.6" x14ac:dyDescent="0.3">
      <c r="A673" s="4">
        <v>672</v>
      </c>
      <c r="B673" s="5">
        <v>1198434</v>
      </c>
      <c r="C673" s="4" t="s">
        <v>54</v>
      </c>
      <c r="D673" s="4" t="s">
        <v>63</v>
      </c>
      <c r="E673" s="4" t="s">
        <v>93</v>
      </c>
      <c r="F673" s="4" t="s">
        <v>2961</v>
      </c>
      <c r="G673" s="6">
        <v>3.1</v>
      </c>
      <c r="H673" s="7">
        <v>45302.597071759257</v>
      </c>
      <c r="I673" s="7" t="str">
        <f>TEXT(multilingual_mobile_app_reviews_2025[[#This Row],[Review_date]],"dd-mm-yyyy")</f>
        <v>11-01-2024</v>
      </c>
      <c r="J673" s="7" t="str">
        <f>TEXT(multilingual_mobile_app_reviews_2025[[#This Row],[Review_date]],"YYYY")</f>
        <v>2024</v>
      </c>
      <c r="K673" s="7" t="str">
        <f>TEXT(multilingual_mobile_app_reviews_2025[[#This Row],[Review_date]],"MMMM")</f>
        <v>January</v>
      </c>
      <c r="L673" s="4" t="b">
        <v>0</v>
      </c>
      <c r="M673" s="4" t="s">
        <v>22</v>
      </c>
      <c r="N673" s="5">
        <v>205</v>
      </c>
      <c r="O673" s="5">
        <v>13</v>
      </c>
      <c r="P673" s="4" t="s">
        <v>162</v>
      </c>
      <c r="Q673" s="8" t="s">
        <v>5</v>
      </c>
      <c r="R673" s="4" t="s">
        <v>904</v>
      </c>
      <c r="S673" s="4"/>
      <c r="T673"/>
      <c r="U673" s="23"/>
    </row>
    <row r="674" spans="1:21" ht="15.6" x14ac:dyDescent="0.3">
      <c r="A674" s="4">
        <v>673</v>
      </c>
      <c r="B674" s="5">
        <v>3676485</v>
      </c>
      <c r="C674" s="4" t="s">
        <v>56</v>
      </c>
      <c r="D674" s="4" t="s">
        <v>57</v>
      </c>
      <c r="E674" s="4" t="s">
        <v>21</v>
      </c>
      <c r="F674" s="4" t="s">
        <v>2951</v>
      </c>
      <c r="G674" s="6">
        <v>2.2999999999999998</v>
      </c>
      <c r="H674" s="7">
        <v>45810.705451388887</v>
      </c>
      <c r="I674" s="7" t="str">
        <f>TEXT(multilingual_mobile_app_reviews_2025[[#This Row],[Review_date]],"dd-mm-yyyy")</f>
        <v>02-06-2025</v>
      </c>
      <c r="J674" s="7" t="str">
        <f>TEXT(multilingual_mobile_app_reviews_2025[[#This Row],[Review_date]],"YYYY")</f>
        <v>2025</v>
      </c>
      <c r="K674" s="7" t="str">
        <f>TEXT(multilingual_mobile_app_reviews_2025[[#This Row],[Review_date]],"MMMM")</f>
        <v>June</v>
      </c>
      <c r="L674" s="4" t="b">
        <v>0</v>
      </c>
      <c r="M674" s="4" t="s">
        <v>33</v>
      </c>
      <c r="N674" s="5">
        <v>748</v>
      </c>
      <c r="O674" s="5">
        <v>74</v>
      </c>
      <c r="P674" s="4" t="s">
        <v>144</v>
      </c>
      <c r="Q674" s="8" t="s">
        <v>12</v>
      </c>
      <c r="R674" s="4" t="s">
        <v>905</v>
      </c>
      <c r="S674" s="4"/>
      <c r="T674"/>
      <c r="U674" s="23"/>
    </row>
    <row r="675" spans="1:21" ht="15.6" x14ac:dyDescent="0.3">
      <c r="A675" s="4">
        <v>674</v>
      </c>
      <c r="B675" s="5">
        <v>7217053</v>
      </c>
      <c r="C675" s="4" t="s">
        <v>174</v>
      </c>
      <c r="D675" s="4" t="s">
        <v>31</v>
      </c>
      <c r="E675" s="4" t="s">
        <v>93</v>
      </c>
      <c r="F675" s="4" t="s">
        <v>2942</v>
      </c>
      <c r="G675" s="6">
        <v>2</v>
      </c>
      <c r="H675" s="7">
        <v>45787.958518518521</v>
      </c>
      <c r="I675" s="7" t="str">
        <f>TEXT(multilingual_mobile_app_reviews_2025[[#This Row],[Review_date]],"dd-mm-yyyy")</f>
        <v>10-05-2025</v>
      </c>
      <c r="J675" s="7" t="str">
        <f>TEXT(multilingual_mobile_app_reviews_2025[[#This Row],[Review_date]],"YYYY")</f>
        <v>2025</v>
      </c>
      <c r="K675" s="7" t="str">
        <f>TEXT(multilingual_mobile_app_reviews_2025[[#This Row],[Review_date]],"MMMM")</f>
        <v>May</v>
      </c>
      <c r="L675" s="4" t="b">
        <v>1</v>
      </c>
      <c r="M675" s="4" t="s">
        <v>10</v>
      </c>
      <c r="N675" s="5">
        <v>378</v>
      </c>
      <c r="O675" s="5">
        <v>59</v>
      </c>
      <c r="P675" s="4" t="s">
        <v>94</v>
      </c>
      <c r="Q675" s="8" t="s">
        <v>39</v>
      </c>
      <c r="R675" s="4" t="s">
        <v>906</v>
      </c>
      <c r="S675" s="4"/>
      <c r="T675"/>
      <c r="U675" s="23"/>
    </row>
    <row r="676" spans="1:21" ht="15.6" x14ac:dyDescent="0.3">
      <c r="A676" s="4">
        <v>675</v>
      </c>
      <c r="B676" s="5">
        <v>3549052</v>
      </c>
      <c r="C676" s="4" t="s">
        <v>19</v>
      </c>
      <c r="D676" s="4" t="s">
        <v>31</v>
      </c>
      <c r="E676" s="4" t="s">
        <v>2938</v>
      </c>
      <c r="F676" s="4" t="s">
        <v>2961</v>
      </c>
      <c r="G676" s="6">
        <v>4.5999999999999996</v>
      </c>
      <c r="H676" s="7">
        <v>45157.327719907407</v>
      </c>
      <c r="I676" s="7" t="str">
        <f>TEXT(multilingual_mobile_app_reviews_2025[[#This Row],[Review_date]],"dd-mm-yyyy")</f>
        <v>19-08-2023</v>
      </c>
      <c r="J676" s="7" t="str">
        <f>TEXT(multilingual_mobile_app_reviews_2025[[#This Row],[Review_date]],"YYYY")</f>
        <v>2023</v>
      </c>
      <c r="K676" s="7" t="str">
        <f>TEXT(multilingual_mobile_app_reviews_2025[[#This Row],[Review_date]],"MMMM")</f>
        <v>August</v>
      </c>
      <c r="L676" s="4" t="b">
        <v>1</v>
      </c>
      <c r="M676" s="4" t="s">
        <v>3</v>
      </c>
      <c r="N676" s="5">
        <v>98</v>
      </c>
      <c r="O676" s="5">
        <v>63</v>
      </c>
      <c r="P676" s="4" t="s">
        <v>127</v>
      </c>
      <c r="Q676" s="8" t="s">
        <v>5</v>
      </c>
      <c r="R676" s="4" t="s">
        <v>907</v>
      </c>
      <c r="S676" s="4"/>
      <c r="T676"/>
      <c r="U676" s="23"/>
    </row>
    <row r="677" spans="1:21" ht="15.6" x14ac:dyDescent="0.3">
      <c r="A677" s="4">
        <v>676</v>
      </c>
      <c r="B677" s="5">
        <v>5665260</v>
      </c>
      <c r="C677" s="4" t="s">
        <v>244</v>
      </c>
      <c r="D677" s="4" t="s">
        <v>60</v>
      </c>
      <c r="E677" s="4" t="s">
        <v>27</v>
      </c>
      <c r="F677" s="4" t="s">
        <v>2946</v>
      </c>
      <c r="G677" s="6">
        <v>3.5</v>
      </c>
      <c r="H677" s="7">
        <v>45168.305428240739</v>
      </c>
      <c r="I677" s="7" t="str">
        <f>TEXT(multilingual_mobile_app_reviews_2025[[#This Row],[Review_date]],"dd-mm-yyyy")</f>
        <v>30-08-2023</v>
      </c>
      <c r="J677" s="7" t="str">
        <f>TEXT(multilingual_mobile_app_reviews_2025[[#This Row],[Review_date]],"YYYY")</f>
        <v>2023</v>
      </c>
      <c r="K677" s="7" t="str">
        <f>TEXT(multilingual_mobile_app_reviews_2025[[#This Row],[Review_date]],"MMMM")</f>
        <v>August</v>
      </c>
      <c r="L677" s="4" t="b">
        <v>1</v>
      </c>
      <c r="M677" s="4" t="s">
        <v>33</v>
      </c>
      <c r="N677" s="5">
        <v>900</v>
      </c>
      <c r="O677" s="5">
        <v>20</v>
      </c>
      <c r="P677" s="4" t="s">
        <v>44</v>
      </c>
      <c r="Q677" s="8" t="s">
        <v>39</v>
      </c>
      <c r="R677" s="4" t="s">
        <v>908</v>
      </c>
      <c r="S677" s="4"/>
      <c r="T677"/>
      <c r="U677" s="23"/>
    </row>
    <row r="678" spans="1:21" ht="15.6" x14ac:dyDescent="0.3">
      <c r="A678" s="4">
        <v>677</v>
      </c>
      <c r="B678" s="5">
        <v>1328898</v>
      </c>
      <c r="C678" s="4" t="s">
        <v>36</v>
      </c>
      <c r="D678" s="4" t="s">
        <v>60</v>
      </c>
      <c r="E678" s="4" t="s">
        <v>909</v>
      </c>
      <c r="F678" s="4" t="s">
        <v>2943</v>
      </c>
      <c r="G678" s="6">
        <v>2.7</v>
      </c>
      <c r="H678" s="7">
        <v>45777.048854166664</v>
      </c>
      <c r="I678" s="7" t="str">
        <f>TEXT(multilingual_mobile_app_reviews_2025[[#This Row],[Review_date]],"dd-mm-yyyy")</f>
        <v>30-04-2025</v>
      </c>
      <c r="J678" s="7" t="str">
        <f>TEXT(multilingual_mobile_app_reviews_2025[[#This Row],[Review_date]],"YYYY")</f>
        <v>2025</v>
      </c>
      <c r="K678" s="7" t="str">
        <f>TEXT(multilingual_mobile_app_reviews_2025[[#This Row],[Review_date]],"MMMM")</f>
        <v>April</v>
      </c>
      <c r="L678" s="4" t="b">
        <v>1</v>
      </c>
      <c r="M678" s="4" t="s">
        <v>98</v>
      </c>
      <c r="N678" s="5">
        <v>1112</v>
      </c>
      <c r="O678" s="5">
        <v>21</v>
      </c>
      <c r="P678" s="4" t="s">
        <v>80</v>
      </c>
      <c r="Q678" s="8" t="s">
        <v>5</v>
      </c>
      <c r="R678" s="4" t="s">
        <v>910</v>
      </c>
      <c r="S678" s="4"/>
      <c r="T678"/>
      <c r="U678" s="23"/>
    </row>
    <row r="679" spans="1:21" ht="15.6" x14ac:dyDescent="0.3">
      <c r="A679" s="4">
        <v>678</v>
      </c>
      <c r="B679" s="5">
        <v>4439392</v>
      </c>
      <c r="C679" s="4" t="s">
        <v>84</v>
      </c>
      <c r="D679" s="4" t="s">
        <v>71</v>
      </c>
      <c r="E679" s="4" t="s">
        <v>64</v>
      </c>
      <c r="F679" s="4" t="s">
        <v>2959</v>
      </c>
      <c r="G679" s="6">
        <v>1.6</v>
      </c>
      <c r="H679" s="7">
        <v>45455.495995370373</v>
      </c>
      <c r="I679" s="7" t="str">
        <f>TEXT(multilingual_mobile_app_reviews_2025[[#This Row],[Review_date]],"dd-mm-yyyy")</f>
        <v>12-06-2024</v>
      </c>
      <c r="J679" s="7" t="str">
        <f>TEXT(multilingual_mobile_app_reviews_2025[[#This Row],[Review_date]],"YYYY")</f>
        <v>2024</v>
      </c>
      <c r="K679" s="7" t="str">
        <f>TEXT(multilingual_mobile_app_reviews_2025[[#This Row],[Review_date]],"MMMM")</f>
        <v>June</v>
      </c>
      <c r="L679" s="4" t="b">
        <v>1</v>
      </c>
      <c r="M679" s="4" t="s">
        <v>22</v>
      </c>
      <c r="N679" s="5">
        <v>34</v>
      </c>
      <c r="O679" s="5">
        <v>25</v>
      </c>
      <c r="P679" s="4" t="s">
        <v>44</v>
      </c>
      <c r="Q679" s="8" t="s">
        <v>39</v>
      </c>
      <c r="R679" s="4" t="s">
        <v>911</v>
      </c>
      <c r="S679" s="4"/>
      <c r="T679"/>
      <c r="U679" s="23"/>
    </row>
    <row r="680" spans="1:21" ht="15.6" x14ac:dyDescent="0.3">
      <c r="A680" s="4">
        <v>679</v>
      </c>
      <c r="B680" s="5">
        <v>7668632</v>
      </c>
      <c r="C680" s="4" t="s">
        <v>56</v>
      </c>
      <c r="D680" s="4" t="s">
        <v>79</v>
      </c>
      <c r="E680" s="4" t="s">
        <v>16</v>
      </c>
      <c r="F680" s="4" t="s">
        <v>2957</v>
      </c>
      <c r="G680" s="6">
        <v>1.7</v>
      </c>
      <c r="H680" s="7">
        <v>45628.382476851853</v>
      </c>
      <c r="I680" s="7" t="str">
        <f>TEXT(multilingual_mobile_app_reviews_2025[[#This Row],[Review_date]],"dd-mm-yyyy")</f>
        <v>02-12-2024</v>
      </c>
      <c r="J680" s="7" t="str">
        <f>TEXT(multilingual_mobile_app_reviews_2025[[#This Row],[Review_date]],"YYYY")</f>
        <v>2024</v>
      </c>
      <c r="K680" s="7" t="str">
        <f>TEXT(multilingual_mobile_app_reviews_2025[[#This Row],[Review_date]],"MMMM")</f>
        <v>December</v>
      </c>
      <c r="L680" s="4" t="b">
        <v>1</v>
      </c>
      <c r="M680" s="4" t="s">
        <v>33</v>
      </c>
      <c r="N680" s="5">
        <v>463</v>
      </c>
      <c r="O680" s="5">
        <v>66</v>
      </c>
      <c r="P680" s="4" t="s">
        <v>61</v>
      </c>
      <c r="Q680" s="8" t="s">
        <v>5</v>
      </c>
      <c r="R680" s="4" t="s">
        <v>186</v>
      </c>
      <c r="S680" s="4"/>
      <c r="T680"/>
      <c r="U680" s="23"/>
    </row>
    <row r="681" spans="1:21" ht="15.6" x14ac:dyDescent="0.3">
      <c r="A681" s="4">
        <v>680</v>
      </c>
      <c r="B681" s="5">
        <v>7364954</v>
      </c>
      <c r="C681" s="4" t="s">
        <v>159</v>
      </c>
      <c r="D681" s="4" t="s">
        <v>71</v>
      </c>
      <c r="E681" s="4" t="s">
        <v>21</v>
      </c>
      <c r="F681" s="4" t="s">
        <v>2939</v>
      </c>
      <c r="G681" s="6">
        <v>1.3</v>
      </c>
      <c r="H681" s="7">
        <v>45384.636701388888</v>
      </c>
      <c r="I681" s="7" t="str">
        <f>TEXT(multilingual_mobile_app_reviews_2025[[#This Row],[Review_date]],"dd-mm-yyyy")</f>
        <v>02-04-2024</v>
      </c>
      <c r="J681" s="7" t="str">
        <f>TEXT(multilingual_mobile_app_reviews_2025[[#This Row],[Review_date]],"YYYY")</f>
        <v>2024</v>
      </c>
      <c r="K681" s="7" t="str">
        <f>TEXT(multilingual_mobile_app_reviews_2025[[#This Row],[Review_date]],"MMMM")</f>
        <v>April</v>
      </c>
      <c r="L681" s="4" t="b">
        <v>1</v>
      </c>
      <c r="M681" s="4" t="s">
        <v>33</v>
      </c>
      <c r="N681" s="5">
        <v>638</v>
      </c>
      <c r="O681" s="5">
        <v>26</v>
      </c>
      <c r="P681" s="4" t="s">
        <v>44</v>
      </c>
      <c r="Q681" s="8" t="s">
        <v>2963</v>
      </c>
      <c r="R681" s="4" t="s">
        <v>912</v>
      </c>
      <c r="S681" s="4"/>
      <c r="T681"/>
      <c r="U681" s="23"/>
    </row>
    <row r="682" spans="1:21" ht="15.6" x14ac:dyDescent="0.3">
      <c r="A682" s="4">
        <v>681</v>
      </c>
      <c r="B682" s="5">
        <v>6634756</v>
      </c>
      <c r="C682" s="4" t="s">
        <v>176</v>
      </c>
      <c r="D682" s="4" t="s">
        <v>8</v>
      </c>
      <c r="E682" s="4" t="s">
        <v>27</v>
      </c>
      <c r="F682" s="4" t="s">
        <v>2943</v>
      </c>
      <c r="G682" s="6">
        <v>1.3</v>
      </c>
      <c r="H682" s="7">
        <v>45661.844849537039</v>
      </c>
      <c r="I682" s="7" t="str">
        <f>TEXT(multilingual_mobile_app_reviews_2025[[#This Row],[Review_date]],"dd-mm-yyyy")</f>
        <v>04-01-2025</v>
      </c>
      <c r="J682" s="7" t="str">
        <f>TEXT(multilingual_mobile_app_reviews_2025[[#This Row],[Review_date]],"YYYY")</f>
        <v>2025</v>
      </c>
      <c r="K682" s="7" t="str">
        <f>TEXT(multilingual_mobile_app_reviews_2025[[#This Row],[Review_date]],"MMMM")</f>
        <v>January</v>
      </c>
      <c r="L682" s="4" t="b">
        <v>1</v>
      </c>
      <c r="M682" s="4" t="s">
        <v>10</v>
      </c>
      <c r="N682" s="5">
        <v>287</v>
      </c>
      <c r="O682" s="5">
        <v>70</v>
      </c>
      <c r="P682" s="4" t="s">
        <v>11</v>
      </c>
      <c r="Q682" s="8" t="s">
        <v>12</v>
      </c>
      <c r="R682" s="4" t="s">
        <v>913</v>
      </c>
      <c r="S682" s="4"/>
      <c r="T682"/>
      <c r="U682" s="23"/>
    </row>
    <row r="683" spans="1:21" ht="15.6" x14ac:dyDescent="0.3">
      <c r="A683" s="4">
        <v>682</v>
      </c>
      <c r="B683" s="5">
        <v>9073031</v>
      </c>
      <c r="C683" s="4" t="s">
        <v>19</v>
      </c>
      <c r="D683" s="4" t="s">
        <v>26</v>
      </c>
      <c r="E683" s="4" t="s">
        <v>93</v>
      </c>
      <c r="F683" s="4" t="s">
        <v>2947</v>
      </c>
      <c r="G683" s="6">
        <v>1.9</v>
      </c>
      <c r="H683" s="7">
        <v>45143.460092592592</v>
      </c>
      <c r="I683" s="7" t="str">
        <f>TEXT(multilingual_mobile_app_reviews_2025[[#This Row],[Review_date]],"dd-mm-yyyy")</f>
        <v>05-08-2023</v>
      </c>
      <c r="J683" s="7" t="str">
        <f>TEXT(multilingual_mobile_app_reviews_2025[[#This Row],[Review_date]],"YYYY")</f>
        <v>2023</v>
      </c>
      <c r="K683" s="7" t="str">
        <f>TEXT(multilingual_mobile_app_reviews_2025[[#This Row],[Review_date]],"MMMM")</f>
        <v>August</v>
      </c>
      <c r="L683" s="4" t="b">
        <v>0</v>
      </c>
      <c r="M683" s="4" t="s">
        <v>3</v>
      </c>
      <c r="N683" s="5">
        <v>611</v>
      </c>
      <c r="O683" s="5">
        <v>65</v>
      </c>
      <c r="P683" s="4" t="s">
        <v>80</v>
      </c>
      <c r="Q683" s="8" t="s">
        <v>2963</v>
      </c>
      <c r="R683" s="4" t="s">
        <v>914</v>
      </c>
      <c r="S683" s="4"/>
      <c r="T683"/>
      <c r="U683" s="23"/>
    </row>
    <row r="684" spans="1:21" ht="15.6" x14ac:dyDescent="0.3">
      <c r="A684" s="4">
        <v>683</v>
      </c>
      <c r="B684" s="5">
        <v>1160950</v>
      </c>
      <c r="C684" s="4" t="s">
        <v>36</v>
      </c>
      <c r="D684" s="4" t="s">
        <v>111</v>
      </c>
      <c r="E684" s="4" t="s">
        <v>76</v>
      </c>
      <c r="F684" s="4" t="s">
        <v>2958</v>
      </c>
      <c r="G684" s="6">
        <v>3.8</v>
      </c>
      <c r="H684" s="7">
        <v>45726.050208333334</v>
      </c>
      <c r="I684" s="7" t="str">
        <f>TEXT(multilingual_mobile_app_reviews_2025[[#This Row],[Review_date]],"dd-mm-yyyy")</f>
        <v>10-03-2025</v>
      </c>
      <c r="J684" s="7" t="str">
        <f>TEXT(multilingual_mobile_app_reviews_2025[[#This Row],[Review_date]],"YYYY")</f>
        <v>2025</v>
      </c>
      <c r="K684" s="7" t="str">
        <f>TEXT(multilingual_mobile_app_reviews_2025[[#This Row],[Review_date]],"MMMM")</f>
        <v>March</v>
      </c>
      <c r="L684" s="4" t="b">
        <v>0</v>
      </c>
      <c r="M684" s="4" t="s">
        <v>3</v>
      </c>
      <c r="N684" s="5">
        <v>596</v>
      </c>
      <c r="O684" s="5">
        <v>27</v>
      </c>
      <c r="P684" s="4" t="s">
        <v>85</v>
      </c>
      <c r="Q684" s="8" t="s">
        <v>12</v>
      </c>
      <c r="R684" s="4" t="s">
        <v>915</v>
      </c>
      <c r="S684" s="4"/>
      <c r="T684"/>
      <c r="U684" s="23"/>
    </row>
    <row r="685" spans="1:21" ht="15.6" x14ac:dyDescent="0.3">
      <c r="A685" s="4">
        <v>684</v>
      </c>
      <c r="B685" s="5">
        <v>9924872</v>
      </c>
      <c r="C685" s="4" t="s">
        <v>59</v>
      </c>
      <c r="D685" s="4" t="s">
        <v>157</v>
      </c>
      <c r="E685" s="4" t="s">
        <v>916</v>
      </c>
      <c r="F685" s="4" t="s">
        <v>2944</v>
      </c>
      <c r="G685" s="6">
        <v>3.6</v>
      </c>
      <c r="H685" s="7">
        <v>45858.66034722222</v>
      </c>
      <c r="I685" s="7" t="str">
        <f>TEXT(multilingual_mobile_app_reviews_2025[[#This Row],[Review_date]],"dd-mm-yyyy")</f>
        <v>20-07-2025</v>
      </c>
      <c r="J685" s="7" t="str">
        <f>TEXT(multilingual_mobile_app_reviews_2025[[#This Row],[Review_date]],"YYYY")</f>
        <v>2025</v>
      </c>
      <c r="K685" s="7" t="str">
        <f>TEXT(multilingual_mobile_app_reviews_2025[[#This Row],[Review_date]],"MMMM")</f>
        <v>July</v>
      </c>
      <c r="L685" s="4" t="b">
        <v>1</v>
      </c>
      <c r="M685" s="4" t="s">
        <v>10</v>
      </c>
      <c r="N685" s="5">
        <v>859</v>
      </c>
      <c r="O685" s="5">
        <v>55</v>
      </c>
      <c r="P685" s="4" t="s">
        <v>230</v>
      </c>
      <c r="Q685" s="8" t="s">
        <v>39</v>
      </c>
      <c r="R685" s="4" t="s">
        <v>917</v>
      </c>
      <c r="S685" s="4"/>
      <c r="T685"/>
      <c r="U685" s="23"/>
    </row>
    <row r="686" spans="1:21" ht="15.6" x14ac:dyDescent="0.3">
      <c r="A686" s="4">
        <v>685</v>
      </c>
      <c r="B686" s="5">
        <v>6499057</v>
      </c>
      <c r="C686" s="4" t="s">
        <v>50</v>
      </c>
      <c r="D686" s="4" t="s">
        <v>157</v>
      </c>
      <c r="E686" s="4" t="s">
        <v>93</v>
      </c>
      <c r="F686" s="4" t="s">
        <v>2960</v>
      </c>
      <c r="G686" s="6">
        <v>3.4</v>
      </c>
      <c r="H686" s="7">
        <v>45445.771793981483</v>
      </c>
      <c r="I686" s="7" t="str">
        <f>TEXT(multilingual_mobile_app_reviews_2025[[#This Row],[Review_date]],"dd-mm-yyyy")</f>
        <v>02-06-2024</v>
      </c>
      <c r="J686" s="7" t="str">
        <f>TEXT(multilingual_mobile_app_reviews_2025[[#This Row],[Review_date]],"YYYY")</f>
        <v>2024</v>
      </c>
      <c r="K686" s="7" t="str">
        <f>TEXT(multilingual_mobile_app_reviews_2025[[#This Row],[Review_date]],"MMMM")</f>
        <v>June</v>
      </c>
      <c r="L686" s="4" t="b">
        <v>0</v>
      </c>
      <c r="M686" s="4" t="s">
        <v>3</v>
      </c>
      <c r="N686" s="5">
        <v>86</v>
      </c>
      <c r="O686" s="5">
        <v>51</v>
      </c>
      <c r="P686" s="4" t="s">
        <v>80</v>
      </c>
      <c r="Q686" s="8" t="s">
        <v>2963</v>
      </c>
      <c r="R686" s="4" t="s">
        <v>918</v>
      </c>
      <c r="S686" s="4"/>
      <c r="T686"/>
      <c r="U686" s="23"/>
    </row>
    <row r="687" spans="1:21" ht="15.6" x14ac:dyDescent="0.3">
      <c r="A687" s="4">
        <v>686</v>
      </c>
      <c r="B687" s="5">
        <v>617059</v>
      </c>
      <c r="C687" s="4" t="s">
        <v>67</v>
      </c>
      <c r="D687" s="4" t="s">
        <v>79</v>
      </c>
      <c r="E687" s="4" t="s">
        <v>130</v>
      </c>
      <c r="F687" s="4" t="s">
        <v>2946</v>
      </c>
      <c r="G687" s="6">
        <v>3.3</v>
      </c>
      <c r="H687" s="7">
        <v>45507.035370370373</v>
      </c>
      <c r="I687" s="7" t="str">
        <f>TEXT(multilingual_mobile_app_reviews_2025[[#This Row],[Review_date]],"dd-mm-yyyy")</f>
        <v>03-08-2024</v>
      </c>
      <c r="J687" s="7" t="str">
        <f>TEXT(multilingual_mobile_app_reviews_2025[[#This Row],[Review_date]],"YYYY")</f>
        <v>2024</v>
      </c>
      <c r="K687" s="7" t="str">
        <f>TEXT(multilingual_mobile_app_reviews_2025[[#This Row],[Review_date]],"MMMM")</f>
        <v>August</v>
      </c>
      <c r="L687" s="4" t="b">
        <v>1</v>
      </c>
      <c r="M687" s="4" t="s">
        <v>33</v>
      </c>
      <c r="N687" s="5">
        <v>76</v>
      </c>
      <c r="O687" s="5">
        <v>73</v>
      </c>
      <c r="P687" s="4" t="s">
        <v>11</v>
      </c>
      <c r="Q687" s="8" t="s">
        <v>2963</v>
      </c>
      <c r="R687" s="4" t="s">
        <v>919</v>
      </c>
      <c r="S687" s="4"/>
      <c r="T687"/>
      <c r="U687" s="23"/>
    </row>
    <row r="688" spans="1:21" ht="15.6" x14ac:dyDescent="0.3">
      <c r="A688" s="4">
        <v>687</v>
      </c>
      <c r="B688" s="5">
        <v>9050103</v>
      </c>
      <c r="C688" s="4" t="s">
        <v>134</v>
      </c>
      <c r="D688" s="4" t="s">
        <v>71</v>
      </c>
      <c r="E688" s="4" t="s">
        <v>9</v>
      </c>
      <c r="F688" s="4" t="s">
        <v>2943</v>
      </c>
      <c r="G688" s="6">
        <v>4.9000000000000004</v>
      </c>
      <c r="H688" s="7">
        <v>45309.653020833335</v>
      </c>
      <c r="I688" s="7" t="str">
        <f>TEXT(multilingual_mobile_app_reviews_2025[[#This Row],[Review_date]],"dd-mm-yyyy")</f>
        <v>18-01-2024</v>
      </c>
      <c r="J688" s="7" t="str">
        <f>TEXT(multilingual_mobile_app_reviews_2025[[#This Row],[Review_date]],"YYYY")</f>
        <v>2024</v>
      </c>
      <c r="K688" s="7" t="str">
        <f>TEXT(multilingual_mobile_app_reviews_2025[[#This Row],[Review_date]],"MMMM")</f>
        <v>January</v>
      </c>
      <c r="L688" s="4" t="b">
        <v>1</v>
      </c>
      <c r="M688" s="4" t="s">
        <v>22</v>
      </c>
      <c r="N688" s="5">
        <v>566</v>
      </c>
      <c r="O688" s="5">
        <v>41</v>
      </c>
      <c r="P688" s="4" t="s">
        <v>23</v>
      </c>
      <c r="Q688" s="8" t="s">
        <v>39</v>
      </c>
      <c r="R688" s="4" t="s">
        <v>920</v>
      </c>
      <c r="S688" s="4"/>
      <c r="T688"/>
      <c r="U688" s="23"/>
    </row>
    <row r="689" spans="1:21" ht="15.6" x14ac:dyDescent="0.3">
      <c r="A689" s="4">
        <v>688</v>
      </c>
      <c r="B689" s="5">
        <v>6659766</v>
      </c>
      <c r="C689" s="4" t="s">
        <v>46</v>
      </c>
      <c r="D689" s="4" t="s">
        <v>26</v>
      </c>
      <c r="E689" s="4" t="s">
        <v>921</v>
      </c>
      <c r="F689" s="4" t="s">
        <v>2954</v>
      </c>
      <c r="G689" s="6">
        <v>2.4</v>
      </c>
      <c r="H689" s="7">
        <v>45147.538877314815</v>
      </c>
      <c r="I689" s="7" t="str">
        <f>TEXT(multilingual_mobile_app_reviews_2025[[#This Row],[Review_date]],"dd-mm-yyyy")</f>
        <v>09-08-2023</v>
      </c>
      <c r="J689" s="7" t="str">
        <f>TEXT(multilingual_mobile_app_reviews_2025[[#This Row],[Review_date]],"YYYY")</f>
        <v>2023</v>
      </c>
      <c r="K689" s="7" t="str">
        <f>TEXT(multilingual_mobile_app_reviews_2025[[#This Row],[Review_date]],"MMMM")</f>
        <v>August</v>
      </c>
      <c r="L689" s="4" t="b">
        <v>1</v>
      </c>
      <c r="M689" s="4" t="s">
        <v>33</v>
      </c>
      <c r="N689" s="5">
        <v>466</v>
      </c>
      <c r="O689" s="5">
        <v>33</v>
      </c>
      <c r="P689" s="4" t="s">
        <v>114</v>
      </c>
      <c r="Q689" s="8" t="s">
        <v>12</v>
      </c>
      <c r="R689" s="4" t="s">
        <v>153</v>
      </c>
      <c r="S689" s="4"/>
      <c r="T689"/>
      <c r="U689" s="23"/>
    </row>
    <row r="690" spans="1:21" ht="15.6" x14ac:dyDescent="0.3">
      <c r="A690" s="4">
        <v>689</v>
      </c>
      <c r="B690" s="5">
        <v>9412525</v>
      </c>
      <c r="C690" s="4" t="s">
        <v>101</v>
      </c>
      <c r="D690" s="4" t="s">
        <v>220</v>
      </c>
      <c r="E690" s="4" t="s">
        <v>922</v>
      </c>
      <c r="F690" s="4" t="s">
        <v>2952</v>
      </c>
      <c r="G690" s="6">
        <v>2.2999999999999998</v>
      </c>
      <c r="H690" s="7">
        <v>45204.998240740744</v>
      </c>
      <c r="I690" s="7" t="str">
        <f>TEXT(multilingual_mobile_app_reviews_2025[[#This Row],[Review_date]],"dd-mm-yyyy")</f>
        <v>05-10-2023</v>
      </c>
      <c r="J690" s="7" t="str">
        <f>TEXT(multilingual_mobile_app_reviews_2025[[#This Row],[Review_date]],"YYYY")</f>
        <v>2023</v>
      </c>
      <c r="K690" s="7" t="str">
        <f>TEXT(multilingual_mobile_app_reviews_2025[[#This Row],[Review_date]],"MMMM")</f>
        <v>October</v>
      </c>
      <c r="L690" s="4" t="b">
        <v>1</v>
      </c>
      <c r="M690" s="4" t="s">
        <v>98</v>
      </c>
      <c r="N690" s="5">
        <v>388</v>
      </c>
      <c r="O690" s="5">
        <v>50</v>
      </c>
      <c r="P690" s="4" t="s">
        <v>114</v>
      </c>
      <c r="Q690" s="8" t="s">
        <v>2963</v>
      </c>
      <c r="R690" s="4" t="s">
        <v>923</v>
      </c>
      <c r="S690" s="4"/>
      <c r="T690"/>
      <c r="U690" s="23"/>
    </row>
    <row r="691" spans="1:21" ht="15.6" x14ac:dyDescent="0.3">
      <c r="A691" s="4">
        <v>690</v>
      </c>
      <c r="B691" s="5">
        <v>3624102</v>
      </c>
      <c r="C691" s="4" t="s">
        <v>264</v>
      </c>
      <c r="D691" s="4" t="s">
        <v>220</v>
      </c>
      <c r="E691" s="4" t="s">
        <v>924</v>
      </c>
      <c r="F691" s="4" t="s">
        <v>2954</v>
      </c>
      <c r="G691" s="6">
        <v>3.1</v>
      </c>
      <c r="H691" s="7">
        <v>45395.857777777775</v>
      </c>
      <c r="I691" s="7" t="str">
        <f>TEXT(multilingual_mobile_app_reviews_2025[[#This Row],[Review_date]],"dd-mm-yyyy")</f>
        <v>13-04-2024</v>
      </c>
      <c r="J691" s="7" t="str">
        <f>TEXT(multilingual_mobile_app_reviews_2025[[#This Row],[Review_date]],"YYYY")</f>
        <v>2024</v>
      </c>
      <c r="K691" s="7" t="str">
        <f>TEXT(multilingual_mobile_app_reviews_2025[[#This Row],[Review_date]],"MMMM")</f>
        <v>April</v>
      </c>
      <c r="L691" s="4" t="b">
        <v>1</v>
      </c>
      <c r="M691" s="4" t="s">
        <v>3</v>
      </c>
      <c r="N691" s="5">
        <v>272</v>
      </c>
      <c r="O691" s="5">
        <v>71</v>
      </c>
      <c r="P691" s="4" t="s">
        <v>11</v>
      </c>
      <c r="Q691" s="8" t="s">
        <v>12</v>
      </c>
      <c r="R691" s="4" t="s">
        <v>925</v>
      </c>
      <c r="S691" s="4"/>
      <c r="T691"/>
      <c r="U691" s="23"/>
    </row>
    <row r="692" spans="1:21" ht="15.6" x14ac:dyDescent="0.3">
      <c r="A692" s="4">
        <v>691</v>
      </c>
      <c r="B692" s="5">
        <v>2251093</v>
      </c>
      <c r="C692" s="4" t="s">
        <v>106</v>
      </c>
      <c r="D692" s="4" t="s">
        <v>26</v>
      </c>
      <c r="E692" s="4" t="s">
        <v>21</v>
      </c>
      <c r="F692" s="4" t="s">
        <v>2939</v>
      </c>
      <c r="G692" s="6">
        <v>3</v>
      </c>
      <c r="H692" s="7">
        <v>45660.288935185185</v>
      </c>
      <c r="I692" s="7" t="str">
        <f>TEXT(multilingual_mobile_app_reviews_2025[[#This Row],[Review_date]],"dd-mm-yyyy")</f>
        <v>03-01-2025</v>
      </c>
      <c r="J692" s="7" t="str">
        <f>TEXT(multilingual_mobile_app_reviews_2025[[#This Row],[Review_date]],"YYYY")</f>
        <v>2025</v>
      </c>
      <c r="K692" s="7" t="str">
        <f>TEXT(multilingual_mobile_app_reviews_2025[[#This Row],[Review_date]],"MMMM")</f>
        <v>January</v>
      </c>
      <c r="L692" s="4" t="b">
        <v>0</v>
      </c>
      <c r="M692" s="4" t="s">
        <v>22</v>
      </c>
      <c r="N692" s="5">
        <v>502</v>
      </c>
      <c r="O692" s="5">
        <v>69</v>
      </c>
      <c r="P692" s="4" t="s">
        <v>2963</v>
      </c>
      <c r="Q692" s="8" t="s">
        <v>29</v>
      </c>
      <c r="R692" s="4" t="s">
        <v>926</v>
      </c>
      <c r="S692" s="4"/>
      <c r="T692"/>
      <c r="U692" s="23"/>
    </row>
    <row r="693" spans="1:21" ht="15.6" x14ac:dyDescent="0.3">
      <c r="A693" s="4">
        <v>692</v>
      </c>
      <c r="B693" s="5">
        <v>4034808</v>
      </c>
      <c r="C693" s="4" t="s">
        <v>147</v>
      </c>
      <c r="D693" s="4" t="s">
        <v>60</v>
      </c>
      <c r="E693" s="4" t="s">
        <v>927</v>
      </c>
      <c r="F693" s="4" t="s">
        <v>2952</v>
      </c>
      <c r="G693" s="6">
        <v>4.4000000000000004</v>
      </c>
      <c r="H693" s="7">
        <v>45471.554444444446</v>
      </c>
      <c r="I693" s="7" t="str">
        <f>TEXT(multilingual_mobile_app_reviews_2025[[#This Row],[Review_date]],"dd-mm-yyyy")</f>
        <v>28-06-2024</v>
      </c>
      <c r="J693" s="7" t="str">
        <f>TEXT(multilingual_mobile_app_reviews_2025[[#This Row],[Review_date]],"YYYY")</f>
        <v>2024</v>
      </c>
      <c r="K693" s="7" t="str">
        <f>TEXT(multilingual_mobile_app_reviews_2025[[#This Row],[Review_date]],"MMMM")</f>
        <v>June</v>
      </c>
      <c r="L693" s="4" t="b">
        <v>1</v>
      </c>
      <c r="M693" s="4" t="s">
        <v>33</v>
      </c>
      <c r="N693" s="5">
        <v>818</v>
      </c>
      <c r="O693" s="5">
        <v>53</v>
      </c>
      <c r="P693" s="4" t="s">
        <v>28</v>
      </c>
      <c r="Q693" s="8" t="s">
        <v>29</v>
      </c>
      <c r="R693" s="4" t="s">
        <v>928</v>
      </c>
      <c r="S693" s="4"/>
      <c r="T693"/>
      <c r="U693" s="23"/>
    </row>
    <row r="694" spans="1:21" ht="15.6" x14ac:dyDescent="0.3">
      <c r="A694" s="4">
        <v>693</v>
      </c>
      <c r="B694" s="5">
        <v>181065</v>
      </c>
      <c r="C694" s="4" t="s">
        <v>258</v>
      </c>
      <c r="D694" s="4" t="s">
        <v>79</v>
      </c>
      <c r="E694" s="4" t="s">
        <v>76</v>
      </c>
      <c r="F694" s="4" t="s">
        <v>2954</v>
      </c>
      <c r="G694" s="6">
        <v>4.4000000000000004</v>
      </c>
      <c r="H694" s="7">
        <v>45382.159375000003</v>
      </c>
      <c r="I694" s="7" t="str">
        <f>TEXT(multilingual_mobile_app_reviews_2025[[#This Row],[Review_date]],"dd-mm-yyyy")</f>
        <v>31-03-2024</v>
      </c>
      <c r="J694" s="7" t="str">
        <f>TEXT(multilingual_mobile_app_reviews_2025[[#This Row],[Review_date]],"YYYY")</f>
        <v>2024</v>
      </c>
      <c r="K694" s="7" t="str">
        <f>TEXT(multilingual_mobile_app_reviews_2025[[#This Row],[Review_date]],"MMMM")</f>
        <v>March</v>
      </c>
      <c r="L694" s="4" t="b">
        <v>1</v>
      </c>
      <c r="M694" s="4" t="s">
        <v>22</v>
      </c>
      <c r="N694" s="5">
        <v>1102</v>
      </c>
      <c r="O694" s="5">
        <v>50</v>
      </c>
      <c r="P694" s="4" t="s">
        <v>180</v>
      </c>
      <c r="Q694" s="8" t="s">
        <v>12</v>
      </c>
      <c r="R694" s="4" t="s">
        <v>929</v>
      </c>
      <c r="S694" s="4"/>
      <c r="T694"/>
      <c r="U694" s="23"/>
    </row>
    <row r="695" spans="1:21" ht="15.6" x14ac:dyDescent="0.3">
      <c r="A695" s="4">
        <v>694</v>
      </c>
      <c r="B695" s="5">
        <v>3816584</v>
      </c>
      <c r="C695" s="4" t="s">
        <v>137</v>
      </c>
      <c r="D695" s="4" t="s">
        <v>8</v>
      </c>
      <c r="E695" s="4" t="s">
        <v>93</v>
      </c>
      <c r="F695" s="4" t="s">
        <v>2940</v>
      </c>
      <c r="G695" s="6">
        <v>2.8</v>
      </c>
      <c r="H695" s="7">
        <v>45692.059675925928</v>
      </c>
      <c r="I695" s="7" t="str">
        <f>TEXT(multilingual_mobile_app_reviews_2025[[#This Row],[Review_date]],"dd-mm-yyyy")</f>
        <v>04-02-2025</v>
      </c>
      <c r="J695" s="7" t="str">
        <f>TEXT(multilingual_mobile_app_reviews_2025[[#This Row],[Review_date]],"YYYY")</f>
        <v>2025</v>
      </c>
      <c r="K695" s="7" t="str">
        <f>TEXT(multilingual_mobile_app_reviews_2025[[#This Row],[Review_date]],"MMMM")</f>
        <v>February</v>
      </c>
      <c r="L695" s="4" t="b">
        <v>0</v>
      </c>
      <c r="M695" s="4" t="s">
        <v>3</v>
      </c>
      <c r="N695" s="5">
        <v>1018</v>
      </c>
      <c r="O695" s="5">
        <v>50</v>
      </c>
      <c r="P695" s="4" t="s">
        <v>90</v>
      </c>
      <c r="Q695" s="8" t="s">
        <v>12</v>
      </c>
      <c r="R695" s="4" t="s">
        <v>303</v>
      </c>
      <c r="S695" s="4"/>
      <c r="T695"/>
      <c r="U695" s="23"/>
    </row>
    <row r="696" spans="1:21" ht="15.6" x14ac:dyDescent="0.3">
      <c r="A696" s="4">
        <v>695</v>
      </c>
      <c r="B696" s="5">
        <v>7416947</v>
      </c>
      <c r="C696" s="4" t="s">
        <v>84</v>
      </c>
      <c r="D696" s="4" t="s">
        <v>60</v>
      </c>
      <c r="E696" s="4" t="s">
        <v>930</v>
      </c>
      <c r="F696" s="4" t="s">
        <v>2944</v>
      </c>
      <c r="G696" s="6">
        <v>4.8</v>
      </c>
      <c r="H696" s="7">
        <v>45703.886250000003</v>
      </c>
      <c r="I696" s="7" t="str">
        <f>TEXT(multilingual_mobile_app_reviews_2025[[#This Row],[Review_date]],"dd-mm-yyyy")</f>
        <v>15-02-2025</v>
      </c>
      <c r="J696" s="7" t="str">
        <f>TEXT(multilingual_mobile_app_reviews_2025[[#This Row],[Review_date]],"YYYY")</f>
        <v>2025</v>
      </c>
      <c r="K696" s="7" t="str">
        <f>TEXT(multilingual_mobile_app_reviews_2025[[#This Row],[Review_date]],"MMMM")</f>
        <v>February</v>
      </c>
      <c r="L696" s="4" t="b">
        <v>1</v>
      </c>
      <c r="M696" s="4" t="s">
        <v>98</v>
      </c>
      <c r="N696" s="5">
        <v>1224</v>
      </c>
      <c r="O696" s="5">
        <v>44</v>
      </c>
      <c r="P696" s="4" t="s">
        <v>90</v>
      </c>
      <c r="Q696" s="8" t="s">
        <v>5</v>
      </c>
      <c r="R696" s="4" t="s">
        <v>931</v>
      </c>
      <c r="S696" s="4"/>
      <c r="T696"/>
      <c r="U696" s="23"/>
    </row>
    <row r="697" spans="1:21" ht="15.6" x14ac:dyDescent="0.3">
      <c r="A697" s="4">
        <v>696</v>
      </c>
      <c r="B697" s="5">
        <v>412564</v>
      </c>
      <c r="C697" s="4" t="s">
        <v>36</v>
      </c>
      <c r="D697" s="4" t="s">
        <v>8</v>
      </c>
      <c r="E697" s="4" t="s">
        <v>932</v>
      </c>
      <c r="F697" s="4" t="s">
        <v>2939</v>
      </c>
      <c r="G697" s="6">
        <v>4.9000000000000004</v>
      </c>
      <c r="H697" s="7">
        <v>45499.82230324074</v>
      </c>
      <c r="I697" s="7" t="str">
        <f>TEXT(multilingual_mobile_app_reviews_2025[[#This Row],[Review_date]],"dd-mm-yyyy")</f>
        <v>26-07-2024</v>
      </c>
      <c r="J697" s="7" t="str">
        <f>TEXT(multilingual_mobile_app_reviews_2025[[#This Row],[Review_date]],"YYYY")</f>
        <v>2024</v>
      </c>
      <c r="K697" s="7" t="str">
        <f>TEXT(multilingual_mobile_app_reviews_2025[[#This Row],[Review_date]],"MMMM")</f>
        <v>July</v>
      </c>
      <c r="L697" s="4" t="b">
        <v>1</v>
      </c>
      <c r="M697" s="4" t="s">
        <v>98</v>
      </c>
      <c r="N697" s="5">
        <v>733</v>
      </c>
      <c r="O697" s="5">
        <v>50</v>
      </c>
      <c r="P697" s="4" t="s">
        <v>80</v>
      </c>
      <c r="Q697" s="8" t="s">
        <v>12</v>
      </c>
      <c r="R697" s="4" t="s">
        <v>933</v>
      </c>
      <c r="S697" s="4"/>
      <c r="T697"/>
      <c r="U697" s="23"/>
    </row>
    <row r="698" spans="1:21" ht="15.6" x14ac:dyDescent="0.3">
      <c r="A698" s="4">
        <v>697</v>
      </c>
      <c r="B698" s="5">
        <v>8663292</v>
      </c>
      <c r="C698" s="4" t="s">
        <v>137</v>
      </c>
      <c r="D698" s="4" t="s">
        <v>47</v>
      </c>
      <c r="E698" s="4" t="s">
        <v>16</v>
      </c>
      <c r="F698" s="4" t="s">
        <v>2960</v>
      </c>
      <c r="G698" s="6">
        <v>3.3</v>
      </c>
      <c r="H698" s="7">
        <v>45209.213645833333</v>
      </c>
      <c r="I698" s="7" t="str">
        <f>TEXT(multilingual_mobile_app_reviews_2025[[#This Row],[Review_date]],"dd-mm-yyyy")</f>
        <v>10-10-2023</v>
      </c>
      <c r="J698" s="7" t="str">
        <f>TEXT(multilingual_mobile_app_reviews_2025[[#This Row],[Review_date]],"YYYY")</f>
        <v>2023</v>
      </c>
      <c r="K698" s="7" t="str">
        <f>TEXT(multilingual_mobile_app_reviews_2025[[#This Row],[Review_date]],"MMMM")</f>
        <v>October</v>
      </c>
      <c r="L698" s="4" t="b">
        <v>1</v>
      </c>
      <c r="M698" s="4" t="s">
        <v>3</v>
      </c>
      <c r="N698" s="5">
        <v>834</v>
      </c>
      <c r="O698" s="5">
        <v>37</v>
      </c>
      <c r="P698" s="4" t="s">
        <v>61</v>
      </c>
      <c r="Q698" s="8" t="s">
        <v>29</v>
      </c>
      <c r="R698" s="4" t="s">
        <v>934</v>
      </c>
      <c r="S698" s="4"/>
      <c r="T698"/>
      <c r="U698" s="23"/>
    </row>
    <row r="699" spans="1:21" ht="15.6" x14ac:dyDescent="0.3">
      <c r="A699" s="4">
        <v>698</v>
      </c>
      <c r="B699" s="5">
        <v>6204651</v>
      </c>
      <c r="C699" s="4" t="s">
        <v>87</v>
      </c>
      <c r="D699" s="4" t="s">
        <v>60</v>
      </c>
      <c r="E699" s="4" t="s">
        <v>16</v>
      </c>
      <c r="F699" s="4" t="s">
        <v>2954</v>
      </c>
      <c r="G699" s="6">
        <v>2.8</v>
      </c>
      <c r="H699" s="7">
        <v>45528.923113425924</v>
      </c>
      <c r="I699" s="7" t="str">
        <f>TEXT(multilingual_mobile_app_reviews_2025[[#This Row],[Review_date]],"dd-mm-yyyy")</f>
        <v>24-08-2024</v>
      </c>
      <c r="J699" s="7" t="str">
        <f>TEXT(multilingual_mobile_app_reviews_2025[[#This Row],[Review_date]],"YYYY")</f>
        <v>2024</v>
      </c>
      <c r="K699" s="7" t="str">
        <f>TEXT(multilingual_mobile_app_reviews_2025[[#This Row],[Review_date]],"MMMM")</f>
        <v>August</v>
      </c>
      <c r="L699" s="4" t="b">
        <v>1</v>
      </c>
      <c r="M699" s="4" t="s">
        <v>98</v>
      </c>
      <c r="N699" s="5">
        <v>1072</v>
      </c>
      <c r="O699" s="5">
        <v>29</v>
      </c>
      <c r="P699" s="4" t="s">
        <v>118</v>
      </c>
      <c r="Q699" s="8" t="s">
        <v>2963</v>
      </c>
      <c r="R699" s="4" t="s">
        <v>2963</v>
      </c>
      <c r="S699" s="4"/>
      <c r="T699"/>
      <c r="U699" s="23"/>
    </row>
    <row r="700" spans="1:21" ht="15.6" x14ac:dyDescent="0.3">
      <c r="A700" s="4">
        <v>699</v>
      </c>
      <c r="B700" s="5">
        <v>4107754</v>
      </c>
      <c r="C700" s="4" t="s">
        <v>41</v>
      </c>
      <c r="D700" s="4" t="s">
        <v>42</v>
      </c>
      <c r="E700" s="4" t="s">
        <v>935</v>
      </c>
      <c r="F700" s="4" t="s">
        <v>2943</v>
      </c>
      <c r="G700" s="6">
        <v>4.4000000000000004</v>
      </c>
      <c r="H700" s="7">
        <v>45685.48636574074</v>
      </c>
      <c r="I700" s="7" t="str">
        <f>TEXT(multilingual_mobile_app_reviews_2025[[#This Row],[Review_date]],"dd-mm-yyyy")</f>
        <v>28-01-2025</v>
      </c>
      <c r="J700" s="7" t="str">
        <f>TEXT(multilingual_mobile_app_reviews_2025[[#This Row],[Review_date]],"YYYY")</f>
        <v>2025</v>
      </c>
      <c r="K700" s="7" t="str">
        <f>TEXT(multilingual_mobile_app_reviews_2025[[#This Row],[Review_date]],"MMMM")</f>
        <v>January</v>
      </c>
      <c r="L700" s="4" t="b">
        <v>1</v>
      </c>
      <c r="M700" s="4" t="s">
        <v>22</v>
      </c>
      <c r="N700" s="5">
        <v>386</v>
      </c>
      <c r="O700" s="5">
        <v>53</v>
      </c>
      <c r="P700" s="4" t="s">
        <v>144</v>
      </c>
      <c r="Q700" s="8" t="s">
        <v>29</v>
      </c>
      <c r="R700" s="4" t="s">
        <v>936</v>
      </c>
      <c r="S700" s="4"/>
      <c r="T700"/>
      <c r="U700" s="23"/>
    </row>
    <row r="701" spans="1:21" ht="15.6" x14ac:dyDescent="0.3">
      <c r="A701" s="4">
        <v>700</v>
      </c>
      <c r="B701" s="5">
        <v>4688489</v>
      </c>
      <c r="C701" s="4" t="s">
        <v>137</v>
      </c>
      <c r="D701" s="4" t="s">
        <v>79</v>
      </c>
      <c r="E701" s="4" t="s">
        <v>130</v>
      </c>
      <c r="F701" s="4" t="s">
        <v>2939</v>
      </c>
      <c r="G701" s="6">
        <v>3.5</v>
      </c>
      <c r="H701" s="7">
        <v>45787.342719907407</v>
      </c>
      <c r="I701" s="7" t="str">
        <f>TEXT(multilingual_mobile_app_reviews_2025[[#This Row],[Review_date]],"dd-mm-yyyy")</f>
        <v>10-05-2025</v>
      </c>
      <c r="J701" s="7" t="str">
        <f>TEXT(multilingual_mobile_app_reviews_2025[[#This Row],[Review_date]],"YYYY")</f>
        <v>2025</v>
      </c>
      <c r="K701" s="7" t="str">
        <f>TEXT(multilingual_mobile_app_reviews_2025[[#This Row],[Review_date]],"MMMM")</f>
        <v>May</v>
      </c>
      <c r="L701" s="4" t="b">
        <v>0</v>
      </c>
      <c r="M701" s="4" t="s">
        <v>33</v>
      </c>
      <c r="N701" s="5">
        <v>246</v>
      </c>
      <c r="O701" s="5">
        <v>64</v>
      </c>
      <c r="P701" s="4" t="s">
        <v>114</v>
      </c>
      <c r="Q701" s="8" t="s">
        <v>39</v>
      </c>
      <c r="R701" s="4" t="s">
        <v>937</v>
      </c>
      <c r="S701" s="4"/>
      <c r="T701"/>
      <c r="U701" s="23"/>
    </row>
    <row r="702" spans="1:21" ht="15.6" x14ac:dyDescent="0.3">
      <c r="A702" s="4">
        <v>701</v>
      </c>
      <c r="B702" s="5">
        <v>4517710</v>
      </c>
      <c r="C702" s="4" t="s">
        <v>89</v>
      </c>
      <c r="D702" s="4" t="s">
        <v>31</v>
      </c>
      <c r="E702" s="4" t="s">
        <v>938</v>
      </c>
      <c r="F702" s="4" t="s">
        <v>2949</v>
      </c>
      <c r="G702" s="6">
        <v>1.3</v>
      </c>
      <c r="H702" s="7">
        <v>45606.481226851851</v>
      </c>
      <c r="I702" s="7" t="str">
        <f>TEXT(multilingual_mobile_app_reviews_2025[[#This Row],[Review_date]],"dd-mm-yyyy")</f>
        <v>10-11-2024</v>
      </c>
      <c r="J702" s="7" t="str">
        <f>TEXT(multilingual_mobile_app_reviews_2025[[#This Row],[Review_date]],"YYYY")</f>
        <v>2024</v>
      </c>
      <c r="K702" s="7" t="str">
        <f>TEXT(multilingual_mobile_app_reviews_2025[[#This Row],[Review_date]],"MMMM")</f>
        <v>November</v>
      </c>
      <c r="L702" s="4" t="b">
        <v>0</v>
      </c>
      <c r="M702" s="4" t="s">
        <v>22</v>
      </c>
      <c r="N702" s="5">
        <v>748</v>
      </c>
      <c r="O702" s="5">
        <v>22</v>
      </c>
      <c r="P702" s="4" t="s">
        <v>17</v>
      </c>
      <c r="Q702" s="8" t="s">
        <v>29</v>
      </c>
      <c r="R702" s="4" t="s">
        <v>939</v>
      </c>
      <c r="S702" s="4"/>
      <c r="T702"/>
      <c r="U702" s="23"/>
    </row>
    <row r="703" spans="1:21" ht="15.6" x14ac:dyDescent="0.3">
      <c r="A703" s="4">
        <v>702</v>
      </c>
      <c r="B703" s="5">
        <v>2085251</v>
      </c>
      <c r="C703" s="4" t="s">
        <v>50</v>
      </c>
      <c r="D703" s="4" t="s">
        <v>1</v>
      </c>
      <c r="E703" s="4" t="s">
        <v>64</v>
      </c>
      <c r="F703" s="4" t="s">
        <v>2948</v>
      </c>
      <c r="G703" s="6">
        <v>2.6</v>
      </c>
      <c r="H703" s="7">
        <v>45652.377303240741</v>
      </c>
      <c r="I703" s="7" t="str">
        <f>TEXT(multilingual_mobile_app_reviews_2025[[#This Row],[Review_date]],"dd-mm-yyyy")</f>
        <v>26-12-2024</v>
      </c>
      <c r="J703" s="7" t="str">
        <f>TEXT(multilingual_mobile_app_reviews_2025[[#This Row],[Review_date]],"YYYY")</f>
        <v>2024</v>
      </c>
      <c r="K703" s="7" t="str">
        <f>TEXT(multilingual_mobile_app_reviews_2025[[#This Row],[Review_date]],"MMMM")</f>
        <v>December</v>
      </c>
      <c r="L703" s="4" t="b">
        <v>1</v>
      </c>
      <c r="M703" s="4" t="s">
        <v>33</v>
      </c>
      <c r="N703" s="5">
        <v>411</v>
      </c>
      <c r="O703" s="5">
        <v>31</v>
      </c>
      <c r="P703" s="4" t="s">
        <v>73</v>
      </c>
      <c r="Q703" s="8" t="s">
        <v>5</v>
      </c>
      <c r="R703" s="4" t="s">
        <v>940</v>
      </c>
      <c r="S703" s="4"/>
      <c r="T703"/>
      <c r="U703" s="23"/>
    </row>
    <row r="704" spans="1:21" ht="15.6" x14ac:dyDescent="0.3">
      <c r="A704" s="4">
        <v>703</v>
      </c>
      <c r="B704" s="5">
        <v>7056063</v>
      </c>
      <c r="C704" s="4" t="s">
        <v>106</v>
      </c>
      <c r="D704" s="4" t="s">
        <v>60</v>
      </c>
      <c r="E704" s="4" t="s">
        <v>32</v>
      </c>
      <c r="F704" s="4" t="s">
        <v>2962</v>
      </c>
      <c r="G704" s="6">
        <v>3</v>
      </c>
      <c r="H704" s="7">
        <v>45768.934664351851</v>
      </c>
      <c r="I704" s="7" t="str">
        <f>TEXT(multilingual_mobile_app_reviews_2025[[#This Row],[Review_date]],"dd-mm-yyyy")</f>
        <v>21-04-2025</v>
      </c>
      <c r="J704" s="7" t="str">
        <f>TEXT(multilingual_mobile_app_reviews_2025[[#This Row],[Review_date]],"YYYY")</f>
        <v>2025</v>
      </c>
      <c r="K704" s="7" t="str">
        <f>TEXT(multilingual_mobile_app_reviews_2025[[#This Row],[Review_date]],"MMMM")</f>
        <v>April</v>
      </c>
      <c r="L704" s="4" t="b">
        <v>1</v>
      </c>
      <c r="M704" s="4" t="s">
        <v>10</v>
      </c>
      <c r="N704" s="5">
        <v>112</v>
      </c>
      <c r="O704" s="5">
        <v>46</v>
      </c>
      <c r="P704" s="4" t="s">
        <v>23</v>
      </c>
      <c r="Q704" s="8" t="s">
        <v>5</v>
      </c>
      <c r="R704" s="4" t="s">
        <v>941</v>
      </c>
      <c r="S704" s="4"/>
      <c r="T704"/>
      <c r="U704" s="23"/>
    </row>
    <row r="705" spans="1:21" ht="15.6" x14ac:dyDescent="0.3">
      <c r="A705" s="4">
        <v>704</v>
      </c>
      <c r="B705" s="5">
        <v>2001507</v>
      </c>
      <c r="C705" s="4" t="s">
        <v>208</v>
      </c>
      <c r="D705" s="4" t="s">
        <v>63</v>
      </c>
      <c r="E705" s="4" t="s">
        <v>64</v>
      </c>
      <c r="F705" s="4" t="s">
        <v>2940</v>
      </c>
      <c r="G705" s="6">
        <v>4.3</v>
      </c>
      <c r="H705" s="7">
        <v>45512.883298611108</v>
      </c>
      <c r="I705" s="7" t="str">
        <f>TEXT(multilingual_mobile_app_reviews_2025[[#This Row],[Review_date]],"dd-mm-yyyy")</f>
        <v>08-08-2024</v>
      </c>
      <c r="J705" s="7" t="str">
        <f>TEXT(multilingual_mobile_app_reviews_2025[[#This Row],[Review_date]],"YYYY")</f>
        <v>2024</v>
      </c>
      <c r="K705" s="7" t="str">
        <f>TEXT(multilingual_mobile_app_reviews_2025[[#This Row],[Review_date]],"MMMM")</f>
        <v>August</v>
      </c>
      <c r="L705" s="4" t="b">
        <v>0</v>
      </c>
      <c r="M705" s="4" t="s">
        <v>3</v>
      </c>
      <c r="N705" s="5">
        <v>1041</v>
      </c>
      <c r="O705" s="5">
        <v>46</v>
      </c>
      <c r="P705" s="4" t="s">
        <v>65</v>
      </c>
      <c r="Q705" s="8" t="s">
        <v>2963</v>
      </c>
      <c r="R705" s="4" t="s">
        <v>942</v>
      </c>
      <c r="S705" s="4"/>
      <c r="T705"/>
      <c r="U705" s="23"/>
    </row>
    <row r="706" spans="1:21" ht="15.6" x14ac:dyDescent="0.3">
      <c r="A706" s="4">
        <v>705</v>
      </c>
      <c r="B706" s="5">
        <v>8133176</v>
      </c>
      <c r="C706" s="4" t="s">
        <v>154</v>
      </c>
      <c r="D706" s="4" t="s">
        <v>26</v>
      </c>
      <c r="E706" s="4" t="s">
        <v>109</v>
      </c>
      <c r="F706" s="4" t="s">
        <v>2940</v>
      </c>
      <c r="G706" s="6">
        <v>4.7</v>
      </c>
      <c r="H706" s="7">
        <v>45510.945</v>
      </c>
      <c r="I706" s="7" t="str">
        <f>TEXT(multilingual_mobile_app_reviews_2025[[#This Row],[Review_date]],"dd-mm-yyyy")</f>
        <v>06-08-2024</v>
      </c>
      <c r="J706" s="7" t="str">
        <f>TEXT(multilingual_mobile_app_reviews_2025[[#This Row],[Review_date]],"YYYY")</f>
        <v>2024</v>
      </c>
      <c r="K706" s="7" t="str">
        <f>TEXT(multilingual_mobile_app_reviews_2025[[#This Row],[Review_date]],"MMMM")</f>
        <v>August</v>
      </c>
      <c r="L706" s="4" t="b">
        <v>1</v>
      </c>
      <c r="M706" s="4" t="s">
        <v>22</v>
      </c>
      <c r="N706" s="5">
        <v>238</v>
      </c>
      <c r="O706" s="5">
        <v>72</v>
      </c>
      <c r="P706" s="4" t="s">
        <v>114</v>
      </c>
      <c r="Q706" s="8" t="s">
        <v>12</v>
      </c>
      <c r="R706" s="4" t="s">
        <v>943</v>
      </c>
      <c r="S706" s="4"/>
      <c r="T706"/>
      <c r="U706" s="23"/>
    </row>
    <row r="707" spans="1:21" ht="15.6" x14ac:dyDescent="0.3">
      <c r="A707" s="4">
        <v>706</v>
      </c>
      <c r="B707" s="5">
        <v>2805263</v>
      </c>
      <c r="C707" s="4" t="s">
        <v>101</v>
      </c>
      <c r="D707" s="4" t="s">
        <v>8</v>
      </c>
      <c r="E707" s="4" t="s">
        <v>93</v>
      </c>
      <c r="F707" s="4" t="s">
        <v>2957</v>
      </c>
      <c r="G707" s="6">
        <v>2</v>
      </c>
      <c r="H707" s="7">
        <v>45641.619363425925</v>
      </c>
      <c r="I707" s="7" t="str">
        <f>TEXT(multilingual_mobile_app_reviews_2025[[#This Row],[Review_date]],"dd-mm-yyyy")</f>
        <v>15-12-2024</v>
      </c>
      <c r="J707" s="7" t="str">
        <f>TEXT(multilingual_mobile_app_reviews_2025[[#This Row],[Review_date]],"YYYY")</f>
        <v>2024</v>
      </c>
      <c r="K707" s="7" t="str">
        <f>TEXT(multilingual_mobile_app_reviews_2025[[#This Row],[Review_date]],"MMMM")</f>
        <v>December</v>
      </c>
      <c r="L707" s="4" t="b">
        <v>1</v>
      </c>
      <c r="M707" s="4" t="s">
        <v>3</v>
      </c>
      <c r="N707" s="5">
        <v>1168</v>
      </c>
      <c r="O707" s="5">
        <v>58</v>
      </c>
      <c r="P707" s="4" t="s">
        <v>38</v>
      </c>
      <c r="Q707" s="8" t="s">
        <v>39</v>
      </c>
      <c r="R707" s="4" t="s">
        <v>254</v>
      </c>
      <c r="S707" s="4"/>
      <c r="T707"/>
      <c r="U707" s="23"/>
    </row>
    <row r="708" spans="1:21" ht="15.6" x14ac:dyDescent="0.3">
      <c r="A708" s="4">
        <v>707</v>
      </c>
      <c r="B708" s="5">
        <v>476582</v>
      </c>
      <c r="C708" s="4" t="s">
        <v>7</v>
      </c>
      <c r="D708" s="4" t="s">
        <v>157</v>
      </c>
      <c r="E708" s="4" t="s">
        <v>32</v>
      </c>
      <c r="F708" s="4" t="s">
        <v>2940</v>
      </c>
      <c r="G708" s="6">
        <v>3.8</v>
      </c>
      <c r="H708" s="7">
        <v>45328.142581018517</v>
      </c>
      <c r="I708" s="7" t="str">
        <f>TEXT(multilingual_mobile_app_reviews_2025[[#This Row],[Review_date]],"dd-mm-yyyy")</f>
        <v>06-02-2024</v>
      </c>
      <c r="J708" s="7" t="str">
        <f>TEXT(multilingual_mobile_app_reviews_2025[[#This Row],[Review_date]],"YYYY")</f>
        <v>2024</v>
      </c>
      <c r="K708" s="7" t="str">
        <f>TEXT(multilingual_mobile_app_reviews_2025[[#This Row],[Review_date]],"MMMM")</f>
        <v>February</v>
      </c>
      <c r="L708" s="4" t="b">
        <v>1</v>
      </c>
      <c r="M708" s="4" t="s">
        <v>3</v>
      </c>
      <c r="N708" s="5">
        <v>263</v>
      </c>
      <c r="O708" s="5">
        <v>55</v>
      </c>
      <c r="P708" s="4" t="s">
        <v>61</v>
      </c>
      <c r="Q708" s="8" t="s">
        <v>5</v>
      </c>
      <c r="R708" s="4" t="s">
        <v>944</v>
      </c>
      <c r="S708" s="4"/>
      <c r="T708"/>
      <c r="U708" s="23"/>
    </row>
    <row r="709" spans="1:21" ht="15.6" x14ac:dyDescent="0.3">
      <c r="A709" s="4">
        <v>708</v>
      </c>
      <c r="B709" s="5">
        <v>2245556</v>
      </c>
      <c r="C709" s="4" t="s">
        <v>56</v>
      </c>
      <c r="D709" s="4" t="s">
        <v>26</v>
      </c>
      <c r="E709" s="4" t="s">
        <v>21</v>
      </c>
      <c r="F709" s="4" t="s">
        <v>2950</v>
      </c>
      <c r="G709" s="6">
        <v>2</v>
      </c>
      <c r="H709" s="7">
        <v>45584.318402777775</v>
      </c>
      <c r="I709" s="7" t="str">
        <f>TEXT(multilingual_mobile_app_reviews_2025[[#This Row],[Review_date]],"dd-mm-yyyy")</f>
        <v>19-10-2024</v>
      </c>
      <c r="J709" s="7" t="str">
        <f>TEXT(multilingual_mobile_app_reviews_2025[[#This Row],[Review_date]],"YYYY")</f>
        <v>2024</v>
      </c>
      <c r="K709" s="7" t="str">
        <f>TEXT(multilingual_mobile_app_reviews_2025[[#This Row],[Review_date]],"MMMM")</f>
        <v>October</v>
      </c>
      <c r="L709" s="4" t="b">
        <v>1</v>
      </c>
      <c r="M709" s="4" t="s">
        <v>98</v>
      </c>
      <c r="N709" s="5">
        <v>808</v>
      </c>
      <c r="O709" s="5">
        <v>65</v>
      </c>
      <c r="P709" s="4" t="s">
        <v>127</v>
      </c>
      <c r="Q709" s="8" t="s">
        <v>12</v>
      </c>
      <c r="R709" s="4" t="s">
        <v>945</v>
      </c>
      <c r="S709" s="4"/>
      <c r="T709"/>
      <c r="U709" s="23"/>
    </row>
    <row r="710" spans="1:21" ht="15.6" x14ac:dyDescent="0.3">
      <c r="A710" s="4">
        <v>709</v>
      </c>
      <c r="B710" s="5">
        <v>2803298</v>
      </c>
      <c r="C710" s="4" t="s">
        <v>134</v>
      </c>
      <c r="D710" s="4" t="s">
        <v>1</v>
      </c>
      <c r="E710" s="4" t="s">
        <v>946</v>
      </c>
      <c r="F710" s="4" t="s">
        <v>2953</v>
      </c>
      <c r="G710" s="6">
        <v>2.7</v>
      </c>
      <c r="H710" s="7">
        <v>45339.474456018521</v>
      </c>
      <c r="I710" s="7" t="str">
        <f>TEXT(multilingual_mobile_app_reviews_2025[[#This Row],[Review_date]],"dd-mm-yyyy")</f>
        <v>17-02-2024</v>
      </c>
      <c r="J710" s="7" t="str">
        <f>TEXT(multilingual_mobile_app_reviews_2025[[#This Row],[Review_date]],"YYYY")</f>
        <v>2024</v>
      </c>
      <c r="K710" s="7" t="str">
        <f>TEXT(multilingual_mobile_app_reviews_2025[[#This Row],[Review_date]],"MMMM")</f>
        <v>February</v>
      </c>
      <c r="L710" s="4" t="b">
        <v>1</v>
      </c>
      <c r="M710" s="4" t="s">
        <v>10</v>
      </c>
      <c r="N710" s="5">
        <v>897</v>
      </c>
      <c r="O710" s="5">
        <v>60</v>
      </c>
      <c r="P710" s="4" t="s">
        <v>180</v>
      </c>
      <c r="Q710" s="8" t="s">
        <v>29</v>
      </c>
      <c r="R710" s="4" t="s">
        <v>947</v>
      </c>
      <c r="S710" s="4"/>
      <c r="T710"/>
      <c r="U710" s="23"/>
    </row>
    <row r="711" spans="1:21" ht="15.6" x14ac:dyDescent="0.3">
      <c r="A711" s="4">
        <v>710</v>
      </c>
      <c r="B711" s="5">
        <v>8767792</v>
      </c>
      <c r="C711" s="4" t="s">
        <v>113</v>
      </c>
      <c r="D711" s="4" t="s">
        <v>26</v>
      </c>
      <c r="E711" s="4" t="s">
        <v>948</v>
      </c>
      <c r="F711" s="4" t="s">
        <v>2943</v>
      </c>
      <c r="G711" s="6">
        <v>2.8</v>
      </c>
      <c r="H711" s="7">
        <v>45205.481087962966</v>
      </c>
      <c r="I711" s="7" t="str">
        <f>TEXT(multilingual_mobile_app_reviews_2025[[#This Row],[Review_date]],"dd-mm-yyyy")</f>
        <v>06-10-2023</v>
      </c>
      <c r="J711" s="7" t="str">
        <f>TEXT(multilingual_mobile_app_reviews_2025[[#This Row],[Review_date]],"YYYY")</f>
        <v>2023</v>
      </c>
      <c r="K711" s="7" t="str">
        <f>TEXT(multilingual_mobile_app_reviews_2025[[#This Row],[Review_date]],"MMMM")</f>
        <v>October</v>
      </c>
      <c r="L711" s="4" t="b">
        <v>1</v>
      </c>
      <c r="M711" s="4" t="s">
        <v>98</v>
      </c>
      <c r="N711" s="5">
        <v>801</v>
      </c>
      <c r="O711" s="5">
        <v>37</v>
      </c>
      <c r="P711" s="4" t="s">
        <v>180</v>
      </c>
      <c r="Q711" s="8" t="s">
        <v>39</v>
      </c>
      <c r="R711" s="4" t="s">
        <v>949</v>
      </c>
      <c r="S711" s="4"/>
      <c r="T711"/>
      <c r="U711" s="23"/>
    </row>
    <row r="712" spans="1:21" ht="15.6" x14ac:dyDescent="0.3">
      <c r="A712" s="4">
        <v>711</v>
      </c>
      <c r="B712" s="5">
        <v>7636381</v>
      </c>
      <c r="C712" s="4" t="s">
        <v>132</v>
      </c>
      <c r="D712" s="4" t="s">
        <v>57</v>
      </c>
      <c r="E712" s="4" t="s">
        <v>76</v>
      </c>
      <c r="F712" s="4" t="s">
        <v>2949</v>
      </c>
      <c r="G712" s="6">
        <v>4.9000000000000004</v>
      </c>
      <c r="H712" s="7">
        <v>45609.980844907404</v>
      </c>
      <c r="I712" s="7" t="str">
        <f>TEXT(multilingual_mobile_app_reviews_2025[[#This Row],[Review_date]],"dd-mm-yyyy")</f>
        <v>13-11-2024</v>
      </c>
      <c r="J712" s="7" t="str">
        <f>TEXT(multilingual_mobile_app_reviews_2025[[#This Row],[Review_date]],"YYYY")</f>
        <v>2024</v>
      </c>
      <c r="K712" s="7" t="str">
        <f>TEXT(multilingual_mobile_app_reviews_2025[[#This Row],[Review_date]],"MMMM")</f>
        <v>November</v>
      </c>
      <c r="L712" s="4" t="b">
        <v>1</v>
      </c>
      <c r="M712" s="4" t="s">
        <v>98</v>
      </c>
      <c r="N712" s="5">
        <v>228</v>
      </c>
      <c r="O712" s="5">
        <v>56</v>
      </c>
      <c r="P712" s="4" t="s">
        <v>4</v>
      </c>
      <c r="Q712" s="8" t="s">
        <v>29</v>
      </c>
      <c r="R712" s="4" t="s">
        <v>950</v>
      </c>
      <c r="S712" s="4"/>
      <c r="T712"/>
      <c r="U712" s="23"/>
    </row>
    <row r="713" spans="1:21" ht="15.6" x14ac:dyDescent="0.3">
      <c r="A713" s="4">
        <v>712</v>
      </c>
      <c r="B713" s="5">
        <v>8181054</v>
      </c>
      <c r="C713" s="4" t="s">
        <v>78</v>
      </c>
      <c r="D713" s="4" t="s">
        <v>31</v>
      </c>
      <c r="E713" s="4" t="s">
        <v>93</v>
      </c>
      <c r="F713" s="4" t="s">
        <v>2940</v>
      </c>
      <c r="G713" s="6">
        <v>4.3</v>
      </c>
      <c r="H713" s="7">
        <v>45271.361400462964</v>
      </c>
      <c r="I713" s="7" t="str">
        <f>TEXT(multilingual_mobile_app_reviews_2025[[#This Row],[Review_date]],"dd-mm-yyyy")</f>
        <v>11-12-2023</v>
      </c>
      <c r="J713" s="7" t="str">
        <f>TEXT(multilingual_mobile_app_reviews_2025[[#This Row],[Review_date]],"YYYY")</f>
        <v>2023</v>
      </c>
      <c r="K713" s="7" t="str">
        <f>TEXT(multilingual_mobile_app_reviews_2025[[#This Row],[Review_date]],"MMMM")</f>
        <v>December</v>
      </c>
      <c r="L713" s="4" t="b">
        <v>1</v>
      </c>
      <c r="M713" s="4" t="s">
        <v>33</v>
      </c>
      <c r="N713" s="5">
        <v>245</v>
      </c>
      <c r="O713" s="5">
        <v>67</v>
      </c>
      <c r="P713" s="4" t="s">
        <v>17</v>
      </c>
      <c r="Q713" s="8" t="s">
        <v>12</v>
      </c>
      <c r="R713" s="4" t="s">
        <v>951</v>
      </c>
      <c r="S713" s="4"/>
      <c r="T713"/>
      <c r="U713" s="23"/>
    </row>
    <row r="714" spans="1:21" ht="15.6" x14ac:dyDescent="0.3">
      <c r="A714" s="4">
        <v>713</v>
      </c>
      <c r="B714" s="5">
        <v>6991524</v>
      </c>
      <c r="C714" s="4" t="s">
        <v>101</v>
      </c>
      <c r="D714" s="4" t="s">
        <v>71</v>
      </c>
      <c r="E714" s="4" t="s">
        <v>93</v>
      </c>
      <c r="F714" s="4" t="s">
        <v>2944</v>
      </c>
      <c r="G714" s="6">
        <v>2.4</v>
      </c>
      <c r="H714" s="7">
        <v>45605.563483796293</v>
      </c>
      <c r="I714" s="7" t="str">
        <f>TEXT(multilingual_mobile_app_reviews_2025[[#This Row],[Review_date]],"dd-mm-yyyy")</f>
        <v>09-11-2024</v>
      </c>
      <c r="J714" s="7" t="str">
        <f>TEXT(multilingual_mobile_app_reviews_2025[[#This Row],[Review_date]],"YYYY")</f>
        <v>2024</v>
      </c>
      <c r="K714" s="7" t="str">
        <f>TEXT(multilingual_mobile_app_reviews_2025[[#This Row],[Review_date]],"MMMM")</f>
        <v>November</v>
      </c>
      <c r="L714" s="4" t="b">
        <v>1</v>
      </c>
      <c r="M714" s="4" t="s">
        <v>3</v>
      </c>
      <c r="N714" s="5">
        <v>981</v>
      </c>
      <c r="O714" s="5">
        <v>71</v>
      </c>
      <c r="P714" s="4" t="s">
        <v>180</v>
      </c>
      <c r="Q714" s="8" t="s">
        <v>29</v>
      </c>
      <c r="R714" s="4" t="s">
        <v>100</v>
      </c>
      <c r="S714" s="4"/>
      <c r="T714"/>
      <c r="U714" s="23"/>
    </row>
    <row r="715" spans="1:21" ht="15.6" x14ac:dyDescent="0.3">
      <c r="A715" s="4">
        <v>714</v>
      </c>
      <c r="B715" s="5">
        <v>9875180</v>
      </c>
      <c r="C715" s="4" t="s">
        <v>101</v>
      </c>
      <c r="D715" s="4" t="s">
        <v>111</v>
      </c>
      <c r="E715" s="4" t="s">
        <v>952</v>
      </c>
      <c r="F715" s="4" t="s">
        <v>2946</v>
      </c>
      <c r="G715" s="6">
        <v>2.6</v>
      </c>
      <c r="H715" s="7">
        <v>45855.290208333332</v>
      </c>
      <c r="I715" s="7" t="str">
        <f>TEXT(multilingual_mobile_app_reviews_2025[[#This Row],[Review_date]],"dd-mm-yyyy")</f>
        <v>17-07-2025</v>
      </c>
      <c r="J715" s="7" t="str">
        <f>TEXT(multilingual_mobile_app_reviews_2025[[#This Row],[Review_date]],"YYYY")</f>
        <v>2025</v>
      </c>
      <c r="K715" s="7" t="str">
        <f>TEXT(multilingual_mobile_app_reviews_2025[[#This Row],[Review_date]],"MMMM")</f>
        <v>July</v>
      </c>
      <c r="L715" s="4" t="b">
        <v>1</v>
      </c>
      <c r="M715" s="4" t="s">
        <v>33</v>
      </c>
      <c r="N715" s="5">
        <v>464</v>
      </c>
      <c r="O715" s="5">
        <v>38</v>
      </c>
      <c r="P715" s="4" t="s">
        <v>180</v>
      </c>
      <c r="Q715" s="8" t="s">
        <v>39</v>
      </c>
      <c r="R715" s="4" t="s">
        <v>953</v>
      </c>
      <c r="S715" s="4"/>
      <c r="T715"/>
      <c r="U715" s="23"/>
    </row>
    <row r="716" spans="1:21" ht="15.6" x14ac:dyDescent="0.3">
      <c r="A716" s="4">
        <v>715</v>
      </c>
      <c r="B716" s="5">
        <v>1254992</v>
      </c>
      <c r="C716" s="4" t="s">
        <v>101</v>
      </c>
      <c r="D716" s="4" t="s">
        <v>57</v>
      </c>
      <c r="E716" s="4" t="s">
        <v>954</v>
      </c>
      <c r="F716" s="4" t="s">
        <v>2959</v>
      </c>
      <c r="G716" s="6">
        <v>3.9</v>
      </c>
      <c r="H716" s="7">
        <v>45670.442476851851</v>
      </c>
      <c r="I716" s="7" t="str">
        <f>TEXT(multilingual_mobile_app_reviews_2025[[#This Row],[Review_date]],"dd-mm-yyyy")</f>
        <v>13-01-2025</v>
      </c>
      <c r="J716" s="7" t="str">
        <f>TEXT(multilingual_mobile_app_reviews_2025[[#This Row],[Review_date]],"YYYY")</f>
        <v>2025</v>
      </c>
      <c r="K716" s="7" t="str">
        <f>TEXT(multilingual_mobile_app_reviews_2025[[#This Row],[Review_date]],"MMMM")</f>
        <v>January</v>
      </c>
      <c r="L716" s="4" t="b">
        <v>1</v>
      </c>
      <c r="M716" s="4" t="s">
        <v>33</v>
      </c>
      <c r="N716" s="5">
        <v>398</v>
      </c>
      <c r="O716" s="5">
        <v>73</v>
      </c>
      <c r="P716" s="4" t="s">
        <v>44</v>
      </c>
      <c r="Q716" s="8" t="s">
        <v>2963</v>
      </c>
      <c r="R716" s="4" t="s">
        <v>955</v>
      </c>
      <c r="S716" s="4"/>
      <c r="T716"/>
      <c r="U716" s="23"/>
    </row>
    <row r="717" spans="1:21" ht="15.6" x14ac:dyDescent="0.3">
      <c r="A717" s="4">
        <v>716</v>
      </c>
      <c r="B717" s="5">
        <v>2609220</v>
      </c>
      <c r="C717" s="4" t="s">
        <v>123</v>
      </c>
      <c r="D717" s="4" t="s">
        <v>220</v>
      </c>
      <c r="E717" s="4" t="s">
        <v>21</v>
      </c>
      <c r="F717" s="4" t="s">
        <v>2955</v>
      </c>
      <c r="G717" s="6">
        <v>2.6</v>
      </c>
      <c r="H717" s="7">
        <v>45609.19258101852</v>
      </c>
      <c r="I717" s="7" t="str">
        <f>TEXT(multilingual_mobile_app_reviews_2025[[#This Row],[Review_date]],"dd-mm-yyyy")</f>
        <v>13-11-2024</v>
      </c>
      <c r="J717" s="7" t="str">
        <f>TEXT(multilingual_mobile_app_reviews_2025[[#This Row],[Review_date]],"YYYY")</f>
        <v>2024</v>
      </c>
      <c r="K717" s="7" t="str">
        <f>TEXT(multilingual_mobile_app_reviews_2025[[#This Row],[Review_date]],"MMMM")</f>
        <v>November</v>
      </c>
      <c r="L717" s="4" t="b">
        <v>1</v>
      </c>
      <c r="M717" s="4" t="s">
        <v>22</v>
      </c>
      <c r="N717" s="5">
        <v>444</v>
      </c>
      <c r="O717" s="5">
        <v>34</v>
      </c>
      <c r="P717" s="4" t="s">
        <v>34</v>
      </c>
      <c r="Q717" s="8" t="s">
        <v>5</v>
      </c>
      <c r="R717" s="4" t="s">
        <v>956</v>
      </c>
      <c r="S717" s="4"/>
      <c r="T717"/>
      <c r="U717" s="23"/>
    </row>
    <row r="718" spans="1:21" ht="15.6" x14ac:dyDescent="0.3">
      <c r="A718" s="4">
        <v>717</v>
      </c>
      <c r="B718" s="5">
        <v>3076650</v>
      </c>
      <c r="C718" s="4" t="s">
        <v>113</v>
      </c>
      <c r="D718" s="4" t="s">
        <v>15</v>
      </c>
      <c r="E718" s="4" t="s">
        <v>93</v>
      </c>
      <c r="F718" s="4" t="s">
        <v>2959</v>
      </c>
      <c r="G718" s="6">
        <v>1.6</v>
      </c>
      <c r="H718" s="7">
        <v>45508.496793981481</v>
      </c>
      <c r="I718" s="7" t="str">
        <f>TEXT(multilingual_mobile_app_reviews_2025[[#This Row],[Review_date]],"dd-mm-yyyy")</f>
        <v>04-08-2024</v>
      </c>
      <c r="J718" s="7" t="str">
        <f>TEXT(multilingual_mobile_app_reviews_2025[[#This Row],[Review_date]],"YYYY")</f>
        <v>2024</v>
      </c>
      <c r="K718" s="7" t="str">
        <f>TEXT(multilingual_mobile_app_reviews_2025[[#This Row],[Review_date]],"MMMM")</f>
        <v>August</v>
      </c>
      <c r="L718" s="4" t="b">
        <v>0</v>
      </c>
      <c r="M718" s="4" t="s">
        <v>10</v>
      </c>
      <c r="N718" s="5">
        <v>959</v>
      </c>
      <c r="O718" s="5">
        <v>28</v>
      </c>
      <c r="P718" s="4" t="s">
        <v>44</v>
      </c>
      <c r="Q718" s="8" t="s">
        <v>5</v>
      </c>
      <c r="R718" s="4" t="s">
        <v>24</v>
      </c>
      <c r="S718" s="4"/>
      <c r="T718"/>
      <c r="U718" s="23"/>
    </row>
    <row r="719" spans="1:21" ht="15.6" x14ac:dyDescent="0.3">
      <c r="A719" s="4">
        <v>718</v>
      </c>
      <c r="B719" s="5">
        <v>754924</v>
      </c>
      <c r="C719" s="4" t="s">
        <v>0</v>
      </c>
      <c r="D719" s="4" t="s">
        <v>63</v>
      </c>
      <c r="E719" s="4" t="s">
        <v>109</v>
      </c>
      <c r="F719" s="4" t="s">
        <v>2954</v>
      </c>
      <c r="G719" s="6">
        <v>4.4000000000000004</v>
      </c>
      <c r="H719" s="7">
        <v>45820.648900462962</v>
      </c>
      <c r="I719" s="7" t="str">
        <f>TEXT(multilingual_mobile_app_reviews_2025[[#This Row],[Review_date]],"dd-mm-yyyy")</f>
        <v>12-06-2025</v>
      </c>
      <c r="J719" s="7" t="str">
        <f>TEXT(multilingual_mobile_app_reviews_2025[[#This Row],[Review_date]],"YYYY")</f>
        <v>2025</v>
      </c>
      <c r="K719" s="7" t="str">
        <f>TEXT(multilingual_mobile_app_reviews_2025[[#This Row],[Review_date]],"MMMM")</f>
        <v>June</v>
      </c>
      <c r="L719" s="4" t="b">
        <v>1</v>
      </c>
      <c r="M719" s="4" t="s">
        <v>10</v>
      </c>
      <c r="N719" s="5">
        <v>730</v>
      </c>
      <c r="O719" s="5">
        <v>25</v>
      </c>
      <c r="P719" s="4" t="s">
        <v>44</v>
      </c>
      <c r="Q719" s="8" t="s">
        <v>5</v>
      </c>
      <c r="R719" s="4" t="s">
        <v>957</v>
      </c>
      <c r="S719" s="4"/>
      <c r="T719"/>
      <c r="U719" s="23"/>
    </row>
    <row r="720" spans="1:21" ht="15.6" x14ac:dyDescent="0.3">
      <c r="A720" s="4">
        <v>719</v>
      </c>
      <c r="B720" s="5">
        <v>8544462</v>
      </c>
      <c r="C720" s="4" t="s">
        <v>104</v>
      </c>
      <c r="D720" s="4" t="s">
        <v>60</v>
      </c>
      <c r="E720" s="4" t="s">
        <v>958</v>
      </c>
      <c r="F720" s="4" t="s">
        <v>2952</v>
      </c>
      <c r="G720" s="6">
        <v>2.7</v>
      </c>
      <c r="H720" s="7">
        <v>45139.810497685183</v>
      </c>
      <c r="I720" s="7" t="str">
        <f>TEXT(multilingual_mobile_app_reviews_2025[[#This Row],[Review_date]],"dd-mm-yyyy")</f>
        <v>01-08-2023</v>
      </c>
      <c r="J720" s="7" t="str">
        <f>TEXT(multilingual_mobile_app_reviews_2025[[#This Row],[Review_date]],"YYYY")</f>
        <v>2023</v>
      </c>
      <c r="K720" s="7" t="str">
        <f>TEXT(multilingual_mobile_app_reviews_2025[[#This Row],[Review_date]],"MMMM")</f>
        <v>August</v>
      </c>
      <c r="L720" s="4" t="b">
        <v>0</v>
      </c>
      <c r="M720" s="4" t="s">
        <v>33</v>
      </c>
      <c r="N720" s="5">
        <v>839</v>
      </c>
      <c r="O720" s="5">
        <v>23</v>
      </c>
      <c r="P720" s="4" t="s">
        <v>34</v>
      </c>
      <c r="Q720" s="8" t="s">
        <v>2963</v>
      </c>
      <c r="R720" s="4" t="s">
        <v>959</v>
      </c>
      <c r="S720" s="4"/>
      <c r="T720"/>
      <c r="U720" s="23"/>
    </row>
    <row r="721" spans="1:21" ht="15.6" x14ac:dyDescent="0.3">
      <c r="A721" s="4">
        <v>720</v>
      </c>
      <c r="B721" s="5">
        <v>7339315</v>
      </c>
      <c r="C721" s="4" t="s">
        <v>14</v>
      </c>
      <c r="D721" s="4" t="s">
        <v>31</v>
      </c>
      <c r="E721" s="4" t="s">
        <v>960</v>
      </c>
      <c r="F721" s="4" t="s">
        <v>2947</v>
      </c>
      <c r="G721" s="6">
        <v>1.7</v>
      </c>
      <c r="H721" s="7">
        <v>45509.484826388885</v>
      </c>
      <c r="I721" s="7" t="str">
        <f>TEXT(multilingual_mobile_app_reviews_2025[[#This Row],[Review_date]],"dd-mm-yyyy")</f>
        <v>05-08-2024</v>
      </c>
      <c r="J721" s="7" t="str">
        <f>TEXT(multilingual_mobile_app_reviews_2025[[#This Row],[Review_date]],"YYYY")</f>
        <v>2024</v>
      </c>
      <c r="K721" s="7" t="str">
        <f>TEXT(multilingual_mobile_app_reviews_2025[[#This Row],[Review_date]],"MMMM")</f>
        <v>August</v>
      </c>
      <c r="L721" s="4" t="b">
        <v>0</v>
      </c>
      <c r="M721" s="4" t="s">
        <v>98</v>
      </c>
      <c r="N721" s="5">
        <v>1200</v>
      </c>
      <c r="O721" s="5">
        <v>57</v>
      </c>
      <c r="P721" s="4" t="s">
        <v>162</v>
      </c>
      <c r="Q721" s="8" t="s">
        <v>29</v>
      </c>
      <c r="R721" s="4" t="s">
        <v>892</v>
      </c>
      <c r="S721" s="4"/>
      <c r="T721"/>
      <c r="U721" s="23"/>
    </row>
    <row r="722" spans="1:21" ht="15.6" x14ac:dyDescent="0.3">
      <c r="A722" s="4">
        <v>721</v>
      </c>
      <c r="B722" s="5">
        <v>4000918</v>
      </c>
      <c r="C722" s="4" t="s">
        <v>25</v>
      </c>
      <c r="D722" s="4" t="s">
        <v>79</v>
      </c>
      <c r="E722" s="4" t="s">
        <v>93</v>
      </c>
      <c r="F722" s="4" t="s">
        <v>2962</v>
      </c>
      <c r="G722" s="6">
        <v>3.7</v>
      </c>
      <c r="H722" s="7">
        <v>45845.762465277781</v>
      </c>
      <c r="I722" s="7" t="str">
        <f>TEXT(multilingual_mobile_app_reviews_2025[[#This Row],[Review_date]],"dd-mm-yyyy")</f>
        <v>07-07-2025</v>
      </c>
      <c r="J722" s="7" t="str">
        <f>TEXT(multilingual_mobile_app_reviews_2025[[#This Row],[Review_date]],"YYYY")</f>
        <v>2025</v>
      </c>
      <c r="K722" s="7" t="str">
        <f>TEXT(multilingual_mobile_app_reviews_2025[[#This Row],[Review_date]],"MMMM")</f>
        <v>July</v>
      </c>
      <c r="L722" s="4" t="b">
        <v>1</v>
      </c>
      <c r="M722" s="4" t="s">
        <v>22</v>
      </c>
      <c r="N722" s="5">
        <v>227</v>
      </c>
      <c r="O722" s="5">
        <v>72</v>
      </c>
      <c r="P722" s="4" t="s">
        <v>94</v>
      </c>
      <c r="Q722" s="8" t="s">
        <v>5</v>
      </c>
      <c r="R722" s="4" t="s">
        <v>961</v>
      </c>
      <c r="S722" s="4"/>
      <c r="T722"/>
      <c r="U722" s="23"/>
    </row>
    <row r="723" spans="1:21" ht="15.6" x14ac:dyDescent="0.3">
      <c r="A723" s="4">
        <v>722</v>
      </c>
      <c r="B723" s="5">
        <v>4852426</v>
      </c>
      <c r="C723" s="4" t="s">
        <v>137</v>
      </c>
      <c r="D723" s="4" t="s">
        <v>60</v>
      </c>
      <c r="E723" s="4" t="s">
        <v>21</v>
      </c>
      <c r="F723" s="4" t="s">
        <v>2959</v>
      </c>
      <c r="G723" s="6">
        <v>3.1</v>
      </c>
      <c r="H723" s="7">
        <v>45603.5856712963</v>
      </c>
      <c r="I723" s="7" t="str">
        <f>TEXT(multilingual_mobile_app_reviews_2025[[#This Row],[Review_date]],"dd-mm-yyyy")</f>
        <v>07-11-2024</v>
      </c>
      <c r="J723" s="7" t="str">
        <f>TEXT(multilingual_mobile_app_reviews_2025[[#This Row],[Review_date]],"YYYY")</f>
        <v>2024</v>
      </c>
      <c r="K723" s="7" t="str">
        <f>TEXT(multilingual_mobile_app_reviews_2025[[#This Row],[Review_date]],"MMMM")</f>
        <v>November</v>
      </c>
      <c r="L723" s="4" t="b">
        <v>1</v>
      </c>
      <c r="M723" s="4" t="s">
        <v>33</v>
      </c>
      <c r="N723" s="5">
        <v>48</v>
      </c>
      <c r="O723" s="5">
        <v>44</v>
      </c>
      <c r="P723" s="4" t="s">
        <v>73</v>
      </c>
      <c r="Q723" s="8" t="s">
        <v>5</v>
      </c>
      <c r="R723" s="4" t="s">
        <v>962</v>
      </c>
      <c r="S723" s="4"/>
      <c r="T723"/>
      <c r="U723" s="23"/>
    </row>
    <row r="724" spans="1:21" ht="15.6" x14ac:dyDescent="0.3">
      <c r="A724" s="4">
        <v>723</v>
      </c>
      <c r="B724" s="5">
        <v>6955954</v>
      </c>
      <c r="C724" s="4" t="s">
        <v>78</v>
      </c>
      <c r="D724" s="4" t="s">
        <v>111</v>
      </c>
      <c r="E724" s="4" t="s">
        <v>76</v>
      </c>
      <c r="F724" s="4" t="s">
        <v>2955</v>
      </c>
      <c r="G724" s="6">
        <v>1</v>
      </c>
      <c r="H724" s="7">
        <v>45339.121319444443</v>
      </c>
      <c r="I724" s="7" t="str">
        <f>TEXT(multilingual_mobile_app_reviews_2025[[#This Row],[Review_date]],"dd-mm-yyyy")</f>
        <v>17-02-2024</v>
      </c>
      <c r="J724" s="7" t="str">
        <f>TEXT(multilingual_mobile_app_reviews_2025[[#This Row],[Review_date]],"YYYY")</f>
        <v>2024</v>
      </c>
      <c r="K724" s="7" t="str">
        <f>TEXT(multilingual_mobile_app_reviews_2025[[#This Row],[Review_date]],"MMMM")</f>
        <v>February</v>
      </c>
      <c r="L724" s="4" t="b">
        <v>1</v>
      </c>
      <c r="M724" s="4" t="s">
        <v>33</v>
      </c>
      <c r="N724" s="5">
        <v>39</v>
      </c>
      <c r="O724" s="5">
        <v>32</v>
      </c>
      <c r="P724" s="4" t="s">
        <v>11</v>
      </c>
      <c r="Q724" s="8" t="s">
        <v>5</v>
      </c>
      <c r="R724" s="4" t="s">
        <v>963</v>
      </c>
      <c r="S724" s="4"/>
      <c r="T724"/>
      <c r="U724" s="23"/>
    </row>
    <row r="725" spans="1:21" ht="15.6" x14ac:dyDescent="0.3">
      <c r="A725" s="4">
        <v>724</v>
      </c>
      <c r="B725" s="5">
        <v>191762</v>
      </c>
      <c r="C725" s="4" t="s">
        <v>36</v>
      </c>
      <c r="D725" s="4" t="s">
        <v>79</v>
      </c>
      <c r="E725" s="4" t="s">
        <v>9</v>
      </c>
      <c r="F725" s="4" t="s">
        <v>2961</v>
      </c>
      <c r="G725" s="6">
        <v>2</v>
      </c>
      <c r="H725" s="7">
        <v>45689.690451388888</v>
      </c>
      <c r="I725" s="7" t="str">
        <f>TEXT(multilingual_mobile_app_reviews_2025[[#This Row],[Review_date]],"dd-mm-yyyy")</f>
        <v>01-02-2025</v>
      </c>
      <c r="J725" s="7" t="str">
        <f>TEXT(multilingual_mobile_app_reviews_2025[[#This Row],[Review_date]],"YYYY")</f>
        <v>2025</v>
      </c>
      <c r="K725" s="7" t="str">
        <f>TEXT(multilingual_mobile_app_reviews_2025[[#This Row],[Review_date]],"MMMM")</f>
        <v>February</v>
      </c>
      <c r="L725" s="4" t="b">
        <v>0</v>
      </c>
      <c r="M725" s="4" t="s">
        <v>22</v>
      </c>
      <c r="N725" s="5">
        <v>1001</v>
      </c>
      <c r="O725" s="5">
        <v>31</v>
      </c>
      <c r="P725" s="4" t="s">
        <v>230</v>
      </c>
      <c r="Q725" s="8" t="s">
        <v>12</v>
      </c>
      <c r="R725" s="4" t="s">
        <v>964</v>
      </c>
      <c r="S725" s="4"/>
      <c r="T725"/>
      <c r="U725" s="23"/>
    </row>
    <row r="726" spans="1:21" ht="15.6" x14ac:dyDescent="0.3">
      <c r="A726" s="4">
        <v>725</v>
      </c>
      <c r="B726" s="5">
        <v>219354</v>
      </c>
      <c r="C726" s="4" t="s">
        <v>192</v>
      </c>
      <c r="D726" s="4" t="s">
        <v>1</v>
      </c>
      <c r="E726" s="4" t="s">
        <v>9</v>
      </c>
      <c r="F726" s="4" t="s">
        <v>2941</v>
      </c>
      <c r="G726" s="6">
        <v>1.6</v>
      </c>
      <c r="H726" s="7">
        <v>45587.814155092594</v>
      </c>
      <c r="I726" s="7" t="str">
        <f>TEXT(multilingual_mobile_app_reviews_2025[[#This Row],[Review_date]],"dd-mm-yyyy")</f>
        <v>22-10-2024</v>
      </c>
      <c r="J726" s="7" t="str">
        <f>TEXT(multilingual_mobile_app_reviews_2025[[#This Row],[Review_date]],"YYYY")</f>
        <v>2024</v>
      </c>
      <c r="K726" s="7" t="str">
        <f>TEXT(multilingual_mobile_app_reviews_2025[[#This Row],[Review_date]],"MMMM")</f>
        <v>October</v>
      </c>
      <c r="L726" s="4" t="b">
        <v>1</v>
      </c>
      <c r="M726" s="4" t="s">
        <v>22</v>
      </c>
      <c r="N726" s="5">
        <v>178</v>
      </c>
      <c r="O726" s="5">
        <v>68</v>
      </c>
      <c r="P726" s="4" t="s">
        <v>4</v>
      </c>
      <c r="Q726" s="8" t="s">
        <v>12</v>
      </c>
      <c r="R726" s="4" t="s">
        <v>965</v>
      </c>
      <c r="S726" s="4"/>
      <c r="T726"/>
      <c r="U726" s="23"/>
    </row>
    <row r="727" spans="1:21" ht="15.6" x14ac:dyDescent="0.3">
      <c r="A727" s="4">
        <v>726</v>
      </c>
      <c r="B727" s="5">
        <v>2076835</v>
      </c>
      <c r="C727" s="4" t="s">
        <v>50</v>
      </c>
      <c r="D727" s="4" t="s">
        <v>57</v>
      </c>
      <c r="E727" s="4" t="s">
        <v>2938</v>
      </c>
      <c r="F727" s="4" t="s">
        <v>2959</v>
      </c>
      <c r="G727" s="6">
        <v>4.7</v>
      </c>
      <c r="H727" s="7">
        <v>45542.589236111111</v>
      </c>
      <c r="I727" s="7" t="str">
        <f>TEXT(multilingual_mobile_app_reviews_2025[[#This Row],[Review_date]],"dd-mm-yyyy")</f>
        <v>07-09-2024</v>
      </c>
      <c r="J727" s="7" t="str">
        <f>TEXT(multilingual_mobile_app_reviews_2025[[#This Row],[Review_date]],"YYYY")</f>
        <v>2024</v>
      </c>
      <c r="K727" s="7" t="str">
        <f>TEXT(multilingual_mobile_app_reviews_2025[[#This Row],[Review_date]],"MMMM")</f>
        <v>September</v>
      </c>
      <c r="L727" s="4" t="b">
        <v>1</v>
      </c>
      <c r="M727" s="4" t="s">
        <v>98</v>
      </c>
      <c r="N727" s="5">
        <v>380</v>
      </c>
      <c r="O727" s="5">
        <v>18</v>
      </c>
      <c r="P727" s="4" t="s">
        <v>61</v>
      </c>
      <c r="Q727" s="8" t="s">
        <v>12</v>
      </c>
      <c r="R727" s="4" t="s">
        <v>966</v>
      </c>
      <c r="S727" s="4"/>
      <c r="T727"/>
      <c r="U727" s="23"/>
    </row>
    <row r="728" spans="1:21" ht="15.6" x14ac:dyDescent="0.3">
      <c r="A728" s="4">
        <v>727</v>
      </c>
      <c r="B728" s="5">
        <v>6391957</v>
      </c>
      <c r="C728" s="4" t="s">
        <v>208</v>
      </c>
      <c r="D728" s="4" t="s">
        <v>97</v>
      </c>
      <c r="E728" s="4" t="s">
        <v>967</v>
      </c>
      <c r="F728" s="4" t="s">
        <v>2961</v>
      </c>
      <c r="G728" s="6">
        <v>3.7</v>
      </c>
      <c r="H728" s="7">
        <v>45447.59003472222</v>
      </c>
      <c r="I728" s="7" t="str">
        <f>TEXT(multilingual_mobile_app_reviews_2025[[#This Row],[Review_date]],"dd-mm-yyyy")</f>
        <v>04-06-2024</v>
      </c>
      <c r="J728" s="7" t="str">
        <f>TEXT(multilingual_mobile_app_reviews_2025[[#This Row],[Review_date]],"YYYY")</f>
        <v>2024</v>
      </c>
      <c r="K728" s="7" t="str">
        <f>TEXT(multilingual_mobile_app_reviews_2025[[#This Row],[Review_date]],"MMMM")</f>
        <v>June</v>
      </c>
      <c r="L728" s="4" t="b">
        <v>0</v>
      </c>
      <c r="M728" s="4" t="s">
        <v>98</v>
      </c>
      <c r="N728" s="5">
        <v>906</v>
      </c>
      <c r="O728" s="5">
        <v>24</v>
      </c>
      <c r="P728" s="4" t="s">
        <v>85</v>
      </c>
      <c r="Q728" s="8" t="s">
        <v>12</v>
      </c>
      <c r="R728" s="4" t="s">
        <v>968</v>
      </c>
      <c r="S728" s="4"/>
      <c r="T728"/>
      <c r="U728" s="23"/>
    </row>
    <row r="729" spans="1:21" ht="15.6" x14ac:dyDescent="0.3">
      <c r="A729" s="4">
        <v>728</v>
      </c>
      <c r="B729" s="5">
        <v>3517412</v>
      </c>
      <c r="C729" s="4" t="s">
        <v>89</v>
      </c>
      <c r="D729" s="4" t="s">
        <v>1</v>
      </c>
      <c r="E729" s="4" t="s">
        <v>969</v>
      </c>
      <c r="F729" s="4" t="s">
        <v>2960</v>
      </c>
      <c r="G729" s="6">
        <v>3.5</v>
      </c>
      <c r="H729" s="7">
        <v>45587.553182870368</v>
      </c>
      <c r="I729" s="7" t="str">
        <f>TEXT(multilingual_mobile_app_reviews_2025[[#This Row],[Review_date]],"dd-mm-yyyy")</f>
        <v>22-10-2024</v>
      </c>
      <c r="J729" s="7" t="str">
        <f>TEXT(multilingual_mobile_app_reviews_2025[[#This Row],[Review_date]],"YYYY")</f>
        <v>2024</v>
      </c>
      <c r="K729" s="7" t="str">
        <f>TEXT(multilingual_mobile_app_reviews_2025[[#This Row],[Review_date]],"MMMM")</f>
        <v>October</v>
      </c>
      <c r="L729" s="4" t="b">
        <v>1</v>
      </c>
      <c r="M729" s="4" t="s">
        <v>33</v>
      </c>
      <c r="N729" s="5">
        <v>607</v>
      </c>
      <c r="O729" s="5">
        <v>51</v>
      </c>
      <c r="P729" s="4" t="s">
        <v>90</v>
      </c>
      <c r="Q729" s="8" t="s">
        <v>2963</v>
      </c>
      <c r="R729" s="4" t="s">
        <v>970</v>
      </c>
      <c r="S729" s="4"/>
      <c r="T729"/>
      <c r="U729" s="23"/>
    </row>
    <row r="730" spans="1:21" ht="15.6" x14ac:dyDescent="0.3">
      <c r="A730" s="4">
        <v>729</v>
      </c>
      <c r="B730" s="5">
        <v>6779508</v>
      </c>
      <c r="C730" s="4" t="s">
        <v>244</v>
      </c>
      <c r="D730" s="4" t="s">
        <v>111</v>
      </c>
      <c r="E730" s="4" t="s">
        <v>2938</v>
      </c>
      <c r="F730" s="4" t="s">
        <v>2955</v>
      </c>
      <c r="G730" s="6">
        <v>4</v>
      </c>
      <c r="H730" s="7">
        <v>45710.377384259256</v>
      </c>
      <c r="I730" s="7" t="str">
        <f>TEXT(multilingual_mobile_app_reviews_2025[[#This Row],[Review_date]],"dd-mm-yyyy")</f>
        <v>22-02-2025</v>
      </c>
      <c r="J730" s="7" t="str">
        <f>TEXT(multilingual_mobile_app_reviews_2025[[#This Row],[Review_date]],"YYYY")</f>
        <v>2025</v>
      </c>
      <c r="K730" s="7" t="str">
        <f>TEXT(multilingual_mobile_app_reviews_2025[[#This Row],[Review_date]],"MMMM")</f>
        <v>February</v>
      </c>
      <c r="L730" s="4" t="b">
        <v>1</v>
      </c>
      <c r="M730" s="4" t="s">
        <v>3</v>
      </c>
      <c r="N730" s="5">
        <v>163</v>
      </c>
      <c r="O730" s="5">
        <v>56</v>
      </c>
      <c r="P730" s="4" t="s">
        <v>61</v>
      </c>
      <c r="Q730" s="8" t="s">
        <v>29</v>
      </c>
      <c r="R730" s="4" t="s">
        <v>971</v>
      </c>
      <c r="S730" s="4"/>
      <c r="T730"/>
      <c r="U730" s="23"/>
    </row>
    <row r="731" spans="1:21" ht="15.6" x14ac:dyDescent="0.3">
      <c r="A731" s="4">
        <v>730</v>
      </c>
      <c r="B731" s="5">
        <v>2097927</v>
      </c>
      <c r="C731" s="4" t="s">
        <v>258</v>
      </c>
      <c r="D731" s="4" t="s">
        <v>20</v>
      </c>
      <c r="E731" s="4" t="s">
        <v>130</v>
      </c>
      <c r="F731" s="4" t="s">
        <v>2943</v>
      </c>
      <c r="G731" s="6">
        <v>3</v>
      </c>
      <c r="H731" s="7">
        <v>45719.722731481481</v>
      </c>
      <c r="I731" s="7" t="str">
        <f>TEXT(multilingual_mobile_app_reviews_2025[[#This Row],[Review_date]],"dd-mm-yyyy")</f>
        <v>03-03-2025</v>
      </c>
      <c r="J731" s="7" t="str">
        <f>TEXT(multilingual_mobile_app_reviews_2025[[#This Row],[Review_date]],"YYYY")</f>
        <v>2025</v>
      </c>
      <c r="K731" s="7" t="str">
        <f>TEXT(multilingual_mobile_app_reviews_2025[[#This Row],[Review_date]],"MMMM")</f>
        <v>March</v>
      </c>
      <c r="L731" s="4" t="b">
        <v>1</v>
      </c>
      <c r="M731" s="4" t="s">
        <v>3</v>
      </c>
      <c r="N731" s="5">
        <v>641</v>
      </c>
      <c r="O731" s="5">
        <v>47</v>
      </c>
      <c r="P731" s="4" t="s">
        <v>44</v>
      </c>
      <c r="Q731" s="8" t="s">
        <v>5</v>
      </c>
      <c r="R731" s="4" t="s">
        <v>972</v>
      </c>
      <c r="S731" s="4"/>
      <c r="T731"/>
      <c r="U731" s="23"/>
    </row>
    <row r="732" spans="1:21" ht="15.6" x14ac:dyDescent="0.3">
      <c r="A732" s="4">
        <v>731</v>
      </c>
      <c r="B732" s="5">
        <v>7592618</v>
      </c>
      <c r="C732" s="4" t="s">
        <v>208</v>
      </c>
      <c r="D732" s="4" t="s">
        <v>15</v>
      </c>
      <c r="E732" s="4" t="s">
        <v>973</v>
      </c>
      <c r="F732" s="4" t="s">
        <v>2939</v>
      </c>
      <c r="G732" s="6">
        <v>3</v>
      </c>
      <c r="H732" s="7">
        <v>45477.045925925922</v>
      </c>
      <c r="I732" s="7" t="str">
        <f>TEXT(multilingual_mobile_app_reviews_2025[[#This Row],[Review_date]],"dd-mm-yyyy")</f>
        <v>04-07-2024</v>
      </c>
      <c r="J732" s="7" t="str">
        <f>TEXT(multilingual_mobile_app_reviews_2025[[#This Row],[Review_date]],"YYYY")</f>
        <v>2024</v>
      </c>
      <c r="K732" s="7" t="str">
        <f>TEXT(multilingual_mobile_app_reviews_2025[[#This Row],[Review_date]],"MMMM")</f>
        <v>July</v>
      </c>
      <c r="L732" s="4" t="b">
        <v>1</v>
      </c>
      <c r="M732" s="4" t="s">
        <v>10</v>
      </c>
      <c r="N732" s="5">
        <v>781</v>
      </c>
      <c r="O732" s="5">
        <v>68</v>
      </c>
      <c r="P732" s="4" t="s">
        <v>38</v>
      </c>
      <c r="Q732" s="8" t="s">
        <v>5</v>
      </c>
      <c r="R732" s="4" t="s">
        <v>779</v>
      </c>
      <c r="S732" s="4"/>
      <c r="T732"/>
      <c r="U732" s="23"/>
    </row>
    <row r="733" spans="1:21" ht="15.6" x14ac:dyDescent="0.3">
      <c r="A733" s="4">
        <v>732</v>
      </c>
      <c r="B733" s="5">
        <v>1175091</v>
      </c>
      <c r="C733" s="4" t="s">
        <v>50</v>
      </c>
      <c r="D733" s="4" t="s">
        <v>47</v>
      </c>
      <c r="E733" s="4" t="s">
        <v>9</v>
      </c>
      <c r="F733" s="4" t="s">
        <v>2959</v>
      </c>
      <c r="G733" s="6">
        <v>1.1000000000000001</v>
      </c>
      <c r="H733" s="7">
        <v>45343.227870370371</v>
      </c>
      <c r="I733" s="7" t="str">
        <f>TEXT(multilingual_mobile_app_reviews_2025[[#This Row],[Review_date]],"dd-mm-yyyy")</f>
        <v>21-02-2024</v>
      </c>
      <c r="J733" s="7" t="str">
        <f>TEXT(multilingual_mobile_app_reviews_2025[[#This Row],[Review_date]],"YYYY")</f>
        <v>2024</v>
      </c>
      <c r="K733" s="7" t="str">
        <f>TEXT(multilingual_mobile_app_reviews_2025[[#This Row],[Review_date]],"MMMM")</f>
        <v>February</v>
      </c>
      <c r="L733" s="4" t="b">
        <v>1</v>
      </c>
      <c r="M733" s="4" t="s">
        <v>3</v>
      </c>
      <c r="N733" s="5">
        <v>324</v>
      </c>
      <c r="O733" s="5">
        <v>32</v>
      </c>
      <c r="P733" s="4" t="s">
        <v>34</v>
      </c>
      <c r="Q733" s="8" t="s">
        <v>39</v>
      </c>
      <c r="R733" s="4" t="s">
        <v>974</v>
      </c>
      <c r="S733" s="4"/>
      <c r="T733"/>
      <c r="U733" s="23"/>
    </row>
    <row r="734" spans="1:21" ht="15.6" x14ac:dyDescent="0.3">
      <c r="A734" s="4">
        <v>733</v>
      </c>
      <c r="B734" s="5">
        <v>6321581</v>
      </c>
      <c r="C734" s="4" t="s">
        <v>176</v>
      </c>
      <c r="D734" s="4" t="s">
        <v>60</v>
      </c>
      <c r="E734" s="4" t="s">
        <v>975</v>
      </c>
      <c r="F734" s="4" t="s">
        <v>2955</v>
      </c>
      <c r="G734" s="6">
        <v>3</v>
      </c>
      <c r="H734" s="7">
        <v>45799.533680555556</v>
      </c>
      <c r="I734" s="7" t="str">
        <f>TEXT(multilingual_mobile_app_reviews_2025[[#This Row],[Review_date]],"dd-mm-yyyy")</f>
        <v>22-05-2025</v>
      </c>
      <c r="J734" s="7" t="str">
        <f>TEXT(multilingual_mobile_app_reviews_2025[[#This Row],[Review_date]],"YYYY")</f>
        <v>2025</v>
      </c>
      <c r="K734" s="7" t="str">
        <f>TEXT(multilingual_mobile_app_reviews_2025[[#This Row],[Review_date]],"MMMM")</f>
        <v>May</v>
      </c>
      <c r="L734" s="4" t="b">
        <v>0</v>
      </c>
      <c r="M734" s="4" t="s">
        <v>22</v>
      </c>
      <c r="N734" s="5">
        <v>1062</v>
      </c>
      <c r="O734" s="5">
        <v>73</v>
      </c>
      <c r="P734" s="4" t="s">
        <v>99</v>
      </c>
      <c r="Q734" s="8" t="s">
        <v>5</v>
      </c>
      <c r="R734" s="4" t="s">
        <v>976</v>
      </c>
      <c r="S734" s="4"/>
      <c r="T734"/>
      <c r="U734" s="23"/>
    </row>
    <row r="735" spans="1:21" ht="15.6" x14ac:dyDescent="0.3">
      <c r="A735" s="4">
        <v>734</v>
      </c>
      <c r="B735" s="5">
        <v>8793169</v>
      </c>
      <c r="C735" s="4" t="s">
        <v>147</v>
      </c>
      <c r="D735" s="4" t="s">
        <v>157</v>
      </c>
      <c r="E735" s="4" t="s">
        <v>2938</v>
      </c>
      <c r="F735" s="4" t="s">
        <v>2958</v>
      </c>
      <c r="G735" s="6">
        <v>4.5</v>
      </c>
      <c r="H735" s="7">
        <v>45361.026099537034</v>
      </c>
      <c r="I735" s="7" t="str">
        <f>TEXT(multilingual_mobile_app_reviews_2025[[#This Row],[Review_date]],"dd-mm-yyyy")</f>
        <v>10-03-2024</v>
      </c>
      <c r="J735" s="7" t="str">
        <f>TEXT(multilingual_mobile_app_reviews_2025[[#This Row],[Review_date]],"YYYY")</f>
        <v>2024</v>
      </c>
      <c r="K735" s="7" t="str">
        <f>TEXT(multilingual_mobile_app_reviews_2025[[#This Row],[Review_date]],"MMMM")</f>
        <v>March</v>
      </c>
      <c r="L735" s="4" t="b">
        <v>1</v>
      </c>
      <c r="M735" s="4" t="s">
        <v>10</v>
      </c>
      <c r="N735" s="5">
        <v>1157</v>
      </c>
      <c r="O735" s="5">
        <v>75</v>
      </c>
      <c r="P735" s="4" t="s">
        <v>99</v>
      </c>
      <c r="Q735" s="8" t="s">
        <v>12</v>
      </c>
      <c r="R735" s="4" t="s">
        <v>977</v>
      </c>
      <c r="S735" s="4"/>
      <c r="T735"/>
      <c r="U735" s="23"/>
    </row>
    <row r="736" spans="1:21" ht="15.6" x14ac:dyDescent="0.3">
      <c r="A736" s="4">
        <v>735</v>
      </c>
      <c r="B736" s="5">
        <v>663871</v>
      </c>
      <c r="C736" s="4" t="s">
        <v>208</v>
      </c>
      <c r="D736" s="4" t="s">
        <v>60</v>
      </c>
      <c r="E736" s="4" t="s">
        <v>978</v>
      </c>
      <c r="F736" s="4" t="s">
        <v>2951</v>
      </c>
      <c r="G736" s="6">
        <v>4.9000000000000004</v>
      </c>
      <c r="H736" s="7">
        <v>45353.204768518517</v>
      </c>
      <c r="I736" s="7" t="str">
        <f>TEXT(multilingual_mobile_app_reviews_2025[[#This Row],[Review_date]],"dd-mm-yyyy")</f>
        <v>02-03-2024</v>
      </c>
      <c r="J736" s="7" t="str">
        <f>TEXT(multilingual_mobile_app_reviews_2025[[#This Row],[Review_date]],"YYYY")</f>
        <v>2024</v>
      </c>
      <c r="K736" s="7" t="str">
        <f>TEXT(multilingual_mobile_app_reviews_2025[[#This Row],[Review_date]],"MMMM")</f>
        <v>March</v>
      </c>
      <c r="L736" s="4" t="b">
        <v>0</v>
      </c>
      <c r="M736" s="4" t="s">
        <v>33</v>
      </c>
      <c r="N736" s="5">
        <v>468</v>
      </c>
      <c r="O736" s="5">
        <v>58</v>
      </c>
      <c r="P736" s="4" t="s">
        <v>28</v>
      </c>
      <c r="Q736" s="8" t="s">
        <v>2963</v>
      </c>
      <c r="R736" s="4" t="s">
        <v>979</v>
      </c>
      <c r="S736" s="4"/>
      <c r="T736"/>
      <c r="U736" s="23"/>
    </row>
    <row r="737" spans="1:21" ht="15.6" x14ac:dyDescent="0.3">
      <c r="A737" s="4">
        <v>736</v>
      </c>
      <c r="B737" s="5">
        <v>6801385</v>
      </c>
      <c r="C737" s="4" t="s">
        <v>192</v>
      </c>
      <c r="D737" s="4" t="s">
        <v>1</v>
      </c>
      <c r="E737" s="4" t="s">
        <v>130</v>
      </c>
      <c r="F737" s="4" t="s">
        <v>2955</v>
      </c>
      <c r="G737" s="6">
        <v>4.5999999999999996</v>
      </c>
      <c r="H737" s="7">
        <v>45413.160636574074</v>
      </c>
      <c r="I737" s="7" t="str">
        <f>TEXT(multilingual_mobile_app_reviews_2025[[#This Row],[Review_date]],"dd-mm-yyyy")</f>
        <v>01-05-2024</v>
      </c>
      <c r="J737" s="7" t="str">
        <f>TEXT(multilingual_mobile_app_reviews_2025[[#This Row],[Review_date]],"YYYY")</f>
        <v>2024</v>
      </c>
      <c r="K737" s="7" t="str">
        <f>TEXT(multilingual_mobile_app_reviews_2025[[#This Row],[Review_date]],"MMMM")</f>
        <v>May</v>
      </c>
      <c r="L737" s="4" t="b">
        <v>0</v>
      </c>
      <c r="M737" s="4" t="s">
        <v>10</v>
      </c>
      <c r="N737" s="5">
        <v>137</v>
      </c>
      <c r="O737" s="5">
        <v>41</v>
      </c>
      <c r="P737" s="4" t="s">
        <v>11</v>
      </c>
      <c r="Q737" s="8" t="s">
        <v>5</v>
      </c>
      <c r="R737" s="4" t="s">
        <v>980</v>
      </c>
      <c r="S737" s="4"/>
      <c r="T737"/>
      <c r="U737" s="23"/>
    </row>
    <row r="738" spans="1:21" ht="15.6" x14ac:dyDescent="0.3">
      <c r="A738" s="4">
        <v>737</v>
      </c>
      <c r="B738" s="5">
        <v>6729401</v>
      </c>
      <c r="C738" s="4" t="s">
        <v>67</v>
      </c>
      <c r="D738" s="4" t="s">
        <v>8</v>
      </c>
      <c r="E738" s="4" t="s">
        <v>76</v>
      </c>
      <c r="F738" s="4" t="s">
        <v>2944</v>
      </c>
      <c r="G738" s="6">
        <v>4.8</v>
      </c>
      <c r="H738" s="7">
        <v>45453.801342592589</v>
      </c>
      <c r="I738" s="7" t="str">
        <f>TEXT(multilingual_mobile_app_reviews_2025[[#This Row],[Review_date]],"dd-mm-yyyy")</f>
        <v>10-06-2024</v>
      </c>
      <c r="J738" s="7" t="str">
        <f>TEXT(multilingual_mobile_app_reviews_2025[[#This Row],[Review_date]],"YYYY")</f>
        <v>2024</v>
      </c>
      <c r="K738" s="7" t="str">
        <f>TEXT(multilingual_mobile_app_reviews_2025[[#This Row],[Review_date]],"MMMM")</f>
        <v>June</v>
      </c>
      <c r="L738" s="4" t="b">
        <v>1</v>
      </c>
      <c r="M738" s="4" t="s">
        <v>3</v>
      </c>
      <c r="N738" s="5">
        <v>643</v>
      </c>
      <c r="O738" s="5">
        <v>51</v>
      </c>
      <c r="P738" s="4" t="s">
        <v>34</v>
      </c>
      <c r="Q738" s="8" t="s">
        <v>5</v>
      </c>
      <c r="R738" s="4" t="s">
        <v>981</v>
      </c>
      <c r="S738" s="4"/>
      <c r="T738"/>
      <c r="U738" s="23"/>
    </row>
    <row r="739" spans="1:21" ht="15.6" x14ac:dyDescent="0.3">
      <c r="A739" s="4">
        <v>738</v>
      </c>
      <c r="B739" s="5">
        <v>3460650</v>
      </c>
      <c r="C739" s="4" t="s">
        <v>75</v>
      </c>
      <c r="D739" s="4" t="s">
        <v>220</v>
      </c>
      <c r="E739" s="4" t="s">
        <v>109</v>
      </c>
      <c r="F739" s="4" t="s">
        <v>2962</v>
      </c>
      <c r="G739" s="6">
        <v>2</v>
      </c>
      <c r="H739" s="7">
        <v>45541.020914351851</v>
      </c>
      <c r="I739" s="7" t="str">
        <f>TEXT(multilingual_mobile_app_reviews_2025[[#This Row],[Review_date]],"dd-mm-yyyy")</f>
        <v>06-09-2024</v>
      </c>
      <c r="J739" s="7" t="str">
        <f>TEXT(multilingual_mobile_app_reviews_2025[[#This Row],[Review_date]],"YYYY")</f>
        <v>2024</v>
      </c>
      <c r="K739" s="7" t="str">
        <f>TEXT(multilingual_mobile_app_reviews_2025[[#This Row],[Review_date]],"MMMM")</f>
        <v>September</v>
      </c>
      <c r="L739" s="4" t="b">
        <v>1</v>
      </c>
      <c r="M739" s="4" t="s">
        <v>22</v>
      </c>
      <c r="N739" s="5">
        <v>606</v>
      </c>
      <c r="O739" s="5">
        <v>14</v>
      </c>
      <c r="P739" s="4" t="s">
        <v>118</v>
      </c>
      <c r="Q739" s="8" t="s">
        <v>29</v>
      </c>
      <c r="R739" s="4" t="s">
        <v>982</v>
      </c>
      <c r="S739" s="4"/>
      <c r="T739"/>
      <c r="U739" s="23"/>
    </row>
    <row r="740" spans="1:21" ht="15.6" x14ac:dyDescent="0.3">
      <c r="A740" s="4">
        <v>739</v>
      </c>
      <c r="B740" s="5">
        <v>1251205</v>
      </c>
      <c r="C740" s="4" t="s">
        <v>46</v>
      </c>
      <c r="D740" s="4" t="s">
        <v>47</v>
      </c>
      <c r="E740" s="4" t="s">
        <v>983</v>
      </c>
      <c r="F740" s="4" t="s">
        <v>2959</v>
      </c>
      <c r="G740" s="6">
        <v>3.8</v>
      </c>
      <c r="H740" s="7">
        <v>45341.686469907407</v>
      </c>
      <c r="I740" s="7" t="str">
        <f>TEXT(multilingual_mobile_app_reviews_2025[[#This Row],[Review_date]],"dd-mm-yyyy")</f>
        <v>19-02-2024</v>
      </c>
      <c r="J740" s="7" t="str">
        <f>TEXT(multilingual_mobile_app_reviews_2025[[#This Row],[Review_date]],"YYYY")</f>
        <v>2024</v>
      </c>
      <c r="K740" s="7" t="str">
        <f>TEXT(multilingual_mobile_app_reviews_2025[[#This Row],[Review_date]],"MMMM")</f>
        <v>February</v>
      </c>
      <c r="L740" s="4" t="b">
        <v>1</v>
      </c>
      <c r="M740" s="4" t="s">
        <v>3</v>
      </c>
      <c r="N740" s="5">
        <v>583</v>
      </c>
      <c r="O740" s="5">
        <v>23</v>
      </c>
      <c r="P740" s="4" t="s">
        <v>28</v>
      </c>
      <c r="Q740" s="8" t="s">
        <v>5</v>
      </c>
      <c r="R740" s="4" t="s">
        <v>984</v>
      </c>
      <c r="S740" s="4"/>
      <c r="T740"/>
      <c r="U740" s="23"/>
    </row>
    <row r="741" spans="1:21" ht="15.6" x14ac:dyDescent="0.3">
      <c r="A741" s="4">
        <v>740</v>
      </c>
      <c r="B741" s="5">
        <v>6930585</v>
      </c>
      <c r="C741" s="4" t="s">
        <v>199</v>
      </c>
      <c r="D741" s="4" t="s">
        <v>26</v>
      </c>
      <c r="E741" s="4" t="s">
        <v>32</v>
      </c>
      <c r="F741" s="4" t="s">
        <v>2952</v>
      </c>
      <c r="G741" s="6">
        <v>2.2999999999999998</v>
      </c>
      <c r="H741" s="7">
        <v>45532.085023148145</v>
      </c>
      <c r="I741" s="7" t="str">
        <f>TEXT(multilingual_mobile_app_reviews_2025[[#This Row],[Review_date]],"dd-mm-yyyy")</f>
        <v>28-08-2024</v>
      </c>
      <c r="J741" s="7" t="str">
        <f>TEXT(multilingual_mobile_app_reviews_2025[[#This Row],[Review_date]],"YYYY")</f>
        <v>2024</v>
      </c>
      <c r="K741" s="7" t="str">
        <f>TEXT(multilingual_mobile_app_reviews_2025[[#This Row],[Review_date]],"MMMM")</f>
        <v>August</v>
      </c>
      <c r="L741" s="4" t="b">
        <v>1</v>
      </c>
      <c r="M741" s="4" t="s">
        <v>98</v>
      </c>
      <c r="N741" s="5">
        <v>579</v>
      </c>
      <c r="O741" s="5">
        <v>33</v>
      </c>
      <c r="P741" s="4" t="s">
        <v>28</v>
      </c>
      <c r="Q741" s="8" t="s">
        <v>2963</v>
      </c>
      <c r="R741" s="4" t="s">
        <v>985</v>
      </c>
      <c r="S741" s="4"/>
      <c r="T741"/>
      <c r="U741" s="23"/>
    </row>
    <row r="742" spans="1:21" ht="15.6" x14ac:dyDescent="0.3">
      <c r="A742" s="4">
        <v>741</v>
      </c>
      <c r="B742" s="5">
        <v>9472268</v>
      </c>
      <c r="C742" s="4" t="s">
        <v>264</v>
      </c>
      <c r="D742" s="4" t="s">
        <v>31</v>
      </c>
      <c r="E742" s="4" t="s">
        <v>9</v>
      </c>
      <c r="F742" s="4" t="s">
        <v>2943</v>
      </c>
      <c r="G742" s="6">
        <v>2.4</v>
      </c>
      <c r="H742" s="7">
        <v>45195.102118055554</v>
      </c>
      <c r="I742" s="7" t="str">
        <f>TEXT(multilingual_mobile_app_reviews_2025[[#This Row],[Review_date]],"dd-mm-yyyy")</f>
        <v>26-09-2023</v>
      </c>
      <c r="J742" s="7" t="str">
        <f>TEXT(multilingual_mobile_app_reviews_2025[[#This Row],[Review_date]],"YYYY")</f>
        <v>2023</v>
      </c>
      <c r="K742" s="7" t="str">
        <f>TEXT(multilingual_mobile_app_reviews_2025[[#This Row],[Review_date]],"MMMM")</f>
        <v>September</v>
      </c>
      <c r="L742" s="4" t="b">
        <v>1</v>
      </c>
      <c r="M742" s="4" t="s">
        <v>3</v>
      </c>
      <c r="N742" s="5">
        <v>703</v>
      </c>
      <c r="O742" s="5">
        <v>61</v>
      </c>
      <c r="P742" s="4" t="s">
        <v>4</v>
      </c>
      <c r="Q742" s="8" t="s">
        <v>29</v>
      </c>
      <c r="R742" s="4" t="s">
        <v>986</v>
      </c>
      <c r="S742" s="4"/>
      <c r="T742"/>
      <c r="U742" s="23"/>
    </row>
    <row r="743" spans="1:21" ht="15.6" x14ac:dyDescent="0.3">
      <c r="A743" s="4">
        <v>742</v>
      </c>
      <c r="B743" s="5">
        <v>5036726</v>
      </c>
      <c r="C743" s="4" t="s">
        <v>46</v>
      </c>
      <c r="D743" s="4" t="s">
        <v>20</v>
      </c>
      <c r="E743" s="4" t="s">
        <v>987</v>
      </c>
      <c r="F743" s="4" t="s">
        <v>2953</v>
      </c>
      <c r="G743" s="6">
        <v>2</v>
      </c>
      <c r="H743" s="7">
        <v>45496.730416666665</v>
      </c>
      <c r="I743" s="7" t="str">
        <f>TEXT(multilingual_mobile_app_reviews_2025[[#This Row],[Review_date]],"dd-mm-yyyy")</f>
        <v>23-07-2024</v>
      </c>
      <c r="J743" s="7" t="str">
        <f>TEXT(multilingual_mobile_app_reviews_2025[[#This Row],[Review_date]],"YYYY")</f>
        <v>2024</v>
      </c>
      <c r="K743" s="7" t="str">
        <f>TEXT(multilingual_mobile_app_reviews_2025[[#This Row],[Review_date]],"MMMM")</f>
        <v>July</v>
      </c>
      <c r="L743" s="4" t="b">
        <v>1</v>
      </c>
      <c r="M743" s="4" t="s">
        <v>33</v>
      </c>
      <c r="N743" s="5">
        <v>49</v>
      </c>
      <c r="O743" s="5">
        <v>16</v>
      </c>
      <c r="P743" s="4" t="s">
        <v>38</v>
      </c>
      <c r="Q743" s="8" t="s">
        <v>5</v>
      </c>
      <c r="R743" s="4" t="s">
        <v>988</v>
      </c>
      <c r="S743" s="4"/>
      <c r="T743"/>
      <c r="U743" s="23"/>
    </row>
    <row r="744" spans="1:21" ht="15.6" x14ac:dyDescent="0.3">
      <c r="A744" s="4">
        <v>743</v>
      </c>
      <c r="B744" s="5">
        <v>558868</v>
      </c>
      <c r="C744" s="4" t="s">
        <v>174</v>
      </c>
      <c r="D744" s="4" t="s">
        <v>97</v>
      </c>
      <c r="E744" s="4" t="s">
        <v>21</v>
      </c>
      <c r="F744" s="4" t="s">
        <v>2947</v>
      </c>
      <c r="G744" s="6">
        <v>1.1000000000000001</v>
      </c>
      <c r="H744" s="7">
        <v>45513.235567129632</v>
      </c>
      <c r="I744" s="7" t="str">
        <f>TEXT(multilingual_mobile_app_reviews_2025[[#This Row],[Review_date]],"dd-mm-yyyy")</f>
        <v>09-08-2024</v>
      </c>
      <c r="J744" s="7" t="str">
        <f>TEXT(multilingual_mobile_app_reviews_2025[[#This Row],[Review_date]],"YYYY")</f>
        <v>2024</v>
      </c>
      <c r="K744" s="7" t="str">
        <f>TEXT(multilingual_mobile_app_reviews_2025[[#This Row],[Review_date]],"MMMM")</f>
        <v>August</v>
      </c>
      <c r="L744" s="4" t="b">
        <v>1</v>
      </c>
      <c r="M744" s="4" t="s">
        <v>3</v>
      </c>
      <c r="N744" s="5">
        <v>1126</v>
      </c>
      <c r="O744" s="5">
        <v>17</v>
      </c>
      <c r="P744" s="4" t="s">
        <v>23</v>
      </c>
      <c r="Q744" s="8" t="s">
        <v>2963</v>
      </c>
      <c r="R744" s="4" t="s">
        <v>989</v>
      </c>
      <c r="S744" s="4"/>
      <c r="T744"/>
      <c r="U744" s="23"/>
    </row>
    <row r="745" spans="1:21" ht="15.6" x14ac:dyDescent="0.3">
      <c r="A745" s="4">
        <v>744</v>
      </c>
      <c r="B745" s="5">
        <v>4425497</v>
      </c>
      <c r="C745" s="4" t="s">
        <v>50</v>
      </c>
      <c r="D745" s="4" t="s">
        <v>79</v>
      </c>
      <c r="E745" s="4" t="s">
        <v>93</v>
      </c>
      <c r="F745" s="4" t="s">
        <v>2962</v>
      </c>
      <c r="G745" s="6">
        <v>2.1</v>
      </c>
      <c r="H745" s="7">
        <v>45191.349212962959</v>
      </c>
      <c r="I745" s="7" t="str">
        <f>TEXT(multilingual_mobile_app_reviews_2025[[#This Row],[Review_date]],"dd-mm-yyyy")</f>
        <v>22-09-2023</v>
      </c>
      <c r="J745" s="7" t="str">
        <f>TEXT(multilingual_mobile_app_reviews_2025[[#This Row],[Review_date]],"YYYY")</f>
        <v>2023</v>
      </c>
      <c r="K745" s="7" t="str">
        <f>TEXT(multilingual_mobile_app_reviews_2025[[#This Row],[Review_date]],"MMMM")</f>
        <v>September</v>
      </c>
      <c r="L745" s="4" t="b">
        <v>1</v>
      </c>
      <c r="M745" s="4" t="s">
        <v>10</v>
      </c>
      <c r="N745" s="5">
        <v>1046</v>
      </c>
      <c r="O745" s="5">
        <v>37</v>
      </c>
      <c r="P745" s="4" t="s">
        <v>65</v>
      </c>
      <c r="Q745" s="8" t="s">
        <v>5</v>
      </c>
      <c r="R745" s="4" t="s">
        <v>205</v>
      </c>
      <c r="S745" s="4"/>
      <c r="T745"/>
      <c r="U745" s="23"/>
    </row>
    <row r="746" spans="1:21" ht="15.6" x14ac:dyDescent="0.3">
      <c r="A746" s="4">
        <v>745</v>
      </c>
      <c r="B746" s="5">
        <v>3797401</v>
      </c>
      <c r="C746" s="4" t="s">
        <v>96</v>
      </c>
      <c r="D746" s="4" t="s">
        <v>57</v>
      </c>
      <c r="E746" s="4" t="s">
        <v>16</v>
      </c>
      <c r="F746" s="4" t="s">
        <v>2940</v>
      </c>
      <c r="G746" s="6">
        <v>2.5</v>
      </c>
      <c r="H746" s="7">
        <v>45664.652118055557</v>
      </c>
      <c r="I746" s="7" t="str">
        <f>TEXT(multilingual_mobile_app_reviews_2025[[#This Row],[Review_date]],"dd-mm-yyyy")</f>
        <v>07-01-2025</v>
      </c>
      <c r="J746" s="7" t="str">
        <f>TEXT(multilingual_mobile_app_reviews_2025[[#This Row],[Review_date]],"YYYY")</f>
        <v>2025</v>
      </c>
      <c r="K746" s="7" t="str">
        <f>TEXT(multilingual_mobile_app_reviews_2025[[#This Row],[Review_date]],"MMMM")</f>
        <v>January</v>
      </c>
      <c r="L746" s="4" t="b">
        <v>0</v>
      </c>
      <c r="M746" s="4" t="s">
        <v>98</v>
      </c>
      <c r="N746" s="5">
        <v>421</v>
      </c>
      <c r="O746" s="5">
        <v>25</v>
      </c>
      <c r="P746" s="4" t="s">
        <v>28</v>
      </c>
      <c r="Q746" s="8" t="s">
        <v>39</v>
      </c>
      <c r="R746" s="4" t="s">
        <v>990</v>
      </c>
      <c r="S746" s="4"/>
      <c r="T746"/>
      <c r="U746" s="23"/>
    </row>
    <row r="747" spans="1:21" ht="15.6" x14ac:dyDescent="0.3">
      <c r="A747" s="4">
        <v>746</v>
      </c>
      <c r="B747" s="5">
        <v>3957587</v>
      </c>
      <c r="C747" s="4" t="s">
        <v>75</v>
      </c>
      <c r="D747" s="4" t="s">
        <v>8</v>
      </c>
      <c r="E747" s="4" t="s">
        <v>27</v>
      </c>
      <c r="F747" s="4" t="s">
        <v>2952</v>
      </c>
      <c r="G747" s="6">
        <v>4.4000000000000004</v>
      </c>
      <c r="H747" s="7">
        <v>45760.382002314815</v>
      </c>
      <c r="I747" s="7" t="str">
        <f>TEXT(multilingual_mobile_app_reviews_2025[[#This Row],[Review_date]],"dd-mm-yyyy")</f>
        <v>13-04-2025</v>
      </c>
      <c r="J747" s="7" t="str">
        <f>TEXT(multilingual_mobile_app_reviews_2025[[#This Row],[Review_date]],"YYYY")</f>
        <v>2025</v>
      </c>
      <c r="K747" s="7" t="str">
        <f>TEXT(multilingual_mobile_app_reviews_2025[[#This Row],[Review_date]],"MMMM")</f>
        <v>April</v>
      </c>
      <c r="L747" s="4" t="b">
        <v>1</v>
      </c>
      <c r="M747" s="4" t="s">
        <v>22</v>
      </c>
      <c r="N747" s="5">
        <v>1023</v>
      </c>
      <c r="O747" s="5">
        <v>73</v>
      </c>
      <c r="P747" s="4" t="s">
        <v>44</v>
      </c>
      <c r="Q747" s="8" t="s">
        <v>29</v>
      </c>
      <c r="R747" s="4" t="s">
        <v>991</v>
      </c>
      <c r="S747" s="4"/>
      <c r="T747"/>
      <c r="U747" s="23"/>
    </row>
    <row r="748" spans="1:21" ht="15.6" x14ac:dyDescent="0.3">
      <c r="A748" s="4">
        <v>747</v>
      </c>
      <c r="B748" s="5">
        <v>7019359</v>
      </c>
      <c r="C748" s="4" t="s">
        <v>54</v>
      </c>
      <c r="D748" s="4" t="s">
        <v>51</v>
      </c>
      <c r="E748" s="4" t="s">
        <v>109</v>
      </c>
      <c r="F748" s="4" t="s">
        <v>2939</v>
      </c>
      <c r="G748" s="6">
        <v>3.5</v>
      </c>
      <c r="H748" s="7">
        <v>45413.136250000003</v>
      </c>
      <c r="I748" s="7" t="str">
        <f>TEXT(multilingual_mobile_app_reviews_2025[[#This Row],[Review_date]],"dd-mm-yyyy")</f>
        <v>01-05-2024</v>
      </c>
      <c r="J748" s="7" t="str">
        <f>TEXT(multilingual_mobile_app_reviews_2025[[#This Row],[Review_date]],"YYYY")</f>
        <v>2024</v>
      </c>
      <c r="K748" s="7" t="str">
        <f>TEXT(multilingual_mobile_app_reviews_2025[[#This Row],[Review_date]],"MMMM")</f>
        <v>May</v>
      </c>
      <c r="L748" s="4" t="b">
        <v>1</v>
      </c>
      <c r="M748" s="4" t="s">
        <v>98</v>
      </c>
      <c r="N748" s="5">
        <v>561</v>
      </c>
      <c r="O748" s="5">
        <v>72</v>
      </c>
      <c r="P748" s="4" t="s">
        <v>118</v>
      </c>
      <c r="Q748" s="8" t="s">
        <v>39</v>
      </c>
      <c r="R748" s="4" t="s">
        <v>992</v>
      </c>
      <c r="S748" s="4"/>
      <c r="T748"/>
      <c r="U748" s="23"/>
    </row>
    <row r="749" spans="1:21" ht="15.6" x14ac:dyDescent="0.3">
      <c r="A749" s="4">
        <v>748</v>
      </c>
      <c r="B749" s="5">
        <v>9086747</v>
      </c>
      <c r="C749" s="4" t="s">
        <v>89</v>
      </c>
      <c r="D749" s="4" t="s">
        <v>157</v>
      </c>
      <c r="E749" s="4" t="s">
        <v>21</v>
      </c>
      <c r="F749" s="4" t="s">
        <v>2940</v>
      </c>
      <c r="G749" s="6">
        <v>4.5999999999999996</v>
      </c>
      <c r="H749" s="7">
        <v>45146.430497685185</v>
      </c>
      <c r="I749" s="7" t="str">
        <f>TEXT(multilingual_mobile_app_reviews_2025[[#This Row],[Review_date]],"dd-mm-yyyy")</f>
        <v>08-08-2023</v>
      </c>
      <c r="J749" s="7" t="str">
        <f>TEXT(multilingual_mobile_app_reviews_2025[[#This Row],[Review_date]],"YYYY")</f>
        <v>2023</v>
      </c>
      <c r="K749" s="7" t="str">
        <f>TEXT(multilingual_mobile_app_reviews_2025[[#This Row],[Review_date]],"MMMM")</f>
        <v>August</v>
      </c>
      <c r="L749" s="4" t="b">
        <v>0</v>
      </c>
      <c r="M749" s="4" t="s">
        <v>10</v>
      </c>
      <c r="N749" s="5">
        <v>290</v>
      </c>
      <c r="O749" s="5">
        <v>29</v>
      </c>
      <c r="P749" s="4" t="s">
        <v>70</v>
      </c>
      <c r="Q749" s="8" t="s">
        <v>5</v>
      </c>
      <c r="R749" s="4" t="s">
        <v>993</v>
      </c>
      <c r="S749" s="4"/>
      <c r="T749"/>
      <c r="U749" s="23"/>
    </row>
    <row r="750" spans="1:21" ht="15.6" x14ac:dyDescent="0.3">
      <c r="A750" s="4">
        <v>749</v>
      </c>
      <c r="B750" s="5">
        <v>4518274</v>
      </c>
      <c r="C750" s="4" t="s">
        <v>54</v>
      </c>
      <c r="D750" s="4" t="s">
        <v>47</v>
      </c>
      <c r="E750" s="4" t="s">
        <v>994</v>
      </c>
      <c r="F750" s="4" t="s">
        <v>2949</v>
      </c>
      <c r="G750" s="6">
        <v>2.1</v>
      </c>
      <c r="H750" s="7">
        <v>45296.371712962966</v>
      </c>
      <c r="I750" s="7" t="str">
        <f>TEXT(multilingual_mobile_app_reviews_2025[[#This Row],[Review_date]],"dd-mm-yyyy")</f>
        <v>05-01-2024</v>
      </c>
      <c r="J750" s="7" t="str">
        <f>TEXT(multilingual_mobile_app_reviews_2025[[#This Row],[Review_date]],"YYYY")</f>
        <v>2024</v>
      </c>
      <c r="K750" s="7" t="str">
        <f>TEXT(multilingual_mobile_app_reviews_2025[[#This Row],[Review_date]],"MMMM")</f>
        <v>January</v>
      </c>
      <c r="L750" s="4" t="b">
        <v>1</v>
      </c>
      <c r="M750" s="4" t="s">
        <v>98</v>
      </c>
      <c r="N750" s="5">
        <v>1153</v>
      </c>
      <c r="O750" s="5">
        <v>43</v>
      </c>
      <c r="P750" s="4" t="s">
        <v>4</v>
      </c>
      <c r="Q750" s="8" t="s">
        <v>5</v>
      </c>
      <c r="R750" s="4" t="s">
        <v>995</v>
      </c>
      <c r="S750" s="4"/>
      <c r="T750"/>
      <c r="U750" s="23"/>
    </row>
    <row r="751" spans="1:21" ht="15.6" x14ac:dyDescent="0.3">
      <c r="A751" s="4">
        <v>750</v>
      </c>
      <c r="B751" s="5">
        <v>6073148</v>
      </c>
      <c r="C751" s="4" t="s">
        <v>69</v>
      </c>
      <c r="D751" s="4" t="s">
        <v>157</v>
      </c>
      <c r="E751" s="4" t="s">
        <v>996</v>
      </c>
      <c r="F751" s="4" t="s">
        <v>2962</v>
      </c>
      <c r="G751" s="6">
        <v>3.9</v>
      </c>
      <c r="H751" s="7">
        <v>45180.936400462961</v>
      </c>
      <c r="I751" s="7" t="str">
        <f>TEXT(multilingual_mobile_app_reviews_2025[[#This Row],[Review_date]],"dd-mm-yyyy")</f>
        <v>11-09-2023</v>
      </c>
      <c r="J751" s="7" t="str">
        <f>TEXT(multilingual_mobile_app_reviews_2025[[#This Row],[Review_date]],"YYYY")</f>
        <v>2023</v>
      </c>
      <c r="K751" s="7" t="str">
        <f>TEXT(multilingual_mobile_app_reviews_2025[[#This Row],[Review_date]],"MMMM")</f>
        <v>September</v>
      </c>
      <c r="L751" s="4" t="b">
        <v>1</v>
      </c>
      <c r="M751" s="4" t="s">
        <v>22</v>
      </c>
      <c r="N751" s="5">
        <v>547</v>
      </c>
      <c r="O751" s="5">
        <v>14</v>
      </c>
      <c r="P751" s="4" t="s">
        <v>94</v>
      </c>
      <c r="Q751" s="8" t="s">
        <v>39</v>
      </c>
      <c r="R751" s="4" t="s">
        <v>997</v>
      </c>
      <c r="S751" s="4"/>
      <c r="T751"/>
      <c r="U751" s="23"/>
    </row>
    <row r="752" spans="1:21" ht="15.6" x14ac:dyDescent="0.3">
      <c r="A752" s="4">
        <v>751</v>
      </c>
      <c r="B752" s="5">
        <v>7199712</v>
      </c>
      <c r="C752" s="4" t="s">
        <v>78</v>
      </c>
      <c r="D752" s="4" t="s">
        <v>157</v>
      </c>
      <c r="E752" s="4" t="s">
        <v>93</v>
      </c>
      <c r="F752" s="4" t="s">
        <v>2943</v>
      </c>
      <c r="G752" s="6">
        <v>2.8</v>
      </c>
      <c r="H752" s="7">
        <v>45510.400451388887</v>
      </c>
      <c r="I752" s="7" t="str">
        <f>TEXT(multilingual_mobile_app_reviews_2025[[#This Row],[Review_date]],"dd-mm-yyyy")</f>
        <v>06-08-2024</v>
      </c>
      <c r="J752" s="7" t="str">
        <f>TEXT(multilingual_mobile_app_reviews_2025[[#This Row],[Review_date]],"YYYY")</f>
        <v>2024</v>
      </c>
      <c r="K752" s="7" t="str">
        <f>TEXT(multilingual_mobile_app_reviews_2025[[#This Row],[Review_date]],"MMMM")</f>
        <v>August</v>
      </c>
      <c r="L752" s="4" t="b">
        <v>1</v>
      </c>
      <c r="M752" s="4" t="s">
        <v>3</v>
      </c>
      <c r="N752" s="5">
        <v>1115</v>
      </c>
      <c r="O752" s="5">
        <v>23</v>
      </c>
      <c r="P752" s="4" t="s">
        <v>162</v>
      </c>
      <c r="Q752" s="8" t="s">
        <v>39</v>
      </c>
      <c r="R752" s="4" t="s">
        <v>998</v>
      </c>
      <c r="S752" s="4"/>
      <c r="T752"/>
      <c r="U752" s="23"/>
    </row>
    <row r="753" spans="1:21" ht="15.6" x14ac:dyDescent="0.3">
      <c r="A753" s="4">
        <v>752</v>
      </c>
      <c r="B753" s="5">
        <v>646310</v>
      </c>
      <c r="C753" s="4" t="s">
        <v>50</v>
      </c>
      <c r="D753" s="4" t="s">
        <v>15</v>
      </c>
      <c r="E753" s="4" t="s">
        <v>999</v>
      </c>
      <c r="F753" s="4" t="s">
        <v>2957</v>
      </c>
      <c r="G753" s="6">
        <v>3.2</v>
      </c>
      <c r="H753" s="7">
        <v>45391.652037037034</v>
      </c>
      <c r="I753" s="7" t="str">
        <f>TEXT(multilingual_mobile_app_reviews_2025[[#This Row],[Review_date]],"dd-mm-yyyy")</f>
        <v>09-04-2024</v>
      </c>
      <c r="J753" s="7" t="str">
        <f>TEXT(multilingual_mobile_app_reviews_2025[[#This Row],[Review_date]],"YYYY")</f>
        <v>2024</v>
      </c>
      <c r="K753" s="7" t="str">
        <f>TEXT(multilingual_mobile_app_reviews_2025[[#This Row],[Review_date]],"MMMM")</f>
        <v>April</v>
      </c>
      <c r="L753" s="4" t="b">
        <v>1</v>
      </c>
      <c r="M753" s="4" t="s">
        <v>10</v>
      </c>
      <c r="N753" s="5">
        <v>884</v>
      </c>
      <c r="O753" s="5">
        <v>18</v>
      </c>
      <c r="P753" s="4" t="s">
        <v>144</v>
      </c>
      <c r="Q753" s="8" t="s">
        <v>39</v>
      </c>
      <c r="R753" s="4" t="s">
        <v>356</v>
      </c>
      <c r="S753" s="4"/>
      <c r="T753"/>
      <c r="U753" s="23"/>
    </row>
    <row r="754" spans="1:21" ht="15.6" x14ac:dyDescent="0.3">
      <c r="A754" s="4">
        <v>753</v>
      </c>
      <c r="B754" s="5">
        <v>4457055</v>
      </c>
      <c r="C754" s="4" t="s">
        <v>176</v>
      </c>
      <c r="D754" s="4" t="s">
        <v>63</v>
      </c>
      <c r="E754" s="4" t="s">
        <v>76</v>
      </c>
      <c r="F754" s="4" t="s">
        <v>2950</v>
      </c>
      <c r="G754" s="6">
        <v>1.6</v>
      </c>
      <c r="H754" s="7">
        <v>45284.24386574074</v>
      </c>
      <c r="I754" s="7" t="str">
        <f>TEXT(multilingual_mobile_app_reviews_2025[[#This Row],[Review_date]],"dd-mm-yyyy")</f>
        <v>24-12-2023</v>
      </c>
      <c r="J754" s="7" t="str">
        <f>TEXT(multilingual_mobile_app_reviews_2025[[#This Row],[Review_date]],"YYYY")</f>
        <v>2023</v>
      </c>
      <c r="K754" s="7" t="str">
        <f>TEXT(multilingual_mobile_app_reviews_2025[[#This Row],[Review_date]],"MMMM")</f>
        <v>December</v>
      </c>
      <c r="L754" s="4" t="b">
        <v>1</v>
      </c>
      <c r="M754" s="4" t="s">
        <v>22</v>
      </c>
      <c r="N754" s="5">
        <v>811</v>
      </c>
      <c r="O754" s="5">
        <v>18</v>
      </c>
      <c r="P754" s="4" t="s">
        <v>90</v>
      </c>
      <c r="Q754" s="8" t="s">
        <v>12</v>
      </c>
      <c r="R754" s="4" t="s">
        <v>1000</v>
      </c>
      <c r="S754" s="4"/>
      <c r="T754"/>
      <c r="U754" s="23"/>
    </row>
    <row r="755" spans="1:21" ht="15.6" x14ac:dyDescent="0.3">
      <c r="A755" s="4">
        <v>754</v>
      </c>
      <c r="B755" s="5">
        <v>4509875</v>
      </c>
      <c r="C755" s="4" t="s">
        <v>46</v>
      </c>
      <c r="D755" s="4" t="s">
        <v>47</v>
      </c>
      <c r="E755" s="4" t="s">
        <v>9</v>
      </c>
      <c r="F755" s="4" t="s">
        <v>2949</v>
      </c>
      <c r="G755" s="6">
        <v>4.7</v>
      </c>
      <c r="H755" s="7">
        <v>45323.069699074076</v>
      </c>
      <c r="I755" s="7" t="str">
        <f>TEXT(multilingual_mobile_app_reviews_2025[[#This Row],[Review_date]],"dd-mm-yyyy")</f>
        <v>01-02-2024</v>
      </c>
      <c r="J755" s="7" t="str">
        <f>TEXT(multilingual_mobile_app_reviews_2025[[#This Row],[Review_date]],"YYYY")</f>
        <v>2024</v>
      </c>
      <c r="K755" s="7" t="str">
        <f>TEXT(multilingual_mobile_app_reviews_2025[[#This Row],[Review_date]],"MMMM")</f>
        <v>February</v>
      </c>
      <c r="L755" s="4" t="b">
        <v>1</v>
      </c>
      <c r="M755" s="4" t="s">
        <v>33</v>
      </c>
      <c r="N755" s="5">
        <v>804</v>
      </c>
      <c r="O755" s="5">
        <v>27</v>
      </c>
      <c r="P755" s="4" t="s">
        <v>28</v>
      </c>
      <c r="Q755" s="8" t="s">
        <v>39</v>
      </c>
      <c r="R755" s="4" t="s">
        <v>1001</v>
      </c>
      <c r="S755" s="4"/>
      <c r="T755"/>
      <c r="U755" s="23"/>
    </row>
    <row r="756" spans="1:21" ht="15.6" x14ac:dyDescent="0.3">
      <c r="A756" s="4">
        <v>755</v>
      </c>
      <c r="B756" s="5">
        <v>8007862</v>
      </c>
      <c r="C756" s="4" t="s">
        <v>199</v>
      </c>
      <c r="D756" s="4" t="s">
        <v>220</v>
      </c>
      <c r="E756" s="4" t="s">
        <v>16</v>
      </c>
      <c r="F756" s="4" t="s">
        <v>2958</v>
      </c>
      <c r="G756" s="6">
        <v>4.8</v>
      </c>
      <c r="H756" s="7">
        <v>45615.07472222222</v>
      </c>
      <c r="I756" s="7" t="str">
        <f>TEXT(multilingual_mobile_app_reviews_2025[[#This Row],[Review_date]],"dd-mm-yyyy")</f>
        <v>19-11-2024</v>
      </c>
      <c r="J756" s="7" t="str">
        <f>TEXT(multilingual_mobile_app_reviews_2025[[#This Row],[Review_date]],"YYYY")</f>
        <v>2024</v>
      </c>
      <c r="K756" s="7" t="str">
        <f>TEXT(multilingual_mobile_app_reviews_2025[[#This Row],[Review_date]],"MMMM")</f>
        <v>November</v>
      </c>
      <c r="L756" s="4" t="b">
        <v>1</v>
      </c>
      <c r="M756" s="4" t="s">
        <v>22</v>
      </c>
      <c r="N756" s="5">
        <v>831</v>
      </c>
      <c r="O756" s="5">
        <v>32</v>
      </c>
      <c r="P756" s="4" t="s">
        <v>127</v>
      </c>
      <c r="Q756" s="8" t="s">
        <v>2963</v>
      </c>
      <c r="R756" s="4" t="s">
        <v>1002</v>
      </c>
      <c r="S756" s="4"/>
      <c r="T756"/>
      <c r="U756" s="23"/>
    </row>
    <row r="757" spans="1:21" ht="15.6" x14ac:dyDescent="0.3">
      <c r="A757" s="4">
        <v>756</v>
      </c>
      <c r="B757" s="5">
        <v>6239188</v>
      </c>
      <c r="C757" s="4" t="s">
        <v>113</v>
      </c>
      <c r="D757" s="4" t="s">
        <v>47</v>
      </c>
      <c r="E757" s="4" t="s">
        <v>1003</v>
      </c>
      <c r="F757" s="4" t="s">
        <v>2957</v>
      </c>
      <c r="G757" s="6">
        <v>2.6</v>
      </c>
      <c r="H757" s="7">
        <v>45348.553935185184</v>
      </c>
      <c r="I757" s="7" t="str">
        <f>TEXT(multilingual_mobile_app_reviews_2025[[#This Row],[Review_date]],"dd-mm-yyyy")</f>
        <v>26-02-2024</v>
      </c>
      <c r="J757" s="7" t="str">
        <f>TEXT(multilingual_mobile_app_reviews_2025[[#This Row],[Review_date]],"YYYY")</f>
        <v>2024</v>
      </c>
      <c r="K757" s="7" t="str">
        <f>TEXT(multilingual_mobile_app_reviews_2025[[#This Row],[Review_date]],"MMMM")</f>
        <v>February</v>
      </c>
      <c r="L757" s="4" t="b">
        <v>1</v>
      </c>
      <c r="M757" s="4" t="s">
        <v>33</v>
      </c>
      <c r="N757" s="5">
        <v>614</v>
      </c>
      <c r="O757" s="5">
        <v>34</v>
      </c>
      <c r="P757" s="4" t="s">
        <v>11</v>
      </c>
      <c r="Q757" s="8" t="s">
        <v>39</v>
      </c>
      <c r="R757" s="4" t="s">
        <v>1004</v>
      </c>
      <c r="S757" s="4"/>
      <c r="T757"/>
      <c r="U757" s="23"/>
    </row>
    <row r="758" spans="1:21" ht="15.6" x14ac:dyDescent="0.3">
      <c r="A758" s="4">
        <v>757</v>
      </c>
      <c r="B758" s="5">
        <v>9417059</v>
      </c>
      <c r="C758" s="4" t="s">
        <v>78</v>
      </c>
      <c r="D758" s="4" t="s">
        <v>60</v>
      </c>
      <c r="E758" s="4" t="s">
        <v>130</v>
      </c>
      <c r="F758" s="4" t="s">
        <v>2960</v>
      </c>
      <c r="G758" s="6">
        <v>4</v>
      </c>
      <c r="H758" s="7">
        <v>45474.592499999999</v>
      </c>
      <c r="I758" s="7" t="str">
        <f>TEXT(multilingual_mobile_app_reviews_2025[[#This Row],[Review_date]],"dd-mm-yyyy")</f>
        <v>01-07-2024</v>
      </c>
      <c r="J758" s="7" t="str">
        <f>TEXT(multilingual_mobile_app_reviews_2025[[#This Row],[Review_date]],"YYYY")</f>
        <v>2024</v>
      </c>
      <c r="K758" s="7" t="str">
        <f>TEXT(multilingual_mobile_app_reviews_2025[[#This Row],[Review_date]],"MMMM")</f>
        <v>July</v>
      </c>
      <c r="L758" s="4" t="b">
        <v>1</v>
      </c>
      <c r="M758" s="4" t="s">
        <v>98</v>
      </c>
      <c r="N758" s="5">
        <v>865</v>
      </c>
      <c r="O758" s="5">
        <v>57</v>
      </c>
      <c r="P758" s="4" t="s">
        <v>28</v>
      </c>
      <c r="Q758" s="8" t="s">
        <v>2963</v>
      </c>
      <c r="R758" s="4" t="s">
        <v>1005</v>
      </c>
      <c r="S758" s="4"/>
      <c r="T758"/>
      <c r="U758" s="23"/>
    </row>
    <row r="759" spans="1:21" ht="15.6" x14ac:dyDescent="0.3">
      <c r="A759" s="4">
        <v>758</v>
      </c>
      <c r="B759" s="5">
        <v>3389394</v>
      </c>
      <c r="C759" s="4" t="s">
        <v>59</v>
      </c>
      <c r="D759" s="4" t="s">
        <v>20</v>
      </c>
      <c r="E759" s="4" t="s">
        <v>16</v>
      </c>
      <c r="F759" s="4" t="s">
        <v>2946</v>
      </c>
      <c r="G759" s="6">
        <v>2.5</v>
      </c>
      <c r="H759" s="7">
        <v>45252.158449074072</v>
      </c>
      <c r="I759" s="7" t="str">
        <f>TEXT(multilingual_mobile_app_reviews_2025[[#This Row],[Review_date]],"dd-mm-yyyy")</f>
        <v>22-11-2023</v>
      </c>
      <c r="J759" s="7" t="str">
        <f>TEXT(multilingual_mobile_app_reviews_2025[[#This Row],[Review_date]],"YYYY")</f>
        <v>2023</v>
      </c>
      <c r="K759" s="7" t="str">
        <f>TEXT(multilingual_mobile_app_reviews_2025[[#This Row],[Review_date]],"MMMM")</f>
        <v>November</v>
      </c>
      <c r="L759" s="4" t="b">
        <v>0</v>
      </c>
      <c r="M759" s="4" t="s">
        <v>10</v>
      </c>
      <c r="N759" s="5">
        <v>494</v>
      </c>
      <c r="O759" s="5">
        <v>51</v>
      </c>
      <c r="P759" s="4" t="s">
        <v>99</v>
      </c>
      <c r="Q759" s="8" t="s">
        <v>12</v>
      </c>
      <c r="R759" s="4" t="s">
        <v>1006</v>
      </c>
      <c r="S759" s="4"/>
      <c r="T759"/>
      <c r="U759" s="23"/>
    </row>
    <row r="760" spans="1:21" ht="15.6" x14ac:dyDescent="0.3">
      <c r="A760" s="4">
        <v>759</v>
      </c>
      <c r="B760" s="5">
        <v>2609000</v>
      </c>
      <c r="C760" s="4" t="s">
        <v>134</v>
      </c>
      <c r="D760" s="4" t="s">
        <v>42</v>
      </c>
      <c r="E760" s="4" t="s">
        <v>64</v>
      </c>
      <c r="F760" s="4" t="s">
        <v>2952</v>
      </c>
      <c r="G760" s="6">
        <v>2.9</v>
      </c>
      <c r="H760" s="7">
        <v>45506.258148148147</v>
      </c>
      <c r="I760" s="7" t="str">
        <f>TEXT(multilingual_mobile_app_reviews_2025[[#This Row],[Review_date]],"dd-mm-yyyy")</f>
        <v>02-08-2024</v>
      </c>
      <c r="J760" s="7" t="str">
        <f>TEXT(multilingual_mobile_app_reviews_2025[[#This Row],[Review_date]],"YYYY")</f>
        <v>2024</v>
      </c>
      <c r="K760" s="7" t="str">
        <f>TEXT(multilingual_mobile_app_reviews_2025[[#This Row],[Review_date]],"MMMM")</f>
        <v>August</v>
      </c>
      <c r="L760" s="4" t="b">
        <v>1</v>
      </c>
      <c r="M760" s="4" t="s">
        <v>33</v>
      </c>
      <c r="N760" s="5">
        <v>794</v>
      </c>
      <c r="O760" s="5">
        <v>64</v>
      </c>
      <c r="P760" s="4" t="s">
        <v>34</v>
      </c>
      <c r="Q760" s="8" t="s">
        <v>12</v>
      </c>
      <c r="R760" s="4" t="s">
        <v>1007</v>
      </c>
      <c r="S760" s="4"/>
      <c r="T760"/>
      <c r="U760" s="23"/>
    </row>
    <row r="761" spans="1:21" ht="15.6" x14ac:dyDescent="0.3">
      <c r="A761" s="4">
        <v>760</v>
      </c>
      <c r="B761" s="5">
        <v>3062978</v>
      </c>
      <c r="C761" s="4" t="s">
        <v>176</v>
      </c>
      <c r="D761" s="4" t="s">
        <v>63</v>
      </c>
      <c r="E761" s="4" t="s">
        <v>16</v>
      </c>
      <c r="F761" s="4" t="s">
        <v>2959</v>
      </c>
      <c r="G761" s="6">
        <v>2.9</v>
      </c>
      <c r="H761" s="7">
        <v>45466.283055555556</v>
      </c>
      <c r="I761" s="7" t="str">
        <f>TEXT(multilingual_mobile_app_reviews_2025[[#This Row],[Review_date]],"dd-mm-yyyy")</f>
        <v>23-06-2024</v>
      </c>
      <c r="J761" s="7" t="str">
        <f>TEXT(multilingual_mobile_app_reviews_2025[[#This Row],[Review_date]],"YYYY")</f>
        <v>2024</v>
      </c>
      <c r="K761" s="7" t="str">
        <f>TEXT(multilingual_mobile_app_reviews_2025[[#This Row],[Review_date]],"MMMM")</f>
        <v>June</v>
      </c>
      <c r="L761" s="4" t="b">
        <v>1</v>
      </c>
      <c r="M761" s="4" t="s">
        <v>22</v>
      </c>
      <c r="N761" s="5">
        <v>11</v>
      </c>
      <c r="O761" s="5">
        <v>37</v>
      </c>
      <c r="P761" s="4" t="s">
        <v>44</v>
      </c>
      <c r="Q761" s="8" t="s">
        <v>5</v>
      </c>
      <c r="R761" s="4" t="s">
        <v>1008</v>
      </c>
      <c r="S761" s="4"/>
      <c r="T761"/>
      <c r="U761" s="23"/>
    </row>
    <row r="762" spans="1:21" ht="15.6" x14ac:dyDescent="0.3">
      <c r="A762" s="4">
        <v>761</v>
      </c>
      <c r="B762" s="5">
        <v>2356060</v>
      </c>
      <c r="C762" s="4" t="s">
        <v>59</v>
      </c>
      <c r="D762" s="4" t="s">
        <v>8</v>
      </c>
      <c r="E762" s="4" t="s">
        <v>76</v>
      </c>
      <c r="F762" s="4" t="s">
        <v>2961</v>
      </c>
      <c r="G762" s="6">
        <v>4.9000000000000004</v>
      </c>
      <c r="H762" s="7">
        <v>45832.701909722222</v>
      </c>
      <c r="I762" s="7" t="str">
        <f>TEXT(multilingual_mobile_app_reviews_2025[[#This Row],[Review_date]],"dd-mm-yyyy")</f>
        <v>24-06-2025</v>
      </c>
      <c r="J762" s="7" t="str">
        <f>TEXT(multilingual_mobile_app_reviews_2025[[#This Row],[Review_date]],"YYYY")</f>
        <v>2025</v>
      </c>
      <c r="K762" s="7" t="str">
        <f>TEXT(multilingual_mobile_app_reviews_2025[[#This Row],[Review_date]],"MMMM")</f>
        <v>June</v>
      </c>
      <c r="L762" s="4" t="b">
        <v>0</v>
      </c>
      <c r="M762" s="4" t="s">
        <v>33</v>
      </c>
      <c r="N762" s="5">
        <v>1152</v>
      </c>
      <c r="O762" s="5">
        <v>14</v>
      </c>
      <c r="P762" s="4" t="s">
        <v>70</v>
      </c>
      <c r="Q762" s="8" t="s">
        <v>29</v>
      </c>
      <c r="R762" s="4" t="s">
        <v>1009</v>
      </c>
      <c r="S762" s="4"/>
      <c r="T762"/>
      <c r="U762" s="23"/>
    </row>
    <row r="763" spans="1:21" ht="15.6" x14ac:dyDescent="0.3">
      <c r="A763" s="4">
        <v>762</v>
      </c>
      <c r="B763" s="5">
        <v>8773937</v>
      </c>
      <c r="C763" s="4" t="s">
        <v>0</v>
      </c>
      <c r="D763" s="4" t="s">
        <v>51</v>
      </c>
      <c r="E763" s="4" t="s">
        <v>32</v>
      </c>
      <c r="F763" s="4" t="s">
        <v>2941</v>
      </c>
      <c r="G763" s="6">
        <v>1.3</v>
      </c>
      <c r="H763" s="7">
        <v>45553.63480324074</v>
      </c>
      <c r="I763" s="7" t="str">
        <f>TEXT(multilingual_mobile_app_reviews_2025[[#This Row],[Review_date]],"dd-mm-yyyy")</f>
        <v>18-09-2024</v>
      </c>
      <c r="J763" s="7" t="str">
        <f>TEXT(multilingual_mobile_app_reviews_2025[[#This Row],[Review_date]],"YYYY")</f>
        <v>2024</v>
      </c>
      <c r="K763" s="7" t="str">
        <f>TEXT(multilingual_mobile_app_reviews_2025[[#This Row],[Review_date]],"MMMM")</f>
        <v>September</v>
      </c>
      <c r="L763" s="4" t="b">
        <v>0</v>
      </c>
      <c r="M763" s="4" t="s">
        <v>10</v>
      </c>
      <c r="N763" s="5">
        <v>732</v>
      </c>
      <c r="O763" s="5">
        <v>43</v>
      </c>
      <c r="P763" s="4" t="s">
        <v>11</v>
      </c>
      <c r="Q763" s="8" t="s">
        <v>2963</v>
      </c>
      <c r="R763" s="4" t="s">
        <v>1010</v>
      </c>
      <c r="S763" s="4"/>
      <c r="T763"/>
      <c r="U763" s="23"/>
    </row>
    <row r="764" spans="1:21" ht="15.6" x14ac:dyDescent="0.3">
      <c r="A764" s="4">
        <v>763</v>
      </c>
      <c r="B764" s="5">
        <v>5397024</v>
      </c>
      <c r="C764" s="4" t="s">
        <v>25</v>
      </c>
      <c r="D764" s="4" t="s">
        <v>47</v>
      </c>
      <c r="E764" s="4" t="s">
        <v>130</v>
      </c>
      <c r="F764" s="4" t="s">
        <v>2941</v>
      </c>
      <c r="G764" s="6">
        <v>4.9000000000000004</v>
      </c>
      <c r="H764" s="7">
        <v>45748.864398148151</v>
      </c>
      <c r="I764" s="7" t="str">
        <f>TEXT(multilingual_mobile_app_reviews_2025[[#This Row],[Review_date]],"dd-mm-yyyy")</f>
        <v>01-04-2025</v>
      </c>
      <c r="J764" s="7" t="str">
        <f>TEXT(multilingual_mobile_app_reviews_2025[[#This Row],[Review_date]],"YYYY")</f>
        <v>2025</v>
      </c>
      <c r="K764" s="7" t="str">
        <f>TEXT(multilingual_mobile_app_reviews_2025[[#This Row],[Review_date]],"MMMM")</f>
        <v>April</v>
      </c>
      <c r="L764" s="4" t="b">
        <v>1</v>
      </c>
      <c r="M764" s="4" t="s">
        <v>22</v>
      </c>
      <c r="N764" s="5">
        <v>1192</v>
      </c>
      <c r="O764" s="5">
        <v>39</v>
      </c>
      <c r="P764" s="4" t="s">
        <v>80</v>
      </c>
      <c r="Q764" s="8" t="s">
        <v>2963</v>
      </c>
      <c r="R764" s="4" t="s">
        <v>1011</v>
      </c>
      <c r="S764" s="4"/>
      <c r="T764"/>
      <c r="U764" s="23"/>
    </row>
    <row r="765" spans="1:21" ht="15.6" x14ac:dyDescent="0.3">
      <c r="A765" s="4">
        <v>764</v>
      </c>
      <c r="B765" s="5">
        <v>5133738</v>
      </c>
      <c r="C765" s="4" t="s">
        <v>258</v>
      </c>
      <c r="D765" s="4" t="s">
        <v>63</v>
      </c>
      <c r="E765" s="4" t="s">
        <v>109</v>
      </c>
      <c r="F765" s="4" t="s">
        <v>2962</v>
      </c>
      <c r="G765" s="6">
        <v>4.5</v>
      </c>
      <c r="H765" s="7">
        <v>45333.815567129626</v>
      </c>
      <c r="I765" s="7" t="str">
        <f>TEXT(multilingual_mobile_app_reviews_2025[[#This Row],[Review_date]],"dd-mm-yyyy")</f>
        <v>11-02-2024</v>
      </c>
      <c r="J765" s="7" t="str">
        <f>TEXT(multilingual_mobile_app_reviews_2025[[#This Row],[Review_date]],"YYYY")</f>
        <v>2024</v>
      </c>
      <c r="K765" s="7" t="str">
        <f>TEXT(multilingual_mobile_app_reviews_2025[[#This Row],[Review_date]],"MMMM")</f>
        <v>February</v>
      </c>
      <c r="L765" s="4" t="b">
        <v>1</v>
      </c>
      <c r="M765" s="4" t="s">
        <v>22</v>
      </c>
      <c r="N765" s="5">
        <v>654</v>
      </c>
      <c r="O765" s="5">
        <v>71</v>
      </c>
      <c r="P765" s="4" t="s">
        <v>17</v>
      </c>
      <c r="Q765" s="8" t="s">
        <v>29</v>
      </c>
      <c r="R765" s="4" t="s">
        <v>1012</v>
      </c>
      <c r="S765" s="4"/>
      <c r="T765"/>
      <c r="U765" s="23"/>
    </row>
    <row r="766" spans="1:21" ht="15.6" x14ac:dyDescent="0.3">
      <c r="A766" s="4">
        <v>765</v>
      </c>
      <c r="B766" s="5">
        <v>9626682</v>
      </c>
      <c r="C766" s="4" t="s">
        <v>101</v>
      </c>
      <c r="D766" s="4" t="s">
        <v>51</v>
      </c>
      <c r="E766" s="4" t="s">
        <v>1013</v>
      </c>
      <c r="F766" s="4" t="s">
        <v>2947</v>
      </c>
      <c r="G766" s="6">
        <v>3.1</v>
      </c>
      <c r="H766" s="7">
        <v>45770.98945601852</v>
      </c>
      <c r="I766" s="7" t="str">
        <f>TEXT(multilingual_mobile_app_reviews_2025[[#This Row],[Review_date]],"dd-mm-yyyy")</f>
        <v>23-04-2025</v>
      </c>
      <c r="J766" s="7" t="str">
        <f>TEXT(multilingual_mobile_app_reviews_2025[[#This Row],[Review_date]],"YYYY")</f>
        <v>2025</v>
      </c>
      <c r="K766" s="7" t="str">
        <f>TEXT(multilingual_mobile_app_reviews_2025[[#This Row],[Review_date]],"MMMM")</f>
        <v>April</v>
      </c>
      <c r="L766" s="4" t="b">
        <v>1</v>
      </c>
      <c r="M766" s="4" t="s">
        <v>98</v>
      </c>
      <c r="N766" s="5">
        <v>1159</v>
      </c>
      <c r="O766" s="5">
        <v>23</v>
      </c>
      <c r="P766" s="4" t="s">
        <v>17</v>
      </c>
      <c r="Q766" s="8" t="s">
        <v>29</v>
      </c>
      <c r="R766" s="4" t="s">
        <v>1014</v>
      </c>
      <c r="S766" s="4"/>
      <c r="T766"/>
      <c r="U766" s="23"/>
    </row>
    <row r="767" spans="1:21" ht="15.6" x14ac:dyDescent="0.3">
      <c r="A767" s="4">
        <v>766</v>
      </c>
      <c r="B767" s="5">
        <v>8095004</v>
      </c>
      <c r="C767" s="4" t="s">
        <v>165</v>
      </c>
      <c r="D767" s="4" t="s">
        <v>63</v>
      </c>
      <c r="E767" s="4" t="s">
        <v>9</v>
      </c>
      <c r="F767" s="4" t="s">
        <v>2960</v>
      </c>
      <c r="G767" s="6">
        <v>2.8</v>
      </c>
      <c r="H767" s="7">
        <v>45790.526863425926</v>
      </c>
      <c r="I767" s="7" t="str">
        <f>TEXT(multilingual_mobile_app_reviews_2025[[#This Row],[Review_date]],"dd-mm-yyyy")</f>
        <v>13-05-2025</v>
      </c>
      <c r="J767" s="7" t="str">
        <f>TEXT(multilingual_mobile_app_reviews_2025[[#This Row],[Review_date]],"YYYY")</f>
        <v>2025</v>
      </c>
      <c r="K767" s="7" t="str">
        <f>TEXT(multilingual_mobile_app_reviews_2025[[#This Row],[Review_date]],"MMMM")</f>
        <v>May</v>
      </c>
      <c r="L767" s="4" t="b">
        <v>0</v>
      </c>
      <c r="M767" s="4" t="s">
        <v>22</v>
      </c>
      <c r="N767" s="5">
        <v>260</v>
      </c>
      <c r="O767" s="5">
        <v>43</v>
      </c>
      <c r="P767" s="4" t="s">
        <v>144</v>
      </c>
      <c r="Q767" s="8" t="s">
        <v>2963</v>
      </c>
      <c r="R767" s="4" t="s">
        <v>1015</v>
      </c>
      <c r="S767" s="4"/>
      <c r="T767"/>
      <c r="U767" s="23"/>
    </row>
    <row r="768" spans="1:21" ht="15.6" x14ac:dyDescent="0.3">
      <c r="A768" s="4">
        <v>767</v>
      </c>
      <c r="B768" s="5">
        <v>1715677</v>
      </c>
      <c r="C768" s="4" t="s">
        <v>96</v>
      </c>
      <c r="D768" s="4" t="s">
        <v>60</v>
      </c>
      <c r="E768" s="4" t="s">
        <v>64</v>
      </c>
      <c r="F768" s="4" t="s">
        <v>2941</v>
      </c>
      <c r="G768" s="6">
        <v>3.8</v>
      </c>
      <c r="H768" s="7">
        <v>45488.290833333333</v>
      </c>
      <c r="I768" s="7" t="str">
        <f>TEXT(multilingual_mobile_app_reviews_2025[[#This Row],[Review_date]],"dd-mm-yyyy")</f>
        <v>15-07-2024</v>
      </c>
      <c r="J768" s="7" t="str">
        <f>TEXT(multilingual_mobile_app_reviews_2025[[#This Row],[Review_date]],"YYYY")</f>
        <v>2024</v>
      </c>
      <c r="K768" s="7" t="str">
        <f>TEXT(multilingual_mobile_app_reviews_2025[[#This Row],[Review_date]],"MMMM")</f>
        <v>July</v>
      </c>
      <c r="L768" s="4" t="b">
        <v>0</v>
      </c>
      <c r="M768" s="4" t="s">
        <v>22</v>
      </c>
      <c r="N768" s="5">
        <v>81</v>
      </c>
      <c r="O768" s="5">
        <v>36</v>
      </c>
      <c r="P768" s="4" t="s">
        <v>230</v>
      </c>
      <c r="Q768" s="8" t="s">
        <v>29</v>
      </c>
      <c r="R768" s="4" t="s">
        <v>1016</v>
      </c>
      <c r="S768" s="4"/>
      <c r="T768"/>
      <c r="U768" s="23"/>
    </row>
    <row r="769" spans="1:21" ht="15.6" x14ac:dyDescent="0.3">
      <c r="A769" s="4">
        <v>768</v>
      </c>
      <c r="B769" s="5">
        <v>5714605</v>
      </c>
      <c r="C769" s="4" t="s">
        <v>137</v>
      </c>
      <c r="D769" s="4" t="s">
        <v>26</v>
      </c>
      <c r="E769" s="4" t="s">
        <v>93</v>
      </c>
      <c r="F769" s="4" t="s">
        <v>2958</v>
      </c>
      <c r="G769" s="6">
        <v>3.2</v>
      </c>
      <c r="H769" s="7">
        <v>45340.646909722222</v>
      </c>
      <c r="I769" s="7" t="str">
        <f>TEXT(multilingual_mobile_app_reviews_2025[[#This Row],[Review_date]],"dd-mm-yyyy")</f>
        <v>18-02-2024</v>
      </c>
      <c r="J769" s="7" t="str">
        <f>TEXT(multilingual_mobile_app_reviews_2025[[#This Row],[Review_date]],"YYYY")</f>
        <v>2024</v>
      </c>
      <c r="K769" s="7" t="str">
        <f>TEXT(multilingual_mobile_app_reviews_2025[[#This Row],[Review_date]],"MMMM")</f>
        <v>February</v>
      </c>
      <c r="L769" s="4" t="b">
        <v>1</v>
      </c>
      <c r="M769" s="4" t="s">
        <v>33</v>
      </c>
      <c r="N769" s="5">
        <v>1227</v>
      </c>
      <c r="O769" s="5">
        <v>55</v>
      </c>
      <c r="P769" s="4" t="s">
        <v>28</v>
      </c>
      <c r="Q769" s="8" t="s">
        <v>5</v>
      </c>
      <c r="R769" s="4" t="s">
        <v>1017</v>
      </c>
      <c r="S769" s="4"/>
      <c r="T769"/>
      <c r="U769" s="23"/>
    </row>
    <row r="770" spans="1:21" ht="15.6" x14ac:dyDescent="0.3">
      <c r="A770" s="4">
        <v>769</v>
      </c>
      <c r="B770" s="5">
        <v>6144941</v>
      </c>
      <c r="C770" s="4" t="s">
        <v>0</v>
      </c>
      <c r="D770" s="4" t="s">
        <v>20</v>
      </c>
      <c r="E770" s="4" t="s">
        <v>9</v>
      </c>
      <c r="F770" s="4" t="s">
        <v>2954</v>
      </c>
      <c r="G770" s="6">
        <v>4.5999999999999996</v>
      </c>
      <c r="H770" s="7">
        <v>45574.115011574075</v>
      </c>
      <c r="I770" s="7" t="str">
        <f>TEXT(multilingual_mobile_app_reviews_2025[[#This Row],[Review_date]],"dd-mm-yyyy")</f>
        <v>09-10-2024</v>
      </c>
      <c r="J770" s="7" t="str">
        <f>TEXT(multilingual_mobile_app_reviews_2025[[#This Row],[Review_date]],"YYYY")</f>
        <v>2024</v>
      </c>
      <c r="K770" s="7" t="str">
        <f>TEXT(multilingual_mobile_app_reviews_2025[[#This Row],[Review_date]],"MMMM")</f>
        <v>October</v>
      </c>
      <c r="L770" s="4" t="b">
        <v>1</v>
      </c>
      <c r="M770" s="4" t="s">
        <v>33</v>
      </c>
      <c r="N770" s="5">
        <v>391</v>
      </c>
      <c r="O770" s="5">
        <v>35</v>
      </c>
      <c r="P770" s="4" t="s">
        <v>114</v>
      </c>
      <c r="Q770" s="8" t="s">
        <v>5</v>
      </c>
      <c r="R770" s="4" t="s">
        <v>1018</v>
      </c>
      <c r="S770" s="4"/>
      <c r="T770"/>
      <c r="U770" s="23"/>
    </row>
    <row r="771" spans="1:21" ht="15.6" x14ac:dyDescent="0.3">
      <c r="A771" s="4">
        <v>770</v>
      </c>
      <c r="B771" s="5">
        <v>4423737</v>
      </c>
      <c r="C771" s="4" t="s">
        <v>89</v>
      </c>
      <c r="D771" s="4" t="s">
        <v>31</v>
      </c>
      <c r="E771" s="4" t="s">
        <v>27</v>
      </c>
      <c r="F771" s="4" t="s">
        <v>2946</v>
      </c>
      <c r="G771" s="6">
        <v>3.3</v>
      </c>
      <c r="H771" s="7">
        <v>45406.179930555554</v>
      </c>
      <c r="I771" s="7" t="str">
        <f>TEXT(multilingual_mobile_app_reviews_2025[[#This Row],[Review_date]],"dd-mm-yyyy")</f>
        <v>24-04-2024</v>
      </c>
      <c r="J771" s="7" t="str">
        <f>TEXT(multilingual_mobile_app_reviews_2025[[#This Row],[Review_date]],"YYYY")</f>
        <v>2024</v>
      </c>
      <c r="K771" s="7" t="str">
        <f>TEXT(multilingual_mobile_app_reviews_2025[[#This Row],[Review_date]],"MMMM")</f>
        <v>April</v>
      </c>
      <c r="L771" s="4" t="b">
        <v>1</v>
      </c>
      <c r="M771" s="4" t="s">
        <v>22</v>
      </c>
      <c r="N771" s="5">
        <v>240</v>
      </c>
      <c r="O771" s="5">
        <v>59</v>
      </c>
      <c r="P771" s="4" t="s">
        <v>44</v>
      </c>
      <c r="Q771" s="8" t="s">
        <v>39</v>
      </c>
      <c r="R771" s="4" t="s">
        <v>1019</v>
      </c>
      <c r="S771" s="4"/>
      <c r="T771"/>
      <c r="U771" s="23"/>
    </row>
    <row r="772" spans="1:21" ht="15.6" x14ac:dyDescent="0.3">
      <c r="A772" s="4">
        <v>771</v>
      </c>
      <c r="B772" s="5">
        <v>7008201</v>
      </c>
      <c r="C772" s="4" t="s">
        <v>59</v>
      </c>
      <c r="D772" s="4" t="s">
        <v>79</v>
      </c>
      <c r="E772" s="4" t="s">
        <v>9</v>
      </c>
      <c r="F772" s="4" t="s">
        <v>2951</v>
      </c>
      <c r="G772" s="6">
        <v>3</v>
      </c>
      <c r="H772" s="7">
        <v>45233.046215277776</v>
      </c>
      <c r="I772" s="7" t="str">
        <f>TEXT(multilingual_mobile_app_reviews_2025[[#This Row],[Review_date]],"dd-mm-yyyy")</f>
        <v>03-11-2023</v>
      </c>
      <c r="J772" s="7" t="str">
        <f>TEXT(multilingual_mobile_app_reviews_2025[[#This Row],[Review_date]],"YYYY")</f>
        <v>2023</v>
      </c>
      <c r="K772" s="7" t="str">
        <f>TEXT(multilingual_mobile_app_reviews_2025[[#This Row],[Review_date]],"MMMM")</f>
        <v>November</v>
      </c>
      <c r="L772" s="4" t="b">
        <v>1</v>
      </c>
      <c r="M772" s="4" t="s">
        <v>98</v>
      </c>
      <c r="N772" s="5">
        <v>517</v>
      </c>
      <c r="O772" s="5">
        <v>20</v>
      </c>
      <c r="P772" s="4" t="s">
        <v>11</v>
      </c>
      <c r="Q772" s="8" t="s">
        <v>2963</v>
      </c>
      <c r="R772" s="4" t="s">
        <v>1020</v>
      </c>
      <c r="S772" s="4"/>
      <c r="T772"/>
      <c r="U772" s="23"/>
    </row>
    <row r="773" spans="1:21" ht="15.6" x14ac:dyDescent="0.3">
      <c r="A773" s="4">
        <v>772</v>
      </c>
      <c r="B773" s="5">
        <v>3437963</v>
      </c>
      <c r="C773" s="4" t="s">
        <v>69</v>
      </c>
      <c r="D773" s="4" t="s">
        <v>51</v>
      </c>
      <c r="E773" s="4" t="s">
        <v>109</v>
      </c>
      <c r="F773" s="4" t="s">
        <v>2945</v>
      </c>
      <c r="G773" s="6">
        <v>3.5</v>
      </c>
      <c r="H773" s="7">
        <v>45586.933831018519</v>
      </c>
      <c r="I773" s="7" t="str">
        <f>TEXT(multilingual_mobile_app_reviews_2025[[#This Row],[Review_date]],"dd-mm-yyyy")</f>
        <v>21-10-2024</v>
      </c>
      <c r="J773" s="7" t="str">
        <f>TEXT(multilingual_mobile_app_reviews_2025[[#This Row],[Review_date]],"YYYY")</f>
        <v>2024</v>
      </c>
      <c r="K773" s="7" t="str">
        <f>TEXT(multilingual_mobile_app_reviews_2025[[#This Row],[Review_date]],"MMMM")</f>
        <v>October</v>
      </c>
      <c r="L773" s="4" t="b">
        <v>1</v>
      </c>
      <c r="M773" s="4" t="s">
        <v>3</v>
      </c>
      <c r="N773" s="5">
        <v>1219</v>
      </c>
      <c r="O773" s="5">
        <v>19</v>
      </c>
      <c r="P773" s="4" t="s">
        <v>99</v>
      </c>
      <c r="Q773" s="8" t="s">
        <v>29</v>
      </c>
      <c r="R773" s="4" t="s">
        <v>1021</v>
      </c>
      <c r="S773" s="4"/>
      <c r="T773"/>
      <c r="U773" s="23"/>
    </row>
    <row r="774" spans="1:21" ht="15.6" x14ac:dyDescent="0.3">
      <c r="A774" s="4">
        <v>773</v>
      </c>
      <c r="B774" s="5">
        <v>9133494</v>
      </c>
      <c r="C774" s="4" t="s">
        <v>75</v>
      </c>
      <c r="D774" s="4" t="s">
        <v>63</v>
      </c>
      <c r="E774" s="4" t="s">
        <v>76</v>
      </c>
      <c r="F774" s="4" t="s">
        <v>2942</v>
      </c>
      <c r="G774" s="6">
        <v>4.7</v>
      </c>
      <c r="H774" s="7">
        <v>45274.446585648147</v>
      </c>
      <c r="I774" s="7" t="str">
        <f>TEXT(multilingual_mobile_app_reviews_2025[[#This Row],[Review_date]],"dd-mm-yyyy")</f>
        <v>14-12-2023</v>
      </c>
      <c r="J774" s="7" t="str">
        <f>TEXT(multilingual_mobile_app_reviews_2025[[#This Row],[Review_date]],"YYYY")</f>
        <v>2023</v>
      </c>
      <c r="K774" s="7" t="str">
        <f>TEXT(multilingual_mobile_app_reviews_2025[[#This Row],[Review_date]],"MMMM")</f>
        <v>December</v>
      </c>
      <c r="L774" s="4" t="b">
        <v>0</v>
      </c>
      <c r="M774" s="4" t="s">
        <v>3</v>
      </c>
      <c r="N774" s="5">
        <v>419</v>
      </c>
      <c r="O774" s="5">
        <v>15</v>
      </c>
      <c r="P774" s="4" t="s">
        <v>94</v>
      </c>
      <c r="Q774" s="8" t="s">
        <v>2963</v>
      </c>
      <c r="R774" s="4" t="s">
        <v>1022</v>
      </c>
      <c r="S774" s="4"/>
      <c r="T774"/>
      <c r="U774" s="23"/>
    </row>
    <row r="775" spans="1:21" ht="15.6" x14ac:dyDescent="0.3">
      <c r="A775" s="4">
        <v>774</v>
      </c>
      <c r="B775" s="5">
        <v>4874942</v>
      </c>
      <c r="C775" s="4" t="s">
        <v>67</v>
      </c>
      <c r="D775" s="4" t="s">
        <v>8</v>
      </c>
      <c r="E775" s="4" t="s">
        <v>1023</v>
      </c>
      <c r="F775" s="4" t="s">
        <v>2951</v>
      </c>
      <c r="G775" s="6">
        <v>1.1000000000000001</v>
      </c>
      <c r="H775" s="7">
        <v>45499.085162037038</v>
      </c>
      <c r="I775" s="7" t="str">
        <f>TEXT(multilingual_mobile_app_reviews_2025[[#This Row],[Review_date]],"dd-mm-yyyy")</f>
        <v>26-07-2024</v>
      </c>
      <c r="J775" s="7" t="str">
        <f>TEXT(multilingual_mobile_app_reviews_2025[[#This Row],[Review_date]],"YYYY")</f>
        <v>2024</v>
      </c>
      <c r="K775" s="7" t="str">
        <f>TEXT(multilingual_mobile_app_reviews_2025[[#This Row],[Review_date]],"MMMM")</f>
        <v>July</v>
      </c>
      <c r="L775" s="4" t="b">
        <v>0</v>
      </c>
      <c r="M775" s="4" t="s">
        <v>33</v>
      </c>
      <c r="N775" s="5">
        <v>648</v>
      </c>
      <c r="O775" s="5">
        <v>61</v>
      </c>
      <c r="P775" s="4" t="s">
        <v>17</v>
      </c>
      <c r="Q775" s="8" t="s">
        <v>5</v>
      </c>
      <c r="R775" s="4" t="s">
        <v>1024</v>
      </c>
      <c r="S775" s="4"/>
      <c r="T775"/>
      <c r="U775" s="23"/>
    </row>
    <row r="776" spans="1:21" ht="15.6" x14ac:dyDescent="0.3">
      <c r="A776" s="4">
        <v>775</v>
      </c>
      <c r="B776" s="5">
        <v>2530151</v>
      </c>
      <c r="C776" s="4" t="s">
        <v>106</v>
      </c>
      <c r="D776" s="4" t="s">
        <v>111</v>
      </c>
      <c r="E776" s="4" t="s">
        <v>1025</v>
      </c>
      <c r="F776" s="4" t="s">
        <v>2946</v>
      </c>
      <c r="G776" s="6">
        <v>3.4</v>
      </c>
      <c r="H776" s="7">
        <v>45453.274537037039</v>
      </c>
      <c r="I776" s="7" t="str">
        <f>TEXT(multilingual_mobile_app_reviews_2025[[#This Row],[Review_date]],"dd-mm-yyyy")</f>
        <v>10-06-2024</v>
      </c>
      <c r="J776" s="7" t="str">
        <f>TEXT(multilingual_mobile_app_reviews_2025[[#This Row],[Review_date]],"YYYY")</f>
        <v>2024</v>
      </c>
      <c r="K776" s="7" t="str">
        <f>TEXT(multilingual_mobile_app_reviews_2025[[#This Row],[Review_date]],"MMMM")</f>
        <v>June</v>
      </c>
      <c r="L776" s="4" t="b">
        <v>1</v>
      </c>
      <c r="M776" s="4" t="s">
        <v>22</v>
      </c>
      <c r="N776" s="5">
        <v>451</v>
      </c>
      <c r="O776" s="5">
        <v>30</v>
      </c>
      <c r="P776" s="4" t="s">
        <v>80</v>
      </c>
      <c r="Q776" s="8" t="s">
        <v>12</v>
      </c>
      <c r="R776" s="4" t="s">
        <v>812</v>
      </c>
      <c r="S776" s="4"/>
      <c r="T776"/>
      <c r="U776" s="23"/>
    </row>
    <row r="777" spans="1:21" ht="15.6" x14ac:dyDescent="0.3">
      <c r="A777" s="4">
        <v>776</v>
      </c>
      <c r="B777" s="5">
        <v>1427277</v>
      </c>
      <c r="C777" s="4" t="s">
        <v>113</v>
      </c>
      <c r="D777" s="4" t="s">
        <v>8</v>
      </c>
      <c r="E777" s="4" t="s">
        <v>32</v>
      </c>
      <c r="F777" s="4" t="s">
        <v>2955</v>
      </c>
      <c r="G777" s="6">
        <v>4</v>
      </c>
      <c r="H777" s="7">
        <v>45264.706990740742</v>
      </c>
      <c r="I777" s="7" t="str">
        <f>TEXT(multilingual_mobile_app_reviews_2025[[#This Row],[Review_date]],"dd-mm-yyyy")</f>
        <v>04-12-2023</v>
      </c>
      <c r="J777" s="7" t="str">
        <f>TEXT(multilingual_mobile_app_reviews_2025[[#This Row],[Review_date]],"YYYY")</f>
        <v>2023</v>
      </c>
      <c r="K777" s="7" t="str">
        <f>TEXT(multilingual_mobile_app_reviews_2025[[#This Row],[Review_date]],"MMMM")</f>
        <v>December</v>
      </c>
      <c r="L777" s="4" t="b">
        <v>1</v>
      </c>
      <c r="M777" s="4" t="s">
        <v>98</v>
      </c>
      <c r="N777" s="5">
        <v>1108</v>
      </c>
      <c r="O777" s="5">
        <v>61</v>
      </c>
      <c r="P777" s="4" t="s">
        <v>230</v>
      </c>
      <c r="Q777" s="8" t="s">
        <v>5</v>
      </c>
      <c r="R777" s="4" t="s">
        <v>1026</v>
      </c>
      <c r="S777" s="4"/>
      <c r="T777"/>
      <c r="U777" s="23"/>
    </row>
    <row r="778" spans="1:21" ht="15.6" x14ac:dyDescent="0.3">
      <c r="A778" s="4">
        <v>777</v>
      </c>
      <c r="B778" s="5">
        <v>3928861</v>
      </c>
      <c r="C778" s="4" t="s">
        <v>59</v>
      </c>
      <c r="D778" s="4" t="s">
        <v>97</v>
      </c>
      <c r="E778" s="4" t="s">
        <v>16</v>
      </c>
      <c r="F778" s="4" t="s">
        <v>2955</v>
      </c>
      <c r="G778" s="6">
        <v>4.3</v>
      </c>
      <c r="H778" s="7">
        <v>45382.366990740738</v>
      </c>
      <c r="I778" s="7" t="str">
        <f>TEXT(multilingual_mobile_app_reviews_2025[[#This Row],[Review_date]],"dd-mm-yyyy")</f>
        <v>31-03-2024</v>
      </c>
      <c r="J778" s="7" t="str">
        <f>TEXT(multilingual_mobile_app_reviews_2025[[#This Row],[Review_date]],"YYYY")</f>
        <v>2024</v>
      </c>
      <c r="K778" s="7" t="str">
        <f>TEXT(multilingual_mobile_app_reviews_2025[[#This Row],[Review_date]],"MMMM")</f>
        <v>March</v>
      </c>
      <c r="L778" s="4" t="b">
        <v>1</v>
      </c>
      <c r="M778" s="4" t="s">
        <v>3</v>
      </c>
      <c r="N778" s="5">
        <v>344</v>
      </c>
      <c r="O778" s="5">
        <v>63</v>
      </c>
      <c r="P778" s="4" t="s">
        <v>11</v>
      </c>
      <c r="Q778" s="8" t="s">
        <v>5</v>
      </c>
      <c r="R778" s="4" t="s">
        <v>736</v>
      </c>
      <c r="S778" s="4"/>
      <c r="T778"/>
      <c r="U778" s="23"/>
    </row>
    <row r="779" spans="1:21" ht="15.6" x14ac:dyDescent="0.3">
      <c r="A779" s="4">
        <v>778</v>
      </c>
      <c r="B779" s="5">
        <v>4988148</v>
      </c>
      <c r="C779" s="4" t="s">
        <v>101</v>
      </c>
      <c r="D779" s="4" t="s">
        <v>60</v>
      </c>
      <c r="E779" s="4" t="s">
        <v>1027</v>
      </c>
      <c r="F779" s="4" t="s">
        <v>2950</v>
      </c>
      <c r="G779" s="6">
        <v>2.4</v>
      </c>
      <c r="H779" s="7">
        <v>45721.218344907407</v>
      </c>
      <c r="I779" s="7" t="str">
        <f>TEXT(multilingual_mobile_app_reviews_2025[[#This Row],[Review_date]],"dd-mm-yyyy")</f>
        <v>05-03-2025</v>
      </c>
      <c r="J779" s="7" t="str">
        <f>TEXT(multilingual_mobile_app_reviews_2025[[#This Row],[Review_date]],"YYYY")</f>
        <v>2025</v>
      </c>
      <c r="K779" s="7" t="str">
        <f>TEXT(multilingual_mobile_app_reviews_2025[[#This Row],[Review_date]],"MMMM")</f>
        <v>March</v>
      </c>
      <c r="L779" s="4" t="b">
        <v>1</v>
      </c>
      <c r="M779" s="4" t="s">
        <v>3</v>
      </c>
      <c r="N779" s="5">
        <v>41</v>
      </c>
      <c r="O779" s="5">
        <v>44</v>
      </c>
      <c r="P779" s="4" t="s">
        <v>90</v>
      </c>
      <c r="Q779" s="8" t="s">
        <v>29</v>
      </c>
      <c r="R779" s="4" t="s">
        <v>1028</v>
      </c>
      <c r="S779" s="4"/>
      <c r="T779"/>
      <c r="U779" s="23"/>
    </row>
    <row r="780" spans="1:21" ht="15.6" x14ac:dyDescent="0.3">
      <c r="A780" s="4">
        <v>779</v>
      </c>
      <c r="B780" s="5">
        <v>3632803</v>
      </c>
      <c r="C780" s="4" t="s">
        <v>87</v>
      </c>
      <c r="D780" s="4" t="s">
        <v>60</v>
      </c>
      <c r="E780" s="4" t="s">
        <v>27</v>
      </c>
      <c r="F780" s="4" t="s">
        <v>2940</v>
      </c>
      <c r="G780" s="6">
        <v>4.9000000000000004</v>
      </c>
      <c r="H780" s="7">
        <v>45268.521458333336</v>
      </c>
      <c r="I780" s="7" t="str">
        <f>TEXT(multilingual_mobile_app_reviews_2025[[#This Row],[Review_date]],"dd-mm-yyyy")</f>
        <v>08-12-2023</v>
      </c>
      <c r="J780" s="7" t="str">
        <f>TEXT(multilingual_mobile_app_reviews_2025[[#This Row],[Review_date]],"YYYY")</f>
        <v>2023</v>
      </c>
      <c r="K780" s="7" t="str">
        <f>TEXT(multilingual_mobile_app_reviews_2025[[#This Row],[Review_date]],"MMMM")</f>
        <v>December</v>
      </c>
      <c r="L780" s="4" t="b">
        <v>1</v>
      </c>
      <c r="M780" s="4" t="s">
        <v>10</v>
      </c>
      <c r="N780" s="5">
        <v>98</v>
      </c>
      <c r="O780" s="5">
        <v>61</v>
      </c>
      <c r="P780" s="4" t="s">
        <v>17</v>
      </c>
      <c r="Q780" s="8" t="s">
        <v>12</v>
      </c>
      <c r="R780" s="4" t="s">
        <v>1029</v>
      </c>
      <c r="S780" s="4"/>
      <c r="T780"/>
      <c r="U780" s="23"/>
    </row>
    <row r="781" spans="1:21" ht="15.6" x14ac:dyDescent="0.3">
      <c r="A781" s="4">
        <v>780</v>
      </c>
      <c r="B781" s="5">
        <v>1828209</v>
      </c>
      <c r="C781" s="4" t="s">
        <v>41</v>
      </c>
      <c r="D781" s="4" t="s">
        <v>111</v>
      </c>
      <c r="E781" s="4" t="s">
        <v>76</v>
      </c>
      <c r="F781" s="4" t="s">
        <v>2953</v>
      </c>
      <c r="G781" s="6">
        <v>2.6</v>
      </c>
      <c r="H781" s="7">
        <v>45213.097037037034</v>
      </c>
      <c r="I781" s="7" t="str">
        <f>TEXT(multilingual_mobile_app_reviews_2025[[#This Row],[Review_date]],"dd-mm-yyyy")</f>
        <v>14-10-2023</v>
      </c>
      <c r="J781" s="7" t="str">
        <f>TEXT(multilingual_mobile_app_reviews_2025[[#This Row],[Review_date]],"YYYY")</f>
        <v>2023</v>
      </c>
      <c r="K781" s="7" t="str">
        <f>TEXT(multilingual_mobile_app_reviews_2025[[#This Row],[Review_date]],"MMMM")</f>
        <v>October</v>
      </c>
      <c r="L781" s="4" t="b">
        <v>1</v>
      </c>
      <c r="M781" s="4" t="s">
        <v>22</v>
      </c>
      <c r="N781" s="5">
        <v>1066</v>
      </c>
      <c r="O781" s="5">
        <v>17</v>
      </c>
      <c r="P781" s="4" t="s">
        <v>17</v>
      </c>
      <c r="Q781" s="8" t="s">
        <v>12</v>
      </c>
      <c r="R781" s="4" t="s">
        <v>1030</v>
      </c>
      <c r="S781" s="4"/>
      <c r="T781"/>
      <c r="U781" s="23"/>
    </row>
    <row r="782" spans="1:21" ht="15.6" x14ac:dyDescent="0.3">
      <c r="A782" s="4">
        <v>781</v>
      </c>
      <c r="B782" s="5">
        <v>8038740</v>
      </c>
      <c r="C782" s="4" t="s">
        <v>92</v>
      </c>
      <c r="D782" s="4" t="s">
        <v>71</v>
      </c>
      <c r="E782" s="4" t="s">
        <v>27</v>
      </c>
      <c r="F782" s="4" t="s">
        <v>2955</v>
      </c>
      <c r="G782" s="6">
        <v>3.9</v>
      </c>
      <c r="H782" s="7">
        <v>45564.859351851854</v>
      </c>
      <c r="I782" s="7" t="str">
        <f>TEXT(multilingual_mobile_app_reviews_2025[[#This Row],[Review_date]],"dd-mm-yyyy")</f>
        <v>29-09-2024</v>
      </c>
      <c r="J782" s="7" t="str">
        <f>TEXT(multilingual_mobile_app_reviews_2025[[#This Row],[Review_date]],"YYYY")</f>
        <v>2024</v>
      </c>
      <c r="K782" s="7" t="str">
        <f>TEXT(multilingual_mobile_app_reviews_2025[[#This Row],[Review_date]],"MMMM")</f>
        <v>September</v>
      </c>
      <c r="L782" s="4" t="b">
        <v>1</v>
      </c>
      <c r="M782" s="4" t="s">
        <v>98</v>
      </c>
      <c r="N782" s="5">
        <v>207</v>
      </c>
      <c r="O782" s="5">
        <v>30</v>
      </c>
      <c r="P782" s="4" t="s">
        <v>65</v>
      </c>
      <c r="Q782" s="8" t="s">
        <v>2963</v>
      </c>
      <c r="R782" s="4" t="s">
        <v>292</v>
      </c>
      <c r="S782" s="4"/>
      <c r="T782"/>
      <c r="U782" s="23"/>
    </row>
    <row r="783" spans="1:21" ht="15.6" x14ac:dyDescent="0.3">
      <c r="A783" s="4">
        <v>782</v>
      </c>
      <c r="B783" s="5">
        <v>542329</v>
      </c>
      <c r="C783" s="4" t="s">
        <v>92</v>
      </c>
      <c r="D783" s="4" t="s">
        <v>8</v>
      </c>
      <c r="E783" s="4" t="s">
        <v>109</v>
      </c>
      <c r="F783" s="4" t="s">
        <v>2948</v>
      </c>
      <c r="G783" s="6">
        <v>3</v>
      </c>
      <c r="H783" s="7">
        <v>45737.680185185185</v>
      </c>
      <c r="I783" s="7" t="str">
        <f>TEXT(multilingual_mobile_app_reviews_2025[[#This Row],[Review_date]],"dd-mm-yyyy")</f>
        <v>21-03-2025</v>
      </c>
      <c r="J783" s="7" t="str">
        <f>TEXT(multilingual_mobile_app_reviews_2025[[#This Row],[Review_date]],"YYYY")</f>
        <v>2025</v>
      </c>
      <c r="K783" s="7" t="str">
        <f>TEXT(multilingual_mobile_app_reviews_2025[[#This Row],[Review_date]],"MMMM")</f>
        <v>March</v>
      </c>
      <c r="L783" s="4" t="b">
        <v>1</v>
      </c>
      <c r="M783" s="4" t="s">
        <v>98</v>
      </c>
      <c r="N783" s="5">
        <v>806</v>
      </c>
      <c r="O783" s="5">
        <v>21</v>
      </c>
      <c r="P783" s="4" t="s">
        <v>65</v>
      </c>
      <c r="Q783" s="8" t="s">
        <v>12</v>
      </c>
      <c r="R783" s="4" t="s">
        <v>1031</v>
      </c>
      <c r="S783" s="4"/>
      <c r="T783"/>
      <c r="U783" s="23"/>
    </row>
    <row r="784" spans="1:21" ht="15.6" x14ac:dyDescent="0.3">
      <c r="A784" s="4">
        <v>783</v>
      </c>
      <c r="B784" s="5">
        <v>8890972</v>
      </c>
      <c r="C784" s="4" t="s">
        <v>19</v>
      </c>
      <c r="D784" s="4" t="s">
        <v>57</v>
      </c>
      <c r="E784" s="4" t="s">
        <v>93</v>
      </c>
      <c r="F784" s="4" t="s">
        <v>2940</v>
      </c>
      <c r="G784" s="6">
        <v>1.3</v>
      </c>
      <c r="H784" s="7">
        <v>45733.068518518521</v>
      </c>
      <c r="I784" s="7" t="str">
        <f>TEXT(multilingual_mobile_app_reviews_2025[[#This Row],[Review_date]],"dd-mm-yyyy")</f>
        <v>17-03-2025</v>
      </c>
      <c r="J784" s="7" t="str">
        <f>TEXT(multilingual_mobile_app_reviews_2025[[#This Row],[Review_date]],"YYYY")</f>
        <v>2025</v>
      </c>
      <c r="K784" s="7" t="str">
        <f>TEXT(multilingual_mobile_app_reviews_2025[[#This Row],[Review_date]],"MMMM")</f>
        <v>March</v>
      </c>
      <c r="L784" s="4" t="b">
        <v>1</v>
      </c>
      <c r="M784" s="4" t="s">
        <v>3</v>
      </c>
      <c r="N784" s="5">
        <v>278</v>
      </c>
      <c r="O784" s="5">
        <v>13</v>
      </c>
      <c r="P784" s="4" t="s">
        <v>114</v>
      </c>
      <c r="Q784" s="8" t="s">
        <v>29</v>
      </c>
      <c r="R784" s="4" t="s">
        <v>30</v>
      </c>
      <c r="S784" s="4"/>
      <c r="T784"/>
      <c r="U784" s="23"/>
    </row>
    <row r="785" spans="1:21" ht="15.6" x14ac:dyDescent="0.3">
      <c r="A785" s="4">
        <v>784</v>
      </c>
      <c r="B785" s="5">
        <v>1843629</v>
      </c>
      <c r="C785" s="4" t="s">
        <v>41</v>
      </c>
      <c r="D785" s="4" t="s">
        <v>57</v>
      </c>
      <c r="E785" s="4" t="s">
        <v>1032</v>
      </c>
      <c r="F785" s="4" t="s">
        <v>2944</v>
      </c>
      <c r="G785" s="6">
        <v>3.1</v>
      </c>
      <c r="H785" s="7">
        <v>45416.045057870368</v>
      </c>
      <c r="I785" s="7" t="str">
        <f>TEXT(multilingual_mobile_app_reviews_2025[[#This Row],[Review_date]],"dd-mm-yyyy")</f>
        <v>04-05-2024</v>
      </c>
      <c r="J785" s="7" t="str">
        <f>TEXT(multilingual_mobile_app_reviews_2025[[#This Row],[Review_date]],"YYYY")</f>
        <v>2024</v>
      </c>
      <c r="K785" s="7" t="str">
        <f>TEXT(multilingual_mobile_app_reviews_2025[[#This Row],[Review_date]],"MMMM")</f>
        <v>May</v>
      </c>
      <c r="L785" s="4" t="b">
        <v>1</v>
      </c>
      <c r="M785" s="4" t="s">
        <v>3</v>
      </c>
      <c r="N785" s="5">
        <v>341</v>
      </c>
      <c r="O785" s="5">
        <v>45</v>
      </c>
      <c r="P785" s="4" t="s">
        <v>99</v>
      </c>
      <c r="Q785" s="8" t="s">
        <v>5</v>
      </c>
      <c r="R785" s="4" t="s">
        <v>1033</v>
      </c>
      <c r="S785" s="4"/>
      <c r="T785"/>
      <c r="U785" s="23"/>
    </row>
    <row r="786" spans="1:21" ht="15.6" x14ac:dyDescent="0.3">
      <c r="A786" s="4">
        <v>785</v>
      </c>
      <c r="B786" s="5">
        <v>8088550</v>
      </c>
      <c r="C786" s="4" t="s">
        <v>137</v>
      </c>
      <c r="D786" s="4" t="s">
        <v>157</v>
      </c>
      <c r="E786" s="4" t="s">
        <v>27</v>
      </c>
      <c r="F786" s="4" t="s">
        <v>2939</v>
      </c>
      <c r="G786" s="6">
        <v>1.9</v>
      </c>
      <c r="H786" s="7">
        <v>45501.758171296293</v>
      </c>
      <c r="I786" s="7" t="str">
        <f>TEXT(multilingual_mobile_app_reviews_2025[[#This Row],[Review_date]],"dd-mm-yyyy")</f>
        <v>28-07-2024</v>
      </c>
      <c r="J786" s="7" t="str">
        <f>TEXT(multilingual_mobile_app_reviews_2025[[#This Row],[Review_date]],"YYYY")</f>
        <v>2024</v>
      </c>
      <c r="K786" s="7" t="str">
        <f>TEXT(multilingual_mobile_app_reviews_2025[[#This Row],[Review_date]],"MMMM")</f>
        <v>July</v>
      </c>
      <c r="L786" s="4" t="b">
        <v>1</v>
      </c>
      <c r="M786" s="4" t="s">
        <v>22</v>
      </c>
      <c r="N786" s="5">
        <v>921</v>
      </c>
      <c r="O786" s="5">
        <v>68</v>
      </c>
      <c r="P786" s="4" t="s">
        <v>28</v>
      </c>
      <c r="Q786" s="8" t="s">
        <v>2963</v>
      </c>
      <c r="R786" s="4" t="s">
        <v>1034</v>
      </c>
      <c r="S786" s="4"/>
      <c r="T786"/>
      <c r="U786" s="23"/>
    </row>
    <row r="787" spans="1:21" ht="15.6" x14ac:dyDescent="0.3">
      <c r="A787" s="4">
        <v>786</v>
      </c>
      <c r="B787" s="5">
        <v>4670355</v>
      </c>
      <c r="C787" s="4" t="s">
        <v>104</v>
      </c>
      <c r="D787" s="4" t="s">
        <v>111</v>
      </c>
      <c r="E787" s="4" t="s">
        <v>1035</v>
      </c>
      <c r="F787" s="4" t="s">
        <v>2945</v>
      </c>
      <c r="G787" s="6">
        <v>4.8</v>
      </c>
      <c r="H787" s="7">
        <v>45576.937974537039</v>
      </c>
      <c r="I787" s="7" t="str">
        <f>TEXT(multilingual_mobile_app_reviews_2025[[#This Row],[Review_date]],"dd-mm-yyyy")</f>
        <v>11-10-2024</v>
      </c>
      <c r="J787" s="7" t="str">
        <f>TEXT(multilingual_mobile_app_reviews_2025[[#This Row],[Review_date]],"YYYY")</f>
        <v>2024</v>
      </c>
      <c r="K787" s="7" t="str">
        <f>TEXT(multilingual_mobile_app_reviews_2025[[#This Row],[Review_date]],"MMMM")</f>
        <v>October</v>
      </c>
      <c r="L787" s="4" t="b">
        <v>1</v>
      </c>
      <c r="M787" s="4" t="s">
        <v>22</v>
      </c>
      <c r="N787" s="5">
        <v>298</v>
      </c>
      <c r="O787" s="5">
        <v>70</v>
      </c>
      <c r="P787" s="4" t="s">
        <v>38</v>
      </c>
      <c r="Q787" s="8" t="s">
        <v>12</v>
      </c>
      <c r="R787" s="4" t="s">
        <v>1036</v>
      </c>
      <c r="S787" s="4"/>
      <c r="T787"/>
      <c r="U787" s="23"/>
    </row>
    <row r="788" spans="1:21" ht="15.6" x14ac:dyDescent="0.3">
      <c r="A788" s="4">
        <v>787</v>
      </c>
      <c r="B788" s="5">
        <v>8882198</v>
      </c>
      <c r="C788" s="4" t="s">
        <v>165</v>
      </c>
      <c r="D788" s="4" t="s">
        <v>20</v>
      </c>
      <c r="E788" s="4" t="s">
        <v>2938</v>
      </c>
      <c r="F788" s="4" t="s">
        <v>2941</v>
      </c>
      <c r="G788" s="6">
        <v>2.4</v>
      </c>
      <c r="H788" s="7">
        <v>45635.815138888887</v>
      </c>
      <c r="I788" s="7" t="str">
        <f>TEXT(multilingual_mobile_app_reviews_2025[[#This Row],[Review_date]],"dd-mm-yyyy")</f>
        <v>09-12-2024</v>
      </c>
      <c r="J788" s="7" t="str">
        <f>TEXT(multilingual_mobile_app_reviews_2025[[#This Row],[Review_date]],"YYYY")</f>
        <v>2024</v>
      </c>
      <c r="K788" s="7" t="str">
        <f>TEXT(multilingual_mobile_app_reviews_2025[[#This Row],[Review_date]],"MMMM")</f>
        <v>December</v>
      </c>
      <c r="L788" s="4" t="b">
        <v>0</v>
      </c>
      <c r="M788" s="4" t="s">
        <v>22</v>
      </c>
      <c r="N788" s="5">
        <v>635</v>
      </c>
      <c r="O788" s="5">
        <v>72</v>
      </c>
      <c r="P788" s="4" t="s">
        <v>85</v>
      </c>
      <c r="Q788" s="8" t="s">
        <v>5</v>
      </c>
      <c r="R788" s="4" t="s">
        <v>1037</v>
      </c>
      <c r="S788" s="4"/>
      <c r="T788"/>
      <c r="U788" s="23"/>
    </row>
    <row r="789" spans="1:21" ht="15.6" x14ac:dyDescent="0.3">
      <c r="A789" s="4">
        <v>788</v>
      </c>
      <c r="B789" s="5">
        <v>9055411</v>
      </c>
      <c r="C789" s="4" t="s">
        <v>192</v>
      </c>
      <c r="D789" s="4" t="s">
        <v>220</v>
      </c>
      <c r="E789" s="4" t="s">
        <v>93</v>
      </c>
      <c r="F789" s="4" t="s">
        <v>2946</v>
      </c>
      <c r="G789" s="6">
        <v>2.4</v>
      </c>
      <c r="H789" s="7">
        <v>45379.399328703701</v>
      </c>
      <c r="I789" s="7" t="str">
        <f>TEXT(multilingual_mobile_app_reviews_2025[[#This Row],[Review_date]],"dd-mm-yyyy")</f>
        <v>28-03-2024</v>
      </c>
      <c r="J789" s="7" t="str">
        <f>TEXT(multilingual_mobile_app_reviews_2025[[#This Row],[Review_date]],"YYYY")</f>
        <v>2024</v>
      </c>
      <c r="K789" s="7" t="str">
        <f>TEXT(multilingual_mobile_app_reviews_2025[[#This Row],[Review_date]],"MMMM")</f>
        <v>March</v>
      </c>
      <c r="L789" s="4" t="b">
        <v>1</v>
      </c>
      <c r="M789" s="4" t="s">
        <v>10</v>
      </c>
      <c r="N789" s="5">
        <v>583</v>
      </c>
      <c r="O789" s="5">
        <v>36</v>
      </c>
      <c r="P789" s="4" t="s">
        <v>23</v>
      </c>
      <c r="Q789" s="8" t="s">
        <v>2963</v>
      </c>
      <c r="R789" s="4" t="s">
        <v>1038</v>
      </c>
      <c r="S789" s="4"/>
      <c r="T789"/>
      <c r="U789" s="23"/>
    </row>
    <row r="790" spans="1:21" ht="15.6" x14ac:dyDescent="0.3">
      <c r="A790" s="4">
        <v>789</v>
      </c>
      <c r="B790" s="5">
        <v>8180774</v>
      </c>
      <c r="C790" s="4" t="s">
        <v>46</v>
      </c>
      <c r="D790" s="4" t="s">
        <v>97</v>
      </c>
      <c r="E790" s="4" t="s">
        <v>1039</v>
      </c>
      <c r="F790" s="4" t="s">
        <v>2951</v>
      </c>
      <c r="G790" s="6">
        <v>1.6</v>
      </c>
      <c r="H790" s="7">
        <v>45725.671261574076</v>
      </c>
      <c r="I790" s="7" t="str">
        <f>TEXT(multilingual_mobile_app_reviews_2025[[#This Row],[Review_date]],"dd-mm-yyyy")</f>
        <v>09-03-2025</v>
      </c>
      <c r="J790" s="7" t="str">
        <f>TEXT(multilingual_mobile_app_reviews_2025[[#This Row],[Review_date]],"YYYY")</f>
        <v>2025</v>
      </c>
      <c r="K790" s="7" t="str">
        <f>TEXT(multilingual_mobile_app_reviews_2025[[#This Row],[Review_date]],"MMMM")</f>
        <v>March</v>
      </c>
      <c r="L790" s="4" t="b">
        <v>1</v>
      </c>
      <c r="M790" s="4" t="s">
        <v>22</v>
      </c>
      <c r="N790" s="5">
        <v>190</v>
      </c>
      <c r="O790" s="5">
        <v>52</v>
      </c>
      <c r="P790" s="4" t="s">
        <v>11</v>
      </c>
      <c r="Q790" s="8" t="s">
        <v>39</v>
      </c>
      <c r="R790" s="4" t="s">
        <v>1040</v>
      </c>
      <c r="S790" s="4"/>
      <c r="T790"/>
      <c r="U790" s="23"/>
    </row>
    <row r="791" spans="1:21" ht="15.6" x14ac:dyDescent="0.3">
      <c r="A791" s="4">
        <v>790</v>
      </c>
      <c r="B791" s="5">
        <v>5126630</v>
      </c>
      <c r="C791" s="4" t="s">
        <v>25</v>
      </c>
      <c r="D791" s="4" t="s">
        <v>220</v>
      </c>
      <c r="E791" s="4" t="s">
        <v>27</v>
      </c>
      <c r="F791" s="4" t="s">
        <v>2939</v>
      </c>
      <c r="G791" s="6">
        <v>5</v>
      </c>
      <c r="H791" s="7">
        <v>45145.971770833334</v>
      </c>
      <c r="I791" s="7" t="str">
        <f>TEXT(multilingual_mobile_app_reviews_2025[[#This Row],[Review_date]],"dd-mm-yyyy")</f>
        <v>07-08-2023</v>
      </c>
      <c r="J791" s="7" t="str">
        <f>TEXT(multilingual_mobile_app_reviews_2025[[#This Row],[Review_date]],"YYYY")</f>
        <v>2023</v>
      </c>
      <c r="K791" s="7" t="str">
        <f>TEXT(multilingual_mobile_app_reviews_2025[[#This Row],[Review_date]],"MMMM")</f>
        <v>August</v>
      </c>
      <c r="L791" s="4" t="b">
        <v>0</v>
      </c>
      <c r="M791" s="4" t="s">
        <v>22</v>
      </c>
      <c r="N791" s="5">
        <v>76</v>
      </c>
      <c r="O791" s="5">
        <v>29</v>
      </c>
      <c r="P791" s="4" t="s">
        <v>44</v>
      </c>
      <c r="Q791" s="8" t="s">
        <v>29</v>
      </c>
      <c r="R791" s="4" t="s">
        <v>1041</v>
      </c>
      <c r="S791" s="4"/>
      <c r="T791"/>
      <c r="U791" s="23"/>
    </row>
    <row r="792" spans="1:21" ht="15.6" x14ac:dyDescent="0.3">
      <c r="A792" s="4">
        <v>791</v>
      </c>
      <c r="B792" s="5">
        <v>7321506</v>
      </c>
      <c r="C792" s="4" t="s">
        <v>14</v>
      </c>
      <c r="D792" s="4" t="s">
        <v>20</v>
      </c>
      <c r="E792" s="4" t="s">
        <v>1042</v>
      </c>
      <c r="F792" s="4" t="s">
        <v>2949</v>
      </c>
      <c r="G792" s="6">
        <v>3.2</v>
      </c>
      <c r="H792" s="7">
        <v>45642.549745370372</v>
      </c>
      <c r="I792" s="7" t="str">
        <f>TEXT(multilingual_mobile_app_reviews_2025[[#This Row],[Review_date]],"dd-mm-yyyy")</f>
        <v>16-12-2024</v>
      </c>
      <c r="J792" s="7" t="str">
        <f>TEXT(multilingual_mobile_app_reviews_2025[[#This Row],[Review_date]],"YYYY")</f>
        <v>2024</v>
      </c>
      <c r="K792" s="7" t="str">
        <f>TEXT(multilingual_mobile_app_reviews_2025[[#This Row],[Review_date]],"MMMM")</f>
        <v>December</v>
      </c>
      <c r="L792" s="4" t="b">
        <v>0</v>
      </c>
      <c r="M792" s="4" t="s">
        <v>10</v>
      </c>
      <c r="N792" s="5">
        <v>668</v>
      </c>
      <c r="O792" s="5">
        <v>46</v>
      </c>
      <c r="P792" s="4" t="s">
        <v>180</v>
      </c>
      <c r="Q792" s="8" t="s">
        <v>2963</v>
      </c>
      <c r="R792" s="4" t="s">
        <v>1043</v>
      </c>
      <c r="S792" s="4"/>
      <c r="T792"/>
      <c r="U792" s="23"/>
    </row>
    <row r="793" spans="1:21" ht="15.6" x14ac:dyDescent="0.3">
      <c r="A793" s="4">
        <v>792</v>
      </c>
      <c r="B793" s="5">
        <v>9024543</v>
      </c>
      <c r="C793" s="4" t="s">
        <v>132</v>
      </c>
      <c r="D793" s="4" t="s">
        <v>157</v>
      </c>
      <c r="E793" s="4" t="s">
        <v>32</v>
      </c>
      <c r="F793" s="4" t="s">
        <v>2940</v>
      </c>
      <c r="G793" s="6">
        <v>4.8</v>
      </c>
      <c r="H793" s="7">
        <v>45767.09851851852</v>
      </c>
      <c r="I793" s="7" t="str">
        <f>TEXT(multilingual_mobile_app_reviews_2025[[#This Row],[Review_date]],"dd-mm-yyyy")</f>
        <v>20-04-2025</v>
      </c>
      <c r="J793" s="7" t="str">
        <f>TEXT(multilingual_mobile_app_reviews_2025[[#This Row],[Review_date]],"YYYY")</f>
        <v>2025</v>
      </c>
      <c r="K793" s="7" t="str">
        <f>TEXT(multilingual_mobile_app_reviews_2025[[#This Row],[Review_date]],"MMMM")</f>
        <v>April</v>
      </c>
      <c r="L793" s="4" t="b">
        <v>1</v>
      </c>
      <c r="M793" s="4" t="s">
        <v>10</v>
      </c>
      <c r="N793" s="5">
        <v>527</v>
      </c>
      <c r="O793" s="5">
        <v>19</v>
      </c>
      <c r="P793" s="4" t="s">
        <v>180</v>
      </c>
      <c r="Q793" s="8" t="s">
        <v>2963</v>
      </c>
      <c r="R793" s="4" t="s">
        <v>1044</v>
      </c>
      <c r="S793" s="4"/>
      <c r="T793"/>
      <c r="U793" s="23"/>
    </row>
    <row r="794" spans="1:21" ht="15.6" x14ac:dyDescent="0.3">
      <c r="A794" s="4">
        <v>793</v>
      </c>
      <c r="B794" s="5">
        <v>7027377</v>
      </c>
      <c r="C794" s="4" t="s">
        <v>134</v>
      </c>
      <c r="D794" s="4" t="s">
        <v>51</v>
      </c>
      <c r="E794" s="4" t="s">
        <v>21</v>
      </c>
      <c r="F794" s="4" t="s">
        <v>2941</v>
      </c>
      <c r="G794" s="6">
        <v>2</v>
      </c>
      <c r="H794" s="7">
        <v>45284.902673611112</v>
      </c>
      <c r="I794" s="7" t="str">
        <f>TEXT(multilingual_mobile_app_reviews_2025[[#This Row],[Review_date]],"dd-mm-yyyy")</f>
        <v>24-12-2023</v>
      </c>
      <c r="J794" s="7" t="str">
        <f>TEXT(multilingual_mobile_app_reviews_2025[[#This Row],[Review_date]],"YYYY")</f>
        <v>2023</v>
      </c>
      <c r="K794" s="7" t="str">
        <f>TEXT(multilingual_mobile_app_reviews_2025[[#This Row],[Review_date]],"MMMM")</f>
        <v>December</v>
      </c>
      <c r="L794" s="4" t="b">
        <v>1</v>
      </c>
      <c r="M794" s="4" t="s">
        <v>33</v>
      </c>
      <c r="N794" s="5">
        <v>985</v>
      </c>
      <c r="O794" s="5">
        <v>73</v>
      </c>
      <c r="P794" s="4" t="s">
        <v>94</v>
      </c>
      <c r="Q794" s="8" t="s">
        <v>12</v>
      </c>
      <c r="R794" s="4" t="s">
        <v>1045</v>
      </c>
      <c r="S794" s="4"/>
      <c r="T794"/>
      <c r="U794" s="23"/>
    </row>
    <row r="795" spans="1:21" ht="15.6" x14ac:dyDescent="0.3">
      <c r="A795" s="4">
        <v>794</v>
      </c>
      <c r="B795" s="5">
        <v>3160284</v>
      </c>
      <c r="C795" s="4" t="s">
        <v>7</v>
      </c>
      <c r="D795" s="4" t="s">
        <v>60</v>
      </c>
      <c r="E795" s="4" t="s">
        <v>130</v>
      </c>
      <c r="F795" s="4" t="s">
        <v>2960</v>
      </c>
      <c r="G795" s="6">
        <v>3.4</v>
      </c>
      <c r="H795" s="7">
        <v>45244.997291666667</v>
      </c>
      <c r="I795" s="7" t="str">
        <f>TEXT(multilingual_mobile_app_reviews_2025[[#This Row],[Review_date]],"dd-mm-yyyy")</f>
        <v>14-11-2023</v>
      </c>
      <c r="J795" s="7" t="str">
        <f>TEXT(multilingual_mobile_app_reviews_2025[[#This Row],[Review_date]],"YYYY")</f>
        <v>2023</v>
      </c>
      <c r="K795" s="7" t="str">
        <f>TEXT(multilingual_mobile_app_reviews_2025[[#This Row],[Review_date]],"MMMM")</f>
        <v>November</v>
      </c>
      <c r="L795" s="4" t="b">
        <v>1</v>
      </c>
      <c r="M795" s="4" t="s">
        <v>3</v>
      </c>
      <c r="N795" s="5">
        <v>880</v>
      </c>
      <c r="O795" s="5">
        <v>67</v>
      </c>
      <c r="P795" s="4" t="s">
        <v>17</v>
      </c>
      <c r="Q795" s="8" t="s">
        <v>39</v>
      </c>
      <c r="R795" s="4" t="s">
        <v>1046</v>
      </c>
      <c r="S795" s="4"/>
      <c r="T795"/>
      <c r="U795" s="23"/>
    </row>
    <row r="796" spans="1:21" ht="15.6" x14ac:dyDescent="0.3">
      <c r="A796" s="4">
        <v>795</v>
      </c>
      <c r="B796" s="5">
        <v>1951472</v>
      </c>
      <c r="C796" s="4" t="s">
        <v>106</v>
      </c>
      <c r="D796" s="4" t="s">
        <v>1</v>
      </c>
      <c r="E796" s="4" t="s">
        <v>130</v>
      </c>
      <c r="F796" s="4" t="s">
        <v>2941</v>
      </c>
      <c r="G796" s="6">
        <v>4.7</v>
      </c>
      <c r="H796" s="7">
        <v>45633.567465277774</v>
      </c>
      <c r="I796" s="7" t="str">
        <f>TEXT(multilingual_mobile_app_reviews_2025[[#This Row],[Review_date]],"dd-mm-yyyy")</f>
        <v>07-12-2024</v>
      </c>
      <c r="J796" s="7" t="str">
        <f>TEXT(multilingual_mobile_app_reviews_2025[[#This Row],[Review_date]],"YYYY")</f>
        <v>2024</v>
      </c>
      <c r="K796" s="7" t="str">
        <f>TEXT(multilingual_mobile_app_reviews_2025[[#This Row],[Review_date]],"MMMM")</f>
        <v>December</v>
      </c>
      <c r="L796" s="4" t="b">
        <v>1</v>
      </c>
      <c r="M796" s="4" t="s">
        <v>22</v>
      </c>
      <c r="N796" s="5">
        <v>105</v>
      </c>
      <c r="O796" s="5">
        <v>13</v>
      </c>
      <c r="P796" s="4" t="s">
        <v>99</v>
      </c>
      <c r="Q796" s="8" t="s">
        <v>5</v>
      </c>
      <c r="R796" s="4" t="s">
        <v>246</v>
      </c>
      <c r="S796" s="4"/>
      <c r="T796"/>
      <c r="U796" s="23"/>
    </row>
    <row r="797" spans="1:21" ht="15.6" x14ac:dyDescent="0.3">
      <c r="A797" s="4">
        <v>796</v>
      </c>
      <c r="B797" s="5">
        <v>7696173</v>
      </c>
      <c r="C797" s="4" t="s">
        <v>84</v>
      </c>
      <c r="D797" s="4" t="s">
        <v>20</v>
      </c>
      <c r="E797" s="4" t="s">
        <v>93</v>
      </c>
      <c r="F797" s="4" t="s">
        <v>2941</v>
      </c>
      <c r="G797" s="6">
        <v>5</v>
      </c>
      <c r="H797" s="7">
        <v>45350.251099537039</v>
      </c>
      <c r="I797" s="7" t="str">
        <f>TEXT(multilingual_mobile_app_reviews_2025[[#This Row],[Review_date]],"dd-mm-yyyy")</f>
        <v>28-02-2024</v>
      </c>
      <c r="J797" s="7" t="str">
        <f>TEXT(multilingual_mobile_app_reviews_2025[[#This Row],[Review_date]],"YYYY")</f>
        <v>2024</v>
      </c>
      <c r="K797" s="7" t="str">
        <f>TEXT(multilingual_mobile_app_reviews_2025[[#This Row],[Review_date]],"MMMM")</f>
        <v>February</v>
      </c>
      <c r="L797" s="4" t="b">
        <v>0</v>
      </c>
      <c r="M797" s="4" t="s">
        <v>33</v>
      </c>
      <c r="N797" s="5">
        <v>0</v>
      </c>
      <c r="O797" s="5">
        <v>65</v>
      </c>
      <c r="P797" s="4" t="s">
        <v>127</v>
      </c>
      <c r="Q797" s="8" t="s">
        <v>5</v>
      </c>
      <c r="R797" s="4" t="s">
        <v>1047</v>
      </c>
      <c r="S797" s="4"/>
      <c r="T797"/>
      <c r="U797" s="23"/>
    </row>
    <row r="798" spans="1:21" ht="15.6" x14ac:dyDescent="0.3">
      <c r="A798" s="4">
        <v>797</v>
      </c>
      <c r="B798" s="5">
        <v>8354323</v>
      </c>
      <c r="C798" s="4" t="s">
        <v>41</v>
      </c>
      <c r="D798" s="4" t="s">
        <v>20</v>
      </c>
      <c r="E798" s="4" t="s">
        <v>21</v>
      </c>
      <c r="F798" s="4" t="s">
        <v>2952</v>
      </c>
      <c r="G798" s="6">
        <v>3.6</v>
      </c>
      <c r="H798" s="7">
        <v>45284.738645833335</v>
      </c>
      <c r="I798" s="7" t="str">
        <f>TEXT(multilingual_mobile_app_reviews_2025[[#This Row],[Review_date]],"dd-mm-yyyy")</f>
        <v>24-12-2023</v>
      </c>
      <c r="J798" s="7" t="str">
        <f>TEXT(multilingual_mobile_app_reviews_2025[[#This Row],[Review_date]],"YYYY")</f>
        <v>2023</v>
      </c>
      <c r="K798" s="7" t="str">
        <f>TEXT(multilingual_mobile_app_reviews_2025[[#This Row],[Review_date]],"MMMM")</f>
        <v>December</v>
      </c>
      <c r="L798" s="4" t="b">
        <v>1</v>
      </c>
      <c r="M798" s="4" t="s">
        <v>33</v>
      </c>
      <c r="N798" s="5">
        <v>196</v>
      </c>
      <c r="O798" s="5">
        <v>44</v>
      </c>
      <c r="P798" s="4" t="s">
        <v>144</v>
      </c>
      <c r="Q798" s="8" t="s">
        <v>5</v>
      </c>
      <c r="R798" s="4" t="s">
        <v>1048</v>
      </c>
      <c r="S798" s="4"/>
      <c r="T798"/>
      <c r="U798" s="23"/>
    </row>
    <row r="799" spans="1:21" ht="15.6" x14ac:dyDescent="0.3">
      <c r="A799" s="4">
        <v>798</v>
      </c>
      <c r="B799" s="5">
        <v>425400</v>
      </c>
      <c r="C799" s="4" t="s">
        <v>104</v>
      </c>
      <c r="D799" s="4" t="s">
        <v>79</v>
      </c>
      <c r="E799" s="4" t="s">
        <v>1049</v>
      </c>
      <c r="F799" s="4" t="s">
        <v>2957</v>
      </c>
      <c r="G799" s="6">
        <v>2.2999999999999998</v>
      </c>
      <c r="H799" s="7">
        <v>45307.573240740741</v>
      </c>
      <c r="I799" s="7" t="str">
        <f>TEXT(multilingual_mobile_app_reviews_2025[[#This Row],[Review_date]],"dd-mm-yyyy")</f>
        <v>16-01-2024</v>
      </c>
      <c r="J799" s="7" t="str">
        <f>TEXT(multilingual_mobile_app_reviews_2025[[#This Row],[Review_date]],"YYYY")</f>
        <v>2024</v>
      </c>
      <c r="K799" s="7" t="str">
        <f>TEXT(multilingual_mobile_app_reviews_2025[[#This Row],[Review_date]],"MMMM")</f>
        <v>January</v>
      </c>
      <c r="L799" s="4" t="b">
        <v>1</v>
      </c>
      <c r="M799" s="4" t="s">
        <v>22</v>
      </c>
      <c r="N799" s="5">
        <v>944</v>
      </c>
      <c r="O799" s="5">
        <v>22</v>
      </c>
      <c r="P799" s="4" t="s">
        <v>61</v>
      </c>
      <c r="Q799" s="8" t="s">
        <v>5</v>
      </c>
      <c r="R799" s="4" t="s">
        <v>1050</v>
      </c>
      <c r="S799" s="4"/>
      <c r="T799"/>
      <c r="U799" s="23"/>
    </row>
    <row r="800" spans="1:21" ht="15.6" x14ac:dyDescent="0.3">
      <c r="A800" s="4">
        <v>799</v>
      </c>
      <c r="B800" s="5">
        <v>7150508</v>
      </c>
      <c r="C800" s="4" t="s">
        <v>174</v>
      </c>
      <c r="D800" s="4" t="s">
        <v>31</v>
      </c>
      <c r="E800" s="4" t="s">
        <v>130</v>
      </c>
      <c r="F800" s="4" t="s">
        <v>2945</v>
      </c>
      <c r="G800" s="6">
        <v>2.6</v>
      </c>
      <c r="H800" s="7">
        <v>45380.887037037035</v>
      </c>
      <c r="I800" s="7" t="str">
        <f>TEXT(multilingual_mobile_app_reviews_2025[[#This Row],[Review_date]],"dd-mm-yyyy")</f>
        <v>29-03-2024</v>
      </c>
      <c r="J800" s="7" t="str">
        <f>TEXT(multilingual_mobile_app_reviews_2025[[#This Row],[Review_date]],"YYYY")</f>
        <v>2024</v>
      </c>
      <c r="K800" s="7" t="str">
        <f>TEXT(multilingual_mobile_app_reviews_2025[[#This Row],[Review_date]],"MMMM")</f>
        <v>March</v>
      </c>
      <c r="L800" s="4" t="b">
        <v>1</v>
      </c>
      <c r="M800" s="4" t="s">
        <v>33</v>
      </c>
      <c r="N800" s="5">
        <v>1203</v>
      </c>
      <c r="O800" s="5">
        <v>32</v>
      </c>
      <c r="P800" s="4" t="s">
        <v>61</v>
      </c>
      <c r="Q800" s="8" t="s">
        <v>5</v>
      </c>
      <c r="R800" s="4" t="s">
        <v>1051</v>
      </c>
      <c r="S800" s="4"/>
      <c r="T800"/>
      <c r="U800" s="23"/>
    </row>
    <row r="801" spans="1:21" ht="15.6" x14ac:dyDescent="0.3">
      <c r="A801" s="4">
        <v>800</v>
      </c>
      <c r="B801" s="5">
        <v>6331009</v>
      </c>
      <c r="C801" s="4" t="s">
        <v>75</v>
      </c>
      <c r="D801" s="4" t="s">
        <v>63</v>
      </c>
      <c r="E801" s="4" t="s">
        <v>32</v>
      </c>
      <c r="F801" s="4" t="s">
        <v>2958</v>
      </c>
      <c r="G801" s="6">
        <v>4.5</v>
      </c>
      <c r="H801" s="7">
        <v>45499.032638888886</v>
      </c>
      <c r="I801" s="7" t="str">
        <f>TEXT(multilingual_mobile_app_reviews_2025[[#This Row],[Review_date]],"dd-mm-yyyy")</f>
        <v>26-07-2024</v>
      </c>
      <c r="J801" s="7" t="str">
        <f>TEXT(multilingual_mobile_app_reviews_2025[[#This Row],[Review_date]],"YYYY")</f>
        <v>2024</v>
      </c>
      <c r="K801" s="7" t="str">
        <f>TEXT(multilingual_mobile_app_reviews_2025[[#This Row],[Review_date]],"MMMM")</f>
        <v>July</v>
      </c>
      <c r="L801" s="4" t="b">
        <v>0</v>
      </c>
      <c r="M801" s="4" t="s">
        <v>3</v>
      </c>
      <c r="N801" s="5">
        <v>272</v>
      </c>
      <c r="O801" s="5">
        <v>65</v>
      </c>
      <c r="P801" s="4" t="s">
        <v>73</v>
      </c>
      <c r="Q801" s="8" t="s">
        <v>29</v>
      </c>
      <c r="R801" s="4" t="s">
        <v>1052</v>
      </c>
      <c r="S801" s="4"/>
      <c r="T801"/>
      <c r="U801" s="23"/>
    </row>
    <row r="802" spans="1:21" ht="15.6" x14ac:dyDescent="0.3">
      <c r="A802" s="4">
        <v>801</v>
      </c>
      <c r="B802" s="5">
        <v>632460</v>
      </c>
      <c r="C802" s="4" t="s">
        <v>176</v>
      </c>
      <c r="D802" s="4" t="s">
        <v>111</v>
      </c>
      <c r="E802" s="4" t="s">
        <v>76</v>
      </c>
      <c r="F802" s="4" t="s">
        <v>2953</v>
      </c>
      <c r="G802" s="6">
        <v>3.1</v>
      </c>
      <c r="H802" s="7">
        <v>45395.389976851853</v>
      </c>
      <c r="I802" s="7" t="str">
        <f>TEXT(multilingual_mobile_app_reviews_2025[[#This Row],[Review_date]],"dd-mm-yyyy")</f>
        <v>13-04-2024</v>
      </c>
      <c r="J802" s="7" t="str">
        <f>TEXT(multilingual_mobile_app_reviews_2025[[#This Row],[Review_date]],"YYYY")</f>
        <v>2024</v>
      </c>
      <c r="K802" s="7" t="str">
        <f>TEXT(multilingual_mobile_app_reviews_2025[[#This Row],[Review_date]],"MMMM")</f>
        <v>April</v>
      </c>
      <c r="L802" s="4" t="b">
        <v>1</v>
      </c>
      <c r="M802" s="4" t="s">
        <v>3</v>
      </c>
      <c r="N802" s="5">
        <v>569</v>
      </c>
      <c r="O802" s="5">
        <v>71</v>
      </c>
      <c r="P802" s="4" t="s">
        <v>127</v>
      </c>
      <c r="Q802" s="8" t="s">
        <v>5</v>
      </c>
      <c r="R802" s="4" t="s">
        <v>1053</v>
      </c>
      <c r="S802" s="4"/>
      <c r="T802"/>
      <c r="U802" s="23"/>
    </row>
    <row r="803" spans="1:21" ht="15.6" x14ac:dyDescent="0.3">
      <c r="A803" s="4">
        <v>802</v>
      </c>
      <c r="B803" s="5">
        <v>2550947</v>
      </c>
      <c r="C803" s="4" t="s">
        <v>258</v>
      </c>
      <c r="D803" s="4" t="s">
        <v>26</v>
      </c>
      <c r="E803" s="4" t="s">
        <v>9</v>
      </c>
      <c r="F803" s="4" t="s">
        <v>2957</v>
      </c>
      <c r="G803" s="6">
        <v>3.6</v>
      </c>
      <c r="H803" s="7">
        <v>45182.404537037037</v>
      </c>
      <c r="I803" s="7" t="str">
        <f>TEXT(multilingual_mobile_app_reviews_2025[[#This Row],[Review_date]],"dd-mm-yyyy")</f>
        <v>13-09-2023</v>
      </c>
      <c r="J803" s="7" t="str">
        <f>TEXT(multilingual_mobile_app_reviews_2025[[#This Row],[Review_date]],"YYYY")</f>
        <v>2023</v>
      </c>
      <c r="K803" s="7" t="str">
        <f>TEXT(multilingual_mobile_app_reviews_2025[[#This Row],[Review_date]],"MMMM")</f>
        <v>September</v>
      </c>
      <c r="L803" s="4" t="b">
        <v>1</v>
      </c>
      <c r="M803" s="4" t="s">
        <v>33</v>
      </c>
      <c r="N803" s="5">
        <v>560</v>
      </c>
      <c r="O803" s="5">
        <v>46</v>
      </c>
      <c r="P803" s="4" t="s">
        <v>11</v>
      </c>
      <c r="Q803" s="8" t="s">
        <v>2963</v>
      </c>
      <c r="R803" s="4" t="s">
        <v>475</v>
      </c>
      <c r="S803" s="4"/>
      <c r="T803"/>
      <c r="U803" s="23"/>
    </row>
    <row r="804" spans="1:21" ht="15.6" x14ac:dyDescent="0.3">
      <c r="A804" s="4">
        <v>803</v>
      </c>
      <c r="B804" s="5">
        <v>6683744</v>
      </c>
      <c r="C804" s="4" t="s">
        <v>78</v>
      </c>
      <c r="D804" s="4" t="s">
        <v>57</v>
      </c>
      <c r="E804" s="4" t="s">
        <v>1054</v>
      </c>
      <c r="F804" s="4" t="s">
        <v>2962</v>
      </c>
      <c r="G804" s="6">
        <v>2.2999999999999998</v>
      </c>
      <c r="H804" s="7">
        <v>45435.258206018516</v>
      </c>
      <c r="I804" s="7" t="str">
        <f>TEXT(multilingual_mobile_app_reviews_2025[[#This Row],[Review_date]],"dd-mm-yyyy")</f>
        <v>23-05-2024</v>
      </c>
      <c r="J804" s="7" t="str">
        <f>TEXT(multilingual_mobile_app_reviews_2025[[#This Row],[Review_date]],"YYYY")</f>
        <v>2024</v>
      </c>
      <c r="K804" s="7" t="str">
        <f>TEXT(multilingual_mobile_app_reviews_2025[[#This Row],[Review_date]],"MMMM")</f>
        <v>May</v>
      </c>
      <c r="L804" s="4" t="b">
        <v>1</v>
      </c>
      <c r="M804" s="4" t="s">
        <v>3</v>
      </c>
      <c r="N804" s="5">
        <v>1206</v>
      </c>
      <c r="O804" s="5">
        <v>53</v>
      </c>
      <c r="P804" s="4" t="s">
        <v>4</v>
      </c>
      <c r="Q804" s="8" t="s">
        <v>29</v>
      </c>
      <c r="R804" s="4" t="s">
        <v>1055</v>
      </c>
      <c r="S804" s="4"/>
      <c r="T804"/>
      <c r="U804" s="23"/>
    </row>
    <row r="805" spans="1:21" ht="15.6" x14ac:dyDescent="0.3">
      <c r="A805" s="4">
        <v>804</v>
      </c>
      <c r="B805" s="5">
        <v>2146175</v>
      </c>
      <c r="C805" s="4" t="s">
        <v>208</v>
      </c>
      <c r="D805" s="4" t="s">
        <v>8</v>
      </c>
      <c r="E805" s="4" t="s">
        <v>93</v>
      </c>
      <c r="F805" s="4" t="s">
        <v>2944</v>
      </c>
      <c r="G805" s="6">
        <v>2.6</v>
      </c>
      <c r="H805" s="7">
        <v>45735.514652777776</v>
      </c>
      <c r="I805" s="7" t="str">
        <f>TEXT(multilingual_mobile_app_reviews_2025[[#This Row],[Review_date]],"dd-mm-yyyy")</f>
        <v>19-03-2025</v>
      </c>
      <c r="J805" s="7" t="str">
        <f>TEXT(multilingual_mobile_app_reviews_2025[[#This Row],[Review_date]],"YYYY")</f>
        <v>2025</v>
      </c>
      <c r="K805" s="7" t="str">
        <f>TEXT(multilingual_mobile_app_reviews_2025[[#This Row],[Review_date]],"MMMM")</f>
        <v>March</v>
      </c>
      <c r="L805" s="4" t="b">
        <v>0</v>
      </c>
      <c r="M805" s="4" t="s">
        <v>98</v>
      </c>
      <c r="N805" s="5">
        <v>1086</v>
      </c>
      <c r="O805" s="5">
        <v>27</v>
      </c>
      <c r="P805" s="4" t="s">
        <v>23</v>
      </c>
      <c r="Q805" s="8" t="s">
        <v>5</v>
      </c>
      <c r="R805" s="4" t="s">
        <v>1056</v>
      </c>
      <c r="S805" s="4"/>
      <c r="T805"/>
      <c r="U805" s="23"/>
    </row>
    <row r="806" spans="1:21" ht="15.6" x14ac:dyDescent="0.3">
      <c r="A806" s="4">
        <v>805</v>
      </c>
      <c r="B806" s="5">
        <v>4276895</v>
      </c>
      <c r="C806" s="4" t="s">
        <v>19</v>
      </c>
      <c r="D806" s="4" t="s">
        <v>51</v>
      </c>
      <c r="E806" s="4" t="s">
        <v>1057</v>
      </c>
      <c r="F806" s="4" t="s">
        <v>2962</v>
      </c>
      <c r="G806" s="6">
        <v>4.0999999999999996</v>
      </c>
      <c r="H806" s="7">
        <v>45226.592395833337</v>
      </c>
      <c r="I806" s="7" t="str">
        <f>TEXT(multilingual_mobile_app_reviews_2025[[#This Row],[Review_date]],"dd-mm-yyyy")</f>
        <v>27-10-2023</v>
      </c>
      <c r="J806" s="7" t="str">
        <f>TEXT(multilingual_mobile_app_reviews_2025[[#This Row],[Review_date]],"YYYY")</f>
        <v>2023</v>
      </c>
      <c r="K806" s="7" t="str">
        <f>TEXT(multilingual_mobile_app_reviews_2025[[#This Row],[Review_date]],"MMMM")</f>
        <v>October</v>
      </c>
      <c r="L806" s="4" t="b">
        <v>1</v>
      </c>
      <c r="M806" s="4" t="s">
        <v>98</v>
      </c>
      <c r="N806" s="5">
        <v>1017</v>
      </c>
      <c r="O806" s="5">
        <v>50</v>
      </c>
      <c r="P806" s="4" t="s">
        <v>127</v>
      </c>
      <c r="Q806" s="8" t="s">
        <v>2963</v>
      </c>
      <c r="R806" s="4" t="s">
        <v>1058</v>
      </c>
      <c r="S806" s="4"/>
      <c r="T806"/>
      <c r="U806" s="23"/>
    </row>
    <row r="807" spans="1:21" ht="15.6" x14ac:dyDescent="0.3">
      <c r="A807" s="4">
        <v>806</v>
      </c>
      <c r="B807" s="5">
        <v>7384023</v>
      </c>
      <c r="C807" s="4" t="s">
        <v>46</v>
      </c>
      <c r="D807" s="4" t="s">
        <v>26</v>
      </c>
      <c r="E807" s="4" t="s">
        <v>16</v>
      </c>
      <c r="F807" s="4" t="s">
        <v>2954</v>
      </c>
      <c r="G807" s="6">
        <v>3.6</v>
      </c>
      <c r="H807" s="7">
        <v>45390.935347222221</v>
      </c>
      <c r="I807" s="7" t="str">
        <f>TEXT(multilingual_mobile_app_reviews_2025[[#This Row],[Review_date]],"dd-mm-yyyy")</f>
        <v>08-04-2024</v>
      </c>
      <c r="J807" s="7" t="str">
        <f>TEXT(multilingual_mobile_app_reviews_2025[[#This Row],[Review_date]],"YYYY")</f>
        <v>2024</v>
      </c>
      <c r="K807" s="7" t="str">
        <f>TEXT(multilingual_mobile_app_reviews_2025[[#This Row],[Review_date]],"MMMM")</f>
        <v>April</v>
      </c>
      <c r="L807" s="4" t="b">
        <v>1</v>
      </c>
      <c r="M807" s="4" t="s">
        <v>3</v>
      </c>
      <c r="N807" s="5">
        <v>42</v>
      </c>
      <c r="O807" s="5">
        <v>19</v>
      </c>
      <c r="P807" s="4" t="s">
        <v>180</v>
      </c>
      <c r="Q807" s="8" t="s">
        <v>39</v>
      </c>
      <c r="R807" s="4" t="s">
        <v>1059</v>
      </c>
      <c r="S807" s="4"/>
      <c r="T807"/>
      <c r="U807" s="23"/>
    </row>
    <row r="808" spans="1:21" ht="15.6" x14ac:dyDescent="0.3">
      <c r="A808" s="4">
        <v>807</v>
      </c>
      <c r="B808" s="5">
        <v>2907840</v>
      </c>
      <c r="C808" s="4" t="s">
        <v>176</v>
      </c>
      <c r="D808" s="4" t="s">
        <v>79</v>
      </c>
      <c r="E808" s="4" t="s">
        <v>16</v>
      </c>
      <c r="F808" s="4" t="s">
        <v>2951</v>
      </c>
      <c r="G808" s="6">
        <v>4.5</v>
      </c>
      <c r="H808" s="7">
        <v>45755.899537037039</v>
      </c>
      <c r="I808" s="7" t="str">
        <f>TEXT(multilingual_mobile_app_reviews_2025[[#This Row],[Review_date]],"dd-mm-yyyy")</f>
        <v>08-04-2025</v>
      </c>
      <c r="J808" s="7" t="str">
        <f>TEXT(multilingual_mobile_app_reviews_2025[[#This Row],[Review_date]],"YYYY")</f>
        <v>2025</v>
      </c>
      <c r="K808" s="7" t="str">
        <f>TEXT(multilingual_mobile_app_reviews_2025[[#This Row],[Review_date]],"MMMM")</f>
        <v>April</v>
      </c>
      <c r="L808" s="4" t="b">
        <v>1</v>
      </c>
      <c r="M808" s="4" t="s">
        <v>98</v>
      </c>
      <c r="N808" s="5">
        <v>490</v>
      </c>
      <c r="O808" s="5">
        <v>17</v>
      </c>
      <c r="P808" s="4" t="s">
        <v>230</v>
      </c>
      <c r="Q808" s="8" t="s">
        <v>5</v>
      </c>
      <c r="R808" s="4" t="s">
        <v>1060</v>
      </c>
      <c r="S808" s="4"/>
      <c r="T808"/>
      <c r="U808" s="23"/>
    </row>
    <row r="809" spans="1:21" ht="15.6" x14ac:dyDescent="0.3">
      <c r="A809" s="4">
        <v>808</v>
      </c>
      <c r="B809" s="5">
        <v>9909585</v>
      </c>
      <c r="C809" s="4" t="s">
        <v>69</v>
      </c>
      <c r="D809" s="4" t="s">
        <v>97</v>
      </c>
      <c r="E809" s="4" t="s">
        <v>16</v>
      </c>
      <c r="F809" s="4" t="s">
        <v>2943</v>
      </c>
      <c r="G809" s="6">
        <v>1.7</v>
      </c>
      <c r="H809" s="7">
        <v>45231.812858796293</v>
      </c>
      <c r="I809" s="7" t="str">
        <f>TEXT(multilingual_mobile_app_reviews_2025[[#This Row],[Review_date]],"dd-mm-yyyy")</f>
        <v>01-11-2023</v>
      </c>
      <c r="J809" s="7" t="str">
        <f>TEXT(multilingual_mobile_app_reviews_2025[[#This Row],[Review_date]],"YYYY")</f>
        <v>2023</v>
      </c>
      <c r="K809" s="7" t="str">
        <f>TEXT(multilingual_mobile_app_reviews_2025[[#This Row],[Review_date]],"MMMM")</f>
        <v>November</v>
      </c>
      <c r="L809" s="4" t="b">
        <v>1</v>
      </c>
      <c r="M809" s="4" t="s">
        <v>22</v>
      </c>
      <c r="N809" s="5">
        <v>1116</v>
      </c>
      <c r="O809" s="5">
        <v>73</v>
      </c>
      <c r="P809" s="4" t="s">
        <v>230</v>
      </c>
      <c r="Q809" s="8" t="s">
        <v>12</v>
      </c>
      <c r="R809" s="4" t="s">
        <v>1061</v>
      </c>
      <c r="S809" s="4"/>
      <c r="T809"/>
      <c r="U809" s="23"/>
    </row>
    <row r="810" spans="1:21" ht="15.6" x14ac:dyDescent="0.3">
      <c r="A810" s="4">
        <v>809</v>
      </c>
      <c r="B810" s="5">
        <v>4178362</v>
      </c>
      <c r="C810" s="4" t="s">
        <v>176</v>
      </c>
      <c r="D810" s="4" t="s">
        <v>31</v>
      </c>
      <c r="E810" s="4" t="s">
        <v>9</v>
      </c>
      <c r="F810" s="4" t="s">
        <v>2939</v>
      </c>
      <c r="G810" s="6">
        <v>2.4</v>
      </c>
      <c r="H810" s="7">
        <v>45145.814293981479</v>
      </c>
      <c r="I810" s="7" t="str">
        <f>TEXT(multilingual_mobile_app_reviews_2025[[#This Row],[Review_date]],"dd-mm-yyyy")</f>
        <v>07-08-2023</v>
      </c>
      <c r="J810" s="7" t="str">
        <f>TEXT(multilingual_mobile_app_reviews_2025[[#This Row],[Review_date]],"YYYY")</f>
        <v>2023</v>
      </c>
      <c r="K810" s="7" t="str">
        <f>TEXT(multilingual_mobile_app_reviews_2025[[#This Row],[Review_date]],"MMMM")</f>
        <v>August</v>
      </c>
      <c r="L810" s="4" t="b">
        <v>1</v>
      </c>
      <c r="M810" s="4" t="s">
        <v>3</v>
      </c>
      <c r="N810" s="5">
        <v>885</v>
      </c>
      <c r="O810" s="5">
        <v>19</v>
      </c>
      <c r="P810" s="4" t="s">
        <v>85</v>
      </c>
      <c r="Q810" s="8" t="s">
        <v>29</v>
      </c>
      <c r="R810" s="4" t="s">
        <v>394</v>
      </c>
      <c r="S810" s="4"/>
      <c r="T810"/>
      <c r="U810" s="23"/>
    </row>
    <row r="811" spans="1:21" ht="15.6" x14ac:dyDescent="0.3">
      <c r="A811" s="4">
        <v>810</v>
      </c>
      <c r="B811" s="5">
        <v>9848854</v>
      </c>
      <c r="C811" s="4" t="s">
        <v>264</v>
      </c>
      <c r="D811" s="4" t="s">
        <v>8</v>
      </c>
      <c r="E811" s="4" t="s">
        <v>9</v>
      </c>
      <c r="F811" s="4" t="s">
        <v>2959</v>
      </c>
      <c r="G811" s="6">
        <v>4.5999999999999996</v>
      </c>
      <c r="H811" s="7">
        <v>45747.421481481484</v>
      </c>
      <c r="I811" s="7" t="str">
        <f>TEXT(multilingual_mobile_app_reviews_2025[[#This Row],[Review_date]],"dd-mm-yyyy")</f>
        <v>31-03-2025</v>
      </c>
      <c r="J811" s="7" t="str">
        <f>TEXT(multilingual_mobile_app_reviews_2025[[#This Row],[Review_date]],"YYYY")</f>
        <v>2025</v>
      </c>
      <c r="K811" s="7" t="str">
        <f>TEXT(multilingual_mobile_app_reviews_2025[[#This Row],[Review_date]],"MMMM")</f>
        <v>March</v>
      </c>
      <c r="L811" s="4" t="b">
        <v>0</v>
      </c>
      <c r="M811" s="4" t="s">
        <v>98</v>
      </c>
      <c r="N811" s="5">
        <v>927</v>
      </c>
      <c r="O811" s="5">
        <v>25</v>
      </c>
      <c r="P811" s="4" t="s">
        <v>118</v>
      </c>
      <c r="Q811" s="8" t="s">
        <v>2963</v>
      </c>
      <c r="R811" s="4" t="s">
        <v>1062</v>
      </c>
      <c r="S811" s="4"/>
      <c r="T811"/>
      <c r="U811" s="23"/>
    </row>
    <row r="812" spans="1:21" ht="15.6" x14ac:dyDescent="0.3">
      <c r="A812" s="4">
        <v>811</v>
      </c>
      <c r="B812" s="5">
        <v>8073718</v>
      </c>
      <c r="C812" s="4" t="s">
        <v>244</v>
      </c>
      <c r="D812" s="4" t="s">
        <v>26</v>
      </c>
      <c r="E812" s="4" t="s">
        <v>64</v>
      </c>
      <c r="F812" s="4" t="s">
        <v>2942</v>
      </c>
      <c r="G812" s="6">
        <v>3.4</v>
      </c>
      <c r="H812" s="7">
        <v>45673.579432870371</v>
      </c>
      <c r="I812" s="7" t="str">
        <f>TEXT(multilingual_mobile_app_reviews_2025[[#This Row],[Review_date]],"dd-mm-yyyy")</f>
        <v>16-01-2025</v>
      </c>
      <c r="J812" s="7" t="str">
        <f>TEXT(multilingual_mobile_app_reviews_2025[[#This Row],[Review_date]],"YYYY")</f>
        <v>2025</v>
      </c>
      <c r="K812" s="7" t="str">
        <f>TEXT(multilingual_mobile_app_reviews_2025[[#This Row],[Review_date]],"MMMM")</f>
        <v>January</v>
      </c>
      <c r="L812" s="4" t="b">
        <v>1</v>
      </c>
      <c r="M812" s="4" t="s">
        <v>3</v>
      </c>
      <c r="N812" s="5">
        <v>1012</v>
      </c>
      <c r="O812" s="5">
        <v>48</v>
      </c>
      <c r="P812" s="4" t="s">
        <v>34</v>
      </c>
      <c r="Q812" s="8" t="s">
        <v>39</v>
      </c>
      <c r="R812" s="4" t="s">
        <v>1063</v>
      </c>
      <c r="S812" s="4"/>
      <c r="T812"/>
      <c r="U812" s="23"/>
    </row>
    <row r="813" spans="1:21" ht="15.6" x14ac:dyDescent="0.3">
      <c r="A813" s="4">
        <v>812</v>
      </c>
      <c r="B813" s="5">
        <v>2700333</v>
      </c>
      <c r="C813" s="4" t="s">
        <v>56</v>
      </c>
      <c r="D813" s="4" t="s">
        <v>157</v>
      </c>
      <c r="E813" s="4" t="s">
        <v>76</v>
      </c>
      <c r="F813" s="4" t="s">
        <v>2958</v>
      </c>
      <c r="G813" s="6">
        <v>2</v>
      </c>
      <c r="H813" s="7">
        <v>45427.352141203701</v>
      </c>
      <c r="I813" s="7" t="str">
        <f>TEXT(multilingual_mobile_app_reviews_2025[[#This Row],[Review_date]],"dd-mm-yyyy")</f>
        <v>15-05-2024</v>
      </c>
      <c r="J813" s="7" t="str">
        <f>TEXT(multilingual_mobile_app_reviews_2025[[#This Row],[Review_date]],"YYYY")</f>
        <v>2024</v>
      </c>
      <c r="K813" s="7" t="str">
        <f>TEXT(multilingual_mobile_app_reviews_2025[[#This Row],[Review_date]],"MMMM")</f>
        <v>May</v>
      </c>
      <c r="L813" s="4" t="b">
        <v>0</v>
      </c>
      <c r="M813" s="4" t="s">
        <v>3</v>
      </c>
      <c r="N813" s="5">
        <v>313</v>
      </c>
      <c r="O813" s="5">
        <v>30</v>
      </c>
      <c r="P813" s="4" t="s">
        <v>73</v>
      </c>
      <c r="Q813" s="8" t="s">
        <v>29</v>
      </c>
      <c r="R813" s="4" t="s">
        <v>1064</v>
      </c>
      <c r="S813" s="4"/>
      <c r="T813"/>
      <c r="U813" s="23"/>
    </row>
    <row r="814" spans="1:21" ht="15.6" x14ac:dyDescent="0.3">
      <c r="A814" s="4">
        <v>813</v>
      </c>
      <c r="B814" s="5">
        <v>1601223</v>
      </c>
      <c r="C814" s="4" t="s">
        <v>7</v>
      </c>
      <c r="D814" s="4" t="s">
        <v>42</v>
      </c>
      <c r="E814" s="4" t="s">
        <v>1065</v>
      </c>
      <c r="F814" s="4" t="s">
        <v>2955</v>
      </c>
      <c r="G814" s="6">
        <v>4.4000000000000004</v>
      </c>
      <c r="H814" s="7">
        <v>45836.890497685185</v>
      </c>
      <c r="I814" s="7" t="str">
        <f>TEXT(multilingual_mobile_app_reviews_2025[[#This Row],[Review_date]],"dd-mm-yyyy")</f>
        <v>28-06-2025</v>
      </c>
      <c r="J814" s="7" t="str">
        <f>TEXT(multilingual_mobile_app_reviews_2025[[#This Row],[Review_date]],"YYYY")</f>
        <v>2025</v>
      </c>
      <c r="K814" s="7" t="str">
        <f>TEXT(multilingual_mobile_app_reviews_2025[[#This Row],[Review_date]],"MMMM")</f>
        <v>June</v>
      </c>
      <c r="L814" s="4" t="b">
        <v>1</v>
      </c>
      <c r="M814" s="4" t="s">
        <v>10</v>
      </c>
      <c r="N814" s="5">
        <v>232</v>
      </c>
      <c r="O814" s="5">
        <v>19</v>
      </c>
      <c r="P814" s="4" t="s">
        <v>230</v>
      </c>
      <c r="Q814" s="8" t="s">
        <v>39</v>
      </c>
      <c r="R814" s="4" t="s">
        <v>1066</v>
      </c>
      <c r="S814" s="4"/>
      <c r="T814"/>
      <c r="U814" s="23"/>
    </row>
    <row r="815" spans="1:21" ht="15.6" x14ac:dyDescent="0.3">
      <c r="A815" s="4">
        <v>814</v>
      </c>
      <c r="B815" s="5">
        <v>8242018</v>
      </c>
      <c r="C815" s="4" t="s">
        <v>75</v>
      </c>
      <c r="D815" s="4" t="s">
        <v>111</v>
      </c>
      <c r="E815" s="4" t="s">
        <v>1067</v>
      </c>
      <c r="F815" s="4" t="s">
        <v>2958</v>
      </c>
      <c r="G815" s="6">
        <v>3.2</v>
      </c>
      <c r="H815" s="7">
        <v>45824.672118055554</v>
      </c>
      <c r="I815" s="7" t="str">
        <f>TEXT(multilingual_mobile_app_reviews_2025[[#This Row],[Review_date]],"dd-mm-yyyy")</f>
        <v>16-06-2025</v>
      </c>
      <c r="J815" s="7" t="str">
        <f>TEXT(multilingual_mobile_app_reviews_2025[[#This Row],[Review_date]],"YYYY")</f>
        <v>2025</v>
      </c>
      <c r="K815" s="7" t="str">
        <f>TEXT(multilingual_mobile_app_reviews_2025[[#This Row],[Review_date]],"MMMM")</f>
        <v>June</v>
      </c>
      <c r="L815" s="4" t="b">
        <v>1</v>
      </c>
      <c r="M815" s="4" t="s">
        <v>33</v>
      </c>
      <c r="N815" s="5">
        <v>609</v>
      </c>
      <c r="O815" s="5">
        <v>19</v>
      </c>
      <c r="P815" s="4" t="s">
        <v>11</v>
      </c>
      <c r="Q815" s="8" t="s">
        <v>12</v>
      </c>
      <c r="R815" s="4" t="s">
        <v>1068</v>
      </c>
      <c r="S815" s="4"/>
      <c r="T815"/>
      <c r="U815" s="23"/>
    </row>
    <row r="816" spans="1:21" ht="15.6" x14ac:dyDescent="0.3">
      <c r="A816" s="4">
        <v>815</v>
      </c>
      <c r="B816" s="5">
        <v>6208168</v>
      </c>
      <c r="C816" s="4" t="s">
        <v>174</v>
      </c>
      <c r="D816" s="4" t="s">
        <v>20</v>
      </c>
      <c r="E816" s="4" t="s">
        <v>9</v>
      </c>
      <c r="F816" s="4" t="s">
        <v>2960</v>
      </c>
      <c r="G816" s="6">
        <v>3.2</v>
      </c>
      <c r="H816" s="7">
        <v>45741.628159722219</v>
      </c>
      <c r="I816" s="7" t="str">
        <f>TEXT(multilingual_mobile_app_reviews_2025[[#This Row],[Review_date]],"dd-mm-yyyy")</f>
        <v>25-03-2025</v>
      </c>
      <c r="J816" s="7" t="str">
        <f>TEXT(multilingual_mobile_app_reviews_2025[[#This Row],[Review_date]],"YYYY")</f>
        <v>2025</v>
      </c>
      <c r="K816" s="7" t="str">
        <f>TEXT(multilingual_mobile_app_reviews_2025[[#This Row],[Review_date]],"MMMM")</f>
        <v>March</v>
      </c>
      <c r="L816" s="4" t="b">
        <v>0</v>
      </c>
      <c r="M816" s="4" t="s">
        <v>10</v>
      </c>
      <c r="N816" s="5">
        <v>325</v>
      </c>
      <c r="O816" s="5">
        <v>50</v>
      </c>
      <c r="P816" s="4" t="s">
        <v>34</v>
      </c>
      <c r="Q816" s="8" t="s">
        <v>5</v>
      </c>
      <c r="R816" s="4" t="s">
        <v>1069</v>
      </c>
      <c r="S816" s="4"/>
      <c r="T816"/>
      <c r="U816" s="23"/>
    </row>
    <row r="817" spans="1:21" ht="15.6" x14ac:dyDescent="0.3">
      <c r="A817" s="4">
        <v>816</v>
      </c>
      <c r="B817" s="5">
        <v>4106173</v>
      </c>
      <c r="C817" s="4" t="s">
        <v>0</v>
      </c>
      <c r="D817" s="4" t="s">
        <v>42</v>
      </c>
      <c r="E817" s="4" t="s">
        <v>1070</v>
      </c>
      <c r="F817" s="4" t="s">
        <v>2948</v>
      </c>
      <c r="G817" s="6">
        <v>2</v>
      </c>
      <c r="H817" s="7">
        <v>45163.591377314813</v>
      </c>
      <c r="I817" s="7" t="str">
        <f>TEXT(multilingual_mobile_app_reviews_2025[[#This Row],[Review_date]],"dd-mm-yyyy")</f>
        <v>25-08-2023</v>
      </c>
      <c r="J817" s="7" t="str">
        <f>TEXT(multilingual_mobile_app_reviews_2025[[#This Row],[Review_date]],"YYYY")</f>
        <v>2023</v>
      </c>
      <c r="K817" s="7" t="str">
        <f>TEXT(multilingual_mobile_app_reviews_2025[[#This Row],[Review_date]],"MMMM")</f>
        <v>August</v>
      </c>
      <c r="L817" s="4" t="b">
        <v>1</v>
      </c>
      <c r="M817" s="4" t="s">
        <v>3</v>
      </c>
      <c r="N817" s="5">
        <v>10</v>
      </c>
      <c r="O817" s="5">
        <v>56</v>
      </c>
      <c r="P817" s="4" t="s">
        <v>85</v>
      </c>
      <c r="Q817" s="8" t="s">
        <v>39</v>
      </c>
      <c r="R817" s="4" t="s">
        <v>1071</v>
      </c>
      <c r="S817" s="4"/>
      <c r="T817"/>
      <c r="U817" s="23"/>
    </row>
    <row r="818" spans="1:21" ht="15.6" x14ac:dyDescent="0.3">
      <c r="A818" s="4">
        <v>817</v>
      </c>
      <c r="B818" s="5">
        <v>6619606</v>
      </c>
      <c r="C818" s="4" t="s">
        <v>165</v>
      </c>
      <c r="D818" s="4" t="s">
        <v>220</v>
      </c>
      <c r="E818" s="4" t="s">
        <v>32</v>
      </c>
      <c r="F818" s="4" t="s">
        <v>2950</v>
      </c>
      <c r="G818" s="6">
        <v>2.6</v>
      </c>
      <c r="H818" s="7">
        <v>45649.900821759256</v>
      </c>
      <c r="I818" s="7" t="str">
        <f>TEXT(multilingual_mobile_app_reviews_2025[[#This Row],[Review_date]],"dd-mm-yyyy")</f>
        <v>23-12-2024</v>
      </c>
      <c r="J818" s="7" t="str">
        <f>TEXT(multilingual_mobile_app_reviews_2025[[#This Row],[Review_date]],"YYYY")</f>
        <v>2024</v>
      </c>
      <c r="K818" s="7" t="str">
        <f>TEXT(multilingual_mobile_app_reviews_2025[[#This Row],[Review_date]],"MMMM")</f>
        <v>December</v>
      </c>
      <c r="L818" s="4" t="b">
        <v>1</v>
      </c>
      <c r="M818" s="4" t="s">
        <v>33</v>
      </c>
      <c r="N818" s="5">
        <v>589</v>
      </c>
      <c r="O818" s="5">
        <v>30</v>
      </c>
      <c r="P818" s="4" t="s">
        <v>17</v>
      </c>
      <c r="Q818" s="8" t="s">
        <v>2963</v>
      </c>
      <c r="R818" s="4" t="s">
        <v>1072</v>
      </c>
      <c r="S818" s="4"/>
      <c r="T818"/>
      <c r="U818" s="23"/>
    </row>
    <row r="819" spans="1:21" ht="15.6" x14ac:dyDescent="0.3">
      <c r="A819" s="4">
        <v>818</v>
      </c>
      <c r="B819" s="5">
        <v>8921818</v>
      </c>
      <c r="C819" s="4" t="s">
        <v>14</v>
      </c>
      <c r="D819" s="4" t="s">
        <v>15</v>
      </c>
      <c r="E819" s="4" t="s">
        <v>93</v>
      </c>
      <c r="F819" s="4" t="s">
        <v>2942</v>
      </c>
      <c r="G819" s="6">
        <v>4.9000000000000004</v>
      </c>
      <c r="H819" s="7">
        <v>45623.530474537038</v>
      </c>
      <c r="I819" s="7" t="str">
        <f>TEXT(multilingual_mobile_app_reviews_2025[[#This Row],[Review_date]],"dd-mm-yyyy")</f>
        <v>27-11-2024</v>
      </c>
      <c r="J819" s="7" t="str">
        <f>TEXT(multilingual_mobile_app_reviews_2025[[#This Row],[Review_date]],"YYYY")</f>
        <v>2024</v>
      </c>
      <c r="K819" s="7" t="str">
        <f>TEXT(multilingual_mobile_app_reviews_2025[[#This Row],[Review_date]],"MMMM")</f>
        <v>November</v>
      </c>
      <c r="L819" s="4" t="b">
        <v>0</v>
      </c>
      <c r="M819" s="4" t="s">
        <v>22</v>
      </c>
      <c r="N819" s="5">
        <v>271</v>
      </c>
      <c r="O819" s="5">
        <v>58</v>
      </c>
      <c r="P819" s="4" t="s">
        <v>23</v>
      </c>
      <c r="Q819" s="8" t="s">
        <v>5</v>
      </c>
      <c r="R819" s="4" t="s">
        <v>517</v>
      </c>
      <c r="S819" s="4"/>
      <c r="T819"/>
      <c r="U819" s="23"/>
    </row>
    <row r="820" spans="1:21" ht="15.6" x14ac:dyDescent="0.3">
      <c r="A820" s="4">
        <v>819</v>
      </c>
      <c r="B820" s="5">
        <v>4393936</v>
      </c>
      <c r="C820" s="4" t="s">
        <v>113</v>
      </c>
      <c r="D820" s="4" t="s">
        <v>111</v>
      </c>
      <c r="E820" s="4" t="s">
        <v>1073</v>
      </c>
      <c r="F820" s="4" t="s">
        <v>2942</v>
      </c>
      <c r="G820" s="6">
        <v>2.4</v>
      </c>
      <c r="H820" s="7">
        <v>45419.217824074076</v>
      </c>
      <c r="I820" s="7" t="str">
        <f>TEXT(multilingual_mobile_app_reviews_2025[[#This Row],[Review_date]],"dd-mm-yyyy")</f>
        <v>07-05-2024</v>
      </c>
      <c r="J820" s="7" t="str">
        <f>TEXT(multilingual_mobile_app_reviews_2025[[#This Row],[Review_date]],"YYYY")</f>
        <v>2024</v>
      </c>
      <c r="K820" s="7" t="str">
        <f>TEXT(multilingual_mobile_app_reviews_2025[[#This Row],[Review_date]],"MMMM")</f>
        <v>May</v>
      </c>
      <c r="L820" s="4" t="b">
        <v>1</v>
      </c>
      <c r="M820" s="4" t="s">
        <v>3</v>
      </c>
      <c r="N820" s="5">
        <v>295</v>
      </c>
      <c r="O820" s="5">
        <v>22</v>
      </c>
      <c r="P820" s="4" t="s">
        <v>44</v>
      </c>
      <c r="Q820" s="8" t="s">
        <v>12</v>
      </c>
      <c r="R820" s="4" t="s">
        <v>1074</v>
      </c>
      <c r="S820" s="4"/>
      <c r="T820"/>
      <c r="U820" s="23"/>
    </row>
    <row r="821" spans="1:21" ht="15.6" x14ac:dyDescent="0.3">
      <c r="A821" s="4">
        <v>820</v>
      </c>
      <c r="B821" s="5">
        <v>7078536</v>
      </c>
      <c r="C821" s="4" t="s">
        <v>104</v>
      </c>
      <c r="D821" s="4" t="s">
        <v>220</v>
      </c>
      <c r="E821" s="4" t="s">
        <v>27</v>
      </c>
      <c r="F821" s="4" t="s">
        <v>2947</v>
      </c>
      <c r="G821" s="6">
        <v>3</v>
      </c>
      <c r="H821" s="7">
        <v>45777.36513888889</v>
      </c>
      <c r="I821" s="7" t="str">
        <f>TEXT(multilingual_mobile_app_reviews_2025[[#This Row],[Review_date]],"dd-mm-yyyy")</f>
        <v>30-04-2025</v>
      </c>
      <c r="J821" s="7" t="str">
        <f>TEXT(multilingual_mobile_app_reviews_2025[[#This Row],[Review_date]],"YYYY")</f>
        <v>2025</v>
      </c>
      <c r="K821" s="7" t="str">
        <f>TEXT(multilingual_mobile_app_reviews_2025[[#This Row],[Review_date]],"MMMM")</f>
        <v>April</v>
      </c>
      <c r="L821" s="4" t="b">
        <v>1</v>
      </c>
      <c r="M821" s="4" t="s">
        <v>10</v>
      </c>
      <c r="N821" s="5">
        <v>895</v>
      </c>
      <c r="O821" s="5">
        <v>16</v>
      </c>
      <c r="P821" s="4" t="s">
        <v>230</v>
      </c>
      <c r="Q821" s="8" t="s">
        <v>12</v>
      </c>
      <c r="R821" s="4" t="s">
        <v>1075</v>
      </c>
      <c r="S821" s="4"/>
      <c r="T821"/>
      <c r="U821" s="23"/>
    </row>
    <row r="822" spans="1:21" ht="15.6" x14ac:dyDescent="0.3">
      <c r="A822" s="4">
        <v>821</v>
      </c>
      <c r="B822" s="5">
        <v>1078112</v>
      </c>
      <c r="C822" s="4" t="s">
        <v>41</v>
      </c>
      <c r="D822" s="4" t="s">
        <v>71</v>
      </c>
      <c r="E822" s="4" t="s">
        <v>76</v>
      </c>
      <c r="F822" s="4" t="s">
        <v>2945</v>
      </c>
      <c r="G822" s="6">
        <v>4.0999999999999996</v>
      </c>
      <c r="H822" s="7">
        <v>45778.620671296296</v>
      </c>
      <c r="I822" s="7" t="str">
        <f>TEXT(multilingual_mobile_app_reviews_2025[[#This Row],[Review_date]],"dd-mm-yyyy")</f>
        <v>01-05-2025</v>
      </c>
      <c r="J822" s="7" t="str">
        <f>TEXT(multilingual_mobile_app_reviews_2025[[#This Row],[Review_date]],"YYYY")</f>
        <v>2025</v>
      </c>
      <c r="K822" s="7" t="str">
        <f>TEXT(multilingual_mobile_app_reviews_2025[[#This Row],[Review_date]],"MMMM")</f>
        <v>May</v>
      </c>
      <c r="L822" s="4" t="b">
        <v>0</v>
      </c>
      <c r="M822" s="4" t="s">
        <v>3</v>
      </c>
      <c r="N822" s="5">
        <v>1084</v>
      </c>
      <c r="O822" s="5">
        <v>17</v>
      </c>
      <c r="P822" s="4" t="s">
        <v>28</v>
      </c>
      <c r="Q822" s="8" t="s">
        <v>29</v>
      </c>
      <c r="R822" s="4" t="s">
        <v>1076</v>
      </c>
      <c r="S822" s="4"/>
      <c r="T822"/>
      <c r="U822" s="23"/>
    </row>
    <row r="823" spans="1:21" ht="15.6" x14ac:dyDescent="0.3">
      <c r="A823" s="4">
        <v>822</v>
      </c>
      <c r="B823" s="5">
        <v>4559646</v>
      </c>
      <c r="C823" s="4" t="s">
        <v>54</v>
      </c>
      <c r="D823" s="4" t="s">
        <v>15</v>
      </c>
      <c r="E823" s="4" t="s">
        <v>1077</v>
      </c>
      <c r="F823" s="4" t="s">
        <v>2956</v>
      </c>
      <c r="G823" s="6">
        <v>2.9</v>
      </c>
      <c r="H823" s="7">
        <v>45551.831620370373</v>
      </c>
      <c r="I823" s="7" t="str">
        <f>TEXT(multilingual_mobile_app_reviews_2025[[#This Row],[Review_date]],"dd-mm-yyyy")</f>
        <v>16-09-2024</v>
      </c>
      <c r="J823" s="7" t="str">
        <f>TEXT(multilingual_mobile_app_reviews_2025[[#This Row],[Review_date]],"YYYY")</f>
        <v>2024</v>
      </c>
      <c r="K823" s="7" t="str">
        <f>TEXT(multilingual_mobile_app_reviews_2025[[#This Row],[Review_date]],"MMMM")</f>
        <v>September</v>
      </c>
      <c r="L823" s="4" t="b">
        <v>1</v>
      </c>
      <c r="M823" s="4" t="s">
        <v>22</v>
      </c>
      <c r="N823" s="5">
        <v>1129</v>
      </c>
      <c r="O823" s="5">
        <v>45</v>
      </c>
      <c r="P823" s="4" t="s">
        <v>38</v>
      </c>
      <c r="Q823" s="8" t="s">
        <v>5</v>
      </c>
      <c r="R823" s="4" t="s">
        <v>1078</v>
      </c>
      <c r="S823" s="4"/>
      <c r="T823"/>
      <c r="U823" s="23"/>
    </row>
    <row r="824" spans="1:21" ht="15.6" x14ac:dyDescent="0.3">
      <c r="A824" s="4">
        <v>823</v>
      </c>
      <c r="B824" s="5">
        <v>3278618</v>
      </c>
      <c r="C824" s="4" t="s">
        <v>41</v>
      </c>
      <c r="D824" s="4" t="s">
        <v>71</v>
      </c>
      <c r="E824" s="4" t="s">
        <v>1079</v>
      </c>
      <c r="F824" s="4" t="s">
        <v>2962</v>
      </c>
      <c r="G824" s="6">
        <v>2</v>
      </c>
      <c r="H824" s="7">
        <v>45461.361678240741</v>
      </c>
      <c r="I824" s="7" t="str">
        <f>TEXT(multilingual_mobile_app_reviews_2025[[#This Row],[Review_date]],"dd-mm-yyyy")</f>
        <v>18-06-2024</v>
      </c>
      <c r="J824" s="7" t="str">
        <f>TEXT(multilingual_mobile_app_reviews_2025[[#This Row],[Review_date]],"YYYY")</f>
        <v>2024</v>
      </c>
      <c r="K824" s="7" t="str">
        <f>TEXT(multilingual_mobile_app_reviews_2025[[#This Row],[Review_date]],"MMMM")</f>
        <v>June</v>
      </c>
      <c r="L824" s="4" t="b">
        <v>0</v>
      </c>
      <c r="M824" s="4" t="s">
        <v>22</v>
      </c>
      <c r="N824" s="5">
        <v>1138</v>
      </c>
      <c r="O824" s="5">
        <v>67</v>
      </c>
      <c r="P824" s="4" t="s">
        <v>144</v>
      </c>
      <c r="Q824" s="8" t="s">
        <v>2963</v>
      </c>
      <c r="R824" s="4" t="s">
        <v>1080</v>
      </c>
      <c r="S824" s="4"/>
      <c r="T824"/>
      <c r="U824" s="23"/>
    </row>
    <row r="825" spans="1:21" ht="15.6" x14ac:dyDescent="0.3">
      <c r="A825" s="4">
        <v>824</v>
      </c>
      <c r="B825" s="5">
        <v>1870234</v>
      </c>
      <c r="C825" s="4" t="s">
        <v>199</v>
      </c>
      <c r="D825" s="4" t="s">
        <v>42</v>
      </c>
      <c r="E825" s="4" t="s">
        <v>27</v>
      </c>
      <c r="F825" s="4" t="s">
        <v>2952</v>
      </c>
      <c r="G825" s="6">
        <v>1.4</v>
      </c>
      <c r="H825" s="7">
        <v>45734.068194444444</v>
      </c>
      <c r="I825" s="7" t="str">
        <f>TEXT(multilingual_mobile_app_reviews_2025[[#This Row],[Review_date]],"dd-mm-yyyy")</f>
        <v>18-03-2025</v>
      </c>
      <c r="J825" s="7" t="str">
        <f>TEXT(multilingual_mobile_app_reviews_2025[[#This Row],[Review_date]],"YYYY")</f>
        <v>2025</v>
      </c>
      <c r="K825" s="7" t="str">
        <f>TEXT(multilingual_mobile_app_reviews_2025[[#This Row],[Review_date]],"MMMM")</f>
        <v>March</v>
      </c>
      <c r="L825" s="4" t="b">
        <v>0</v>
      </c>
      <c r="M825" s="4" t="s">
        <v>10</v>
      </c>
      <c r="N825" s="5">
        <v>870</v>
      </c>
      <c r="O825" s="5">
        <v>29</v>
      </c>
      <c r="P825" s="4" t="s">
        <v>61</v>
      </c>
      <c r="Q825" s="8" t="s">
        <v>39</v>
      </c>
      <c r="R825" s="4" t="s">
        <v>1081</v>
      </c>
      <c r="S825" s="4"/>
      <c r="T825"/>
      <c r="U825" s="23"/>
    </row>
    <row r="826" spans="1:21" ht="15.6" x14ac:dyDescent="0.3">
      <c r="A826" s="4">
        <v>825</v>
      </c>
      <c r="B826" s="5">
        <v>9773133</v>
      </c>
      <c r="C826" s="4" t="s">
        <v>84</v>
      </c>
      <c r="D826" s="4" t="s">
        <v>1</v>
      </c>
      <c r="E826" s="4" t="s">
        <v>9</v>
      </c>
      <c r="F826" s="4" t="s">
        <v>2943</v>
      </c>
      <c r="G826" s="6">
        <v>2.9</v>
      </c>
      <c r="H826" s="7">
        <v>45416.916631944441</v>
      </c>
      <c r="I826" s="7" t="str">
        <f>TEXT(multilingual_mobile_app_reviews_2025[[#This Row],[Review_date]],"dd-mm-yyyy")</f>
        <v>04-05-2024</v>
      </c>
      <c r="J826" s="7" t="str">
        <f>TEXT(multilingual_mobile_app_reviews_2025[[#This Row],[Review_date]],"YYYY")</f>
        <v>2024</v>
      </c>
      <c r="K826" s="7" t="str">
        <f>TEXT(multilingual_mobile_app_reviews_2025[[#This Row],[Review_date]],"MMMM")</f>
        <v>May</v>
      </c>
      <c r="L826" s="4" t="b">
        <v>0</v>
      </c>
      <c r="M826" s="4" t="s">
        <v>22</v>
      </c>
      <c r="N826" s="5">
        <v>1090</v>
      </c>
      <c r="O826" s="5">
        <v>34</v>
      </c>
      <c r="P826" s="4" t="s">
        <v>99</v>
      </c>
      <c r="Q826" s="8" t="s">
        <v>5</v>
      </c>
      <c r="R826" s="4" t="s">
        <v>1082</v>
      </c>
      <c r="S826" s="4"/>
      <c r="T826"/>
      <c r="U826" s="23"/>
    </row>
    <row r="827" spans="1:21" ht="15.6" x14ac:dyDescent="0.3">
      <c r="A827" s="4">
        <v>826</v>
      </c>
      <c r="B827" s="5">
        <v>7796054</v>
      </c>
      <c r="C827" s="4" t="s">
        <v>154</v>
      </c>
      <c r="D827" s="4" t="s">
        <v>157</v>
      </c>
      <c r="E827" s="4" t="s">
        <v>16</v>
      </c>
      <c r="F827" s="4" t="s">
        <v>2942</v>
      </c>
      <c r="G827" s="6">
        <v>3.7</v>
      </c>
      <c r="H827" s="7">
        <v>45684.565312500003</v>
      </c>
      <c r="I827" s="7" t="str">
        <f>TEXT(multilingual_mobile_app_reviews_2025[[#This Row],[Review_date]],"dd-mm-yyyy")</f>
        <v>27-01-2025</v>
      </c>
      <c r="J827" s="7" t="str">
        <f>TEXT(multilingual_mobile_app_reviews_2025[[#This Row],[Review_date]],"YYYY")</f>
        <v>2025</v>
      </c>
      <c r="K827" s="7" t="str">
        <f>TEXT(multilingual_mobile_app_reviews_2025[[#This Row],[Review_date]],"MMMM")</f>
        <v>January</v>
      </c>
      <c r="L827" s="4" t="b">
        <v>0</v>
      </c>
      <c r="M827" s="4" t="s">
        <v>33</v>
      </c>
      <c r="N827" s="5">
        <v>903</v>
      </c>
      <c r="O827" s="5">
        <v>58</v>
      </c>
      <c r="P827" s="4" t="s">
        <v>180</v>
      </c>
      <c r="Q827" s="8" t="s">
        <v>5</v>
      </c>
      <c r="R827" s="4" t="s">
        <v>1083</v>
      </c>
      <c r="S827" s="4"/>
      <c r="T827"/>
      <c r="U827" s="23"/>
    </row>
    <row r="828" spans="1:21" ht="15.6" x14ac:dyDescent="0.3">
      <c r="A828" s="4">
        <v>827</v>
      </c>
      <c r="B828" s="5">
        <v>7265129</v>
      </c>
      <c r="C828" s="4" t="s">
        <v>7</v>
      </c>
      <c r="D828" s="4" t="s">
        <v>1</v>
      </c>
      <c r="E828" s="4" t="s">
        <v>27</v>
      </c>
      <c r="F828" s="4" t="s">
        <v>2955</v>
      </c>
      <c r="G828" s="6">
        <v>1.5</v>
      </c>
      <c r="H828" s="7">
        <v>45824.587962962964</v>
      </c>
      <c r="I828" s="7" t="str">
        <f>TEXT(multilingual_mobile_app_reviews_2025[[#This Row],[Review_date]],"dd-mm-yyyy")</f>
        <v>16-06-2025</v>
      </c>
      <c r="J828" s="7" t="str">
        <f>TEXT(multilingual_mobile_app_reviews_2025[[#This Row],[Review_date]],"YYYY")</f>
        <v>2025</v>
      </c>
      <c r="K828" s="7" t="str">
        <f>TEXT(multilingual_mobile_app_reviews_2025[[#This Row],[Review_date]],"MMMM")</f>
        <v>June</v>
      </c>
      <c r="L828" s="4" t="b">
        <v>1</v>
      </c>
      <c r="M828" s="4" t="s">
        <v>10</v>
      </c>
      <c r="N828" s="5">
        <v>1225</v>
      </c>
      <c r="O828" s="5">
        <v>47</v>
      </c>
      <c r="P828" s="4" t="s">
        <v>44</v>
      </c>
      <c r="Q828" s="8" t="s">
        <v>5</v>
      </c>
      <c r="R828" s="4" t="s">
        <v>1084</v>
      </c>
      <c r="S828" s="4"/>
      <c r="T828"/>
      <c r="U828" s="23"/>
    </row>
    <row r="829" spans="1:21" ht="15.6" x14ac:dyDescent="0.3">
      <c r="A829" s="4">
        <v>828</v>
      </c>
      <c r="B829" s="5">
        <v>2898595</v>
      </c>
      <c r="C829" s="4" t="s">
        <v>244</v>
      </c>
      <c r="D829" s="4" t="s">
        <v>60</v>
      </c>
      <c r="E829" s="4" t="s">
        <v>93</v>
      </c>
      <c r="F829" s="4" t="s">
        <v>2953</v>
      </c>
      <c r="G829" s="6">
        <v>4.7</v>
      </c>
      <c r="H829" s="7">
        <v>45754.401388888888</v>
      </c>
      <c r="I829" s="7" t="str">
        <f>TEXT(multilingual_mobile_app_reviews_2025[[#This Row],[Review_date]],"dd-mm-yyyy")</f>
        <v>07-04-2025</v>
      </c>
      <c r="J829" s="7" t="str">
        <f>TEXT(multilingual_mobile_app_reviews_2025[[#This Row],[Review_date]],"YYYY")</f>
        <v>2025</v>
      </c>
      <c r="K829" s="7" t="str">
        <f>TEXT(multilingual_mobile_app_reviews_2025[[#This Row],[Review_date]],"MMMM")</f>
        <v>April</v>
      </c>
      <c r="L829" s="4" t="b">
        <v>1</v>
      </c>
      <c r="M829" s="4" t="s">
        <v>10</v>
      </c>
      <c r="N829" s="5">
        <v>0</v>
      </c>
      <c r="O829" s="5">
        <v>40</v>
      </c>
      <c r="P829" s="4" t="s">
        <v>61</v>
      </c>
      <c r="Q829" s="8" t="s">
        <v>39</v>
      </c>
      <c r="R829" s="4" t="s">
        <v>1085</v>
      </c>
      <c r="S829" s="4"/>
      <c r="T829"/>
      <c r="U829" s="23"/>
    </row>
    <row r="830" spans="1:21" ht="15.6" x14ac:dyDescent="0.3">
      <c r="A830" s="4">
        <v>829</v>
      </c>
      <c r="B830" s="5">
        <v>9326889</v>
      </c>
      <c r="C830" s="4" t="s">
        <v>0</v>
      </c>
      <c r="D830" s="4" t="s">
        <v>42</v>
      </c>
      <c r="E830" s="4" t="s">
        <v>109</v>
      </c>
      <c r="F830" s="4" t="s">
        <v>2961</v>
      </c>
      <c r="G830" s="6">
        <v>1.7</v>
      </c>
      <c r="H830" s="7">
        <v>45450.776944444442</v>
      </c>
      <c r="I830" s="7" t="str">
        <f>TEXT(multilingual_mobile_app_reviews_2025[[#This Row],[Review_date]],"dd-mm-yyyy")</f>
        <v>07-06-2024</v>
      </c>
      <c r="J830" s="7" t="str">
        <f>TEXT(multilingual_mobile_app_reviews_2025[[#This Row],[Review_date]],"YYYY")</f>
        <v>2024</v>
      </c>
      <c r="K830" s="7" t="str">
        <f>TEXT(multilingual_mobile_app_reviews_2025[[#This Row],[Review_date]],"MMMM")</f>
        <v>June</v>
      </c>
      <c r="L830" s="4" t="b">
        <v>1</v>
      </c>
      <c r="M830" s="4" t="s">
        <v>22</v>
      </c>
      <c r="N830" s="5">
        <v>404</v>
      </c>
      <c r="O830" s="5">
        <v>21</v>
      </c>
      <c r="P830" s="4" t="s">
        <v>114</v>
      </c>
      <c r="Q830" s="8" t="s">
        <v>2963</v>
      </c>
      <c r="R830" s="4" t="s">
        <v>250</v>
      </c>
      <c r="S830" s="4"/>
      <c r="T830"/>
      <c r="U830" s="23"/>
    </row>
    <row r="831" spans="1:21" ht="15.6" x14ac:dyDescent="0.3">
      <c r="A831" s="4">
        <v>830</v>
      </c>
      <c r="B831" s="5">
        <v>5762526</v>
      </c>
      <c r="C831" s="4" t="s">
        <v>113</v>
      </c>
      <c r="D831" s="4" t="s">
        <v>79</v>
      </c>
      <c r="E831" s="4" t="s">
        <v>76</v>
      </c>
      <c r="F831" s="4" t="s">
        <v>2947</v>
      </c>
      <c r="G831" s="6">
        <v>2.5</v>
      </c>
      <c r="H831" s="7">
        <v>45649.598379629628</v>
      </c>
      <c r="I831" s="7" t="str">
        <f>TEXT(multilingual_mobile_app_reviews_2025[[#This Row],[Review_date]],"dd-mm-yyyy")</f>
        <v>23-12-2024</v>
      </c>
      <c r="J831" s="7" t="str">
        <f>TEXT(multilingual_mobile_app_reviews_2025[[#This Row],[Review_date]],"YYYY")</f>
        <v>2024</v>
      </c>
      <c r="K831" s="7" t="str">
        <f>TEXT(multilingual_mobile_app_reviews_2025[[#This Row],[Review_date]],"MMMM")</f>
        <v>December</v>
      </c>
      <c r="L831" s="4" t="b">
        <v>1</v>
      </c>
      <c r="M831" s="4" t="s">
        <v>22</v>
      </c>
      <c r="N831" s="5">
        <v>767</v>
      </c>
      <c r="O831" s="5">
        <v>15</v>
      </c>
      <c r="P831" s="4" t="s">
        <v>34</v>
      </c>
      <c r="Q831" s="8" t="s">
        <v>5</v>
      </c>
      <c r="R831" s="4" t="s">
        <v>250</v>
      </c>
      <c r="S831" s="4"/>
      <c r="T831"/>
      <c r="U831" s="23"/>
    </row>
    <row r="832" spans="1:21" ht="15.6" x14ac:dyDescent="0.3">
      <c r="A832" s="4">
        <v>831</v>
      </c>
      <c r="B832" s="5">
        <v>9057363</v>
      </c>
      <c r="C832" s="4" t="s">
        <v>199</v>
      </c>
      <c r="D832" s="4" t="s">
        <v>157</v>
      </c>
      <c r="E832" s="4" t="s">
        <v>1086</v>
      </c>
      <c r="F832" s="4" t="s">
        <v>2957</v>
      </c>
      <c r="G832" s="6">
        <v>3.1</v>
      </c>
      <c r="H832" s="7">
        <v>45373.325613425928</v>
      </c>
      <c r="I832" s="7" t="str">
        <f>TEXT(multilingual_mobile_app_reviews_2025[[#This Row],[Review_date]],"dd-mm-yyyy")</f>
        <v>22-03-2024</v>
      </c>
      <c r="J832" s="7" t="str">
        <f>TEXT(multilingual_mobile_app_reviews_2025[[#This Row],[Review_date]],"YYYY")</f>
        <v>2024</v>
      </c>
      <c r="K832" s="7" t="str">
        <f>TEXT(multilingual_mobile_app_reviews_2025[[#This Row],[Review_date]],"MMMM")</f>
        <v>March</v>
      </c>
      <c r="L832" s="4" t="b">
        <v>1</v>
      </c>
      <c r="M832" s="4" t="s">
        <v>33</v>
      </c>
      <c r="N832" s="5">
        <v>1199</v>
      </c>
      <c r="O832" s="5">
        <v>34</v>
      </c>
      <c r="P832" s="4" t="s">
        <v>70</v>
      </c>
      <c r="Q832" s="8" t="s">
        <v>5</v>
      </c>
      <c r="R832" s="4" t="s">
        <v>1087</v>
      </c>
      <c r="S832" s="4"/>
      <c r="T832"/>
      <c r="U832" s="23"/>
    </row>
    <row r="833" spans="1:21" ht="15.6" x14ac:dyDescent="0.3">
      <c r="A833" s="4">
        <v>832</v>
      </c>
      <c r="B833" s="5">
        <v>5138767</v>
      </c>
      <c r="C833" s="4" t="s">
        <v>92</v>
      </c>
      <c r="D833" s="4" t="s">
        <v>57</v>
      </c>
      <c r="E833" s="4" t="s">
        <v>1088</v>
      </c>
      <c r="F833" s="4" t="s">
        <v>2959</v>
      </c>
      <c r="G833" s="6">
        <v>2.6</v>
      </c>
      <c r="H833" s="7">
        <v>45852.773726851854</v>
      </c>
      <c r="I833" s="7" t="str">
        <f>TEXT(multilingual_mobile_app_reviews_2025[[#This Row],[Review_date]],"dd-mm-yyyy")</f>
        <v>14-07-2025</v>
      </c>
      <c r="J833" s="7" t="str">
        <f>TEXT(multilingual_mobile_app_reviews_2025[[#This Row],[Review_date]],"YYYY")</f>
        <v>2025</v>
      </c>
      <c r="K833" s="7" t="str">
        <f>TEXT(multilingual_mobile_app_reviews_2025[[#This Row],[Review_date]],"MMMM")</f>
        <v>July</v>
      </c>
      <c r="L833" s="4" t="b">
        <v>1</v>
      </c>
      <c r="M833" s="4" t="s">
        <v>3</v>
      </c>
      <c r="N833" s="5">
        <v>1096</v>
      </c>
      <c r="O833" s="5">
        <v>42</v>
      </c>
      <c r="P833" s="4" t="s">
        <v>4</v>
      </c>
      <c r="Q833" s="8" t="s">
        <v>2963</v>
      </c>
      <c r="R833" s="4" t="s">
        <v>1089</v>
      </c>
      <c r="S833" s="4"/>
      <c r="T833"/>
      <c r="U833" s="23"/>
    </row>
    <row r="834" spans="1:21" ht="15.6" x14ac:dyDescent="0.3">
      <c r="A834" s="4">
        <v>833</v>
      </c>
      <c r="B834" s="5">
        <v>8677712</v>
      </c>
      <c r="C834" s="4" t="s">
        <v>14</v>
      </c>
      <c r="D834" s="4" t="s">
        <v>51</v>
      </c>
      <c r="E834" s="4" t="s">
        <v>76</v>
      </c>
      <c r="F834" s="4" t="s">
        <v>2949</v>
      </c>
      <c r="G834" s="6">
        <v>4.5</v>
      </c>
      <c r="H834" s="7">
        <v>45570.987187500003</v>
      </c>
      <c r="I834" s="7" t="str">
        <f>TEXT(multilingual_mobile_app_reviews_2025[[#This Row],[Review_date]],"dd-mm-yyyy")</f>
        <v>05-10-2024</v>
      </c>
      <c r="J834" s="7" t="str">
        <f>TEXT(multilingual_mobile_app_reviews_2025[[#This Row],[Review_date]],"YYYY")</f>
        <v>2024</v>
      </c>
      <c r="K834" s="7" t="str">
        <f>TEXT(multilingual_mobile_app_reviews_2025[[#This Row],[Review_date]],"MMMM")</f>
        <v>October</v>
      </c>
      <c r="L834" s="4" t="b">
        <v>1</v>
      </c>
      <c r="M834" s="4" t="s">
        <v>22</v>
      </c>
      <c r="N834" s="5">
        <v>492</v>
      </c>
      <c r="O834" s="5">
        <v>71</v>
      </c>
      <c r="P834" s="4" t="s">
        <v>23</v>
      </c>
      <c r="Q834" s="8" t="s">
        <v>2963</v>
      </c>
      <c r="R834" s="4" t="s">
        <v>808</v>
      </c>
      <c r="S834" s="4"/>
      <c r="T834"/>
      <c r="U834" s="23"/>
    </row>
    <row r="835" spans="1:21" ht="15.6" x14ac:dyDescent="0.3">
      <c r="A835" s="4">
        <v>834</v>
      </c>
      <c r="B835" s="5">
        <v>9690055</v>
      </c>
      <c r="C835" s="4" t="s">
        <v>41</v>
      </c>
      <c r="D835" s="4" t="s">
        <v>51</v>
      </c>
      <c r="E835" s="4" t="s">
        <v>76</v>
      </c>
      <c r="F835" s="4" t="s">
        <v>2940</v>
      </c>
      <c r="G835" s="6">
        <v>2.7</v>
      </c>
      <c r="H835" s="7">
        <v>45259.048796296294</v>
      </c>
      <c r="I835" s="7" t="str">
        <f>TEXT(multilingual_mobile_app_reviews_2025[[#This Row],[Review_date]],"dd-mm-yyyy")</f>
        <v>29-11-2023</v>
      </c>
      <c r="J835" s="7" t="str">
        <f>TEXT(multilingual_mobile_app_reviews_2025[[#This Row],[Review_date]],"YYYY")</f>
        <v>2023</v>
      </c>
      <c r="K835" s="7" t="str">
        <f>TEXT(multilingual_mobile_app_reviews_2025[[#This Row],[Review_date]],"MMMM")</f>
        <v>November</v>
      </c>
      <c r="L835" s="4" t="b">
        <v>1</v>
      </c>
      <c r="M835" s="4" t="s">
        <v>22</v>
      </c>
      <c r="N835" s="5">
        <v>286</v>
      </c>
      <c r="O835" s="5">
        <v>64</v>
      </c>
      <c r="P835" s="4" t="s">
        <v>17</v>
      </c>
      <c r="Q835" s="8" t="s">
        <v>12</v>
      </c>
      <c r="R835" s="4" t="s">
        <v>1090</v>
      </c>
      <c r="S835" s="4"/>
      <c r="T835"/>
      <c r="U835" s="23"/>
    </row>
    <row r="836" spans="1:21" ht="15.6" x14ac:dyDescent="0.3">
      <c r="A836" s="4">
        <v>835</v>
      </c>
      <c r="B836" s="5">
        <v>733110</v>
      </c>
      <c r="C836" s="4" t="s">
        <v>208</v>
      </c>
      <c r="D836" s="4" t="s">
        <v>57</v>
      </c>
      <c r="E836" s="4" t="s">
        <v>1091</v>
      </c>
      <c r="F836" s="4" t="s">
        <v>2957</v>
      </c>
      <c r="G836" s="6">
        <v>3.8</v>
      </c>
      <c r="H836" s="7">
        <v>45449.410752314812</v>
      </c>
      <c r="I836" s="7" t="str">
        <f>TEXT(multilingual_mobile_app_reviews_2025[[#This Row],[Review_date]],"dd-mm-yyyy")</f>
        <v>06-06-2024</v>
      </c>
      <c r="J836" s="7" t="str">
        <f>TEXT(multilingual_mobile_app_reviews_2025[[#This Row],[Review_date]],"YYYY")</f>
        <v>2024</v>
      </c>
      <c r="K836" s="7" t="str">
        <f>TEXT(multilingual_mobile_app_reviews_2025[[#This Row],[Review_date]],"MMMM")</f>
        <v>June</v>
      </c>
      <c r="L836" s="4" t="b">
        <v>1</v>
      </c>
      <c r="M836" s="4" t="s">
        <v>98</v>
      </c>
      <c r="N836" s="5">
        <v>171</v>
      </c>
      <c r="O836" s="5">
        <v>33</v>
      </c>
      <c r="P836" s="4" t="s">
        <v>65</v>
      </c>
      <c r="Q836" s="8" t="s">
        <v>2963</v>
      </c>
      <c r="R836" s="4" t="s">
        <v>1092</v>
      </c>
      <c r="S836" s="4"/>
      <c r="T836"/>
      <c r="U836" s="23"/>
    </row>
    <row r="837" spans="1:21" ht="15.6" x14ac:dyDescent="0.3">
      <c r="A837" s="4">
        <v>836</v>
      </c>
      <c r="B837" s="5">
        <v>3747992</v>
      </c>
      <c r="C837" s="4" t="s">
        <v>56</v>
      </c>
      <c r="D837" s="4" t="s">
        <v>79</v>
      </c>
      <c r="E837" s="4" t="s">
        <v>16</v>
      </c>
      <c r="F837" s="4" t="s">
        <v>2948</v>
      </c>
      <c r="G837" s="6">
        <v>3.6</v>
      </c>
      <c r="H837" s="7">
        <v>45709.199502314812</v>
      </c>
      <c r="I837" s="7" t="str">
        <f>TEXT(multilingual_mobile_app_reviews_2025[[#This Row],[Review_date]],"dd-mm-yyyy")</f>
        <v>21-02-2025</v>
      </c>
      <c r="J837" s="7" t="str">
        <f>TEXT(multilingual_mobile_app_reviews_2025[[#This Row],[Review_date]],"YYYY")</f>
        <v>2025</v>
      </c>
      <c r="K837" s="7" t="str">
        <f>TEXT(multilingual_mobile_app_reviews_2025[[#This Row],[Review_date]],"MMMM")</f>
        <v>February</v>
      </c>
      <c r="L837" s="4" t="b">
        <v>1</v>
      </c>
      <c r="M837" s="4" t="s">
        <v>10</v>
      </c>
      <c r="N837" s="5">
        <v>534</v>
      </c>
      <c r="O837" s="5">
        <v>23</v>
      </c>
      <c r="P837" s="4" t="s">
        <v>4</v>
      </c>
      <c r="Q837" s="8" t="s">
        <v>2963</v>
      </c>
      <c r="R837" s="4" t="s">
        <v>1093</v>
      </c>
      <c r="S837" s="4"/>
      <c r="T837"/>
      <c r="U837" s="23"/>
    </row>
    <row r="838" spans="1:21" ht="15.6" x14ac:dyDescent="0.3">
      <c r="A838" s="4">
        <v>837</v>
      </c>
      <c r="B838" s="5">
        <v>5547428</v>
      </c>
      <c r="C838" s="4" t="s">
        <v>264</v>
      </c>
      <c r="D838" s="4" t="s">
        <v>31</v>
      </c>
      <c r="E838" s="4" t="s">
        <v>109</v>
      </c>
      <c r="F838" s="4" t="s">
        <v>2948</v>
      </c>
      <c r="G838" s="6">
        <v>2.7</v>
      </c>
      <c r="H838" s="7">
        <v>45754.745162037034</v>
      </c>
      <c r="I838" s="7" t="str">
        <f>TEXT(multilingual_mobile_app_reviews_2025[[#This Row],[Review_date]],"dd-mm-yyyy")</f>
        <v>07-04-2025</v>
      </c>
      <c r="J838" s="7" t="str">
        <f>TEXT(multilingual_mobile_app_reviews_2025[[#This Row],[Review_date]],"YYYY")</f>
        <v>2025</v>
      </c>
      <c r="K838" s="7" t="str">
        <f>TEXT(multilingual_mobile_app_reviews_2025[[#This Row],[Review_date]],"MMMM")</f>
        <v>April</v>
      </c>
      <c r="L838" s="4" t="b">
        <v>1</v>
      </c>
      <c r="M838" s="4" t="s">
        <v>98</v>
      </c>
      <c r="N838" s="5">
        <v>90</v>
      </c>
      <c r="O838" s="5">
        <v>51</v>
      </c>
      <c r="P838" s="4" t="s">
        <v>23</v>
      </c>
      <c r="Q838" s="8" t="s">
        <v>12</v>
      </c>
      <c r="R838" s="4" t="s">
        <v>1094</v>
      </c>
      <c r="S838" s="4"/>
      <c r="T838"/>
      <c r="U838" s="23"/>
    </row>
    <row r="839" spans="1:21" ht="15.6" x14ac:dyDescent="0.3">
      <c r="A839" s="4">
        <v>838</v>
      </c>
      <c r="B839" s="5">
        <v>3000822</v>
      </c>
      <c r="C839" s="4" t="s">
        <v>41</v>
      </c>
      <c r="D839" s="4" t="s">
        <v>111</v>
      </c>
      <c r="E839" s="4" t="s">
        <v>32</v>
      </c>
      <c r="F839" s="4" t="s">
        <v>2951</v>
      </c>
      <c r="G839" s="6">
        <v>4.2</v>
      </c>
      <c r="H839" s="7">
        <v>45518.133761574078</v>
      </c>
      <c r="I839" s="7" t="str">
        <f>TEXT(multilingual_mobile_app_reviews_2025[[#This Row],[Review_date]],"dd-mm-yyyy")</f>
        <v>14-08-2024</v>
      </c>
      <c r="J839" s="7" t="str">
        <f>TEXT(multilingual_mobile_app_reviews_2025[[#This Row],[Review_date]],"YYYY")</f>
        <v>2024</v>
      </c>
      <c r="K839" s="7" t="str">
        <f>TEXT(multilingual_mobile_app_reviews_2025[[#This Row],[Review_date]],"MMMM")</f>
        <v>August</v>
      </c>
      <c r="L839" s="4" t="b">
        <v>0</v>
      </c>
      <c r="M839" s="4" t="s">
        <v>33</v>
      </c>
      <c r="N839" s="5">
        <v>466</v>
      </c>
      <c r="O839" s="5">
        <v>33</v>
      </c>
      <c r="P839" s="4" t="s">
        <v>162</v>
      </c>
      <c r="Q839" s="8" t="s">
        <v>12</v>
      </c>
      <c r="R839" s="4" t="s">
        <v>1095</v>
      </c>
      <c r="S839" s="4"/>
      <c r="T839"/>
      <c r="U839" s="23"/>
    </row>
    <row r="840" spans="1:21" ht="15.6" x14ac:dyDescent="0.3">
      <c r="A840" s="4">
        <v>839</v>
      </c>
      <c r="B840" s="5">
        <v>9767576</v>
      </c>
      <c r="C840" s="4" t="s">
        <v>78</v>
      </c>
      <c r="D840" s="4" t="s">
        <v>60</v>
      </c>
      <c r="E840" s="4" t="s">
        <v>93</v>
      </c>
      <c r="F840" s="4" t="s">
        <v>2949</v>
      </c>
      <c r="G840" s="6">
        <v>2.8</v>
      </c>
      <c r="H840" s="7">
        <v>45775.414594907408</v>
      </c>
      <c r="I840" s="7" t="str">
        <f>TEXT(multilingual_mobile_app_reviews_2025[[#This Row],[Review_date]],"dd-mm-yyyy")</f>
        <v>28-04-2025</v>
      </c>
      <c r="J840" s="7" t="str">
        <f>TEXT(multilingual_mobile_app_reviews_2025[[#This Row],[Review_date]],"YYYY")</f>
        <v>2025</v>
      </c>
      <c r="K840" s="7" t="str">
        <f>TEXT(multilingual_mobile_app_reviews_2025[[#This Row],[Review_date]],"MMMM")</f>
        <v>April</v>
      </c>
      <c r="L840" s="4" t="b">
        <v>1</v>
      </c>
      <c r="M840" s="4" t="s">
        <v>10</v>
      </c>
      <c r="N840" s="5">
        <v>34</v>
      </c>
      <c r="O840" s="5">
        <v>62</v>
      </c>
      <c r="P840" s="4" t="s">
        <v>144</v>
      </c>
      <c r="Q840" s="8" t="s">
        <v>2963</v>
      </c>
      <c r="R840" s="4" t="s">
        <v>1096</v>
      </c>
      <c r="S840" s="4"/>
      <c r="T840"/>
      <c r="U840" s="23"/>
    </row>
    <row r="841" spans="1:21" ht="15.6" x14ac:dyDescent="0.3">
      <c r="A841" s="4">
        <v>840</v>
      </c>
      <c r="B841" s="5">
        <v>5139762</v>
      </c>
      <c r="C841" s="4" t="s">
        <v>159</v>
      </c>
      <c r="D841" s="4" t="s">
        <v>111</v>
      </c>
      <c r="E841" s="4" t="s">
        <v>1097</v>
      </c>
      <c r="F841" s="4" t="s">
        <v>2961</v>
      </c>
      <c r="G841" s="6">
        <v>2</v>
      </c>
      <c r="H841" s="7">
        <v>45147.759618055556</v>
      </c>
      <c r="I841" s="7" t="str">
        <f>TEXT(multilingual_mobile_app_reviews_2025[[#This Row],[Review_date]],"dd-mm-yyyy")</f>
        <v>09-08-2023</v>
      </c>
      <c r="J841" s="7" t="str">
        <f>TEXT(multilingual_mobile_app_reviews_2025[[#This Row],[Review_date]],"YYYY")</f>
        <v>2023</v>
      </c>
      <c r="K841" s="7" t="str">
        <f>TEXT(multilingual_mobile_app_reviews_2025[[#This Row],[Review_date]],"MMMM")</f>
        <v>August</v>
      </c>
      <c r="L841" s="4" t="b">
        <v>0</v>
      </c>
      <c r="M841" s="4" t="s">
        <v>22</v>
      </c>
      <c r="N841" s="5">
        <v>1121</v>
      </c>
      <c r="O841" s="5">
        <v>73</v>
      </c>
      <c r="P841" s="4" t="s">
        <v>99</v>
      </c>
      <c r="Q841" s="8" t="s">
        <v>29</v>
      </c>
      <c r="R841" s="4" t="s">
        <v>1098</v>
      </c>
      <c r="S841" s="4"/>
      <c r="T841"/>
      <c r="U841" s="23"/>
    </row>
    <row r="842" spans="1:21" ht="15.6" x14ac:dyDescent="0.3">
      <c r="A842" s="4">
        <v>841</v>
      </c>
      <c r="B842" s="5">
        <v>6517066</v>
      </c>
      <c r="C842" s="4" t="s">
        <v>264</v>
      </c>
      <c r="D842" s="4" t="s">
        <v>15</v>
      </c>
      <c r="E842" s="4" t="s">
        <v>93</v>
      </c>
      <c r="F842" s="4" t="s">
        <v>2957</v>
      </c>
      <c r="G842" s="6">
        <v>2.2000000000000002</v>
      </c>
      <c r="H842" s="7">
        <v>45180.920694444445</v>
      </c>
      <c r="I842" s="7" t="str">
        <f>TEXT(multilingual_mobile_app_reviews_2025[[#This Row],[Review_date]],"dd-mm-yyyy")</f>
        <v>11-09-2023</v>
      </c>
      <c r="J842" s="7" t="str">
        <f>TEXT(multilingual_mobile_app_reviews_2025[[#This Row],[Review_date]],"YYYY")</f>
        <v>2023</v>
      </c>
      <c r="K842" s="7" t="str">
        <f>TEXT(multilingual_mobile_app_reviews_2025[[#This Row],[Review_date]],"MMMM")</f>
        <v>September</v>
      </c>
      <c r="L842" s="4" t="b">
        <v>1</v>
      </c>
      <c r="M842" s="4" t="s">
        <v>22</v>
      </c>
      <c r="N842" s="5">
        <v>1068</v>
      </c>
      <c r="O842" s="5">
        <v>49</v>
      </c>
      <c r="P842" s="4" t="s">
        <v>38</v>
      </c>
      <c r="Q842" s="8" t="s">
        <v>39</v>
      </c>
      <c r="R842" s="4" t="s">
        <v>806</v>
      </c>
      <c r="S842" s="4"/>
      <c r="T842"/>
      <c r="U842" s="23"/>
    </row>
    <row r="843" spans="1:21" ht="15.6" x14ac:dyDescent="0.3">
      <c r="A843" s="4">
        <v>842</v>
      </c>
      <c r="B843" s="5">
        <v>8897692</v>
      </c>
      <c r="C843" s="4" t="s">
        <v>258</v>
      </c>
      <c r="D843" s="4" t="s">
        <v>97</v>
      </c>
      <c r="E843" s="4" t="s">
        <v>109</v>
      </c>
      <c r="F843" s="4" t="s">
        <v>2960</v>
      </c>
      <c r="G843" s="6">
        <v>2.2000000000000002</v>
      </c>
      <c r="H843" s="7">
        <v>45170.865474537037</v>
      </c>
      <c r="I843" s="7" t="str">
        <f>TEXT(multilingual_mobile_app_reviews_2025[[#This Row],[Review_date]],"dd-mm-yyyy")</f>
        <v>01-09-2023</v>
      </c>
      <c r="J843" s="7" t="str">
        <f>TEXT(multilingual_mobile_app_reviews_2025[[#This Row],[Review_date]],"YYYY")</f>
        <v>2023</v>
      </c>
      <c r="K843" s="7" t="str">
        <f>TEXT(multilingual_mobile_app_reviews_2025[[#This Row],[Review_date]],"MMMM")</f>
        <v>September</v>
      </c>
      <c r="L843" s="4" t="b">
        <v>1</v>
      </c>
      <c r="M843" s="4" t="s">
        <v>3</v>
      </c>
      <c r="N843" s="5">
        <v>320</v>
      </c>
      <c r="O843" s="5">
        <v>35</v>
      </c>
      <c r="P843" s="4" t="s">
        <v>162</v>
      </c>
      <c r="Q843" s="8" t="s">
        <v>39</v>
      </c>
      <c r="R843" s="4" t="s">
        <v>1099</v>
      </c>
      <c r="S843" s="4"/>
      <c r="T843"/>
      <c r="U843" s="23"/>
    </row>
    <row r="844" spans="1:21" ht="15.6" x14ac:dyDescent="0.3">
      <c r="A844" s="4">
        <v>843</v>
      </c>
      <c r="B844" s="5">
        <v>9158517</v>
      </c>
      <c r="C844" s="4" t="s">
        <v>36</v>
      </c>
      <c r="D844" s="4" t="s">
        <v>51</v>
      </c>
      <c r="E844" s="4" t="s">
        <v>130</v>
      </c>
      <c r="F844" s="4" t="s">
        <v>2960</v>
      </c>
      <c r="G844" s="6">
        <v>2.2000000000000002</v>
      </c>
      <c r="H844" s="7">
        <v>45577.659085648149</v>
      </c>
      <c r="I844" s="7" t="str">
        <f>TEXT(multilingual_mobile_app_reviews_2025[[#This Row],[Review_date]],"dd-mm-yyyy")</f>
        <v>12-10-2024</v>
      </c>
      <c r="J844" s="7" t="str">
        <f>TEXT(multilingual_mobile_app_reviews_2025[[#This Row],[Review_date]],"YYYY")</f>
        <v>2024</v>
      </c>
      <c r="K844" s="7" t="str">
        <f>TEXT(multilingual_mobile_app_reviews_2025[[#This Row],[Review_date]],"MMMM")</f>
        <v>October</v>
      </c>
      <c r="L844" s="4" t="b">
        <v>1</v>
      </c>
      <c r="M844" s="4" t="s">
        <v>10</v>
      </c>
      <c r="N844" s="5">
        <v>595</v>
      </c>
      <c r="O844" s="5">
        <v>45</v>
      </c>
      <c r="P844" s="4" t="s">
        <v>28</v>
      </c>
      <c r="Q844" s="8" t="s">
        <v>2963</v>
      </c>
      <c r="R844" s="4" t="s">
        <v>1100</v>
      </c>
      <c r="S844" s="4"/>
      <c r="T844"/>
      <c r="U844" s="23"/>
    </row>
    <row r="845" spans="1:21" ht="15.6" x14ac:dyDescent="0.3">
      <c r="A845" s="4">
        <v>844</v>
      </c>
      <c r="B845" s="5">
        <v>5583324</v>
      </c>
      <c r="C845" s="4" t="s">
        <v>46</v>
      </c>
      <c r="D845" s="4" t="s">
        <v>97</v>
      </c>
      <c r="E845" s="4" t="s">
        <v>109</v>
      </c>
      <c r="F845" s="4" t="s">
        <v>2957</v>
      </c>
      <c r="G845" s="6">
        <v>3.8</v>
      </c>
      <c r="H845" s="7">
        <v>45529.105138888888</v>
      </c>
      <c r="I845" s="7" t="str">
        <f>TEXT(multilingual_mobile_app_reviews_2025[[#This Row],[Review_date]],"dd-mm-yyyy")</f>
        <v>25-08-2024</v>
      </c>
      <c r="J845" s="7" t="str">
        <f>TEXT(multilingual_mobile_app_reviews_2025[[#This Row],[Review_date]],"YYYY")</f>
        <v>2024</v>
      </c>
      <c r="K845" s="7" t="str">
        <f>TEXT(multilingual_mobile_app_reviews_2025[[#This Row],[Review_date]],"MMMM")</f>
        <v>August</v>
      </c>
      <c r="L845" s="4" t="b">
        <v>0</v>
      </c>
      <c r="M845" s="4" t="s">
        <v>98</v>
      </c>
      <c r="N845" s="5">
        <v>593</v>
      </c>
      <c r="O845" s="5">
        <v>56</v>
      </c>
      <c r="P845" s="4" t="s">
        <v>38</v>
      </c>
      <c r="Q845" s="8" t="s">
        <v>12</v>
      </c>
      <c r="R845" s="4" t="s">
        <v>205</v>
      </c>
      <c r="S845" s="4"/>
      <c r="T845"/>
      <c r="U845" s="23"/>
    </row>
    <row r="846" spans="1:21" ht="15.6" x14ac:dyDescent="0.3">
      <c r="A846" s="4">
        <v>845</v>
      </c>
      <c r="B846" s="5">
        <v>3804361</v>
      </c>
      <c r="C846" s="4" t="s">
        <v>84</v>
      </c>
      <c r="D846" s="4" t="s">
        <v>220</v>
      </c>
      <c r="E846" s="4" t="s">
        <v>1101</v>
      </c>
      <c r="F846" s="4" t="s">
        <v>2961</v>
      </c>
      <c r="G846" s="6">
        <v>1.9</v>
      </c>
      <c r="H846" s="7">
        <v>45564.640833333331</v>
      </c>
      <c r="I846" s="7" t="str">
        <f>TEXT(multilingual_mobile_app_reviews_2025[[#This Row],[Review_date]],"dd-mm-yyyy")</f>
        <v>29-09-2024</v>
      </c>
      <c r="J846" s="7" t="str">
        <f>TEXT(multilingual_mobile_app_reviews_2025[[#This Row],[Review_date]],"YYYY")</f>
        <v>2024</v>
      </c>
      <c r="K846" s="7" t="str">
        <f>TEXT(multilingual_mobile_app_reviews_2025[[#This Row],[Review_date]],"MMMM")</f>
        <v>September</v>
      </c>
      <c r="L846" s="4" t="b">
        <v>1</v>
      </c>
      <c r="M846" s="4" t="s">
        <v>22</v>
      </c>
      <c r="N846" s="5">
        <v>209</v>
      </c>
      <c r="O846" s="5">
        <v>18</v>
      </c>
      <c r="P846" s="4" t="s">
        <v>80</v>
      </c>
      <c r="Q846" s="8" t="s">
        <v>2963</v>
      </c>
      <c r="R846" s="4" t="s">
        <v>1102</v>
      </c>
      <c r="S846" s="4"/>
      <c r="T846"/>
      <c r="U846" s="23"/>
    </row>
    <row r="847" spans="1:21" ht="15.6" x14ac:dyDescent="0.3">
      <c r="A847" s="4">
        <v>846</v>
      </c>
      <c r="B847" s="5">
        <v>4504991</v>
      </c>
      <c r="C847" s="4" t="s">
        <v>89</v>
      </c>
      <c r="D847" s="4" t="s">
        <v>8</v>
      </c>
      <c r="E847" s="4" t="s">
        <v>32</v>
      </c>
      <c r="F847" s="4" t="s">
        <v>2956</v>
      </c>
      <c r="G847" s="6">
        <v>2.2999999999999998</v>
      </c>
      <c r="H847" s="7">
        <v>45204.961076388892</v>
      </c>
      <c r="I847" s="7" t="str">
        <f>TEXT(multilingual_mobile_app_reviews_2025[[#This Row],[Review_date]],"dd-mm-yyyy")</f>
        <v>05-10-2023</v>
      </c>
      <c r="J847" s="7" t="str">
        <f>TEXT(multilingual_mobile_app_reviews_2025[[#This Row],[Review_date]],"YYYY")</f>
        <v>2023</v>
      </c>
      <c r="K847" s="7" t="str">
        <f>TEXT(multilingual_mobile_app_reviews_2025[[#This Row],[Review_date]],"MMMM")</f>
        <v>October</v>
      </c>
      <c r="L847" s="4" t="b">
        <v>1</v>
      </c>
      <c r="M847" s="4" t="s">
        <v>22</v>
      </c>
      <c r="N847" s="5">
        <v>80</v>
      </c>
      <c r="O847" s="5">
        <v>69</v>
      </c>
      <c r="P847" s="4" t="s">
        <v>90</v>
      </c>
      <c r="Q847" s="8" t="s">
        <v>12</v>
      </c>
      <c r="R847" s="4" t="s">
        <v>1103</v>
      </c>
      <c r="S847" s="4"/>
      <c r="T847"/>
      <c r="U847" s="23"/>
    </row>
    <row r="848" spans="1:21" ht="15.6" x14ac:dyDescent="0.3">
      <c r="A848" s="4">
        <v>847</v>
      </c>
      <c r="B848" s="5">
        <v>8519194</v>
      </c>
      <c r="C848" s="4" t="s">
        <v>208</v>
      </c>
      <c r="D848" s="4" t="s">
        <v>15</v>
      </c>
      <c r="E848" s="4" t="s">
        <v>1104</v>
      </c>
      <c r="F848" s="4" t="s">
        <v>2939</v>
      </c>
      <c r="G848" s="6">
        <v>4.5999999999999996</v>
      </c>
      <c r="H848" s="7">
        <v>45291.193101851852</v>
      </c>
      <c r="I848" s="7" t="str">
        <f>TEXT(multilingual_mobile_app_reviews_2025[[#This Row],[Review_date]],"dd-mm-yyyy")</f>
        <v>31-12-2023</v>
      </c>
      <c r="J848" s="7" t="str">
        <f>TEXT(multilingual_mobile_app_reviews_2025[[#This Row],[Review_date]],"YYYY")</f>
        <v>2023</v>
      </c>
      <c r="K848" s="7" t="str">
        <f>TEXT(multilingual_mobile_app_reviews_2025[[#This Row],[Review_date]],"MMMM")</f>
        <v>December</v>
      </c>
      <c r="L848" s="4" t="b">
        <v>1</v>
      </c>
      <c r="M848" s="4" t="s">
        <v>22</v>
      </c>
      <c r="N848" s="5">
        <v>54</v>
      </c>
      <c r="O848" s="5">
        <v>64</v>
      </c>
      <c r="P848" s="4" t="s">
        <v>118</v>
      </c>
      <c r="Q848" s="8" t="s">
        <v>2963</v>
      </c>
      <c r="R848" s="4" t="s">
        <v>1105</v>
      </c>
      <c r="S848" s="4"/>
      <c r="T848"/>
      <c r="U848" s="23"/>
    </row>
    <row r="849" spans="1:21" ht="15.6" x14ac:dyDescent="0.3">
      <c r="A849" s="4">
        <v>848</v>
      </c>
      <c r="B849" s="5">
        <v>8895418</v>
      </c>
      <c r="C849" s="4" t="s">
        <v>244</v>
      </c>
      <c r="D849" s="4" t="s">
        <v>8</v>
      </c>
      <c r="E849" s="4" t="s">
        <v>21</v>
      </c>
      <c r="F849" s="4" t="s">
        <v>2955</v>
      </c>
      <c r="G849" s="6">
        <v>1.5</v>
      </c>
      <c r="H849" s="7">
        <v>45330.143067129633</v>
      </c>
      <c r="I849" s="7" t="str">
        <f>TEXT(multilingual_mobile_app_reviews_2025[[#This Row],[Review_date]],"dd-mm-yyyy")</f>
        <v>08-02-2024</v>
      </c>
      <c r="J849" s="7" t="str">
        <f>TEXT(multilingual_mobile_app_reviews_2025[[#This Row],[Review_date]],"YYYY")</f>
        <v>2024</v>
      </c>
      <c r="K849" s="7" t="str">
        <f>TEXT(multilingual_mobile_app_reviews_2025[[#This Row],[Review_date]],"MMMM")</f>
        <v>February</v>
      </c>
      <c r="L849" s="4" t="b">
        <v>1</v>
      </c>
      <c r="M849" s="4" t="s">
        <v>3</v>
      </c>
      <c r="N849" s="5">
        <v>6</v>
      </c>
      <c r="O849" s="5">
        <v>69</v>
      </c>
      <c r="P849" s="4" t="s">
        <v>144</v>
      </c>
      <c r="Q849" s="8" t="s">
        <v>5</v>
      </c>
      <c r="R849" s="4" t="s">
        <v>1106</v>
      </c>
      <c r="S849" s="4"/>
      <c r="T849"/>
      <c r="U849" s="23"/>
    </row>
    <row r="850" spans="1:21" ht="15.6" x14ac:dyDescent="0.3">
      <c r="A850" s="4">
        <v>849</v>
      </c>
      <c r="B850" s="5">
        <v>1301986</v>
      </c>
      <c r="C850" s="4" t="s">
        <v>137</v>
      </c>
      <c r="D850" s="4" t="s">
        <v>20</v>
      </c>
      <c r="E850" s="4" t="s">
        <v>21</v>
      </c>
      <c r="F850" s="4" t="s">
        <v>2953</v>
      </c>
      <c r="G850" s="6">
        <v>1.9</v>
      </c>
      <c r="H850" s="7">
        <v>45345.686261574076</v>
      </c>
      <c r="I850" s="7" t="str">
        <f>TEXT(multilingual_mobile_app_reviews_2025[[#This Row],[Review_date]],"dd-mm-yyyy")</f>
        <v>23-02-2024</v>
      </c>
      <c r="J850" s="7" t="str">
        <f>TEXT(multilingual_mobile_app_reviews_2025[[#This Row],[Review_date]],"YYYY")</f>
        <v>2024</v>
      </c>
      <c r="K850" s="7" t="str">
        <f>TEXT(multilingual_mobile_app_reviews_2025[[#This Row],[Review_date]],"MMMM")</f>
        <v>February</v>
      </c>
      <c r="L850" s="4" t="b">
        <v>0</v>
      </c>
      <c r="M850" s="4" t="s">
        <v>33</v>
      </c>
      <c r="N850" s="5">
        <v>977</v>
      </c>
      <c r="O850" s="5">
        <v>34</v>
      </c>
      <c r="P850" s="4" t="s">
        <v>118</v>
      </c>
      <c r="Q850" s="8" t="s">
        <v>2963</v>
      </c>
      <c r="R850" s="4" t="s">
        <v>1107</v>
      </c>
      <c r="S850" s="4"/>
      <c r="T850"/>
      <c r="U850" s="23"/>
    </row>
    <row r="851" spans="1:21" ht="15.6" x14ac:dyDescent="0.3">
      <c r="A851" s="4">
        <v>850</v>
      </c>
      <c r="B851" s="5">
        <v>7315305</v>
      </c>
      <c r="C851" s="4" t="s">
        <v>113</v>
      </c>
      <c r="D851" s="4" t="s">
        <v>97</v>
      </c>
      <c r="E851" s="4" t="s">
        <v>32</v>
      </c>
      <c r="F851" s="4" t="s">
        <v>2941</v>
      </c>
      <c r="G851" s="6">
        <v>1.4</v>
      </c>
      <c r="H851" s="7">
        <v>45390.079513888886</v>
      </c>
      <c r="I851" s="7" t="str">
        <f>TEXT(multilingual_mobile_app_reviews_2025[[#This Row],[Review_date]],"dd-mm-yyyy")</f>
        <v>08-04-2024</v>
      </c>
      <c r="J851" s="7" t="str">
        <f>TEXT(multilingual_mobile_app_reviews_2025[[#This Row],[Review_date]],"YYYY")</f>
        <v>2024</v>
      </c>
      <c r="K851" s="7" t="str">
        <f>TEXT(multilingual_mobile_app_reviews_2025[[#This Row],[Review_date]],"MMMM")</f>
        <v>April</v>
      </c>
      <c r="L851" s="4" t="b">
        <v>0</v>
      </c>
      <c r="M851" s="4" t="s">
        <v>98</v>
      </c>
      <c r="N851" s="5">
        <v>602</v>
      </c>
      <c r="O851" s="5">
        <v>21</v>
      </c>
      <c r="P851" s="4" t="s">
        <v>85</v>
      </c>
      <c r="Q851" s="8" t="s">
        <v>2963</v>
      </c>
      <c r="R851" s="4" t="s">
        <v>1108</v>
      </c>
      <c r="S851" s="4"/>
      <c r="T851"/>
      <c r="U851" s="23"/>
    </row>
    <row r="852" spans="1:21" ht="15.6" x14ac:dyDescent="0.3">
      <c r="A852" s="4">
        <v>851</v>
      </c>
      <c r="B852" s="5">
        <v>9763982</v>
      </c>
      <c r="C852" s="4" t="s">
        <v>36</v>
      </c>
      <c r="D852" s="4" t="s">
        <v>8</v>
      </c>
      <c r="E852" s="4" t="s">
        <v>16</v>
      </c>
      <c r="F852" s="4" t="s">
        <v>2942</v>
      </c>
      <c r="G852" s="6">
        <v>4</v>
      </c>
      <c r="H852" s="7">
        <v>45208.468495370369</v>
      </c>
      <c r="I852" s="7" t="str">
        <f>TEXT(multilingual_mobile_app_reviews_2025[[#This Row],[Review_date]],"dd-mm-yyyy")</f>
        <v>09-10-2023</v>
      </c>
      <c r="J852" s="7" t="str">
        <f>TEXT(multilingual_mobile_app_reviews_2025[[#This Row],[Review_date]],"YYYY")</f>
        <v>2023</v>
      </c>
      <c r="K852" s="7" t="str">
        <f>TEXT(multilingual_mobile_app_reviews_2025[[#This Row],[Review_date]],"MMMM")</f>
        <v>October</v>
      </c>
      <c r="L852" s="4" t="b">
        <v>1</v>
      </c>
      <c r="M852" s="4" t="s">
        <v>3</v>
      </c>
      <c r="N852" s="5">
        <v>36</v>
      </c>
      <c r="O852" s="5">
        <v>73</v>
      </c>
      <c r="P852" s="4" t="s">
        <v>23</v>
      </c>
      <c r="Q852" s="8" t="s">
        <v>5</v>
      </c>
      <c r="R852" s="4" t="s">
        <v>1109</v>
      </c>
      <c r="S852" s="4"/>
      <c r="T852"/>
      <c r="U852" s="23"/>
    </row>
    <row r="853" spans="1:21" ht="15.6" x14ac:dyDescent="0.3">
      <c r="A853" s="4">
        <v>852</v>
      </c>
      <c r="B853" s="5">
        <v>7038755</v>
      </c>
      <c r="C853" s="4" t="s">
        <v>137</v>
      </c>
      <c r="D853" s="4" t="s">
        <v>20</v>
      </c>
      <c r="E853" s="4" t="s">
        <v>27</v>
      </c>
      <c r="F853" s="4" t="s">
        <v>2942</v>
      </c>
      <c r="G853" s="6">
        <v>4.8</v>
      </c>
      <c r="H853" s="7">
        <v>45467.851979166669</v>
      </c>
      <c r="I853" s="7" t="str">
        <f>TEXT(multilingual_mobile_app_reviews_2025[[#This Row],[Review_date]],"dd-mm-yyyy")</f>
        <v>24-06-2024</v>
      </c>
      <c r="J853" s="7" t="str">
        <f>TEXT(multilingual_mobile_app_reviews_2025[[#This Row],[Review_date]],"YYYY")</f>
        <v>2024</v>
      </c>
      <c r="K853" s="7" t="str">
        <f>TEXT(multilingual_mobile_app_reviews_2025[[#This Row],[Review_date]],"MMMM")</f>
        <v>June</v>
      </c>
      <c r="L853" s="4" t="b">
        <v>1</v>
      </c>
      <c r="M853" s="4" t="s">
        <v>22</v>
      </c>
      <c r="N853" s="5">
        <v>520</v>
      </c>
      <c r="O853" s="5">
        <v>70</v>
      </c>
      <c r="P853" s="4" t="s">
        <v>73</v>
      </c>
      <c r="Q853" s="8" t="s">
        <v>39</v>
      </c>
      <c r="R853" s="4" t="s">
        <v>1110</v>
      </c>
      <c r="S853" s="4"/>
      <c r="T853"/>
      <c r="U853" s="23"/>
    </row>
    <row r="854" spans="1:21" ht="15.6" x14ac:dyDescent="0.3">
      <c r="A854" s="4">
        <v>853</v>
      </c>
      <c r="B854" s="5">
        <v>5943636</v>
      </c>
      <c r="C854" s="4" t="s">
        <v>0</v>
      </c>
      <c r="D854" s="4" t="s">
        <v>60</v>
      </c>
      <c r="E854" s="4" t="s">
        <v>2938</v>
      </c>
      <c r="F854" s="4" t="s">
        <v>2944</v>
      </c>
      <c r="G854" s="6">
        <v>2.2000000000000002</v>
      </c>
      <c r="H854" s="7">
        <v>45286.836030092592</v>
      </c>
      <c r="I854" s="7" t="str">
        <f>TEXT(multilingual_mobile_app_reviews_2025[[#This Row],[Review_date]],"dd-mm-yyyy")</f>
        <v>26-12-2023</v>
      </c>
      <c r="J854" s="7" t="str">
        <f>TEXT(multilingual_mobile_app_reviews_2025[[#This Row],[Review_date]],"YYYY")</f>
        <v>2023</v>
      </c>
      <c r="K854" s="7" t="str">
        <f>TEXT(multilingual_mobile_app_reviews_2025[[#This Row],[Review_date]],"MMMM")</f>
        <v>December</v>
      </c>
      <c r="L854" s="4" t="b">
        <v>1</v>
      </c>
      <c r="M854" s="4" t="s">
        <v>98</v>
      </c>
      <c r="N854" s="5">
        <v>237</v>
      </c>
      <c r="O854" s="5">
        <v>28</v>
      </c>
      <c r="P854" s="4" t="s">
        <v>114</v>
      </c>
      <c r="Q854" s="8" t="s">
        <v>2963</v>
      </c>
      <c r="R854" s="4" t="s">
        <v>1111</v>
      </c>
      <c r="S854" s="4"/>
      <c r="T854"/>
      <c r="U854" s="23"/>
    </row>
    <row r="855" spans="1:21" ht="15.6" x14ac:dyDescent="0.3">
      <c r="A855" s="4">
        <v>854</v>
      </c>
      <c r="B855" s="5">
        <v>5880168</v>
      </c>
      <c r="C855" s="4" t="s">
        <v>54</v>
      </c>
      <c r="D855" s="4" t="s">
        <v>51</v>
      </c>
      <c r="E855" s="4" t="s">
        <v>9</v>
      </c>
      <c r="F855" s="4" t="s">
        <v>2955</v>
      </c>
      <c r="G855" s="6">
        <v>3.9</v>
      </c>
      <c r="H855" s="7">
        <v>45600.156284722223</v>
      </c>
      <c r="I855" s="7" t="str">
        <f>TEXT(multilingual_mobile_app_reviews_2025[[#This Row],[Review_date]],"dd-mm-yyyy")</f>
        <v>04-11-2024</v>
      </c>
      <c r="J855" s="7" t="str">
        <f>TEXT(multilingual_mobile_app_reviews_2025[[#This Row],[Review_date]],"YYYY")</f>
        <v>2024</v>
      </c>
      <c r="K855" s="7" t="str">
        <f>TEXT(multilingual_mobile_app_reviews_2025[[#This Row],[Review_date]],"MMMM")</f>
        <v>November</v>
      </c>
      <c r="L855" s="4" t="b">
        <v>0</v>
      </c>
      <c r="M855" s="4" t="s">
        <v>98</v>
      </c>
      <c r="N855" s="5">
        <v>209</v>
      </c>
      <c r="O855" s="5">
        <v>55</v>
      </c>
      <c r="P855" s="4" t="s">
        <v>162</v>
      </c>
      <c r="Q855" s="8" t="s">
        <v>29</v>
      </c>
      <c r="R855" s="4" t="s">
        <v>1112</v>
      </c>
      <c r="S855" s="4"/>
      <c r="T855"/>
      <c r="U855" s="23"/>
    </row>
    <row r="856" spans="1:21" ht="15.6" x14ac:dyDescent="0.3">
      <c r="A856" s="4">
        <v>855</v>
      </c>
      <c r="B856" s="5">
        <v>506123</v>
      </c>
      <c r="C856" s="4" t="s">
        <v>50</v>
      </c>
      <c r="D856" s="4" t="s">
        <v>20</v>
      </c>
      <c r="E856" s="4" t="s">
        <v>1113</v>
      </c>
      <c r="F856" s="4" t="s">
        <v>2944</v>
      </c>
      <c r="G856" s="6">
        <v>3.3</v>
      </c>
      <c r="H856" s="7">
        <v>45226.15997685185</v>
      </c>
      <c r="I856" s="7" t="str">
        <f>TEXT(multilingual_mobile_app_reviews_2025[[#This Row],[Review_date]],"dd-mm-yyyy")</f>
        <v>27-10-2023</v>
      </c>
      <c r="J856" s="7" t="str">
        <f>TEXT(multilingual_mobile_app_reviews_2025[[#This Row],[Review_date]],"YYYY")</f>
        <v>2023</v>
      </c>
      <c r="K856" s="7" t="str">
        <f>TEXT(multilingual_mobile_app_reviews_2025[[#This Row],[Review_date]],"MMMM")</f>
        <v>October</v>
      </c>
      <c r="L856" s="4" t="b">
        <v>0</v>
      </c>
      <c r="M856" s="4" t="s">
        <v>22</v>
      </c>
      <c r="N856" s="5">
        <v>825</v>
      </c>
      <c r="O856" s="5">
        <v>61</v>
      </c>
      <c r="P856" s="4" t="s">
        <v>144</v>
      </c>
      <c r="Q856" s="8" t="s">
        <v>2963</v>
      </c>
      <c r="R856" s="4" t="s">
        <v>1114</v>
      </c>
      <c r="S856" s="4"/>
      <c r="T856"/>
      <c r="U856" s="23"/>
    </row>
    <row r="857" spans="1:21" ht="15.6" x14ac:dyDescent="0.3">
      <c r="A857" s="4">
        <v>856</v>
      </c>
      <c r="B857" s="5">
        <v>1014996</v>
      </c>
      <c r="C857" s="4" t="s">
        <v>96</v>
      </c>
      <c r="D857" s="4" t="s">
        <v>51</v>
      </c>
      <c r="E857" s="4" t="s">
        <v>64</v>
      </c>
      <c r="F857" s="4" t="s">
        <v>2962</v>
      </c>
      <c r="G857" s="6">
        <v>1.6</v>
      </c>
      <c r="H857" s="7">
        <v>45327.659467592595</v>
      </c>
      <c r="I857" s="7" t="str">
        <f>TEXT(multilingual_mobile_app_reviews_2025[[#This Row],[Review_date]],"dd-mm-yyyy")</f>
        <v>05-02-2024</v>
      </c>
      <c r="J857" s="7" t="str">
        <f>TEXT(multilingual_mobile_app_reviews_2025[[#This Row],[Review_date]],"YYYY")</f>
        <v>2024</v>
      </c>
      <c r="K857" s="7" t="str">
        <f>TEXT(multilingual_mobile_app_reviews_2025[[#This Row],[Review_date]],"MMMM")</f>
        <v>February</v>
      </c>
      <c r="L857" s="4" t="b">
        <v>0</v>
      </c>
      <c r="M857" s="4" t="s">
        <v>10</v>
      </c>
      <c r="N857" s="5">
        <v>1186</v>
      </c>
      <c r="O857" s="5">
        <v>37</v>
      </c>
      <c r="P857" s="4" t="s">
        <v>38</v>
      </c>
      <c r="Q857" s="8" t="s">
        <v>2963</v>
      </c>
      <c r="R857" s="4" t="s">
        <v>1115</v>
      </c>
      <c r="S857" s="4"/>
      <c r="T857"/>
      <c r="U857" s="23"/>
    </row>
    <row r="858" spans="1:21" ht="15.6" x14ac:dyDescent="0.3">
      <c r="A858" s="4">
        <v>857</v>
      </c>
      <c r="B858" s="5">
        <v>2577610</v>
      </c>
      <c r="C858" s="4" t="s">
        <v>123</v>
      </c>
      <c r="D858" s="4" t="s">
        <v>220</v>
      </c>
      <c r="E858" s="4" t="s">
        <v>76</v>
      </c>
      <c r="F858" s="4" t="s">
        <v>2945</v>
      </c>
      <c r="G858" s="6">
        <v>2.6</v>
      </c>
      <c r="H858" s="7">
        <v>45813.658171296294</v>
      </c>
      <c r="I858" s="7" t="str">
        <f>TEXT(multilingual_mobile_app_reviews_2025[[#This Row],[Review_date]],"dd-mm-yyyy")</f>
        <v>05-06-2025</v>
      </c>
      <c r="J858" s="7" t="str">
        <f>TEXT(multilingual_mobile_app_reviews_2025[[#This Row],[Review_date]],"YYYY")</f>
        <v>2025</v>
      </c>
      <c r="K858" s="7" t="str">
        <f>TEXT(multilingual_mobile_app_reviews_2025[[#This Row],[Review_date]],"MMMM")</f>
        <v>June</v>
      </c>
      <c r="L858" s="4" t="b">
        <v>1</v>
      </c>
      <c r="M858" s="4" t="s">
        <v>33</v>
      </c>
      <c r="N858" s="5">
        <v>112</v>
      </c>
      <c r="O858" s="5">
        <v>39</v>
      </c>
      <c r="P858" s="4" t="s">
        <v>144</v>
      </c>
      <c r="Q858" s="8" t="s">
        <v>12</v>
      </c>
      <c r="R858" s="4" t="s">
        <v>107</v>
      </c>
      <c r="S858" s="4"/>
      <c r="T858"/>
      <c r="U858" s="23"/>
    </row>
    <row r="859" spans="1:21" ht="15.6" x14ac:dyDescent="0.3">
      <c r="A859" s="4">
        <v>858</v>
      </c>
      <c r="B859" s="5">
        <v>330406</v>
      </c>
      <c r="C859" s="4" t="s">
        <v>132</v>
      </c>
      <c r="D859" s="4" t="s">
        <v>57</v>
      </c>
      <c r="E859" s="4" t="s">
        <v>27</v>
      </c>
      <c r="F859" s="4" t="s">
        <v>2954</v>
      </c>
      <c r="G859" s="6">
        <v>3.7</v>
      </c>
      <c r="H859" s="7">
        <v>45405.505023148151</v>
      </c>
      <c r="I859" s="7" t="str">
        <f>TEXT(multilingual_mobile_app_reviews_2025[[#This Row],[Review_date]],"dd-mm-yyyy")</f>
        <v>23-04-2024</v>
      </c>
      <c r="J859" s="7" t="str">
        <f>TEXT(multilingual_mobile_app_reviews_2025[[#This Row],[Review_date]],"YYYY")</f>
        <v>2024</v>
      </c>
      <c r="K859" s="7" t="str">
        <f>TEXT(multilingual_mobile_app_reviews_2025[[#This Row],[Review_date]],"MMMM")</f>
        <v>April</v>
      </c>
      <c r="L859" s="4" t="b">
        <v>0</v>
      </c>
      <c r="M859" s="4" t="s">
        <v>33</v>
      </c>
      <c r="N859" s="5">
        <v>740</v>
      </c>
      <c r="O859" s="5">
        <v>54</v>
      </c>
      <c r="P859" s="4" t="s">
        <v>17</v>
      </c>
      <c r="Q859" s="8" t="s">
        <v>2963</v>
      </c>
      <c r="R859" s="4" t="s">
        <v>107</v>
      </c>
      <c r="S859" s="4"/>
      <c r="T859"/>
      <c r="U859" s="23"/>
    </row>
    <row r="860" spans="1:21" ht="15.6" x14ac:dyDescent="0.3">
      <c r="A860" s="4">
        <v>859</v>
      </c>
      <c r="B860" s="5">
        <v>1966934</v>
      </c>
      <c r="C860" s="4" t="s">
        <v>244</v>
      </c>
      <c r="D860" s="4" t="s">
        <v>79</v>
      </c>
      <c r="E860" s="4" t="s">
        <v>109</v>
      </c>
      <c r="F860" s="4" t="s">
        <v>2949</v>
      </c>
      <c r="G860" s="6">
        <v>4.2</v>
      </c>
      <c r="H860" s="7">
        <v>45375.870462962965</v>
      </c>
      <c r="I860" s="7" t="str">
        <f>TEXT(multilingual_mobile_app_reviews_2025[[#This Row],[Review_date]],"dd-mm-yyyy")</f>
        <v>24-03-2024</v>
      </c>
      <c r="J860" s="7" t="str">
        <f>TEXT(multilingual_mobile_app_reviews_2025[[#This Row],[Review_date]],"YYYY")</f>
        <v>2024</v>
      </c>
      <c r="K860" s="7" t="str">
        <f>TEXT(multilingual_mobile_app_reviews_2025[[#This Row],[Review_date]],"MMMM")</f>
        <v>March</v>
      </c>
      <c r="L860" s="4" t="b">
        <v>1</v>
      </c>
      <c r="M860" s="4" t="s">
        <v>22</v>
      </c>
      <c r="N860" s="5">
        <v>831</v>
      </c>
      <c r="O860" s="5">
        <v>50</v>
      </c>
      <c r="P860" s="4" t="s">
        <v>162</v>
      </c>
      <c r="Q860" s="8" t="s">
        <v>2963</v>
      </c>
      <c r="R860" s="4" t="s">
        <v>1116</v>
      </c>
      <c r="S860" s="4"/>
      <c r="T860"/>
      <c r="U860" s="23"/>
    </row>
    <row r="861" spans="1:21" ht="15.6" x14ac:dyDescent="0.3">
      <c r="A861" s="4">
        <v>860</v>
      </c>
      <c r="B861" s="5">
        <v>8005261</v>
      </c>
      <c r="C861" s="4" t="s">
        <v>101</v>
      </c>
      <c r="D861" s="4" t="s">
        <v>79</v>
      </c>
      <c r="E861" s="4" t="s">
        <v>32</v>
      </c>
      <c r="F861" s="4" t="s">
        <v>2942</v>
      </c>
      <c r="G861" s="6">
        <v>3.7</v>
      </c>
      <c r="H861" s="7">
        <v>45156.547256944446</v>
      </c>
      <c r="I861" s="7" t="str">
        <f>TEXT(multilingual_mobile_app_reviews_2025[[#This Row],[Review_date]],"dd-mm-yyyy")</f>
        <v>18-08-2023</v>
      </c>
      <c r="J861" s="7" t="str">
        <f>TEXT(multilingual_mobile_app_reviews_2025[[#This Row],[Review_date]],"YYYY")</f>
        <v>2023</v>
      </c>
      <c r="K861" s="7" t="str">
        <f>TEXT(multilingual_mobile_app_reviews_2025[[#This Row],[Review_date]],"MMMM")</f>
        <v>August</v>
      </c>
      <c r="L861" s="4" t="b">
        <v>1</v>
      </c>
      <c r="M861" s="4" t="s">
        <v>22</v>
      </c>
      <c r="N861" s="5">
        <v>389</v>
      </c>
      <c r="O861" s="5">
        <v>64</v>
      </c>
      <c r="P861" s="4" t="s">
        <v>85</v>
      </c>
      <c r="Q861" s="8" t="s">
        <v>39</v>
      </c>
      <c r="R861" s="4" t="s">
        <v>1117</v>
      </c>
      <c r="S861" s="4"/>
      <c r="T861"/>
      <c r="U861" s="23"/>
    </row>
    <row r="862" spans="1:21" ht="15.6" x14ac:dyDescent="0.3">
      <c r="A862" s="4">
        <v>861</v>
      </c>
      <c r="B862" s="5">
        <v>3606598</v>
      </c>
      <c r="C862" s="4" t="s">
        <v>19</v>
      </c>
      <c r="D862" s="4" t="s">
        <v>15</v>
      </c>
      <c r="E862" s="4" t="s">
        <v>2938</v>
      </c>
      <c r="F862" s="4" t="s">
        <v>2940</v>
      </c>
      <c r="G862" s="6">
        <v>4.4000000000000004</v>
      </c>
      <c r="H862" s="7">
        <v>45647.443738425929</v>
      </c>
      <c r="I862" s="7" t="str">
        <f>TEXT(multilingual_mobile_app_reviews_2025[[#This Row],[Review_date]],"dd-mm-yyyy")</f>
        <v>21-12-2024</v>
      </c>
      <c r="J862" s="7" t="str">
        <f>TEXT(multilingual_mobile_app_reviews_2025[[#This Row],[Review_date]],"YYYY")</f>
        <v>2024</v>
      </c>
      <c r="K862" s="7" t="str">
        <f>TEXT(multilingual_mobile_app_reviews_2025[[#This Row],[Review_date]],"MMMM")</f>
        <v>December</v>
      </c>
      <c r="L862" s="4" t="b">
        <v>1</v>
      </c>
      <c r="M862" s="4" t="s">
        <v>22</v>
      </c>
      <c r="N862" s="5">
        <v>979</v>
      </c>
      <c r="O862" s="5">
        <v>61</v>
      </c>
      <c r="P862" s="4" t="s">
        <v>17</v>
      </c>
      <c r="Q862" s="8" t="s">
        <v>12</v>
      </c>
      <c r="R862" s="4" t="s">
        <v>1118</v>
      </c>
      <c r="S862" s="4"/>
      <c r="T862"/>
      <c r="U862" s="23"/>
    </row>
    <row r="863" spans="1:21" ht="15.6" x14ac:dyDescent="0.3">
      <c r="A863" s="4">
        <v>862</v>
      </c>
      <c r="B863" s="5">
        <v>1217325</v>
      </c>
      <c r="C863" s="4" t="s">
        <v>264</v>
      </c>
      <c r="D863" s="4" t="s">
        <v>63</v>
      </c>
      <c r="E863" s="4" t="s">
        <v>27</v>
      </c>
      <c r="F863" s="4" t="s">
        <v>2955</v>
      </c>
      <c r="G863" s="6">
        <v>2.2999999999999998</v>
      </c>
      <c r="H863" s="7">
        <v>45440.747881944444</v>
      </c>
      <c r="I863" s="7" t="str">
        <f>TEXT(multilingual_mobile_app_reviews_2025[[#This Row],[Review_date]],"dd-mm-yyyy")</f>
        <v>28-05-2024</v>
      </c>
      <c r="J863" s="7" t="str">
        <f>TEXT(multilingual_mobile_app_reviews_2025[[#This Row],[Review_date]],"YYYY")</f>
        <v>2024</v>
      </c>
      <c r="K863" s="7" t="str">
        <f>TEXT(multilingual_mobile_app_reviews_2025[[#This Row],[Review_date]],"MMMM")</f>
        <v>May</v>
      </c>
      <c r="L863" s="4" t="b">
        <v>0</v>
      </c>
      <c r="M863" s="4" t="s">
        <v>98</v>
      </c>
      <c r="N863" s="5">
        <v>98</v>
      </c>
      <c r="O863" s="5">
        <v>73</v>
      </c>
      <c r="P863" s="4" t="s">
        <v>4</v>
      </c>
      <c r="Q863" s="8" t="s">
        <v>29</v>
      </c>
      <c r="R863" s="4" t="s">
        <v>1119</v>
      </c>
      <c r="S863" s="4"/>
      <c r="T863"/>
      <c r="U863" s="23"/>
    </row>
    <row r="864" spans="1:21" ht="15.6" x14ac:dyDescent="0.3">
      <c r="A864" s="4">
        <v>863</v>
      </c>
      <c r="B864" s="5">
        <v>4651832</v>
      </c>
      <c r="C864" s="4" t="s">
        <v>208</v>
      </c>
      <c r="D864" s="4" t="s">
        <v>63</v>
      </c>
      <c r="E864" s="4" t="s">
        <v>93</v>
      </c>
      <c r="F864" s="4" t="s">
        <v>2946</v>
      </c>
      <c r="G864" s="6">
        <v>3.6</v>
      </c>
      <c r="H864" s="7">
        <v>45653.831331018519</v>
      </c>
      <c r="I864" s="7" t="str">
        <f>TEXT(multilingual_mobile_app_reviews_2025[[#This Row],[Review_date]],"dd-mm-yyyy")</f>
        <v>27-12-2024</v>
      </c>
      <c r="J864" s="7" t="str">
        <f>TEXT(multilingual_mobile_app_reviews_2025[[#This Row],[Review_date]],"YYYY")</f>
        <v>2024</v>
      </c>
      <c r="K864" s="7" t="str">
        <f>TEXT(multilingual_mobile_app_reviews_2025[[#This Row],[Review_date]],"MMMM")</f>
        <v>December</v>
      </c>
      <c r="L864" s="4" t="b">
        <v>0</v>
      </c>
      <c r="M864" s="4" t="s">
        <v>22</v>
      </c>
      <c r="N864" s="5">
        <v>103</v>
      </c>
      <c r="O864" s="5">
        <v>59</v>
      </c>
      <c r="P864" s="4" t="s">
        <v>162</v>
      </c>
      <c r="Q864" s="8" t="s">
        <v>5</v>
      </c>
      <c r="R864" s="4" t="s">
        <v>1120</v>
      </c>
      <c r="S864" s="4"/>
      <c r="T864"/>
      <c r="U864" s="23"/>
    </row>
    <row r="865" spans="1:21" ht="15.6" x14ac:dyDescent="0.3">
      <c r="A865" s="4">
        <v>864</v>
      </c>
      <c r="B865" s="5">
        <v>6143474</v>
      </c>
      <c r="C865" s="4" t="s">
        <v>159</v>
      </c>
      <c r="D865" s="4" t="s">
        <v>47</v>
      </c>
      <c r="E865" s="4" t="s">
        <v>93</v>
      </c>
      <c r="F865" s="4" t="s">
        <v>2951</v>
      </c>
      <c r="G865" s="6">
        <v>2.4</v>
      </c>
      <c r="H865" s="7">
        <v>45810.186157407406</v>
      </c>
      <c r="I865" s="7" t="str">
        <f>TEXT(multilingual_mobile_app_reviews_2025[[#This Row],[Review_date]],"dd-mm-yyyy")</f>
        <v>02-06-2025</v>
      </c>
      <c r="J865" s="7" t="str">
        <f>TEXT(multilingual_mobile_app_reviews_2025[[#This Row],[Review_date]],"YYYY")</f>
        <v>2025</v>
      </c>
      <c r="K865" s="7" t="str">
        <f>TEXT(multilingual_mobile_app_reviews_2025[[#This Row],[Review_date]],"MMMM")</f>
        <v>June</v>
      </c>
      <c r="L865" s="4" t="b">
        <v>1</v>
      </c>
      <c r="M865" s="4" t="s">
        <v>33</v>
      </c>
      <c r="N865" s="5">
        <v>188</v>
      </c>
      <c r="O865" s="5">
        <v>60</v>
      </c>
      <c r="P865" s="4" t="s">
        <v>99</v>
      </c>
      <c r="Q865" s="8" t="s">
        <v>29</v>
      </c>
      <c r="R865" s="4" t="s">
        <v>1121</v>
      </c>
      <c r="S865" s="4"/>
      <c r="T865"/>
      <c r="U865" s="23"/>
    </row>
    <row r="866" spans="1:21" ht="15.6" x14ac:dyDescent="0.3">
      <c r="A866" s="4">
        <v>865</v>
      </c>
      <c r="B866" s="5">
        <v>420081</v>
      </c>
      <c r="C866" s="4" t="s">
        <v>264</v>
      </c>
      <c r="D866" s="4" t="s">
        <v>111</v>
      </c>
      <c r="E866" s="4" t="s">
        <v>27</v>
      </c>
      <c r="F866" s="4" t="s">
        <v>2959</v>
      </c>
      <c r="G866" s="6">
        <v>1.8</v>
      </c>
      <c r="H866" s="7">
        <v>45366.066296296296</v>
      </c>
      <c r="I866" s="7" t="str">
        <f>TEXT(multilingual_mobile_app_reviews_2025[[#This Row],[Review_date]],"dd-mm-yyyy")</f>
        <v>15-03-2024</v>
      </c>
      <c r="J866" s="7" t="str">
        <f>TEXT(multilingual_mobile_app_reviews_2025[[#This Row],[Review_date]],"YYYY")</f>
        <v>2024</v>
      </c>
      <c r="K866" s="7" t="str">
        <f>TEXT(multilingual_mobile_app_reviews_2025[[#This Row],[Review_date]],"MMMM")</f>
        <v>March</v>
      </c>
      <c r="L866" s="4" t="b">
        <v>0</v>
      </c>
      <c r="M866" s="4" t="s">
        <v>22</v>
      </c>
      <c r="N866" s="5">
        <v>182</v>
      </c>
      <c r="O866" s="5">
        <v>72</v>
      </c>
      <c r="P866" s="4" t="s">
        <v>180</v>
      </c>
      <c r="Q866" s="8" t="s">
        <v>39</v>
      </c>
      <c r="R866" s="4" t="s">
        <v>1122</v>
      </c>
      <c r="S866" s="4"/>
      <c r="T866"/>
      <c r="U866" s="23"/>
    </row>
    <row r="867" spans="1:21" ht="15.6" x14ac:dyDescent="0.3">
      <c r="A867" s="4">
        <v>866</v>
      </c>
      <c r="B867" s="5">
        <v>6584783</v>
      </c>
      <c r="C867" s="4" t="s">
        <v>69</v>
      </c>
      <c r="D867" s="4" t="s">
        <v>51</v>
      </c>
      <c r="E867" s="4" t="s">
        <v>1123</v>
      </c>
      <c r="F867" s="4" t="s">
        <v>2942</v>
      </c>
      <c r="G867" s="6">
        <v>1.3</v>
      </c>
      <c r="H867" s="7">
        <v>45528.211793981478</v>
      </c>
      <c r="I867" s="7" t="str">
        <f>TEXT(multilingual_mobile_app_reviews_2025[[#This Row],[Review_date]],"dd-mm-yyyy")</f>
        <v>24-08-2024</v>
      </c>
      <c r="J867" s="7" t="str">
        <f>TEXT(multilingual_mobile_app_reviews_2025[[#This Row],[Review_date]],"YYYY")</f>
        <v>2024</v>
      </c>
      <c r="K867" s="7" t="str">
        <f>TEXT(multilingual_mobile_app_reviews_2025[[#This Row],[Review_date]],"MMMM")</f>
        <v>August</v>
      </c>
      <c r="L867" s="4" t="b">
        <v>1</v>
      </c>
      <c r="M867" s="4" t="s">
        <v>22</v>
      </c>
      <c r="N867" s="5">
        <v>0</v>
      </c>
      <c r="O867" s="5">
        <v>37</v>
      </c>
      <c r="P867" s="4" t="s">
        <v>80</v>
      </c>
      <c r="Q867" s="8" t="s">
        <v>5</v>
      </c>
      <c r="R867" s="4" t="s">
        <v>190</v>
      </c>
      <c r="S867" s="4"/>
      <c r="T867"/>
      <c r="U867" s="23"/>
    </row>
    <row r="868" spans="1:21" ht="15.6" x14ac:dyDescent="0.3">
      <c r="A868" s="4">
        <v>867</v>
      </c>
      <c r="B868" s="5">
        <v>1140350</v>
      </c>
      <c r="C868" s="4" t="s">
        <v>59</v>
      </c>
      <c r="D868" s="4" t="s">
        <v>51</v>
      </c>
      <c r="E868" s="4" t="s">
        <v>16</v>
      </c>
      <c r="F868" s="4" t="s">
        <v>2957</v>
      </c>
      <c r="G868" s="6">
        <v>3.2</v>
      </c>
      <c r="H868" s="7">
        <v>45624.945567129631</v>
      </c>
      <c r="I868" s="7" t="str">
        <f>TEXT(multilingual_mobile_app_reviews_2025[[#This Row],[Review_date]],"dd-mm-yyyy")</f>
        <v>28-11-2024</v>
      </c>
      <c r="J868" s="7" t="str">
        <f>TEXT(multilingual_mobile_app_reviews_2025[[#This Row],[Review_date]],"YYYY")</f>
        <v>2024</v>
      </c>
      <c r="K868" s="7" t="str">
        <f>TEXT(multilingual_mobile_app_reviews_2025[[#This Row],[Review_date]],"MMMM")</f>
        <v>November</v>
      </c>
      <c r="L868" s="4" t="b">
        <v>1</v>
      </c>
      <c r="M868" s="4" t="s">
        <v>10</v>
      </c>
      <c r="N868" s="5">
        <v>541</v>
      </c>
      <c r="O868" s="5">
        <v>50</v>
      </c>
      <c r="P868" s="4" t="s">
        <v>23</v>
      </c>
      <c r="Q868" s="8" t="s">
        <v>5</v>
      </c>
      <c r="R868" s="4" t="s">
        <v>508</v>
      </c>
      <c r="S868" s="4"/>
      <c r="T868"/>
      <c r="U868" s="23"/>
    </row>
    <row r="869" spans="1:21" ht="15.6" x14ac:dyDescent="0.3">
      <c r="A869" s="4">
        <v>868</v>
      </c>
      <c r="B869" s="5">
        <v>6595644</v>
      </c>
      <c r="C869" s="4" t="s">
        <v>134</v>
      </c>
      <c r="D869" s="4" t="s">
        <v>157</v>
      </c>
      <c r="E869" s="4" t="s">
        <v>21</v>
      </c>
      <c r="F869" s="4" t="s">
        <v>2942</v>
      </c>
      <c r="G869" s="6">
        <v>2.6</v>
      </c>
      <c r="H869" s="7">
        <v>45830.474016203705</v>
      </c>
      <c r="I869" s="7" t="str">
        <f>TEXT(multilingual_mobile_app_reviews_2025[[#This Row],[Review_date]],"dd-mm-yyyy")</f>
        <v>22-06-2025</v>
      </c>
      <c r="J869" s="7" t="str">
        <f>TEXT(multilingual_mobile_app_reviews_2025[[#This Row],[Review_date]],"YYYY")</f>
        <v>2025</v>
      </c>
      <c r="K869" s="7" t="str">
        <f>TEXT(multilingual_mobile_app_reviews_2025[[#This Row],[Review_date]],"MMMM")</f>
        <v>June</v>
      </c>
      <c r="L869" s="4" t="b">
        <v>1</v>
      </c>
      <c r="M869" s="4" t="s">
        <v>33</v>
      </c>
      <c r="N869" s="5">
        <v>221</v>
      </c>
      <c r="O869" s="5">
        <v>72</v>
      </c>
      <c r="P869" s="4" t="s">
        <v>180</v>
      </c>
      <c r="Q869" s="8" t="s">
        <v>29</v>
      </c>
      <c r="R869" s="4" t="s">
        <v>1124</v>
      </c>
      <c r="S869" s="4"/>
      <c r="T869"/>
      <c r="U869" s="23"/>
    </row>
    <row r="870" spans="1:21" ht="15.6" x14ac:dyDescent="0.3">
      <c r="A870" s="4">
        <v>869</v>
      </c>
      <c r="B870" s="5">
        <v>9410337</v>
      </c>
      <c r="C870" s="4" t="s">
        <v>176</v>
      </c>
      <c r="D870" s="4" t="s">
        <v>20</v>
      </c>
      <c r="E870" s="4" t="s">
        <v>27</v>
      </c>
      <c r="F870" s="4" t="s">
        <v>2944</v>
      </c>
      <c r="G870" s="6">
        <v>3.1</v>
      </c>
      <c r="H870" s="7">
        <v>45356.511261574073</v>
      </c>
      <c r="I870" s="7" t="str">
        <f>TEXT(multilingual_mobile_app_reviews_2025[[#This Row],[Review_date]],"dd-mm-yyyy")</f>
        <v>05-03-2024</v>
      </c>
      <c r="J870" s="7" t="str">
        <f>TEXT(multilingual_mobile_app_reviews_2025[[#This Row],[Review_date]],"YYYY")</f>
        <v>2024</v>
      </c>
      <c r="K870" s="7" t="str">
        <f>TEXT(multilingual_mobile_app_reviews_2025[[#This Row],[Review_date]],"MMMM")</f>
        <v>March</v>
      </c>
      <c r="L870" s="4" t="b">
        <v>1</v>
      </c>
      <c r="M870" s="4" t="s">
        <v>3</v>
      </c>
      <c r="N870" s="5">
        <v>351</v>
      </c>
      <c r="O870" s="5">
        <v>49</v>
      </c>
      <c r="P870" s="4" t="s">
        <v>34</v>
      </c>
      <c r="Q870" s="8" t="s">
        <v>39</v>
      </c>
      <c r="R870" s="4" t="s">
        <v>892</v>
      </c>
      <c r="S870" s="4"/>
      <c r="T870"/>
      <c r="U870" s="23"/>
    </row>
    <row r="871" spans="1:21" ht="15.6" x14ac:dyDescent="0.3">
      <c r="A871" s="4">
        <v>870</v>
      </c>
      <c r="B871" s="5">
        <v>2645240</v>
      </c>
      <c r="C871" s="4" t="s">
        <v>165</v>
      </c>
      <c r="D871" s="4" t="s">
        <v>8</v>
      </c>
      <c r="E871" s="4" t="s">
        <v>9</v>
      </c>
      <c r="F871" s="4" t="s">
        <v>2945</v>
      </c>
      <c r="G871" s="6">
        <v>1.1000000000000001</v>
      </c>
      <c r="H871" s="7">
        <v>45404.351423611108</v>
      </c>
      <c r="I871" s="7" t="str">
        <f>TEXT(multilingual_mobile_app_reviews_2025[[#This Row],[Review_date]],"dd-mm-yyyy")</f>
        <v>22-04-2024</v>
      </c>
      <c r="J871" s="7" t="str">
        <f>TEXT(multilingual_mobile_app_reviews_2025[[#This Row],[Review_date]],"YYYY")</f>
        <v>2024</v>
      </c>
      <c r="K871" s="7" t="str">
        <f>TEXT(multilingual_mobile_app_reviews_2025[[#This Row],[Review_date]],"MMMM")</f>
        <v>April</v>
      </c>
      <c r="L871" s="4" t="b">
        <v>1</v>
      </c>
      <c r="M871" s="4" t="s">
        <v>22</v>
      </c>
      <c r="N871" s="5">
        <v>1172</v>
      </c>
      <c r="O871" s="5">
        <v>61</v>
      </c>
      <c r="P871" s="4" t="s">
        <v>70</v>
      </c>
      <c r="Q871" s="8" t="s">
        <v>12</v>
      </c>
      <c r="R871" s="4" t="s">
        <v>1125</v>
      </c>
      <c r="S871" s="4"/>
      <c r="T871"/>
      <c r="U871" s="23"/>
    </row>
    <row r="872" spans="1:21" ht="15.6" x14ac:dyDescent="0.3">
      <c r="A872" s="4">
        <v>871</v>
      </c>
      <c r="B872" s="5">
        <v>2402852</v>
      </c>
      <c r="C872" s="4" t="s">
        <v>14</v>
      </c>
      <c r="D872" s="4" t="s">
        <v>57</v>
      </c>
      <c r="E872" s="4" t="s">
        <v>1126</v>
      </c>
      <c r="F872" s="4" t="s">
        <v>2939</v>
      </c>
      <c r="G872" s="6">
        <v>2.5</v>
      </c>
      <c r="H872" s="7">
        <v>45672.116689814815</v>
      </c>
      <c r="I872" s="7" t="str">
        <f>TEXT(multilingual_mobile_app_reviews_2025[[#This Row],[Review_date]],"dd-mm-yyyy")</f>
        <v>15-01-2025</v>
      </c>
      <c r="J872" s="7" t="str">
        <f>TEXT(multilingual_mobile_app_reviews_2025[[#This Row],[Review_date]],"YYYY")</f>
        <v>2025</v>
      </c>
      <c r="K872" s="7" t="str">
        <f>TEXT(multilingual_mobile_app_reviews_2025[[#This Row],[Review_date]],"MMMM")</f>
        <v>January</v>
      </c>
      <c r="L872" s="4" t="b">
        <v>1</v>
      </c>
      <c r="M872" s="4" t="s">
        <v>98</v>
      </c>
      <c r="N872" s="5">
        <v>770</v>
      </c>
      <c r="O872" s="5">
        <v>47</v>
      </c>
      <c r="P872" s="4" t="s">
        <v>180</v>
      </c>
      <c r="Q872" s="8" t="s">
        <v>12</v>
      </c>
      <c r="R872" s="4" t="s">
        <v>120</v>
      </c>
      <c r="S872" s="4"/>
      <c r="T872"/>
      <c r="U872" s="23"/>
    </row>
    <row r="873" spans="1:21" ht="15.6" x14ac:dyDescent="0.3">
      <c r="A873" s="4">
        <v>872</v>
      </c>
      <c r="B873" s="5">
        <v>7101691</v>
      </c>
      <c r="C873" s="4" t="s">
        <v>106</v>
      </c>
      <c r="D873" s="4" t="s">
        <v>15</v>
      </c>
      <c r="E873" s="4" t="s">
        <v>1127</v>
      </c>
      <c r="F873" s="4" t="s">
        <v>2944</v>
      </c>
      <c r="G873" s="6">
        <v>2.6</v>
      </c>
      <c r="H873" s="7">
        <v>45844.921064814815</v>
      </c>
      <c r="I873" s="7" t="str">
        <f>TEXT(multilingual_mobile_app_reviews_2025[[#This Row],[Review_date]],"dd-mm-yyyy")</f>
        <v>06-07-2025</v>
      </c>
      <c r="J873" s="7" t="str">
        <f>TEXT(multilingual_mobile_app_reviews_2025[[#This Row],[Review_date]],"YYYY")</f>
        <v>2025</v>
      </c>
      <c r="K873" s="7" t="str">
        <f>TEXT(multilingual_mobile_app_reviews_2025[[#This Row],[Review_date]],"MMMM")</f>
        <v>July</v>
      </c>
      <c r="L873" s="4" t="b">
        <v>0</v>
      </c>
      <c r="M873" s="4" t="s">
        <v>22</v>
      </c>
      <c r="N873" s="5">
        <v>149</v>
      </c>
      <c r="O873" s="5">
        <v>46</v>
      </c>
      <c r="P873" s="4" t="s">
        <v>38</v>
      </c>
      <c r="Q873" s="8" t="s">
        <v>5</v>
      </c>
      <c r="R873" s="4" t="s">
        <v>1128</v>
      </c>
      <c r="S873" s="4"/>
      <c r="T873"/>
      <c r="U873" s="23"/>
    </row>
    <row r="874" spans="1:21" ht="15.6" x14ac:dyDescent="0.3">
      <c r="A874" s="4">
        <v>873</v>
      </c>
      <c r="B874" s="5">
        <v>2535253</v>
      </c>
      <c r="C874" s="4" t="s">
        <v>137</v>
      </c>
      <c r="D874" s="4" t="s">
        <v>63</v>
      </c>
      <c r="E874" s="4" t="s">
        <v>93</v>
      </c>
      <c r="F874" s="4" t="s">
        <v>2949</v>
      </c>
      <c r="G874" s="6">
        <v>2.2000000000000002</v>
      </c>
      <c r="H874" s="7">
        <v>45648.588541666664</v>
      </c>
      <c r="I874" s="7" t="str">
        <f>TEXT(multilingual_mobile_app_reviews_2025[[#This Row],[Review_date]],"dd-mm-yyyy")</f>
        <v>22-12-2024</v>
      </c>
      <c r="J874" s="7" t="str">
        <f>TEXT(multilingual_mobile_app_reviews_2025[[#This Row],[Review_date]],"YYYY")</f>
        <v>2024</v>
      </c>
      <c r="K874" s="7" t="str">
        <f>TEXT(multilingual_mobile_app_reviews_2025[[#This Row],[Review_date]],"MMMM")</f>
        <v>December</v>
      </c>
      <c r="L874" s="4" t="b">
        <v>1</v>
      </c>
      <c r="M874" s="4" t="s">
        <v>33</v>
      </c>
      <c r="N874" s="5">
        <v>33</v>
      </c>
      <c r="O874" s="5">
        <v>73</v>
      </c>
      <c r="P874" s="4" t="s">
        <v>65</v>
      </c>
      <c r="Q874" s="8" t="s">
        <v>2963</v>
      </c>
      <c r="R874" s="4" t="s">
        <v>440</v>
      </c>
      <c r="S874" s="4"/>
      <c r="T874"/>
      <c r="U874" s="23"/>
    </row>
    <row r="875" spans="1:21" ht="15.6" x14ac:dyDescent="0.3">
      <c r="A875" s="4">
        <v>874</v>
      </c>
      <c r="B875" s="5">
        <v>2751604</v>
      </c>
      <c r="C875" s="4" t="s">
        <v>154</v>
      </c>
      <c r="D875" s="4" t="s">
        <v>51</v>
      </c>
      <c r="E875" s="4" t="s">
        <v>1129</v>
      </c>
      <c r="F875" s="4" t="s">
        <v>2962</v>
      </c>
      <c r="G875" s="6">
        <v>4.5</v>
      </c>
      <c r="H875" s="7">
        <v>45161.778657407405</v>
      </c>
      <c r="I875" s="7" t="str">
        <f>TEXT(multilingual_mobile_app_reviews_2025[[#This Row],[Review_date]],"dd-mm-yyyy")</f>
        <v>23-08-2023</v>
      </c>
      <c r="J875" s="7" t="str">
        <f>TEXT(multilingual_mobile_app_reviews_2025[[#This Row],[Review_date]],"YYYY")</f>
        <v>2023</v>
      </c>
      <c r="K875" s="7" t="str">
        <f>TEXT(multilingual_mobile_app_reviews_2025[[#This Row],[Review_date]],"MMMM")</f>
        <v>August</v>
      </c>
      <c r="L875" s="4" t="b">
        <v>0</v>
      </c>
      <c r="M875" s="4" t="s">
        <v>10</v>
      </c>
      <c r="N875" s="5">
        <v>1248</v>
      </c>
      <c r="O875" s="5">
        <v>45</v>
      </c>
      <c r="P875" s="4" t="s">
        <v>34</v>
      </c>
      <c r="Q875" s="8" t="s">
        <v>12</v>
      </c>
      <c r="R875" s="4" t="s">
        <v>1130</v>
      </c>
      <c r="S875" s="4"/>
      <c r="T875"/>
      <c r="U875" s="23"/>
    </row>
    <row r="876" spans="1:21" ht="15.6" x14ac:dyDescent="0.3">
      <c r="A876" s="4">
        <v>875</v>
      </c>
      <c r="B876" s="5">
        <v>5446688</v>
      </c>
      <c r="C876" s="4" t="s">
        <v>78</v>
      </c>
      <c r="D876" s="4" t="s">
        <v>57</v>
      </c>
      <c r="E876" s="4" t="s">
        <v>32</v>
      </c>
      <c r="F876" s="4" t="s">
        <v>2947</v>
      </c>
      <c r="G876" s="6">
        <v>1.8</v>
      </c>
      <c r="H876" s="7">
        <v>45822.496921296297</v>
      </c>
      <c r="I876" s="7" t="str">
        <f>TEXT(multilingual_mobile_app_reviews_2025[[#This Row],[Review_date]],"dd-mm-yyyy")</f>
        <v>14-06-2025</v>
      </c>
      <c r="J876" s="7" t="str">
        <f>TEXT(multilingual_mobile_app_reviews_2025[[#This Row],[Review_date]],"YYYY")</f>
        <v>2025</v>
      </c>
      <c r="K876" s="7" t="str">
        <f>TEXT(multilingual_mobile_app_reviews_2025[[#This Row],[Review_date]],"MMMM")</f>
        <v>June</v>
      </c>
      <c r="L876" s="4" t="b">
        <v>1</v>
      </c>
      <c r="M876" s="4" t="s">
        <v>22</v>
      </c>
      <c r="N876" s="5">
        <v>53</v>
      </c>
      <c r="O876" s="5">
        <v>72</v>
      </c>
      <c r="P876" s="4" t="s">
        <v>144</v>
      </c>
      <c r="Q876" s="8" t="s">
        <v>29</v>
      </c>
      <c r="R876" s="4" t="s">
        <v>1131</v>
      </c>
      <c r="S876" s="4"/>
      <c r="T876"/>
      <c r="U876" s="23"/>
    </row>
    <row r="877" spans="1:21" ht="15.6" x14ac:dyDescent="0.3">
      <c r="A877" s="4">
        <v>876</v>
      </c>
      <c r="B877" s="5">
        <v>6999659</v>
      </c>
      <c r="C877" s="4" t="s">
        <v>69</v>
      </c>
      <c r="D877" s="4" t="s">
        <v>60</v>
      </c>
      <c r="E877" s="4" t="s">
        <v>93</v>
      </c>
      <c r="F877" s="4" t="s">
        <v>2950</v>
      </c>
      <c r="G877" s="6">
        <v>4.7</v>
      </c>
      <c r="H877" s="7">
        <v>45374.495706018519</v>
      </c>
      <c r="I877" s="7" t="str">
        <f>TEXT(multilingual_mobile_app_reviews_2025[[#This Row],[Review_date]],"dd-mm-yyyy")</f>
        <v>23-03-2024</v>
      </c>
      <c r="J877" s="7" t="str">
        <f>TEXT(multilingual_mobile_app_reviews_2025[[#This Row],[Review_date]],"YYYY")</f>
        <v>2024</v>
      </c>
      <c r="K877" s="7" t="str">
        <f>TEXT(multilingual_mobile_app_reviews_2025[[#This Row],[Review_date]],"MMMM")</f>
        <v>March</v>
      </c>
      <c r="L877" s="4" t="b">
        <v>1</v>
      </c>
      <c r="M877" s="4" t="s">
        <v>33</v>
      </c>
      <c r="N877" s="5">
        <v>1018</v>
      </c>
      <c r="O877" s="5">
        <v>58</v>
      </c>
      <c r="P877" s="4" t="s">
        <v>180</v>
      </c>
      <c r="Q877" s="8" t="s">
        <v>5</v>
      </c>
      <c r="R877" s="4" t="s">
        <v>1132</v>
      </c>
      <c r="S877" s="4"/>
      <c r="T877"/>
      <c r="U877" s="23"/>
    </row>
    <row r="878" spans="1:21" ht="15.6" x14ac:dyDescent="0.3">
      <c r="A878" s="4">
        <v>877</v>
      </c>
      <c r="B878" s="5">
        <v>4693537</v>
      </c>
      <c r="C878" s="4" t="s">
        <v>56</v>
      </c>
      <c r="D878" s="4" t="s">
        <v>26</v>
      </c>
      <c r="E878" s="4" t="s">
        <v>27</v>
      </c>
      <c r="F878" s="4" t="s">
        <v>2943</v>
      </c>
      <c r="G878" s="6">
        <v>1.2</v>
      </c>
      <c r="H878" s="7">
        <v>45256.906805555554</v>
      </c>
      <c r="I878" s="7" t="str">
        <f>TEXT(multilingual_mobile_app_reviews_2025[[#This Row],[Review_date]],"dd-mm-yyyy")</f>
        <v>26-11-2023</v>
      </c>
      <c r="J878" s="7" t="str">
        <f>TEXT(multilingual_mobile_app_reviews_2025[[#This Row],[Review_date]],"YYYY")</f>
        <v>2023</v>
      </c>
      <c r="K878" s="7" t="str">
        <f>TEXT(multilingual_mobile_app_reviews_2025[[#This Row],[Review_date]],"MMMM")</f>
        <v>November</v>
      </c>
      <c r="L878" s="4" t="b">
        <v>0</v>
      </c>
      <c r="M878" s="4" t="s">
        <v>10</v>
      </c>
      <c r="N878" s="5">
        <v>61</v>
      </c>
      <c r="O878" s="5">
        <v>55</v>
      </c>
      <c r="P878" s="4" t="s">
        <v>162</v>
      </c>
      <c r="Q878" s="8" t="s">
        <v>29</v>
      </c>
      <c r="R878" s="4" t="s">
        <v>1014</v>
      </c>
      <c r="S878" s="4"/>
      <c r="T878"/>
      <c r="U878" s="23"/>
    </row>
    <row r="879" spans="1:21" ht="15.6" x14ac:dyDescent="0.3">
      <c r="A879" s="4">
        <v>878</v>
      </c>
      <c r="B879" s="5">
        <v>3253002</v>
      </c>
      <c r="C879" s="4" t="s">
        <v>14</v>
      </c>
      <c r="D879" s="4" t="s">
        <v>47</v>
      </c>
      <c r="E879" s="4" t="s">
        <v>76</v>
      </c>
      <c r="F879" s="4" t="s">
        <v>2948</v>
      </c>
      <c r="G879" s="6">
        <v>2.6</v>
      </c>
      <c r="H879" s="7">
        <v>45221.81009259259</v>
      </c>
      <c r="I879" s="7" t="str">
        <f>TEXT(multilingual_mobile_app_reviews_2025[[#This Row],[Review_date]],"dd-mm-yyyy")</f>
        <v>22-10-2023</v>
      </c>
      <c r="J879" s="7" t="str">
        <f>TEXT(multilingual_mobile_app_reviews_2025[[#This Row],[Review_date]],"YYYY")</f>
        <v>2023</v>
      </c>
      <c r="K879" s="7" t="str">
        <f>TEXT(multilingual_mobile_app_reviews_2025[[#This Row],[Review_date]],"MMMM")</f>
        <v>October</v>
      </c>
      <c r="L879" s="4" t="b">
        <v>1</v>
      </c>
      <c r="M879" s="4" t="s">
        <v>33</v>
      </c>
      <c r="N879" s="5">
        <v>807</v>
      </c>
      <c r="O879" s="5">
        <v>25</v>
      </c>
      <c r="P879" s="4" t="s">
        <v>180</v>
      </c>
      <c r="Q879" s="8" t="s">
        <v>39</v>
      </c>
      <c r="R879" s="4" t="s">
        <v>1133</v>
      </c>
      <c r="S879" s="4"/>
      <c r="T879"/>
      <c r="U879" s="23"/>
    </row>
    <row r="880" spans="1:21" ht="15.6" x14ac:dyDescent="0.3">
      <c r="A880" s="4">
        <v>879</v>
      </c>
      <c r="B880" s="5">
        <v>3199531</v>
      </c>
      <c r="C880" s="4" t="s">
        <v>56</v>
      </c>
      <c r="D880" s="4" t="s">
        <v>111</v>
      </c>
      <c r="E880" s="4" t="s">
        <v>1134</v>
      </c>
      <c r="F880" s="4" t="s">
        <v>2954</v>
      </c>
      <c r="G880" s="6">
        <v>2.6</v>
      </c>
      <c r="H880" s="7">
        <v>45579.313657407409</v>
      </c>
      <c r="I880" s="7" t="str">
        <f>TEXT(multilingual_mobile_app_reviews_2025[[#This Row],[Review_date]],"dd-mm-yyyy")</f>
        <v>14-10-2024</v>
      </c>
      <c r="J880" s="7" t="str">
        <f>TEXT(multilingual_mobile_app_reviews_2025[[#This Row],[Review_date]],"YYYY")</f>
        <v>2024</v>
      </c>
      <c r="K880" s="7" t="str">
        <f>TEXT(multilingual_mobile_app_reviews_2025[[#This Row],[Review_date]],"MMMM")</f>
        <v>October</v>
      </c>
      <c r="L880" s="4" t="b">
        <v>0</v>
      </c>
      <c r="M880" s="4" t="s">
        <v>10</v>
      </c>
      <c r="N880" s="5">
        <v>163</v>
      </c>
      <c r="O880" s="5">
        <v>56</v>
      </c>
      <c r="P880" s="4" t="s">
        <v>94</v>
      </c>
      <c r="Q880" s="8" t="s">
        <v>39</v>
      </c>
      <c r="R880" s="4" t="s">
        <v>1135</v>
      </c>
      <c r="S880" s="4"/>
      <c r="T880"/>
      <c r="U880" s="23"/>
    </row>
    <row r="881" spans="1:21" ht="15.6" x14ac:dyDescent="0.3">
      <c r="A881" s="4">
        <v>880</v>
      </c>
      <c r="B881" s="5">
        <v>3974049</v>
      </c>
      <c r="C881" s="4" t="s">
        <v>36</v>
      </c>
      <c r="D881" s="4" t="s">
        <v>15</v>
      </c>
      <c r="E881" s="4" t="s">
        <v>27</v>
      </c>
      <c r="F881" s="4" t="s">
        <v>2954</v>
      </c>
      <c r="G881" s="6">
        <v>3.1</v>
      </c>
      <c r="H881" s="7">
        <v>45602.085312499999</v>
      </c>
      <c r="I881" s="7" t="str">
        <f>TEXT(multilingual_mobile_app_reviews_2025[[#This Row],[Review_date]],"dd-mm-yyyy")</f>
        <v>06-11-2024</v>
      </c>
      <c r="J881" s="7" t="str">
        <f>TEXT(multilingual_mobile_app_reviews_2025[[#This Row],[Review_date]],"YYYY")</f>
        <v>2024</v>
      </c>
      <c r="K881" s="7" t="str">
        <f>TEXT(multilingual_mobile_app_reviews_2025[[#This Row],[Review_date]],"MMMM")</f>
        <v>November</v>
      </c>
      <c r="L881" s="4" t="b">
        <v>1</v>
      </c>
      <c r="M881" s="4" t="s">
        <v>10</v>
      </c>
      <c r="N881" s="5">
        <v>209</v>
      </c>
      <c r="O881" s="5">
        <v>27</v>
      </c>
      <c r="P881" s="4" t="s">
        <v>85</v>
      </c>
      <c r="Q881" s="8" t="s">
        <v>12</v>
      </c>
      <c r="R881" s="4" t="s">
        <v>1136</v>
      </c>
      <c r="S881" s="4"/>
      <c r="T881"/>
      <c r="U881" s="23"/>
    </row>
    <row r="882" spans="1:21" ht="15.6" x14ac:dyDescent="0.3">
      <c r="A882" s="4">
        <v>881</v>
      </c>
      <c r="B882" s="5">
        <v>3974066</v>
      </c>
      <c r="C882" s="4" t="s">
        <v>87</v>
      </c>
      <c r="D882" s="4" t="s">
        <v>15</v>
      </c>
      <c r="E882" s="4" t="s">
        <v>130</v>
      </c>
      <c r="F882" s="4" t="s">
        <v>2957</v>
      </c>
      <c r="G882" s="6">
        <v>2.1</v>
      </c>
      <c r="H882" s="7">
        <v>45672.780462962961</v>
      </c>
      <c r="I882" s="7" t="str">
        <f>TEXT(multilingual_mobile_app_reviews_2025[[#This Row],[Review_date]],"dd-mm-yyyy")</f>
        <v>15-01-2025</v>
      </c>
      <c r="J882" s="7" t="str">
        <f>TEXT(multilingual_mobile_app_reviews_2025[[#This Row],[Review_date]],"YYYY")</f>
        <v>2025</v>
      </c>
      <c r="K882" s="7" t="str">
        <f>TEXT(multilingual_mobile_app_reviews_2025[[#This Row],[Review_date]],"MMMM")</f>
        <v>January</v>
      </c>
      <c r="L882" s="4" t="b">
        <v>1</v>
      </c>
      <c r="M882" s="4" t="s">
        <v>10</v>
      </c>
      <c r="N882" s="5">
        <v>459</v>
      </c>
      <c r="O882" s="5">
        <v>13</v>
      </c>
      <c r="P882" s="4" t="s">
        <v>127</v>
      </c>
      <c r="Q882" s="8" t="s">
        <v>39</v>
      </c>
      <c r="R882" s="4" t="s">
        <v>1137</v>
      </c>
      <c r="S882" s="4"/>
      <c r="T882"/>
      <c r="U882" s="23"/>
    </row>
    <row r="883" spans="1:21" ht="15.6" x14ac:dyDescent="0.3">
      <c r="A883" s="4">
        <v>882</v>
      </c>
      <c r="B883" s="5">
        <v>6127405</v>
      </c>
      <c r="C883" s="4" t="s">
        <v>14</v>
      </c>
      <c r="D883" s="4" t="s">
        <v>60</v>
      </c>
      <c r="E883" s="4" t="s">
        <v>9</v>
      </c>
      <c r="F883" s="4" t="s">
        <v>2950</v>
      </c>
      <c r="G883" s="6">
        <v>1.9</v>
      </c>
      <c r="H883" s="7">
        <v>45200.608657407407</v>
      </c>
      <c r="I883" s="7" t="str">
        <f>TEXT(multilingual_mobile_app_reviews_2025[[#This Row],[Review_date]],"dd-mm-yyyy")</f>
        <v>01-10-2023</v>
      </c>
      <c r="J883" s="7" t="str">
        <f>TEXT(multilingual_mobile_app_reviews_2025[[#This Row],[Review_date]],"YYYY")</f>
        <v>2023</v>
      </c>
      <c r="K883" s="7" t="str">
        <f>TEXT(multilingual_mobile_app_reviews_2025[[#This Row],[Review_date]],"MMMM")</f>
        <v>October</v>
      </c>
      <c r="L883" s="4" t="b">
        <v>0</v>
      </c>
      <c r="M883" s="4" t="s">
        <v>98</v>
      </c>
      <c r="N883" s="5">
        <v>176</v>
      </c>
      <c r="O883" s="5">
        <v>66</v>
      </c>
      <c r="P883" s="4" t="s">
        <v>162</v>
      </c>
      <c r="Q883" s="8" t="s">
        <v>5</v>
      </c>
      <c r="R883" s="4" t="s">
        <v>478</v>
      </c>
      <c r="S883" s="4"/>
      <c r="T883"/>
      <c r="U883" s="23"/>
    </row>
    <row r="884" spans="1:21" ht="15.6" x14ac:dyDescent="0.3">
      <c r="A884" s="4">
        <v>883</v>
      </c>
      <c r="B884" s="5">
        <v>8096058</v>
      </c>
      <c r="C884" s="4" t="s">
        <v>89</v>
      </c>
      <c r="D884" s="4" t="s">
        <v>1</v>
      </c>
      <c r="E884" s="4" t="s">
        <v>2938</v>
      </c>
      <c r="F884" s="4" t="s">
        <v>2942</v>
      </c>
      <c r="G884" s="6">
        <v>2</v>
      </c>
      <c r="H884" s="7">
        <v>45243.026435185187</v>
      </c>
      <c r="I884" s="7" t="str">
        <f>TEXT(multilingual_mobile_app_reviews_2025[[#This Row],[Review_date]],"dd-mm-yyyy")</f>
        <v>13-11-2023</v>
      </c>
      <c r="J884" s="7" t="str">
        <f>TEXT(multilingual_mobile_app_reviews_2025[[#This Row],[Review_date]],"YYYY")</f>
        <v>2023</v>
      </c>
      <c r="K884" s="7" t="str">
        <f>TEXT(multilingual_mobile_app_reviews_2025[[#This Row],[Review_date]],"MMMM")</f>
        <v>November</v>
      </c>
      <c r="L884" s="4" t="b">
        <v>1</v>
      </c>
      <c r="M884" s="4" t="s">
        <v>3</v>
      </c>
      <c r="N884" s="5">
        <v>916</v>
      </c>
      <c r="O884" s="5">
        <v>67</v>
      </c>
      <c r="P884" s="4" t="s">
        <v>73</v>
      </c>
      <c r="Q884" s="8" t="s">
        <v>12</v>
      </c>
      <c r="R884" s="4" t="s">
        <v>1138</v>
      </c>
      <c r="S884" s="4"/>
      <c r="T884"/>
      <c r="U884" s="23"/>
    </row>
    <row r="885" spans="1:21" ht="15.6" x14ac:dyDescent="0.3">
      <c r="A885" s="4">
        <v>884</v>
      </c>
      <c r="B885" s="5">
        <v>7964546</v>
      </c>
      <c r="C885" s="4" t="s">
        <v>134</v>
      </c>
      <c r="D885" s="4" t="s">
        <v>71</v>
      </c>
      <c r="E885" s="4" t="s">
        <v>93</v>
      </c>
      <c r="F885" s="4" t="s">
        <v>2948</v>
      </c>
      <c r="G885" s="6">
        <v>4.8</v>
      </c>
      <c r="H885" s="7">
        <v>45691.919872685183</v>
      </c>
      <c r="I885" s="7" t="str">
        <f>TEXT(multilingual_mobile_app_reviews_2025[[#This Row],[Review_date]],"dd-mm-yyyy")</f>
        <v>03-02-2025</v>
      </c>
      <c r="J885" s="7" t="str">
        <f>TEXT(multilingual_mobile_app_reviews_2025[[#This Row],[Review_date]],"YYYY")</f>
        <v>2025</v>
      </c>
      <c r="K885" s="7" t="str">
        <f>TEXT(multilingual_mobile_app_reviews_2025[[#This Row],[Review_date]],"MMMM")</f>
        <v>February</v>
      </c>
      <c r="L885" s="4" t="b">
        <v>0</v>
      </c>
      <c r="M885" s="4" t="s">
        <v>98</v>
      </c>
      <c r="N885" s="5">
        <v>1211</v>
      </c>
      <c r="O885" s="5">
        <v>46</v>
      </c>
      <c r="P885" s="4" t="s">
        <v>99</v>
      </c>
      <c r="Q885" s="8" t="s">
        <v>2963</v>
      </c>
      <c r="R885" s="4" t="s">
        <v>289</v>
      </c>
      <c r="S885" s="4"/>
      <c r="T885"/>
      <c r="U885" s="23"/>
    </row>
    <row r="886" spans="1:21" ht="15.6" x14ac:dyDescent="0.3">
      <c r="A886" s="4">
        <v>885</v>
      </c>
      <c r="B886" s="5">
        <v>6373997</v>
      </c>
      <c r="C886" s="4" t="s">
        <v>174</v>
      </c>
      <c r="D886" s="4" t="s">
        <v>8</v>
      </c>
      <c r="E886" s="4" t="s">
        <v>76</v>
      </c>
      <c r="F886" s="4" t="s">
        <v>2954</v>
      </c>
      <c r="G886" s="6">
        <v>3.2</v>
      </c>
      <c r="H886" s="7">
        <v>45281.777025462965</v>
      </c>
      <c r="I886" s="7" t="str">
        <f>TEXT(multilingual_mobile_app_reviews_2025[[#This Row],[Review_date]],"dd-mm-yyyy")</f>
        <v>21-12-2023</v>
      </c>
      <c r="J886" s="7" t="str">
        <f>TEXT(multilingual_mobile_app_reviews_2025[[#This Row],[Review_date]],"YYYY")</f>
        <v>2023</v>
      </c>
      <c r="K886" s="7" t="str">
        <f>TEXT(multilingual_mobile_app_reviews_2025[[#This Row],[Review_date]],"MMMM")</f>
        <v>December</v>
      </c>
      <c r="L886" s="4" t="b">
        <v>1</v>
      </c>
      <c r="M886" s="4" t="s">
        <v>3</v>
      </c>
      <c r="N886" s="5">
        <v>852</v>
      </c>
      <c r="O886" s="5">
        <v>16</v>
      </c>
      <c r="P886" s="4" t="s">
        <v>73</v>
      </c>
      <c r="Q886" s="8" t="s">
        <v>2963</v>
      </c>
      <c r="R886" s="4" t="s">
        <v>1139</v>
      </c>
      <c r="S886" s="4"/>
      <c r="T886"/>
      <c r="U886" s="23"/>
    </row>
    <row r="887" spans="1:21" ht="15.6" x14ac:dyDescent="0.3">
      <c r="A887" s="4">
        <v>886</v>
      </c>
      <c r="B887" s="5">
        <v>8345088</v>
      </c>
      <c r="C887" s="4" t="s">
        <v>176</v>
      </c>
      <c r="D887" s="4" t="s">
        <v>31</v>
      </c>
      <c r="E887" s="4" t="s">
        <v>9</v>
      </c>
      <c r="F887" s="4" t="s">
        <v>2961</v>
      </c>
      <c r="G887" s="6">
        <v>3.4</v>
      </c>
      <c r="H887" s="7">
        <v>45506.926053240742</v>
      </c>
      <c r="I887" s="7" t="str">
        <f>TEXT(multilingual_mobile_app_reviews_2025[[#This Row],[Review_date]],"dd-mm-yyyy")</f>
        <v>02-08-2024</v>
      </c>
      <c r="J887" s="7" t="str">
        <f>TEXT(multilingual_mobile_app_reviews_2025[[#This Row],[Review_date]],"YYYY")</f>
        <v>2024</v>
      </c>
      <c r="K887" s="7" t="str">
        <f>TEXT(multilingual_mobile_app_reviews_2025[[#This Row],[Review_date]],"MMMM")</f>
        <v>August</v>
      </c>
      <c r="L887" s="4" t="b">
        <v>1</v>
      </c>
      <c r="M887" s="4" t="s">
        <v>10</v>
      </c>
      <c r="N887" s="5">
        <v>649</v>
      </c>
      <c r="O887" s="5">
        <v>63</v>
      </c>
      <c r="P887" s="4" t="s">
        <v>61</v>
      </c>
      <c r="Q887" s="8" t="s">
        <v>2963</v>
      </c>
      <c r="R887" s="4" t="s">
        <v>1140</v>
      </c>
      <c r="S887" s="4"/>
      <c r="T887"/>
      <c r="U887" s="23"/>
    </row>
    <row r="888" spans="1:21" ht="15.6" x14ac:dyDescent="0.3">
      <c r="A888" s="4">
        <v>887</v>
      </c>
      <c r="B888" s="5">
        <v>2847879</v>
      </c>
      <c r="C888" s="4" t="s">
        <v>106</v>
      </c>
      <c r="D888" s="4" t="s">
        <v>157</v>
      </c>
      <c r="E888" s="4" t="s">
        <v>21</v>
      </c>
      <c r="F888" s="4" t="s">
        <v>2943</v>
      </c>
      <c r="G888" s="6">
        <v>3.6</v>
      </c>
      <c r="H888" s="7">
        <v>45288.987615740742</v>
      </c>
      <c r="I888" s="7" t="str">
        <f>TEXT(multilingual_mobile_app_reviews_2025[[#This Row],[Review_date]],"dd-mm-yyyy")</f>
        <v>28-12-2023</v>
      </c>
      <c r="J888" s="7" t="str">
        <f>TEXT(multilingual_mobile_app_reviews_2025[[#This Row],[Review_date]],"YYYY")</f>
        <v>2023</v>
      </c>
      <c r="K888" s="7" t="str">
        <f>TEXT(multilingual_mobile_app_reviews_2025[[#This Row],[Review_date]],"MMMM")</f>
        <v>December</v>
      </c>
      <c r="L888" s="4" t="b">
        <v>1</v>
      </c>
      <c r="M888" s="4" t="s">
        <v>33</v>
      </c>
      <c r="N888" s="5">
        <v>475</v>
      </c>
      <c r="O888" s="5">
        <v>17</v>
      </c>
      <c r="P888" s="4" t="s">
        <v>17</v>
      </c>
      <c r="Q888" s="8" t="s">
        <v>5</v>
      </c>
      <c r="R888" s="4" t="s">
        <v>1141</v>
      </c>
      <c r="S888" s="4"/>
      <c r="T888"/>
      <c r="U888" s="23"/>
    </row>
    <row r="889" spans="1:21" ht="15.6" x14ac:dyDescent="0.3">
      <c r="A889" s="4">
        <v>888</v>
      </c>
      <c r="B889" s="5">
        <v>640722</v>
      </c>
      <c r="C889" s="4" t="s">
        <v>208</v>
      </c>
      <c r="D889" s="4" t="s">
        <v>20</v>
      </c>
      <c r="E889" s="4" t="s">
        <v>27</v>
      </c>
      <c r="F889" s="4" t="s">
        <v>2956</v>
      </c>
      <c r="G889" s="6">
        <v>3.5</v>
      </c>
      <c r="H889" s="7">
        <v>45456.238854166666</v>
      </c>
      <c r="I889" s="7" t="str">
        <f>TEXT(multilingual_mobile_app_reviews_2025[[#This Row],[Review_date]],"dd-mm-yyyy")</f>
        <v>13-06-2024</v>
      </c>
      <c r="J889" s="7" t="str">
        <f>TEXT(multilingual_mobile_app_reviews_2025[[#This Row],[Review_date]],"YYYY")</f>
        <v>2024</v>
      </c>
      <c r="K889" s="7" t="str">
        <f>TEXT(multilingual_mobile_app_reviews_2025[[#This Row],[Review_date]],"MMMM")</f>
        <v>June</v>
      </c>
      <c r="L889" s="4" t="b">
        <v>0</v>
      </c>
      <c r="M889" s="4" t="s">
        <v>33</v>
      </c>
      <c r="N889" s="5">
        <v>373</v>
      </c>
      <c r="O889" s="5">
        <v>56</v>
      </c>
      <c r="P889" s="4" t="s">
        <v>80</v>
      </c>
      <c r="Q889" s="8" t="s">
        <v>39</v>
      </c>
      <c r="R889" s="4" t="s">
        <v>1142</v>
      </c>
      <c r="S889" s="4"/>
      <c r="T889"/>
      <c r="U889" s="23"/>
    </row>
    <row r="890" spans="1:21" ht="15.6" x14ac:dyDescent="0.3">
      <c r="A890" s="4">
        <v>889</v>
      </c>
      <c r="B890" s="5">
        <v>351897</v>
      </c>
      <c r="C890" s="4" t="s">
        <v>59</v>
      </c>
      <c r="D890" s="4" t="s">
        <v>31</v>
      </c>
      <c r="E890" s="4" t="s">
        <v>1143</v>
      </c>
      <c r="F890" s="4" t="s">
        <v>2945</v>
      </c>
      <c r="G890" s="6">
        <v>1.6</v>
      </c>
      <c r="H890" s="7">
        <v>45698.274861111109</v>
      </c>
      <c r="I890" s="7" t="str">
        <f>TEXT(multilingual_mobile_app_reviews_2025[[#This Row],[Review_date]],"dd-mm-yyyy")</f>
        <v>10-02-2025</v>
      </c>
      <c r="J890" s="7" t="str">
        <f>TEXT(multilingual_mobile_app_reviews_2025[[#This Row],[Review_date]],"YYYY")</f>
        <v>2025</v>
      </c>
      <c r="K890" s="7" t="str">
        <f>TEXT(multilingual_mobile_app_reviews_2025[[#This Row],[Review_date]],"MMMM")</f>
        <v>February</v>
      </c>
      <c r="L890" s="4" t="b">
        <v>1</v>
      </c>
      <c r="M890" s="4" t="s">
        <v>98</v>
      </c>
      <c r="N890" s="5">
        <v>265</v>
      </c>
      <c r="O890" s="5">
        <v>36</v>
      </c>
      <c r="P890" s="4" t="s">
        <v>85</v>
      </c>
      <c r="Q890" s="8" t="s">
        <v>5</v>
      </c>
      <c r="R890" s="4" t="s">
        <v>1144</v>
      </c>
      <c r="S890" s="4"/>
      <c r="T890"/>
      <c r="U890" s="23"/>
    </row>
    <row r="891" spans="1:21" ht="15.6" x14ac:dyDescent="0.3">
      <c r="A891" s="4">
        <v>890</v>
      </c>
      <c r="B891" s="5">
        <v>6712751</v>
      </c>
      <c r="C891" s="4" t="s">
        <v>92</v>
      </c>
      <c r="D891" s="4" t="s">
        <v>51</v>
      </c>
      <c r="E891" s="4" t="s">
        <v>1145</v>
      </c>
      <c r="F891" s="4" t="s">
        <v>2955</v>
      </c>
      <c r="G891" s="6">
        <v>3</v>
      </c>
      <c r="H891" s="7">
        <v>45820.660034722219</v>
      </c>
      <c r="I891" s="7" t="str">
        <f>TEXT(multilingual_mobile_app_reviews_2025[[#This Row],[Review_date]],"dd-mm-yyyy")</f>
        <v>12-06-2025</v>
      </c>
      <c r="J891" s="7" t="str">
        <f>TEXT(multilingual_mobile_app_reviews_2025[[#This Row],[Review_date]],"YYYY")</f>
        <v>2025</v>
      </c>
      <c r="K891" s="7" t="str">
        <f>TEXT(multilingual_mobile_app_reviews_2025[[#This Row],[Review_date]],"MMMM")</f>
        <v>June</v>
      </c>
      <c r="L891" s="4" t="b">
        <v>1</v>
      </c>
      <c r="M891" s="4" t="s">
        <v>98</v>
      </c>
      <c r="N891" s="5">
        <v>624</v>
      </c>
      <c r="O891" s="5">
        <v>52</v>
      </c>
      <c r="P891" s="4" t="s">
        <v>4</v>
      </c>
      <c r="Q891" s="8" t="s">
        <v>12</v>
      </c>
      <c r="R891" s="4" t="s">
        <v>289</v>
      </c>
      <c r="S891" s="4"/>
      <c r="T891"/>
      <c r="U891" s="23"/>
    </row>
    <row r="892" spans="1:21" ht="15.6" x14ac:dyDescent="0.3">
      <c r="A892" s="4">
        <v>891</v>
      </c>
      <c r="B892" s="5">
        <v>4222525</v>
      </c>
      <c r="C892" s="4" t="s">
        <v>176</v>
      </c>
      <c r="D892" s="4" t="s">
        <v>220</v>
      </c>
      <c r="E892" s="4" t="s">
        <v>130</v>
      </c>
      <c r="F892" s="4" t="s">
        <v>2960</v>
      </c>
      <c r="G892" s="6">
        <v>3.1</v>
      </c>
      <c r="H892" s="7">
        <v>45541.766527777778</v>
      </c>
      <c r="I892" s="7" t="str">
        <f>TEXT(multilingual_mobile_app_reviews_2025[[#This Row],[Review_date]],"dd-mm-yyyy")</f>
        <v>06-09-2024</v>
      </c>
      <c r="J892" s="7" t="str">
        <f>TEXT(multilingual_mobile_app_reviews_2025[[#This Row],[Review_date]],"YYYY")</f>
        <v>2024</v>
      </c>
      <c r="K892" s="7" t="str">
        <f>TEXT(multilingual_mobile_app_reviews_2025[[#This Row],[Review_date]],"MMMM")</f>
        <v>September</v>
      </c>
      <c r="L892" s="4" t="b">
        <v>1</v>
      </c>
      <c r="M892" s="4" t="s">
        <v>98</v>
      </c>
      <c r="N892" s="5">
        <v>933</v>
      </c>
      <c r="O892" s="5">
        <v>24</v>
      </c>
      <c r="P892" s="4" t="s">
        <v>65</v>
      </c>
      <c r="Q892" s="8" t="s">
        <v>39</v>
      </c>
      <c r="R892" s="4" t="s">
        <v>1146</v>
      </c>
      <c r="S892" s="4"/>
      <c r="T892"/>
      <c r="U892" s="23"/>
    </row>
    <row r="893" spans="1:21" ht="15.6" x14ac:dyDescent="0.3">
      <c r="A893" s="4">
        <v>892</v>
      </c>
      <c r="B893" s="5">
        <v>6737254</v>
      </c>
      <c r="C893" s="4" t="s">
        <v>54</v>
      </c>
      <c r="D893" s="4" t="s">
        <v>31</v>
      </c>
      <c r="E893" s="4" t="s">
        <v>16</v>
      </c>
      <c r="F893" s="4" t="s">
        <v>2948</v>
      </c>
      <c r="G893" s="6">
        <v>4.3</v>
      </c>
      <c r="H893" s="7">
        <v>45709.901759259257</v>
      </c>
      <c r="I893" s="7" t="str">
        <f>TEXT(multilingual_mobile_app_reviews_2025[[#This Row],[Review_date]],"dd-mm-yyyy")</f>
        <v>21-02-2025</v>
      </c>
      <c r="J893" s="7" t="str">
        <f>TEXT(multilingual_mobile_app_reviews_2025[[#This Row],[Review_date]],"YYYY")</f>
        <v>2025</v>
      </c>
      <c r="K893" s="7" t="str">
        <f>TEXT(multilingual_mobile_app_reviews_2025[[#This Row],[Review_date]],"MMMM")</f>
        <v>February</v>
      </c>
      <c r="L893" s="4" t="b">
        <v>1</v>
      </c>
      <c r="M893" s="4" t="s">
        <v>3</v>
      </c>
      <c r="N893" s="5">
        <v>783</v>
      </c>
      <c r="O893" s="5">
        <v>70</v>
      </c>
      <c r="P893" s="4" t="s">
        <v>94</v>
      </c>
      <c r="Q893" s="8" t="s">
        <v>2963</v>
      </c>
      <c r="R893" s="4" t="s">
        <v>1147</v>
      </c>
      <c r="S893" s="4"/>
      <c r="T893"/>
      <c r="U893" s="23"/>
    </row>
    <row r="894" spans="1:21" ht="15.6" x14ac:dyDescent="0.3">
      <c r="A894" s="4">
        <v>893</v>
      </c>
      <c r="B894" s="5">
        <v>9456669</v>
      </c>
      <c r="C894" s="4" t="s">
        <v>14</v>
      </c>
      <c r="D894" s="4" t="s">
        <v>60</v>
      </c>
      <c r="E894" s="4" t="s">
        <v>27</v>
      </c>
      <c r="F894" s="4" t="s">
        <v>2950</v>
      </c>
      <c r="G894" s="6">
        <v>3.6</v>
      </c>
      <c r="H894" s="7">
        <v>45439.779074074075</v>
      </c>
      <c r="I894" s="7" t="str">
        <f>TEXT(multilingual_mobile_app_reviews_2025[[#This Row],[Review_date]],"dd-mm-yyyy")</f>
        <v>27-05-2024</v>
      </c>
      <c r="J894" s="7" t="str">
        <f>TEXT(multilingual_mobile_app_reviews_2025[[#This Row],[Review_date]],"YYYY")</f>
        <v>2024</v>
      </c>
      <c r="K894" s="7" t="str">
        <f>TEXT(multilingual_mobile_app_reviews_2025[[#This Row],[Review_date]],"MMMM")</f>
        <v>May</v>
      </c>
      <c r="L894" s="4" t="b">
        <v>1</v>
      </c>
      <c r="M894" s="4" t="s">
        <v>22</v>
      </c>
      <c r="N894" s="5">
        <v>59</v>
      </c>
      <c r="O894" s="5">
        <v>33</v>
      </c>
      <c r="P894" s="4" t="s">
        <v>65</v>
      </c>
      <c r="Q894" s="8" t="s">
        <v>5</v>
      </c>
      <c r="R894" s="4" t="s">
        <v>986</v>
      </c>
      <c r="S894" s="4"/>
      <c r="T894"/>
      <c r="U894" s="23"/>
    </row>
    <row r="895" spans="1:21" ht="15.6" x14ac:dyDescent="0.3">
      <c r="A895" s="4">
        <v>894</v>
      </c>
      <c r="B895" s="5">
        <v>927040</v>
      </c>
      <c r="C895" s="4" t="s">
        <v>176</v>
      </c>
      <c r="D895" s="4" t="s">
        <v>1</v>
      </c>
      <c r="E895" s="4" t="s">
        <v>27</v>
      </c>
      <c r="F895" s="4" t="s">
        <v>2949</v>
      </c>
      <c r="G895" s="6">
        <v>3.2</v>
      </c>
      <c r="H895" s="7">
        <v>45286.339386574073</v>
      </c>
      <c r="I895" s="7" t="str">
        <f>TEXT(multilingual_mobile_app_reviews_2025[[#This Row],[Review_date]],"dd-mm-yyyy")</f>
        <v>26-12-2023</v>
      </c>
      <c r="J895" s="7" t="str">
        <f>TEXT(multilingual_mobile_app_reviews_2025[[#This Row],[Review_date]],"YYYY")</f>
        <v>2023</v>
      </c>
      <c r="K895" s="7" t="str">
        <f>TEXT(multilingual_mobile_app_reviews_2025[[#This Row],[Review_date]],"MMMM")</f>
        <v>December</v>
      </c>
      <c r="L895" s="4" t="b">
        <v>1</v>
      </c>
      <c r="M895" s="4" t="s">
        <v>22</v>
      </c>
      <c r="N895" s="5">
        <v>341</v>
      </c>
      <c r="O895" s="5">
        <v>33</v>
      </c>
      <c r="P895" s="4" t="s">
        <v>38</v>
      </c>
      <c r="Q895" s="8" t="s">
        <v>39</v>
      </c>
      <c r="R895" s="4" t="s">
        <v>1148</v>
      </c>
      <c r="S895" s="4"/>
      <c r="T895"/>
      <c r="U895" s="23"/>
    </row>
    <row r="896" spans="1:21" ht="15.6" x14ac:dyDescent="0.3">
      <c r="A896" s="4">
        <v>895</v>
      </c>
      <c r="B896" s="5">
        <v>7474490</v>
      </c>
      <c r="C896" s="4" t="s">
        <v>46</v>
      </c>
      <c r="D896" s="4" t="s">
        <v>71</v>
      </c>
      <c r="E896" s="4" t="s">
        <v>1149</v>
      </c>
      <c r="F896" s="4" t="s">
        <v>2952</v>
      </c>
      <c r="G896" s="6">
        <v>4.2</v>
      </c>
      <c r="H896" s="7">
        <v>45674.780578703707</v>
      </c>
      <c r="I896" s="7" t="str">
        <f>TEXT(multilingual_mobile_app_reviews_2025[[#This Row],[Review_date]],"dd-mm-yyyy")</f>
        <v>17-01-2025</v>
      </c>
      <c r="J896" s="7" t="str">
        <f>TEXT(multilingual_mobile_app_reviews_2025[[#This Row],[Review_date]],"YYYY")</f>
        <v>2025</v>
      </c>
      <c r="K896" s="7" t="str">
        <f>TEXT(multilingual_mobile_app_reviews_2025[[#This Row],[Review_date]],"MMMM")</f>
        <v>January</v>
      </c>
      <c r="L896" s="4" t="b">
        <v>1</v>
      </c>
      <c r="M896" s="4" t="s">
        <v>10</v>
      </c>
      <c r="N896" s="5">
        <v>506</v>
      </c>
      <c r="O896" s="5">
        <v>73</v>
      </c>
      <c r="P896" s="4" t="s">
        <v>118</v>
      </c>
      <c r="Q896" s="8" t="s">
        <v>2963</v>
      </c>
      <c r="R896" s="4" t="s">
        <v>1150</v>
      </c>
      <c r="S896" s="4"/>
      <c r="T896"/>
      <c r="U896" s="23"/>
    </row>
    <row r="897" spans="1:21" ht="15.6" x14ac:dyDescent="0.3">
      <c r="A897" s="4">
        <v>896</v>
      </c>
      <c r="B897" s="5">
        <v>2486384</v>
      </c>
      <c r="C897" s="4" t="s">
        <v>14</v>
      </c>
      <c r="D897" s="4" t="s">
        <v>47</v>
      </c>
      <c r="E897" s="4" t="s">
        <v>93</v>
      </c>
      <c r="F897" s="4" t="s">
        <v>2952</v>
      </c>
      <c r="G897" s="6">
        <v>2.8</v>
      </c>
      <c r="H897" s="7">
        <v>45498.950682870367</v>
      </c>
      <c r="I897" s="7" t="str">
        <f>TEXT(multilingual_mobile_app_reviews_2025[[#This Row],[Review_date]],"dd-mm-yyyy")</f>
        <v>25-07-2024</v>
      </c>
      <c r="J897" s="7" t="str">
        <f>TEXT(multilingual_mobile_app_reviews_2025[[#This Row],[Review_date]],"YYYY")</f>
        <v>2024</v>
      </c>
      <c r="K897" s="7" t="str">
        <f>TEXT(multilingual_mobile_app_reviews_2025[[#This Row],[Review_date]],"MMMM")</f>
        <v>July</v>
      </c>
      <c r="L897" s="4" t="b">
        <v>0</v>
      </c>
      <c r="M897" s="4" t="s">
        <v>22</v>
      </c>
      <c r="N897" s="5">
        <v>113</v>
      </c>
      <c r="O897" s="5">
        <v>34</v>
      </c>
      <c r="P897" s="4" t="s">
        <v>17</v>
      </c>
      <c r="Q897" s="8" t="s">
        <v>2963</v>
      </c>
      <c r="R897" s="4" t="s">
        <v>1151</v>
      </c>
      <c r="S897" s="4"/>
      <c r="T897"/>
      <c r="U897" s="23"/>
    </row>
    <row r="898" spans="1:21" ht="15.6" x14ac:dyDescent="0.3">
      <c r="A898" s="4">
        <v>897</v>
      </c>
      <c r="B898" s="5">
        <v>7678236</v>
      </c>
      <c r="C898" s="4" t="s">
        <v>208</v>
      </c>
      <c r="D898" s="4" t="s">
        <v>31</v>
      </c>
      <c r="E898" s="4" t="s">
        <v>16</v>
      </c>
      <c r="F898" s="4" t="s">
        <v>2951</v>
      </c>
      <c r="G898" s="6">
        <v>4.2</v>
      </c>
      <c r="H898" s="7">
        <v>45209.125717592593</v>
      </c>
      <c r="I898" s="7" t="str">
        <f>TEXT(multilingual_mobile_app_reviews_2025[[#This Row],[Review_date]],"dd-mm-yyyy")</f>
        <v>10-10-2023</v>
      </c>
      <c r="J898" s="7" t="str">
        <f>TEXT(multilingual_mobile_app_reviews_2025[[#This Row],[Review_date]],"YYYY")</f>
        <v>2023</v>
      </c>
      <c r="K898" s="7" t="str">
        <f>TEXT(multilingual_mobile_app_reviews_2025[[#This Row],[Review_date]],"MMMM")</f>
        <v>October</v>
      </c>
      <c r="L898" s="4" t="b">
        <v>0</v>
      </c>
      <c r="M898" s="4" t="s">
        <v>3</v>
      </c>
      <c r="N898" s="5">
        <v>111</v>
      </c>
      <c r="O898" s="5">
        <v>48</v>
      </c>
      <c r="P898" s="4" t="s">
        <v>127</v>
      </c>
      <c r="Q898" s="8" t="s">
        <v>5</v>
      </c>
      <c r="R898" s="4" t="s">
        <v>81</v>
      </c>
      <c r="S898" s="4"/>
      <c r="T898"/>
      <c r="U898" s="23"/>
    </row>
    <row r="899" spans="1:21" ht="15.6" x14ac:dyDescent="0.3">
      <c r="A899" s="4">
        <v>898</v>
      </c>
      <c r="B899" s="5">
        <v>8499643</v>
      </c>
      <c r="C899" s="4" t="s">
        <v>69</v>
      </c>
      <c r="D899" s="4" t="s">
        <v>97</v>
      </c>
      <c r="E899" s="4" t="s">
        <v>9</v>
      </c>
      <c r="F899" s="4" t="s">
        <v>2957</v>
      </c>
      <c r="G899" s="6">
        <v>3.1</v>
      </c>
      <c r="H899" s="7">
        <v>45226.781238425923</v>
      </c>
      <c r="I899" s="7" t="str">
        <f>TEXT(multilingual_mobile_app_reviews_2025[[#This Row],[Review_date]],"dd-mm-yyyy")</f>
        <v>27-10-2023</v>
      </c>
      <c r="J899" s="7" t="str">
        <f>TEXT(multilingual_mobile_app_reviews_2025[[#This Row],[Review_date]],"YYYY")</f>
        <v>2023</v>
      </c>
      <c r="K899" s="7" t="str">
        <f>TEXT(multilingual_mobile_app_reviews_2025[[#This Row],[Review_date]],"MMMM")</f>
        <v>October</v>
      </c>
      <c r="L899" s="4" t="b">
        <v>1</v>
      </c>
      <c r="M899" s="4" t="s">
        <v>22</v>
      </c>
      <c r="N899" s="5">
        <v>484</v>
      </c>
      <c r="O899" s="5">
        <v>53</v>
      </c>
      <c r="P899" s="4" t="s">
        <v>34</v>
      </c>
      <c r="Q899" s="8" t="s">
        <v>29</v>
      </c>
      <c r="R899" s="4" t="s">
        <v>1152</v>
      </c>
      <c r="S899" s="4"/>
      <c r="T899"/>
      <c r="U899" s="23"/>
    </row>
    <row r="900" spans="1:21" ht="15.6" x14ac:dyDescent="0.3">
      <c r="A900" s="4">
        <v>899</v>
      </c>
      <c r="B900" s="5">
        <v>9922182</v>
      </c>
      <c r="C900" s="4" t="s">
        <v>78</v>
      </c>
      <c r="D900" s="4" t="s">
        <v>220</v>
      </c>
      <c r="E900" s="4" t="s">
        <v>93</v>
      </c>
      <c r="F900" s="4" t="s">
        <v>2950</v>
      </c>
      <c r="G900" s="6">
        <v>2.2999999999999998</v>
      </c>
      <c r="H900" s="7">
        <v>45867.32203703704</v>
      </c>
      <c r="I900" s="7" t="str">
        <f>TEXT(multilingual_mobile_app_reviews_2025[[#This Row],[Review_date]],"dd-mm-yyyy")</f>
        <v>29-07-2025</v>
      </c>
      <c r="J900" s="7" t="str">
        <f>TEXT(multilingual_mobile_app_reviews_2025[[#This Row],[Review_date]],"YYYY")</f>
        <v>2025</v>
      </c>
      <c r="K900" s="7" t="str">
        <f>TEXT(multilingual_mobile_app_reviews_2025[[#This Row],[Review_date]],"MMMM")</f>
        <v>July</v>
      </c>
      <c r="L900" s="4" t="b">
        <v>0</v>
      </c>
      <c r="M900" s="4" t="s">
        <v>3</v>
      </c>
      <c r="N900" s="5">
        <v>136</v>
      </c>
      <c r="O900" s="5">
        <v>35</v>
      </c>
      <c r="P900" s="4" t="s">
        <v>65</v>
      </c>
      <c r="Q900" s="8" t="s">
        <v>5</v>
      </c>
      <c r="R900" s="4" t="s">
        <v>1153</v>
      </c>
      <c r="S900" s="4"/>
      <c r="T900"/>
      <c r="U900" s="23"/>
    </row>
    <row r="901" spans="1:21" ht="15.6" x14ac:dyDescent="0.3">
      <c r="A901" s="4">
        <v>900</v>
      </c>
      <c r="B901" s="5">
        <v>9267190</v>
      </c>
      <c r="C901" s="4" t="s">
        <v>25</v>
      </c>
      <c r="D901" s="4" t="s">
        <v>47</v>
      </c>
      <c r="E901" s="4" t="s">
        <v>27</v>
      </c>
      <c r="F901" s="4" t="s">
        <v>2947</v>
      </c>
      <c r="G901" s="6">
        <v>2.1</v>
      </c>
      <c r="H901" s="7">
        <v>45243.974074074074</v>
      </c>
      <c r="I901" s="7" t="str">
        <f>TEXT(multilingual_mobile_app_reviews_2025[[#This Row],[Review_date]],"dd-mm-yyyy")</f>
        <v>13-11-2023</v>
      </c>
      <c r="J901" s="7" t="str">
        <f>TEXT(multilingual_mobile_app_reviews_2025[[#This Row],[Review_date]],"YYYY")</f>
        <v>2023</v>
      </c>
      <c r="K901" s="7" t="str">
        <f>TEXT(multilingual_mobile_app_reviews_2025[[#This Row],[Review_date]],"MMMM")</f>
        <v>November</v>
      </c>
      <c r="L901" s="4" t="b">
        <v>1</v>
      </c>
      <c r="M901" s="4" t="s">
        <v>33</v>
      </c>
      <c r="N901" s="5">
        <v>394</v>
      </c>
      <c r="O901" s="5">
        <v>16</v>
      </c>
      <c r="P901" s="4" t="s">
        <v>144</v>
      </c>
      <c r="Q901" s="8" t="s">
        <v>5</v>
      </c>
      <c r="R901" s="4" t="s">
        <v>1154</v>
      </c>
      <c r="S901" s="4"/>
      <c r="T901"/>
      <c r="U901" s="23"/>
    </row>
    <row r="902" spans="1:21" ht="15.6" x14ac:dyDescent="0.3">
      <c r="A902" s="4">
        <v>901</v>
      </c>
      <c r="B902" s="5">
        <v>7038373</v>
      </c>
      <c r="C902" s="4" t="s">
        <v>59</v>
      </c>
      <c r="D902" s="4" t="s">
        <v>20</v>
      </c>
      <c r="E902" s="4" t="s">
        <v>76</v>
      </c>
      <c r="F902" s="4" t="s">
        <v>2942</v>
      </c>
      <c r="G902" s="6">
        <v>1.8</v>
      </c>
      <c r="H902" s="7">
        <v>45390.117800925924</v>
      </c>
      <c r="I902" s="7" t="str">
        <f>TEXT(multilingual_mobile_app_reviews_2025[[#This Row],[Review_date]],"dd-mm-yyyy")</f>
        <v>08-04-2024</v>
      </c>
      <c r="J902" s="7" t="str">
        <f>TEXT(multilingual_mobile_app_reviews_2025[[#This Row],[Review_date]],"YYYY")</f>
        <v>2024</v>
      </c>
      <c r="K902" s="7" t="str">
        <f>TEXT(multilingual_mobile_app_reviews_2025[[#This Row],[Review_date]],"MMMM")</f>
        <v>April</v>
      </c>
      <c r="L902" s="4" t="b">
        <v>1</v>
      </c>
      <c r="M902" s="4" t="s">
        <v>98</v>
      </c>
      <c r="N902" s="5">
        <v>942</v>
      </c>
      <c r="O902" s="5">
        <v>39</v>
      </c>
      <c r="P902" s="4" t="s">
        <v>70</v>
      </c>
      <c r="Q902" s="8" t="s">
        <v>5</v>
      </c>
      <c r="R902" s="4" t="s">
        <v>1155</v>
      </c>
      <c r="S902" s="4"/>
      <c r="T902"/>
      <c r="U902" s="23"/>
    </row>
    <row r="903" spans="1:21" ht="15.6" x14ac:dyDescent="0.3">
      <c r="A903" s="4">
        <v>902</v>
      </c>
      <c r="B903" s="5">
        <v>517955</v>
      </c>
      <c r="C903" s="4" t="s">
        <v>159</v>
      </c>
      <c r="D903" s="4" t="s">
        <v>1</v>
      </c>
      <c r="E903" s="4" t="s">
        <v>1156</v>
      </c>
      <c r="F903" s="4" t="s">
        <v>2961</v>
      </c>
      <c r="G903" s="6">
        <v>2.4</v>
      </c>
      <c r="H903" s="7">
        <v>45208.922881944447</v>
      </c>
      <c r="I903" s="7" t="str">
        <f>TEXT(multilingual_mobile_app_reviews_2025[[#This Row],[Review_date]],"dd-mm-yyyy")</f>
        <v>09-10-2023</v>
      </c>
      <c r="J903" s="7" t="str">
        <f>TEXT(multilingual_mobile_app_reviews_2025[[#This Row],[Review_date]],"YYYY")</f>
        <v>2023</v>
      </c>
      <c r="K903" s="7" t="str">
        <f>TEXT(multilingual_mobile_app_reviews_2025[[#This Row],[Review_date]],"MMMM")</f>
        <v>October</v>
      </c>
      <c r="L903" s="4" t="b">
        <v>1</v>
      </c>
      <c r="M903" s="4" t="s">
        <v>33</v>
      </c>
      <c r="N903" s="5">
        <v>896</v>
      </c>
      <c r="O903" s="5">
        <v>72</v>
      </c>
      <c r="P903" s="4" t="s">
        <v>17</v>
      </c>
      <c r="Q903" s="8" t="s">
        <v>5</v>
      </c>
      <c r="R903" s="4" t="s">
        <v>1157</v>
      </c>
      <c r="S903" s="4"/>
      <c r="T903"/>
      <c r="U903" s="23"/>
    </row>
    <row r="904" spans="1:21" ht="15.6" x14ac:dyDescent="0.3">
      <c r="A904" s="4">
        <v>903</v>
      </c>
      <c r="B904" s="5">
        <v>5537072</v>
      </c>
      <c r="C904" s="4" t="s">
        <v>101</v>
      </c>
      <c r="D904" s="4" t="s">
        <v>26</v>
      </c>
      <c r="E904" s="4" t="s">
        <v>2938</v>
      </c>
      <c r="F904" s="4" t="s">
        <v>2948</v>
      </c>
      <c r="G904" s="6">
        <v>1.4</v>
      </c>
      <c r="H904" s="7">
        <v>45676.151076388887</v>
      </c>
      <c r="I904" s="7" t="str">
        <f>TEXT(multilingual_mobile_app_reviews_2025[[#This Row],[Review_date]],"dd-mm-yyyy")</f>
        <v>19-01-2025</v>
      </c>
      <c r="J904" s="7" t="str">
        <f>TEXT(multilingual_mobile_app_reviews_2025[[#This Row],[Review_date]],"YYYY")</f>
        <v>2025</v>
      </c>
      <c r="K904" s="7" t="str">
        <f>TEXT(multilingual_mobile_app_reviews_2025[[#This Row],[Review_date]],"MMMM")</f>
        <v>January</v>
      </c>
      <c r="L904" s="4" t="b">
        <v>0</v>
      </c>
      <c r="M904" s="4" t="s">
        <v>10</v>
      </c>
      <c r="N904" s="5">
        <v>360</v>
      </c>
      <c r="O904" s="5">
        <v>19</v>
      </c>
      <c r="P904" s="4" t="s">
        <v>4</v>
      </c>
      <c r="Q904" s="8" t="s">
        <v>39</v>
      </c>
      <c r="R904" s="4" t="s">
        <v>1158</v>
      </c>
      <c r="S904" s="4"/>
      <c r="T904"/>
      <c r="U904" s="23"/>
    </row>
    <row r="905" spans="1:21" ht="15.6" x14ac:dyDescent="0.3">
      <c r="A905" s="4">
        <v>904</v>
      </c>
      <c r="B905" s="5">
        <v>2851363</v>
      </c>
      <c r="C905" s="4" t="s">
        <v>244</v>
      </c>
      <c r="D905" s="4" t="s">
        <v>26</v>
      </c>
      <c r="E905" s="4" t="s">
        <v>93</v>
      </c>
      <c r="F905" s="4" t="s">
        <v>2959</v>
      </c>
      <c r="G905" s="6">
        <v>3.8</v>
      </c>
      <c r="H905" s="7">
        <v>45696.856412037036</v>
      </c>
      <c r="I905" s="7" t="str">
        <f>TEXT(multilingual_mobile_app_reviews_2025[[#This Row],[Review_date]],"dd-mm-yyyy")</f>
        <v>08-02-2025</v>
      </c>
      <c r="J905" s="7" t="str">
        <f>TEXT(multilingual_mobile_app_reviews_2025[[#This Row],[Review_date]],"YYYY")</f>
        <v>2025</v>
      </c>
      <c r="K905" s="7" t="str">
        <f>TEXT(multilingual_mobile_app_reviews_2025[[#This Row],[Review_date]],"MMMM")</f>
        <v>February</v>
      </c>
      <c r="L905" s="4" t="b">
        <v>0</v>
      </c>
      <c r="M905" s="4" t="s">
        <v>10</v>
      </c>
      <c r="N905" s="5">
        <v>716</v>
      </c>
      <c r="O905" s="5">
        <v>59</v>
      </c>
      <c r="P905" s="4" t="s">
        <v>2963</v>
      </c>
      <c r="Q905" s="8" t="s">
        <v>12</v>
      </c>
      <c r="R905" s="4" t="s">
        <v>1159</v>
      </c>
      <c r="S905" s="4"/>
      <c r="T905"/>
      <c r="U905" s="23"/>
    </row>
    <row r="906" spans="1:21" ht="15.6" x14ac:dyDescent="0.3">
      <c r="A906" s="4">
        <v>905</v>
      </c>
      <c r="B906" s="5">
        <v>2172728</v>
      </c>
      <c r="C906" s="4" t="s">
        <v>25</v>
      </c>
      <c r="D906" s="4" t="s">
        <v>79</v>
      </c>
      <c r="E906" s="4" t="s">
        <v>130</v>
      </c>
      <c r="F906" s="4" t="s">
        <v>2942</v>
      </c>
      <c r="G906" s="6">
        <v>1.6</v>
      </c>
      <c r="H906" s="7">
        <v>45209.708599537036</v>
      </c>
      <c r="I906" s="7" t="str">
        <f>TEXT(multilingual_mobile_app_reviews_2025[[#This Row],[Review_date]],"dd-mm-yyyy")</f>
        <v>10-10-2023</v>
      </c>
      <c r="J906" s="7" t="str">
        <f>TEXT(multilingual_mobile_app_reviews_2025[[#This Row],[Review_date]],"YYYY")</f>
        <v>2023</v>
      </c>
      <c r="K906" s="7" t="str">
        <f>TEXT(multilingual_mobile_app_reviews_2025[[#This Row],[Review_date]],"MMMM")</f>
        <v>October</v>
      </c>
      <c r="L906" s="4" t="b">
        <v>1</v>
      </c>
      <c r="M906" s="4" t="s">
        <v>22</v>
      </c>
      <c r="N906" s="5">
        <v>868</v>
      </c>
      <c r="O906" s="5">
        <v>72</v>
      </c>
      <c r="P906" s="4" t="s">
        <v>162</v>
      </c>
      <c r="Q906" s="8" t="s">
        <v>2963</v>
      </c>
      <c r="R906" s="4" t="s">
        <v>1160</v>
      </c>
      <c r="S906" s="4"/>
      <c r="T906"/>
      <c r="U906" s="23"/>
    </row>
    <row r="907" spans="1:21" ht="15.6" x14ac:dyDescent="0.3">
      <c r="A907" s="4">
        <v>906</v>
      </c>
      <c r="B907" s="5">
        <v>7639654</v>
      </c>
      <c r="C907" s="4" t="s">
        <v>132</v>
      </c>
      <c r="D907" s="4" t="s">
        <v>111</v>
      </c>
      <c r="E907" s="4" t="s">
        <v>1161</v>
      </c>
      <c r="F907" s="4" t="s">
        <v>2943</v>
      </c>
      <c r="G907" s="6">
        <v>3.5</v>
      </c>
      <c r="H907" s="7">
        <v>45566.344560185185</v>
      </c>
      <c r="I907" s="7" t="str">
        <f>TEXT(multilingual_mobile_app_reviews_2025[[#This Row],[Review_date]],"dd-mm-yyyy")</f>
        <v>01-10-2024</v>
      </c>
      <c r="J907" s="7" t="str">
        <f>TEXT(multilingual_mobile_app_reviews_2025[[#This Row],[Review_date]],"YYYY")</f>
        <v>2024</v>
      </c>
      <c r="K907" s="7" t="str">
        <f>TEXT(multilingual_mobile_app_reviews_2025[[#This Row],[Review_date]],"MMMM")</f>
        <v>October</v>
      </c>
      <c r="L907" s="4" t="b">
        <v>1</v>
      </c>
      <c r="M907" s="4" t="s">
        <v>3</v>
      </c>
      <c r="N907" s="5">
        <v>472</v>
      </c>
      <c r="O907" s="5">
        <v>48</v>
      </c>
      <c r="P907" s="4" t="s">
        <v>99</v>
      </c>
      <c r="Q907" s="8" t="s">
        <v>39</v>
      </c>
      <c r="R907" s="4" t="s">
        <v>1162</v>
      </c>
      <c r="S907" s="4"/>
      <c r="T907"/>
      <c r="U907" s="23"/>
    </row>
    <row r="908" spans="1:21" ht="15.6" x14ac:dyDescent="0.3">
      <c r="A908" s="4">
        <v>907</v>
      </c>
      <c r="B908" s="5">
        <v>836621</v>
      </c>
      <c r="C908" s="4" t="s">
        <v>165</v>
      </c>
      <c r="D908" s="4" t="s">
        <v>157</v>
      </c>
      <c r="E908" s="4" t="s">
        <v>21</v>
      </c>
      <c r="F908" s="4" t="s">
        <v>2948</v>
      </c>
      <c r="G908" s="6">
        <v>3.6</v>
      </c>
      <c r="H908" s="7">
        <v>45735.603703703702</v>
      </c>
      <c r="I908" s="7" t="str">
        <f>TEXT(multilingual_mobile_app_reviews_2025[[#This Row],[Review_date]],"dd-mm-yyyy")</f>
        <v>19-03-2025</v>
      </c>
      <c r="J908" s="7" t="str">
        <f>TEXT(multilingual_mobile_app_reviews_2025[[#This Row],[Review_date]],"YYYY")</f>
        <v>2025</v>
      </c>
      <c r="K908" s="7" t="str">
        <f>TEXT(multilingual_mobile_app_reviews_2025[[#This Row],[Review_date]],"MMMM")</f>
        <v>March</v>
      </c>
      <c r="L908" s="4" t="b">
        <v>1</v>
      </c>
      <c r="M908" s="4" t="s">
        <v>98</v>
      </c>
      <c r="N908" s="5">
        <v>701</v>
      </c>
      <c r="O908" s="5">
        <v>33</v>
      </c>
      <c r="P908" s="4" t="s">
        <v>230</v>
      </c>
      <c r="Q908" s="8" t="s">
        <v>5</v>
      </c>
      <c r="R908" s="4" t="s">
        <v>1163</v>
      </c>
      <c r="S908" s="4"/>
      <c r="T908"/>
      <c r="U908" s="23"/>
    </row>
    <row r="909" spans="1:21" ht="15.6" x14ac:dyDescent="0.3">
      <c r="A909" s="4">
        <v>908</v>
      </c>
      <c r="B909" s="5">
        <v>5723607</v>
      </c>
      <c r="C909" s="4" t="s">
        <v>96</v>
      </c>
      <c r="D909" s="4" t="s">
        <v>63</v>
      </c>
      <c r="E909" s="4" t="s">
        <v>32</v>
      </c>
      <c r="F909" s="4" t="s">
        <v>2947</v>
      </c>
      <c r="G909" s="6">
        <v>3.3</v>
      </c>
      <c r="H909" s="7">
        <v>45578.108564814815</v>
      </c>
      <c r="I909" s="7" t="str">
        <f>TEXT(multilingual_mobile_app_reviews_2025[[#This Row],[Review_date]],"dd-mm-yyyy")</f>
        <v>13-10-2024</v>
      </c>
      <c r="J909" s="7" t="str">
        <f>TEXT(multilingual_mobile_app_reviews_2025[[#This Row],[Review_date]],"YYYY")</f>
        <v>2024</v>
      </c>
      <c r="K909" s="7" t="str">
        <f>TEXT(multilingual_mobile_app_reviews_2025[[#This Row],[Review_date]],"MMMM")</f>
        <v>October</v>
      </c>
      <c r="L909" s="4" t="b">
        <v>0</v>
      </c>
      <c r="M909" s="4" t="s">
        <v>3</v>
      </c>
      <c r="N909" s="5">
        <v>754</v>
      </c>
      <c r="O909" s="5">
        <v>40</v>
      </c>
      <c r="P909" s="4" t="s">
        <v>114</v>
      </c>
      <c r="Q909" s="8" t="s">
        <v>2963</v>
      </c>
      <c r="R909" s="4" t="s">
        <v>1164</v>
      </c>
      <c r="S909" s="4"/>
      <c r="T909"/>
      <c r="U909" s="23"/>
    </row>
    <row r="910" spans="1:21" ht="15.6" x14ac:dyDescent="0.3">
      <c r="A910" s="4">
        <v>909</v>
      </c>
      <c r="B910" s="5">
        <v>2618087</v>
      </c>
      <c r="C910" s="4" t="s">
        <v>165</v>
      </c>
      <c r="D910" s="4" t="s">
        <v>47</v>
      </c>
      <c r="E910" s="4" t="s">
        <v>1165</v>
      </c>
      <c r="F910" s="4" t="s">
        <v>2945</v>
      </c>
      <c r="G910" s="6">
        <v>1</v>
      </c>
      <c r="H910" s="7">
        <v>45296.437847222223</v>
      </c>
      <c r="I910" s="7" t="str">
        <f>TEXT(multilingual_mobile_app_reviews_2025[[#This Row],[Review_date]],"dd-mm-yyyy")</f>
        <v>05-01-2024</v>
      </c>
      <c r="J910" s="7" t="str">
        <f>TEXT(multilingual_mobile_app_reviews_2025[[#This Row],[Review_date]],"YYYY")</f>
        <v>2024</v>
      </c>
      <c r="K910" s="7" t="str">
        <f>TEXT(multilingual_mobile_app_reviews_2025[[#This Row],[Review_date]],"MMMM")</f>
        <v>January</v>
      </c>
      <c r="L910" s="4" t="b">
        <v>1</v>
      </c>
      <c r="M910" s="4" t="s">
        <v>98</v>
      </c>
      <c r="N910" s="5">
        <v>1136</v>
      </c>
      <c r="O910" s="5">
        <v>16</v>
      </c>
      <c r="P910" s="4" t="s">
        <v>80</v>
      </c>
      <c r="Q910" s="8" t="s">
        <v>2963</v>
      </c>
      <c r="R910" s="4" t="s">
        <v>794</v>
      </c>
      <c r="S910" s="4"/>
      <c r="T910"/>
      <c r="U910" s="23"/>
    </row>
    <row r="911" spans="1:21" ht="15.6" x14ac:dyDescent="0.3">
      <c r="A911" s="4">
        <v>910</v>
      </c>
      <c r="B911" s="5">
        <v>4346497</v>
      </c>
      <c r="C911" s="4" t="s">
        <v>154</v>
      </c>
      <c r="D911" s="4" t="s">
        <v>1</v>
      </c>
      <c r="E911" s="4" t="s">
        <v>64</v>
      </c>
      <c r="F911" s="4" t="s">
        <v>2940</v>
      </c>
      <c r="G911" s="6">
        <v>3.2</v>
      </c>
      <c r="H911" s="7">
        <v>45148.360324074078</v>
      </c>
      <c r="I911" s="7" t="str">
        <f>TEXT(multilingual_mobile_app_reviews_2025[[#This Row],[Review_date]],"dd-mm-yyyy")</f>
        <v>10-08-2023</v>
      </c>
      <c r="J911" s="7" t="str">
        <f>TEXT(multilingual_mobile_app_reviews_2025[[#This Row],[Review_date]],"YYYY")</f>
        <v>2023</v>
      </c>
      <c r="K911" s="7" t="str">
        <f>TEXT(multilingual_mobile_app_reviews_2025[[#This Row],[Review_date]],"MMMM")</f>
        <v>August</v>
      </c>
      <c r="L911" s="4" t="b">
        <v>1</v>
      </c>
      <c r="M911" s="4" t="s">
        <v>33</v>
      </c>
      <c r="N911" s="5">
        <v>199</v>
      </c>
      <c r="O911" s="5">
        <v>64</v>
      </c>
      <c r="P911" s="4" t="s">
        <v>44</v>
      </c>
      <c r="Q911" s="8" t="s">
        <v>39</v>
      </c>
      <c r="R911" s="4" t="s">
        <v>1166</v>
      </c>
      <c r="S911" s="4"/>
      <c r="T911"/>
      <c r="U911" s="23"/>
    </row>
    <row r="912" spans="1:21" ht="15.6" x14ac:dyDescent="0.3">
      <c r="A912" s="4">
        <v>911</v>
      </c>
      <c r="B912" s="5">
        <v>8448805</v>
      </c>
      <c r="C912" s="4" t="s">
        <v>75</v>
      </c>
      <c r="D912" s="4" t="s">
        <v>57</v>
      </c>
      <c r="E912" s="4" t="s">
        <v>27</v>
      </c>
      <c r="F912" s="4" t="s">
        <v>2940</v>
      </c>
      <c r="G912" s="6">
        <v>2.8</v>
      </c>
      <c r="H912" s="7">
        <v>45803.295682870368</v>
      </c>
      <c r="I912" s="7" t="str">
        <f>TEXT(multilingual_mobile_app_reviews_2025[[#This Row],[Review_date]],"dd-mm-yyyy")</f>
        <v>26-05-2025</v>
      </c>
      <c r="J912" s="7" t="str">
        <f>TEXT(multilingual_mobile_app_reviews_2025[[#This Row],[Review_date]],"YYYY")</f>
        <v>2025</v>
      </c>
      <c r="K912" s="7" t="str">
        <f>TEXT(multilingual_mobile_app_reviews_2025[[#This Row],[Review_date]],"MMMM")</f>
        <v>May</v>
      </c>
      <c r="L912" s="4" t="b">
        <v>1</v>
      </c>
      <c r="M912" s="4" t="s">
        <v>22</v>
      </c>
      <c r="N912" s="5">
        <v>680</v>
      </c>
      <c r="O912" s="5">
        <v>18</v>
      </c>
      <c r="P912" s="4" t="s">
        <v>23</v>
      </c>
      <c r="Q912" s="8" t="s">
        <v>39</v>
      </c>
      <c r="R912" s="4" t="s">
        <v>1167</v>
      </c>
      <c r="S912" s="4"/>
      <c r="T912"/>
      <c r="U912" s="23"/>
    </row>
    <row r="913" spans="1:21" ht="15.6" x14ac:dyDescent="0.3">
      <c r="A913" s="4">
        <v>912</v>
      </c>
      <c r="B913" s="5">
        <v>9218436</v>
      </c>
      <c r="C913" s="4" t="s">
        <v>92</v>
      </c>
      <c r="D913" s="4" t="s">
        <v>1</v>
      </c>
      <c r="E913" s="4" t="s">
        <v>9</v>
      </c>
      <c r="F913" s="4" t="s">
        <v>2949</v>
      </c>
      <c r="G913" s="6">
        <v>4.4000000000000004</v>
      </c>
      <c r="H913" s="7">
        <v>45766.046770833331</v>
      </c>
      <c r="I913" s="7" t="str">
        <f>TEXT(multilingual_mobile_app_reviews_2025[[#This Row],[Review_date]],"dd-mm-yyyy")</f>
        <v>19-04-2025</v>
      </c>
      <c r="J913" s="7" t="str">
        <f>TEXT(multilingual_mobile_app_reviews_2025[[#This Row],[Review_date]],"YYYY")</f>
        <v>2025</v>
      </c>
      <c r="K913" s="7" t="str">
        <f>TEXT(multilingual_mobile_app_reviews_2025[[#This Row],[Review_date]],"MMMM")</f>
        <v>April</v>
      </c>
      <c r="L913" s="4" t="b">
        <v>1</v>
      </c>
      <c r="M913" s="4" t="s">
        <v>10</v>
      </c>
      <c r="N913" s="5">
        <v>915</v>
      </c>
      <c r="O913" s="5">
        <v>40</v>
      </c>
      <c r="P913" s="4" t="s">
        <v>61</v>
      </c>
      <c r="Q913" s="8" t="s">
        <v>29</v>
      </c>
      <c r="R913" s="4" t="s">
        <v>1168</v>
      </c>
      <c r="S913" s="4"/>
      <c r="T913"/>
      <c r="U913" s="23"/>
    </row>
    <row r="914" spans="1:21" ht="15.6" x14ac:dyDescent="0.3">
      <c r="A914" s="4">
        <v>913</v>
      </c>
      <c r="B914" s="5">
        <v>8378999</v>
      </c>
      <c r="C914" s="4" t="s">
        <v>89</v>
      </c>
      <c r="D914" s="4" t="s">
        <v>15</v>
      </c>
      <c r="E914" s="4" t="s">
        <v>2938</v>
      </c>
      <c r="F914" s="4" t="s">
        <v>2941</v>
      </c>
      <c r="G914" s="6">
        <v>2.4</v>
      </c>
      <c r="H914" s="7">
        <v>45323.643854166665</v>
      </c>
      <c r="I914" s="7" t="str">
        <f>TEXT(multilingual_mobile_app_reviews_2025[[#This Row],[Review_date]],"dd-mm-yyyy")</f>
        <v>01-02-2024</v>
      </c>
      <c r="J914" s="7" t="str">
        <f>TEXT(multilingual_mobile_app_reviews_2025[[#This Row],[Review_date]],"YYYY")</f>
        <v>2024</v>
      </c>
      <c r="K914" s="7" t="str">
        <f>TEXT(multilingual_mobile_app_reviews_2025[[#This Row],[Review_date]],"MMMM")</f>
        <v>February</v>
      </c>
      <c r="L914" s="4" t="b">
        <v>1</v>
      </c>
      <c r="M914" s="4" t="s">
        <v>98</v>
      </c>
      <c r="N914" s="5">
        <v>1074</v>
      </c>
      <c r="O914" s="5">
        <v>28</v>
      </c>
      <c r="P914" s="4" t="s">
        <v>180</v>
      </c>
      <c r="Q914" s="8" t="s">
        <v>29</v>
      </c>
      <c r="R914" s="4" t="s">
        <v>1169</v>
      </c>
      <c r="S914" s="4"/>
      <c r="T914"/>
      <c r="U914" s="23"/>
    </row>
    <row r="915" spans="1:21" ht="15.6" x14ac:dyDescent="0.3">
      <c r="A915" s="4">
        <v>914</v>
      </c>
      <c r="B915" s="5">
        <v>9979470</v>
      </c>
      <c r="C915" s="4" t="s">
        <v>36</v>
      </c>
      <c r="D915" s="4" t="s">
        <v>42</v>
      </c>
      <c r="E915" s="4" t="s">
        <v>130</v>
      </c>
      <c r="F915" s="4" t="s">
        <v>2942</v>
      </c>
      <c r="G915" s="6">
        <v>4.7</v>
      </c>
      <c r="H915" s="7">
        <v>45651.104247685187</v>
      </c>
      <c r="I915" s="7" t="str">
        <f>TEXT(multilingual_mobile_app_reviews_2025[[#This Row],[Review_date]],"dd-mm-yyyy")</f>
        <v>25-12-2024</v>
      </c>
      <c r="J915" s="7" t="str">
        <f>TEXT(multilingual_mobile_app_reviews_2025[[#This Row],[Review_date]],"YYYY")</f>
        <v>2024</v>
      </c>
      <c r="K915" s="7" t="str">
        <f>TEXT(multilingual_mobile_app_reviews_2025[[#This Row],[Review_date]],"MMMM")</f>
        <v>December</v>
      </c>
      <c r="L915" s="4" t="b">
        <v>1</v>
      </c>
      <c r="M915" s="4" t="s">
        <v>98</v>
      </c>
      <c r="N915" s="5">
        <v>40</v>
      </c>
      <c r="O915" s="5">
        <v>60</v>
      </c>
      <c r="P915" s="4" t="s">
        <v>38</v>
      </c>
      <c r="Q915" s="8" t="s">
        <v>39</v>
      </c>
      <c r="R915" s="4" t="s">
        <v>1170</v>
      </c>
      <c r="S915" s="4"/>
      <c r="T915"/>
      <c r="U915" s="23"/>
    </row>
    <row r="916" spans="1:21" ht="15.6" x14ac:dyDescent="0.3">
      <c r="A916" s="4">
        <v>915</v>
      </c>
      <c r="B916" s="5">
        <v>7712468</v>
      </c>
      <c r="C916" s="4" t="s">
        <v>0</v>
      </c>
      <c r="D916" s="4" t="s">
        <v>111</v>
      </c>
      <c r="E916" s="4" t="s">
        <v>76</v>
      </c>
      <c r="F916" s="4" t="s">
        <v>2940</v>
      </c>
      <c r="G916" s="6">
        <v>2</v>
      </c>
      <c r="H916" s="7">
        <v>45457.452256944445</v>
      </c>
      <c r="I916" s="7" t="str">
        <f>TEXT(multilingual_mobile_app_reviews_2025[[#This Row],[Review_date]],"dd-mm-yyyy")</f>
        <v>14-06-2024</v>
      </c>
      <c r="J916" s="7" t="str">
        <f>TEXT(multilingual_mobile_app_reviews_2025[[#This Row],[Review_date]],"YYYY")</f>
        <v>2024</v>
      </c>
      <c r="K916" s="7" t="str">
        <f>TEXT(multilingual_mobile_app_reviews_2025[[#This Row],[Review_date]],"MMMM")</f>
        <v>June</v>
      </c>
      <c r="L916" s="4" t="b">
        <v>1</v>
      </c>
      <c r="M916" s="4" t="s">
        <v>33</v>
      </c>
      <c r="N916" s="5">
        <v>1027</v>
      </c>
      <c r="O916" s="5">
        <v>15</v>
      </c>
      <c r="P916" s="4" t="s">
        <v>28</v>
      </c>
      <c r="Q916" s="8" t="s">
        <v>39</v>
      </c>
      <c r="R916" s="4" t="s">
        <v>1171</v>
      </c>
      <c r="S916" s="4"/>
      <c r="T916"/>
      <c r="U916" s="23"/>
    </row>
    <row r="917" spans="1:21" ht="15.6" x14ac:dyDescent="0.3">
      <c r="A917" s="4">
        <v>916</v>
      </c>
      <c r="B917" s="5">
        <v>1432193</v>
      </c>
      <c r="C917" s="4" t="s">
        <v>41</v>
      </c>
      <c r="D917" s="4" t="s">
        <v>60</v>
      </c>
      <c r="E917" s="4" t="s">
        <v>130</v>
      </c>
      <c r="F917" s="4" t="s">
        <v>2957</v>
      </c>
      <c r="G917" s="6">
        <v>1.5</v>
      </c>
      <c r="H917" s="7">
        <v>45605.856979166667</v>
      </c>
      <c r="I917" s="7" t="str">
        <f>TEXT(multilingual_mobile_app_reviews_2025[[#This Row],[Review_date]],"dd-mm-yyyy")</f>
        <v>09-11-2024</v>
      </c>
      <c r="J917" s="7" t="str">
        <f>TEXT(multilingual_mobile_app_reviews_2025[[#This Row],[Review_date]],"YYYY")</f>
        <v>2024</v>
      </c>
      <c r="K917" s="7" t="str">
        <f>TEXT(multilingual_mobile_app_reviews_2025[[#This Row],[Review_date]],"MMMM")</f>
        <v>November</v>
      </c>
      <c r="L917" s="4" t="b">
        <v>1</v>
      </c>
      <c r="M917" s="4" t="s">
        <v>3</v>
      </c>
      <c r="N917" s="5">
        <v>782</v>
      </c>
      <c r="O917" s="5">
        <v>51</v>
      </c>
      <c r="P917" s="4" t="s">
        <v>34</v>
      </c>
      <c r="Q917" s="8" t="s">
        <v>39</v>
      </c>
      <c r="R917" s="4" t="s">
        <v>851</v>
      </c>
      <c r="S917" s="4"/>
      <c r="T917"/>
      <c r="U917" s="23"/>
    </row>
    <row r="918" spans="1:21" ht="15.6" x14ac:dyDescent="0.3">
      <c r="A918" s="4">
        <v>917</v>
      </c>
      <c r="B918" s="5">
        <v>210277</v>
      </c>
      <c r="C918" s="4" t="s">
        <v>75</v>
      </c>
      <c r="D918" s="4" t="s">
        <v>60</v>
      </c>
      <c r="E918" s="4" t="s">
        <v>1172</v>
      </c>
      <c r="F918" s="4" t="s">
        <v>2945</v>
      </c>
      <c r="G918" s="6">
        <v>1.7</v>
      </c>
      <c r="H918" s="7">
        <v>45656.949803240743</v>
      </c>
      <c r="I918" s="7" t="str">
        <f>TEXT(multilingual_mobile_app_reviews_2025[[#This Row],[Review_date]],"dd-mm-yyyy")</f>
        <v>30-12-2024</v>
      </c>
      <c r="J918" s="7" t="str">
        <f>TEXT(multilingual_mobile_app_reviews_2025[[#This Row],[Review_date]],"YYYY")</f>
        <v>2024</v>
      </c>
      <c r="K918" s="7" t="str">
        <f>TEXT(multilingual_mobile_app_reviews_2025[[#This Row],[Review_date]],"MMMM")</f>
        <v>December</v>
      </c>
      <c r="L918" s="4" t="b">
        <v>1</v>
      </c>
      <c r="M918" s="4" t="s">
        <v>33</v>
      </c>
      <c r="N918" s="5">
        <v>1210</v>
      </c>
      <c r="O918" s="5">
        <v>51</v>
      </c>
      <c r="P918" s="4" t="s">
        <v>114</v>
      </c>
      <c r="Q918" s="8" t="s">
        <v>2963</v>
      </c>
      <c r="R918" s="4" t="s">
        <v>13</v>
      </c>
      <c r="S918" s="4"/>
      <c r="T918"/>
      <c r="U918" s="23"/>
    </row>
    <row r="919" spans="1:21" ht="15.6" x14ac:dyDescent="0.3">
      <c r="A919" s="4">
        <v>918</v>
      </c>
      <c r="B919" s="5">
        <v>5107018</v>
      </c>
      <c r="C919" s="4" t="s">
        <v>87</v>
      </c>
      <c r="D919" s="4" t="s">
        <v>47</v>
      </c>
      <c r="E919" s="4" t="s">
        <v>109</v>
      </c>
      <c r="F919" s="4" t="s">
        <v>2948</v>
      </c>
      <c r="G919" s="6">
        <v>2.8</v>
      </c>
      <c r="H919" s="7">
        <v>45396.059849537036</v>
      </c>
      <c r="I919" s="7" t="str">
        <f>TEXT(multilingual_mobile_app_reviews_2025[[#This Row],[Review_date]],"dd-mm-yyyy")</f>
        <v>14-04-2024</v>
      </c>
      <c r="J919" s="7" t="str">
        <f>TEXT(multilingual_mobile_app_reviews_2025[[#This Row],[Review_date]],"YYYY")</f>
        <v>2024</v>
      </c>
      <c r="K919" s="7" t="str">
        <f>TEXT(multilingual_mobile_app_reviews_2025[[#This Row],[Review_date]],"MMMM")</f>
        <v>April</v>
      </c>
      <c r="L919" s="4" t="b">
        <v>1</v>
      </c>
      <c r="M919" s="4" t="s">
        <v>33</v>
      </c>
      <c r="N919" s="5">
        <v>351</v>
      </c>
      <c r="O919" s="5">
        <v>19</v>
      </c>
      <c r="P919" s="4" t="s">
        <v>4</v>
      </c>
      <c r="Q919" s="8" t="s">
        <v>2963</v>
      </c>
      <c r="R919" s="4" t="s">
        <v>1173</v>
      </c>
      <c r="S919" s="4"/>
      <c r="T919"/>
      <c r="U919" s="23"/>
    </row>
    <row r="920" spans="1:21" ht="15.6" x14ac:dyDescent="0.3">
      <c r="A920" s="4">
        <v>919</v>
      </c>
      <c r="B920" s="5">
        <v>922609</v>
      </c>
      <c r="C920" s="4" t="s">
        <v>0</v>
      </c>
      <c r="D920" s="4" t="s">
        <v>111</v>
      </c>
      <c r="E920" s="4" t="s">
        <v>93</v>
      </c>
      <c r="F920" s="4" t="s">
        <v>2950</v>
      </c>
      <c r="G920" s="6">
        <v>3.1</v>
      </c>
      <c r="H920" s="7">
        <v>45223.45380787037</v>
      </c>
      <c r="I920" s="7" t="str">
        <f>TEXT(multilingual_mobile_app_reviews_2025[[#This Row],[Review_date]],"dd-mm-yyyy")</f>
        <v>24-10-2023</v>
      </c>
      <c r="J920" s="7" t="str">
        <f>TEXT(multilingual_mobile_app_reviews_2025[[#This Row],[Review_date]],"YYYY")</f>
        <v>2023</v>
      </c>
      <c r="K920" s="7" t="str">
        <f>TEXT(multilingual_mobile_app_reviews_2025[[#This Row],[Review_date]],"MMMM")</f>
        <v>October</v>
      </c>
      <c r="L920" s="4" t="b">
        <v>1</v>
      </c>
      <c r="M920" s="4" t="s">
        <v>33</v>
      </c>
      <c r="N920" s="5">
        <v>1197</v>
      </c>
      <c r="O920" s="5">
        <v>41</v>
      </c>
      <c r="P920" s="4" t="s">
        <v>180</v>
      </c>
      <c r="Q920" s="8" t="s">
        <v>12</v>
      </c>
      <c r="R920" s="4" t="s">
        <v>1174</v>
      </c>
      <c r="S920" s="4"/>
      <c r="T920"/>
      <c r="U920" s="23"/>
    </row>
    <row r="921" spans="1:21" ht="15.6" x14ac:dyDescent="0.3">
      <c r="A921" s="4">
        <v>920</v>
      </c>
      <c r="B921" s="5">
        <v>3090511</v>
      </c>
      <c r="C921" s="4" t="s">
        <v>50</v>
      </c>
      <c r="D921" s="4" t="s">
        <v>71</v>
      </c>
      <c r="E921" s="4" t="s">
        <v>1175</v>
      </c>
      <c r="F921" s="4" t="s">
        <v>2949</v>
      </c>
      <c r="G921" s="6">
        <v>1.6</v>
      </c>
      <c r="H921" s="7">
        <v>45433.209166666667</v>
      </c>
      <c r="I921" s="7" t="str">
        <f>TEXT(multilingual_mobile_app_reviews_2025[[#This Row],[Review_date]],"dd-mm-yyyy")</f>
        <v>21-05-2024</v>
      </c>
      <c r="J921" s="7" t="str">
        <f>TEXT(multilingual_mobile_app_reviews_2025[[#This Row],[Review_date]],"YYYY")</f>
        <v>2024</v>
      </c>
      <c r="K921" s="7" t="str">
        <f>TEXT(multilingual_mobile_app_reviews_2025[[#This Row],[Review_date]],"MMMM")</f>
        <v>May</v>
      </c>
      <c r="L921" s="4" t="b">
        <v>1</v>
      </c>
      <c r="M921" s="4" t="s">
        <v>98</v>
      </c>
      <c r="N921" s="5">
        <v>924</v>
      </c>
      <c r="O921" s="5">
        <v>73</v>
      </c>
      <c r="P921" s="4" t="s">
        <v>162</v>
      </c>
      <c r="Q921" s="8" t="s">
        <v>2963</v>
      </c>
      <c r="R921" s="4" t="s">
        <v>1176</v>
      </c>
      <c r="S921" s="4"/>
      <c r="T921"/>
      <c r="U921" s="23"/>
    </row>
    <row r="922" spans="1:21" ht="15.6" x14ac:dyDescent="0.3">
      <c r="A922" s="4">
        <v>921</v>
      </c>
      <c r="B922" s="5">
        <v>7269304</v>
      </c>
      <c r="C922" s="4" t="s">
        <v>104</v>
      </c>
      <c r="D922" s="4" t="s">
        <v>42</v>
      </c>
      <c r="E922" s="4" t="s">
        <v>32</v>
      </c>
      <c r="F922" s="4" t="s">
        <v>2947</v>
      </c>
      <c r="G922" s="6">
        <v>2.2999999999999998</v>
      </c>
      <c r="H922" s="7">
        <v>45793.896226851852</v>
      </c>
      <c r="I922" s="7" t="str">
        <f>TEXT(multilingual_mobile_app_reviews_2025[[#This Row],[Review_date]],"dd-mm-yyyy")</f>
        <v>16-05-2025</v>
      </c>
      <c r="J922" s="7" t="str">
        <f>TEXT(multilingual_mobile_app_reviews_2025[[#This Row],[Review_date]],"YYYY")</f>
        <v>2025</v>
      </c>
      <c r="K922" s="7" t="str">
        <f>TEXT(multilingual_mobile_app_reviews_2025[[#This Row],[Review_date]],"MMMM")</f>
        <v>May</v>
      </c>
      <c r="L922" s="4" t="b">
        <v>1</v>
      </c>
      <c r="M922" s="4" t="s">
        <v>98</v>
      </c>
      <c r="N922" s="5">
        <v>368</v>
      </c>
      <c r="O922" s="5">
        <v>66</v>
      </c>
      <c r="P922" s="4" t="s">
        <v>127</v>
      </c>
      <c r="Q922" s="8" t="s">
        <v>29</v>
      </c>
      <c r="R922" s="4" t="s">
        <v>1177</v>
      </c>
      <c r="S922" s="4"/>
      <c r="T922"/>
      <c r="U922" s="23"/>
    </row>
    <row r="923" spans="1:21" ht="15.6" x14ac:dyDescent="0.3">
      <c r="A923" s="4">
        <v>922</v>
      </c>
      <c r="B923" s="5">
        <v>1189275</v>
      </c>
      <c r="C923" s="4" t="s">
        <v>176</v>
      </c>
      <c r="D923" s="4" t="s">
        <v>97</v>
      </c>
      <c r="E923" s="4" t="s">
        <v>1178</v>
      </c>
      <c r="F923" s="4" t="s">
        <v>2945</v>
      </c>
      <c r="G923" s="6">
        <v>3.2</v>
      </c>
      <c r="H923" s="7">
        <v>45361.943240740744</v>
      </c>
      <c r="I923" s="7" t="str">
        <f>TEXT(multilingual_mobile_app_reviews_2025[[#This Row],[Review_date]],"dd-mm-yyyy")</f>
        <v>10-03-2024</v>
      </c>
      <c r="J923" s="7" t="str">
        <f>TEXT(multilingual_mobile_app_reviews_2025[[#This Row],[Review_date]],"YYYY")</f>
        <v>2024</v>
      </c>
      <c r="K923" s="7" t="str">
        <f>TEXT(multilingual_mobile_app_reviews_2025[[#This Row],[Review_date]],"MMMM")</f>
        <v>March</v>
      </c>
      <c r="L923" s="4" t="b">
        <v>1</v>
      </c>
      <c r="M923" s="4" t="s">
        <v>33</v>
      </c>
      <c r="N923" s="5">
        <v>308</v>
      </c>
      <c r="O923" s="5">
        <v>42</v>
      </c>
      <c r="P923" s="4" t="s">
        <v>44</v>
      </c>
      <c r="Q923" s="8" t="s">
        <v>29</v>
      </c>
      <c r="R923" s="4" t="s">
        <v>1179</v>
      </c>
      <c r="S923" s="4"/>
      <c r="T923"/>
      <c r="U923" s="23"/>
    </row>
    <row r="924" spans="1:21" ht="15.6" x14ac:dyDescent="0.3">
      <c r="A924" s="4">
        <v>923</v>
      </c>
      <c r="B924" s="5">
        <v>5409796</v>
      </c>
      <c r="C924" s="4" t="s">
        <v>19</v>
      </c>
      <c r="D924" s="4" t="s">
        <v>63</v>
      </c>
      <c r="E924" s="4" t="s">
        <v>1180</v>
      </c>
      <c r="F924" s="4" t="s">
        <v>2945</v>
      </c>
      <c r="G924" s="6">
        <v>1.4</v>
      </c>
      <c r="H924" s="7">
        <v>45759.918263888889</v>
      </c>
      <c r="I924" s="7" t="str">
        <f>TEXT(multilingual_mobile_app_reviews_2025[[#This Row],[Review_date]],"dd-mm-yyyy")</f>
        <v>12-04-2025</v>
      </c>
      <c r="J924" s="7" t="str">
        <f>TEXT(multilingual_mobile_app_reviews_2025[[#This Row],[Review_date]],"YYYY")</f>
        <v>2025</v>
      </c>
      <c r="K924" s="7" t="str">
        <f>TEXT(multilingual_mobile_app_reviews_2025[[#This Row],[Review_date]],"MMMM")</f>
        <v>April</v>
      </c>
      <c r="L924" s="4" t="b">
        <v>0</v>
      </c>
      <c r="M924" s="4" t="s">
        <v>3</v>
      </c>
      <c r="N924" s="5">
        <v>90</v>
      </c>
      <c r="O924" s="5">
        <v>44</v>
      </c>
      <c r="P924" s="4" t="s">
        <v>34</v>
      </c>
      <c r="Q924" s="8" t="s">
        <v>5</v>
      </c>
      <c r="R924" s="4" t="s">
        <v>1181</v>
      </c>
      <c r="S924" s="4"/>
      <c r="T924"/>
      <c r="U924" s="23"/>
    </row>
    <row r="925" spans="1:21" ht="15.6" x14ac:dyDescent="0.3">
      <c r="A925" s="4">
        <v>924</v>
      </c>
      <c r="B925" s="5">
        <v>7056372</v>
      </c>
      <c r="C925" s="4" t="s">
        <v>36</v>
      </c>
      <c r="D925" s="4" t="s">
        <v>15</v>
      </c>
      <c r="E925" s="4" t="s">
        <v>1182</v>
      </c>
      <c r="F925" s="4" t="s">
        <v>2957</v>
      </c>
      <c r="G925" s="6">
        <v>3.6</v>
      </c>
      <c r="H925" s="7">
        <v>45401.361585648148</v>
      </c>
      <c r="I925" s="7" t="str">
        <f>TEXT(multilingual_mobile_app_reviews_2025[[#This Row],[Review_date]],"dd-mm-yyyy")</f>
        <v>19-04-2024</v>
      </c>
      <c r="J925" s="7" t="str">
        <f>TEXT(multilingual_mobile_app_reviews_2025[[#This Row],[Review_date]],"YYYY")</f>
        <v>2024</v>
      </c>
      <c r="K925" s="7" t="str">
        <f>TEXT(multilingual_mobile_app_reviews_2025[[#This Row],[Review_date]],"MMMM")</f>
        <v>April</v>
      </c>
      <c r="L925" s="4" t="b">
        <v>0</v>
      </c>
      <c r="M925" s="4" t="s">
        <v>22</v>
      </c>
      <c r="N925" s="5">
        <v>599</v>
      </c>
      <c r="O925" s="5">
        <v>53</v>
      </c>
      <c r="P925" s="4" t="s">
        <v>23</v>
      </c>
      <c r="Q925" s="8" t="s">
        <v>2963</v>
      </c>
      <c r="R925" s="4" t="s">
        <v>1183</v>
      </c>
      <c r="S925" s="4"/>
      <c r="T925"/>
      <c r="U925" s="23"/>
    </row>
    <row r="926" spans="1:21" ht="15.6" x14ac:dyDescent="0.3">
      <c r="A926" s="4">
        <v>925</v>
      </c>
      <c r="B926" s="5">
        <v>8138102</v>
      </c>
      <c r="C926" s="4" t="s">
        <v>67</v>
      </c>
      <c r="D926" s="4" t="s">
        <v>111</v>
      </c>
      <c r="E926" s="4" t="s">
        <v>21</v>
      </c>
      <c r="F926" s="4" t="s">
        <v>2951</v>
      </c>
      <c r="G926" s="6">
        <v>1.3</v>
      </c>
      <c r="H926" s="7">
        <v>45850.483148148145</v>
      </c>
      <c r="I926" s="7" t="str">
        <f>TEXT(multilingual_mobile_app_reviews_2025[[#This Row],[Review_date]],"dd-mm-yyyy")</f>
        <v>12-07-2025</v>
      </c>
      <c r="J926" s="7" t="str">
        <f>TEXT(multilingual_mobile_app_reviews_2025[[#This Row],[Review_date]],"YYYY")</f>
        <v>2025</v>
      </c>
      <c r="K926" s="7" t="str">
        <f>TEXT(multilingual_mobile_app_reviews_2025[[#This Row],[Review_date]],"MMMM")</f>
        <v>July</v>
      </c>
      <c r="L926" s="4" t="b">
        <v>1</v>
      </c>
      <c r="M926" s="4" t="s">
        <v>98</v>
      </c>
      <c r="N926" s="5">
        <v>313</v>
      </c>
      <c r="O926" s="5">
        <v>48</v>
      </c>
      <c r="P926" s="4" t="s">
        <v>73</v>
      </c>
      <c r="Q926" s="8" t="s">
        <v>12</v>
      </c>
      <c r="R926" s="4" t="s">
        <v>1184</v>
      </c>
      <c r="S926" s="4"/>
      <c r="T926"/>
      <c r="U926" s="23"/>
    </row>
    <row r="927" spans="1:21" ht="15.6" x14ac:dyDescent="0.3">
      <c r="A927" s="4">
        <v>926</v>
      </c>
      <c r="B927" s="5">
        <v>696568</v>
      </c>
      <c r="C927" s="4" t="s">
        <v>0</v>
      </c>
      <c r="D927" s="4" t="s">
        <v>157</v>
      </c>
      <c r="E927" s="4" t="s">
        <v>93</v>
      </c>
      <c r="F927" s="4" t="s">
        <v>2953</v>
      </c>
      <c r="G927" s="6">
        <v>2.1</v>
      </c>
      <c r="H927" s="7">
        <v>45640.371180555558</v>
      </c>
      <c r="I927" s="7" t="str">
        <f>TEXT(multilingual_mobile_app_reviews_2025[[#This Row],[Review_date]],"dd-mm-yyyy")</f>
        <v>14-12-2024</v>
      </c>
      <c r="J927" s="7" t="str">
        <f>TEXT(multilingual_mobile_app_reviews_2025[[#This Row],[Review_date]],"YYYY")</f>
        <v>2024</v>
      </c>
      <c r="K927" s="7" t="str">
        <f>TEXT(multilingual_mobile_app_reviews_2025[[#This Row],[Review_date]],"MMMM")</f>
        <v>December</v>
      </c>
      <c r="L927" s="4" t="b">
        <v>1</v>
      </c>
      <c r="M927" s="4" t="s">
        <v>3</v>
      </c>
      <c r="N927" s="5">
        <v>1090</v>
      </c>
      <c r="O927" s="5">
        <v>57</v>
      </c>
      <c r="P927" s="4" t="s">
        <v>85</v>
      </c>
      <c r="Q927" s="8" t="s">
        <v>5</v>
      </c>
      <c r="R927" s="4" t="s">
        <v>1185</v>
      </c>
      <c r="S927" s="4"/>
      <c r="T927"/>
      <c r="U927" s="23"/>
    </row>
    <row r="928" spans="1:21" ht="15.6" x14ac:dyDescent="0.3">
      <c r="A928" s="4">
        <v>927</v>
      </c>
      <c r="B928" s="5">
        <v>8178154</v>
      </c>
      <c r="C928" s="4" t="s">
        <v>41</v>
      </c>
      <c r="D928" s="4" t="s">
        <v>57</v>
      </c>
      <c r="E928" s="4" t="s">
        <v>16</v>
      </c>
      <c r="F928" s="4" t="s">
        <v>2941</v>
      </c>
      <c r="G928" s="6">
        <v>2.2000000000000002</v>
      </c>
      <c r="H928" s="7">
        <v>45259.570370370369</v>
      </c>
      <c r="I928" s="7" t="str">
        <f>TEXT(multilingual_mobile_app_reviews_2025[[#This Row],[Review_date]],"dd-mm-yyyy")</f>
        <v>29-11-2023</v>
      </c>
      <c r="J928" s="7" t="str">
        <f>TEXT(multilingual_mobile_app_reviews_2025[[#This Row],[Review_date]],"YYYY")</f>
        <v>2023</v>
      </c>
      <c r="K928" s="7" t="str">
        <f>TEXT(multilingual_mobile_app_reviews_2025[[#This Row],[Review_date]],"MMMM")</f>
        <v>November</v>
      </c>
      <c r="L928" s="4" t="b">
        <v>0</v>
      </c>
      <c r="M928" s="4" t="s">
        <v>22</v>
      </c>
      <c r="N928" s="5">
        <v>231</v>
      </c>
      <c r="O928" s="5">
        <v>50</v>
      </c>
      <c r="P928" s="4" t="s">
        <v>44</v>
      </c>
      <c r="Q928" s="8" t="s">
        <v>5</v>
      </c>
      <c r="R928" s="4" t="s">
        <v>1186</v>
      </c>
      <c r="S928" s="4"/>
      <c r="T928"/>
      <c r="U928" s="23"/>
    </row>
    <row r="929" spans="1:21" ht="15.6" x14ac:dyDescent="0.3">
      <c r="A929" s="4">
        <v>928</v>
      </c>
      <c r="B929" s="5">
        <v>7827886</v>
      </c>
      <c r="C929" s="4" t="s">
        <v>113</v>
      </c>
      <c r="D929" s="4" t="s">
        <v>157</v>
      </c>
      <c r="E929" s="4" t="s">
        <v>1187</v>
      </c>
      <c r="F929" s="4" t="s">
        <v>2953</v>
      </c>
      <c r="G929" s="6">
        <v>1.2</v>
      </c>
      <c r="H929" s="7">
        <v>45665.649942129632</v>
      </c>
      <c r="I929" s="7" t="str">
        <f>TEXT(multilingual_mobile_app_reviews_2025[[#This Row],[Review_date]],"dd-mm-yyyy")</f>
        <v>08-01-2025</v>
      </c>
      <c r="J929" s="7" t="str">
        <f>TEXT(multilingual_mobile_app_reviews_2025[[#This Row],[Review_date]],"YYYY")</f>
        <v>2025</v>
      </c>
      <c r="K929" s="7" t="str">
        <f>TEXT(multilingual_mobile_app_reviews_2025[[#This Row],[Review_date]],"MMMM")</f>
        <v>January</v>
      </c>
      <c r="L929" s="4" t="b">
        <v>1</v>
      </c>
      <c r="M929" s="4" t="s">
        <v>10</v>
      </c>
      <c r="N929" s="5">
        <v>657</v>
      </c>
      <c r="O929" s="5">
        <v>48</v>
      </c>
      <c r="P929" s="4" t="s">
        <v>85</v>
      </c>
      <c r="Q929" s="8" t="s">
        <v>12</v>
      </c>
      <c r="R929" s="4" t="s">
        <v>1188</v>
      </c>
      <c r="S929" s="4"/>
      <c r="T929"/>
      <c r="U929" s="23"/>
    </row>
    <row r="930" spans="1:21" ht="15.6" x14ac:dyDescent="0.3">
      <c r="A930" s="4">
        <v>929</v>
      </c>
      <c r="B930" s="5">
        <v>9414327</v>
      </c>
      <c r="C930" s="4" t="s">
        <v>19</v>
      </c>
      <c r="D930" s="4" t="s">
        <v>71</v>
      </c>
      <c r="E930" s="4" t="s">
        <v>9</v>
      </c>
      <c r="F930" s="4" t="s">
        <v>2956</v>
      </c>
      <c r="G930" s="6">
        <v>1.1000000000000001</v>
      </c>
      <c r="H930" s="7">
        <v>45555.112824074073</v>
      </c>
      <c r="I930" s="7" t="str">
        <f>TEXT(multilingual_mobile_app_reviews_2025[[#This Row],[Review_date]],"dd-mm-yyyy")</f>
        <v>20-09-2024</v>
      </c>
      <c r="J930" s="7" t="str">
        <f>TEXT(multilingual_mobile_app_reviews_2025[[#This Row],[Review_date]],"YYYY")</f>
        <v>2024</v>
      </c>
      <c r="K930" s="7" t="str">
        <f>TEXT(multilingual_mobile_app_reviews_2025[[#This Row],[Review_date]],"MMMM")</f>
        <v>September</v>
      </c>
      <c r="L930" s="4" t="b">
        <v>1</v>
      </c>
      <c r="M930" s="4" t="s">
        <v>22</v>
      </c>
      <c r="N930" s="5">
        <v>592</v>
      </c>
      <c r="O930" s="5">
        <v>30</v>
      </c>
      <c r="P930" s="4" t="s">
        <v>118</v>
      </c>
      <c r="Q930" s="8" t="s">
        <v>2963</v>
      </c>
      <c r="R930" s="4" t="s">
        <v>1189</v>
      </c>
      <c r="S930" s="4"/>
      <c r="T930"/>
      <c r="U930" s="23"/>
    </row>
    <row r="931" spans="1:21" ht="15.6" x14ac:dyDescent="0.3">
      <c r="A931" s="4">
        <v>930</v>
      </c>
      <c r="B931" s="5">
        <v>3594064</v>
      </c>
      <c r="C931" s="4" t="s">
        <v>264</v>
      </c>
      <c r="D931" s="4" t="s">
        <v>97</v>
      </c>
      <c r="E931" s="4" t="s">
        <v>1190</v>
      </c>
      <c r="F931" s="4" t="s">
        <v>2949</v>
      </c>
      <c r="G931" s="6">
        <v>3.2</v>
      </c>
      <c r="H931" s="7">
        <v>45430.336400462962</v>
      </c>
      <c r="I931" s="7" t="str">
        <f>TEXT(multilingual_mobile_app_reviews_2025[[#This Row],[Review_date]],"dd-mm-yyyy")</f>
        <v>18-05-2024</v>
      </c>
      <c r="J931" s="7" t="str">
        <f>TEXT(multilingual_mobile_app_reviews_2025[[#This Row],[Review_date]],"YYYY")</f>
        <v>2024</v>
      </c>
      <c r="K931" s="7" t="str">
        <f>TEXT(multilingual_mobile_app_reviews_2025[[#This Row],[Review_date]],"MMMM")</f>
        <v>May</v>
      </c>
      <c r="L931" s="4" t="b">
        <v>0</v>
      </c>
      <c r="M931" s="4" t="s">
        <v>98</v>
      </c>
      <c r="N931" s="5">
        <v>820</v>
      </c>
      <c r="O931" s="5">
        <v>42</v>
      </c>
      <c r="P931" s="4" t="s">
        <v>34</v>
      </c>
      <c r="Q931" s="8" t="s">
        <v>5</v>
      </c>
      <c r="R931" s="4" t="s">
        <v>1191</v>
      </c>
      <c r="S931" s="4"/>
      <c r="T931"/>
      <c r="U931" s="23"/>
    </row>
    <row r="932" spans="1:21" ht="15.6" x14ac:dyDescent="0.3">
      <c r="A932" s="4">
        <v>931</v>
      </c>
      <c r="B932" s="5">
        <v>9063616</v>
      </c>
      <c r="C932" s="4" t="s">
        <v>154</v>
      </c>
      <c r="D932" s="4" t="s">
        <v>26</v>
      </c>
      <c r="E932" s="4" t="s">
        <v>93</v>
      </c>
      <c r="F932" s="4" t="s">
        <v>2957</v>
      </c>
      <c r="G932" s="6">
        <v>3.2</v>
      </c>
      <c r="H932" s="7">
        <v>45793.194178240738</v>
      </c>
      <c r="I932" s="7" t="str">
        <f>TEXT(multilingual_mobile_app_reviews_2025[[#This Row],[Review_date]],"dd-mm-yyyy")</f>
        <v>16-05-2025</v>
      </c>
      <c r="J932" s="7" t="str">
        <f>TEXT(multilingual_mobile_app_reviews_2025[[#This Row],[Review_date]],"YYYY")</f>
        <v>2025</v>
      </c>
      <c r="K932" s="7" t="str">
        <f>TEXT(multilingual_mobile_app_reviews_2025[[#This Row],[Review_date]],"MMMM")</f>
        <v>May</v>
      </c>
      <c r="L932" s="4" t="b">
        <v>1</v>
      </c>
      <c r="M932" s="4" t="s">
        <v>22</v>
      </c>
      <c r="N932" s="5">
        <v>1191</v>
      </c>
      <c r="O932" s="5">
        <v>38</v>
      </c>
      <c r="P932" s="4" t="s">
        <v>61</v>
      </c>
      <c r="Q932" s="8" t="s">
        <v>2963</v>
      </c>
      <c r="R932" s="4" t="s">
        <v>1192</v>
      </c>
      <c r="S932" s="4"/>
      <c r="T932"/>
      <c r="U932" s="23"/>
    </row>
    <row r="933" spans="1:21" ht="15.6" x14ac:dyDescent="0.3">
      <c r="A933" s="4">
        <v>932</v>
      </c>
      <c r="B933" s="5">
        <v>9679482</v>
      </c>
      <c r="C933" s="4" t="s">
        <v>106</v>
      </c>
      <c r="D933" s="4" t="s">
        <v>26</v>
      </c>
      <c r="E933" s="4" t="s">
        <v>93</v>
      </c>
      <c r="F933" s="4" t="s">
        <v>2951</v>
      </c>
      <c r="G933" s="6">
        <v>3.9</v>
      </c>
      <c r="H933" s="7">
        <v>45609.330891203703</v>
      </c>
      <c r="I933" s="7" t="str">
        <f>TEXT(multilingual_mobile_app_reviews_2025[[#This Row],[Review_date]],"dd-mm-yyyy")</f>
        <v>13-11-2024</v>
      </c>
      <c r="J933" s="7" t="str">
        <f>TEXT(multilingual_mobile_app_reviews_2025[[#This Row],[Review_date]],"YYYY")</f>
        <v>2024</v>
      </c>
      <c r="K933" s="7" t="str">
        <f>TEXT(multilingual_mobile_app_reviews_2025[[#This Row],[Review_date]],"MMMM")</f>
        <v>November</v>
      </c>
      <c r="L933" s="4" t="b">
        <v>1</v>
      </c>
      <c r="M933" s="4" t="s">
        <v>22</v>
      </c>
      <c r="N933" s="5">
        <v>119</v>
      </c>
      <c r="O933" s="5">
        <v>67</v>
      </c>
      <c r="P933" s="4" t="s">
        <v>94</v>
      </c>
      <c r="Q933" s="8" t="s">
        <v>29</v>
      </c>
      <c r="R933" s="4" t="s">
        <v>1193</v>
      </c>
      <c r="S933" s="4"/>
      <c r="T933"/>
      <c r="U933" s="23"/>
    </row>
    <row r="934" spans="1:21" ht="15.6" x14ac:dyDescent="0.3">
      <c r="A934" s="4">
        <v>933</v>
      </c>
      <c r="B934" s="5">
        <v>3243696</v>
      </c>
      <c r="C934" s="4" t="s">
        <v>14</v>
      </c>
      <c r="D934" s="4" t="s">
        <v>20</v>
      </c>
      <c r="E934" s="4" t="s">
        <v>1194</v>
      </c>
      <c r="F934" s="4" t="s">
        <v>2960</v>
      </c>
      <c r="G934" s="6">
        <v>1.8</v>
      </c>
      <c r="H934" s="7">
        <v>45286.620046296295</v>
      </c>
      <c r="I934" s="7" t="str">
        <f>TEXT(multilingual_mobile_app_reviews_2025[[#This Row],[Review_date]],"dd-mm-yyyy")</f>
        <v>26-12-2023</v>
      </c>
      <c r="J934" s="7" t="str">
        <f>TEXT(multilingual_mobile_app_reviews_2025[[#This Row],[Review_date]],"YYYY")</f>
        <v>2023</v>
      </c>
      <c r="K934" s="7" t="str">
        <f>TEXT(multilingual_mobile_app_reviews_2025[[#This Row],[Review_date]],"MMMM")</f>
        <v>December</v>
      </c>
      <c r="L934" s="4" t="b">
        <v>1</v>
      </c>
      <c r="M934" s="4" t="s">
        <v>10</v>
      </c>
      <c r="N934" s="5">
        <v>509</v>
      </c>
      <c r="O934" s="5">
        <v>39</v>
      </c>
      <c r="P934" s="4" t="s">
        <v>61</v>
      </c>
      <c r="Q934" s="8" t="s">
        <v>5</v>
      </c>
      <c r="R934" s="4" t="s">
        <v>1195</v>
      </c>
      <c r="S934" s="4"/>
      <c r="T934"/>
      <c r="U934" s="23"/>
    </row>
    <row r="935" spans="1:21" ht="15.6" x14ac:dyDescent="0.3">
      <c r="A935" s="4">
        <v>934</v>
      </c>
      <c r="B935" s="5">
        <v>8211313</v>
      </c>
      <c r="C935" s="4" t="s">
        <v>244</v>
      </c>
      <c r="D935" s="4" t="s">
        <v>63</v>
      </c>
      <c r="E935" s="4" t="s">
        <v>1196</v>
      </c>
      <c r="F935" s="4" t="s">
        <v>2950</v>
      </c>
      <c r="G935" s="6">
        <v>2</v>
      </c>
      <c r="H935" s="7">
        <v>45501.511504629627</v>
      </c>
      <c r="I935" s="7" t="str">
        <f>TEXT(multilingual_mobile_app_reviews_2025[[#This Row],[Review_date]],"dd-mm-yyyy")</f>
        <v>28-07-2024</v>
      </c>
      <c r="J935" s="7" t="str">
        <f>TEXT(multilingual_mobile_app_reviews_2025[[#This Row],[Review_date]],"YYYY")</f>
        <v>2024</v>
      </c>
      <c r="K935" s="7" t="str">
        <f>TEXT(multilingual_mobile_app_reviews_2025[[#This Row],[Review_date]],"MMMM")</f>
        <v>July</v>
      </c>
      <c r="L935" s="4" t="b">
        <v>1</v>
      </c>
      <c r="M935" s="4" t="s">
        <v>98</v>
      </c>
      <c r="N935" s="5">
        <v>600</v>
      </c>
      <c r="O935" s="5">
        <v>71</v>
      </c>
      <c r="P935" s="4" t="s">
        <v>11</v>
      </c>
      <c r="Q935" s="8" t="s">
        <v>29</v>
      </c>
      <c r="R935" s="4" t="s">
        <v>1197</v>
      </c>
      <c r="S935" s="4"/>
      <c r="T935"/>
      <c r="U935" s="23"/>
    </row>
    <row r="936" spans="1:21" ht="15.6" x14ac:dyDescent="0.3">
      <c r="A936" s="4">
        <v>935</v>
      </c>
      <c r="B936" s="5">
        <v>1829778</v>
      </c>
      <c r="C936" s="4" t="s">
        <v>165</v>
      </c>
      <c r="D936" s="4" t="s">
        <v>60</v>
      </c>
      <c r="E936" s="4" t="s">
        <v>21</v>
      </c>
      <c r="F936" s="4" t="s">
        <v>2954</v>
      </c>
      <c r="G936" s="6">
        <v>2.7</v>
      </c>
      <c r="H936" s="7">
        <v>45543.222928240742</v>
      </c>
      <c r="I936" s="7" t="str">
        <f>TEXT(multilingual_mobile_app_reviews_2025[[#This Row],[Review_date]],"dd-mm-yyyy")</f>
        <v>08-09-2024</v>
      </c>
      <c r="J936" s="7" t="str">
        <f>TEXT(multilingual_mobile_app_reviews_2025[[#This Row],[Review_date]],"YYYY")</f>
        <v>2024</v>
      </c>
      <c r="K936" s="7" t="str">
        <f>TEXT(multilingual_mobile_app_reviews_2025[[#This Row],[Review_date]],"MMMM")</f>
        <v>September</v>
      </c>
      <c r="L936" s="4" t="b">
        <v>0</v>
      </c>
      <c r="M936" s="4" t="s">
        <v>10</v>
      </c>
      <c r="N936" s="5">
        <v>1003</v>
      </c>
      <c r="O936" s="5">
        <v>61</v>
      </c>
      <c r="P936" s="4" t="s">
        <v>70</v>
      </c>
      <c r="Q936" s="8" t="s">
        <v>39</v>
      </c>
      <c r="R936" s="4" t="s">
        <v>1198</v>
      </c>
      <c r="S936" s="4"/>
      <c r="T936"/>
      <c r="U936" s="23"/>
    </row>
    <row r="937" spans="1:21" ht="15.6" x14ac:dyDescent="0.3">
      <c r="A937" s="4">
        <v>936</v>
      </c>
      <c r="B937" s="5">
        <v>5342557</v>
      </c>
      <c r="C937" s="4" t="s">
        <v>154</v>
      </c>
      <c r="D937" s="4" t="s">
        <v>220</v>
      </c>
      <c r="E937" s="4" t="s">
        <v>9</v>
      </c>
      <c r="F937" s="4" t="s">
        <v>2944</v>
      </c>
      <c r="G937" s="6">
        <v>4.2</v>
      </c>
      <c r="H937" s="7">
        <v>45156.339201388888</v>
      </c>
      <c r="I937" s="7" t="str">
        <f>TEXT(multilingual_mobile_app_reviews_2025[[#This Row],[Review_date]],"dd-mm-yyyy")</f>
        <v>18-08-2023</v>
      </c>
      <c r="J937" s="7" t="str">
        <f>TEXT(multilingual_mobile_app_reviews_2025[[#This Row],[Review_date]],"YYYY")</f>
        <v>2023</v>
      </c>
      <c r="K937" s="7" t="str">
        <f>TEXT(multilingual_mobile_app_reviews_2025[[#This Row],[Review_date]],"MMMM")</f>
        <v>August</v>
      </c>
      <c r="L937" s="4" t="b">
        <v>1</v>
      </c>
      <c r="M937" s="4" t="s">
        <v>3</v>
      </c>
      <c r="N937" s="5">
        <v>267</v>
      </c>
      <c r="O937" s="5">
        <v>67</v>
      </c>
      <c r="P937" s="4" t="s">
        <v>38</v>
      </c>
      <c r="Q937" s="8" t="s">
        <v>5</v>
      </c>
      <c r="R937" s="4" t="s">
        <v>1199</v>
      </c>
      <c r="S937" s="4"/>
      <c r="T937"/>
      <c r="U937" s="23"/>
    </row>
    <row r="938" spans="1:21" ht="15.6" x14ac:dyDescent="0.3">
      <c r="A938" s="4">
        <v>937</v>
      </c>
      <c r="B938" s="5">
        <v>5336888</v>
      </c>
      <c r="C938" s="4" t="s">
        <v>137</v>
      </c>
      <c r="D938" s="4" t="s">
        <v>79</v>
      </c>
      <c r="E938" s="4" t="s">
        <v>1200</v>
      </c>
      <c r="F938" s="4" t="s">
        <v>2951</v>
      </c>
      <c r="G938" s="6">
        <v>2.2000000000000002</v>
      </c>
      <c r="H938" s="7">
        <v>45230.260381944441</v>
      </c>
      <c r="I938" s="7" t="str">
        <f>TEXT(multilingual_mobile_app_reviews_2025[[#This Row],[Review_date]],"dd-mm-yyyy")</f>
        <v>31-10-2023</v>
      </c>
      <c r="J938" s="7" t="str">
        <f>TEXT(multilingual_mobile_app_reviews_2025[[#This Row],[Review_date]],"YYYY")</f>
        <v>2023</v>
      </c>
      <c r="K938" s="7" t="str">
        <f>TEXT(multilingual_mobile_app_reviews_2025[[#This Row],[Review_date]],"MMMM")</f>
        <v>October</v>
      </c>
      <c r="L938" s="4" t="b">
        <v>1</v>
      </c>
      <c r="M938" s="4" t="s">
        <v>3</v>
      </c>
      <c r="N938" s="5">
        <v>876</v>
      </c>
      <c r="O938" s="5">
        <v>74</v>
      </c>
      <c r="P938" s="4" t="s">
        <v>99</v>
      </c>
      <c r="Q938" s="8" t="s">
        <v>29</v>
      </c>
      <c r="R938" s="4" t="s">
        <v>1201</v>
      </c>
      <c r="S938" s="4"/>
      <c r="T938"/>
      <c r="U938" s="23"/>
    </row>
    <row r="939" spans="1:21" ht="15.6" x14ac:dyDescent="0.3">
      <c r="A939" s="4">
        <v>938</v>
      </c>
      <c r="B939" s="5">
        <v>2605186</v>
      </c>
      <c r="C939" s="4" t="s">
        <v>106</v>
      </c>
      <c r="D939" s="4" t="s">
        <v>47</v>
      </c>
      <c r="E939" s="4" t="s">
        <v>1202</v>
      </c>
      <c r="F939" s="4" t="s">
        <v>2948</v>
      </c>
      <c r="G939" s="6">
        <v>3.6</v>
      </c>
      <c r="H939" s="7">
        <v>45663.551481481481</v>
      </c>
      <c r="I939" s="7" t="str">
        <f>TEXT(multilingual_mobile_app_reviews_2025[[#This Row],[Review_date]],"dd-mm-yyyy")</f>
        <v>06-01-2025</v>
      </c>
      <c r="J939" s="7" t="str">
        <f>TEXT(multilingual_mobile_app_reviews_2025[[#This Row],[Review_date]],"YYYY")</f>
        <v>2025</v>
      </c>
      <c r="K939" s="7" t="str">
        <f>TEXT(multilingual_mobile_app_reviews_2025[[#This Row],[Review_date]],"MMMM")</f>
        <v>January</v>
      </c>
      <c r="L939" s="4" t="b">
        <v>1</v>
      </c>
      <c r="M939" s="4" t="s">
        <v>98</v>
      </c>
      <c r="N939" s="5">
        <v>12</v>
      </c>
      <c r="O939" s="5">
        <v>61</v>
      </c>
      <c r="P939" s="4" t="s">
        <v>34</v>
      </c>
      <c r="Q939" s="8" t="s">
        <v>12</v>
      </c>
      <c r="R939" s="4" t="s">
        <v>1203</v>
      </c>
      <c r="S939" s="4"/>
      <c r="T939"/>
      <c r="U939" s="23"/>
    </row>
    <row r="940" spans="1:21" ht="15.6" x14ac:dyDescent="0.3">
      <c r="A940" s="4">
        <v>939</v>
      </c>
      <c r="B940" s="5">
        <v>1877158</v>
      </c>
      <c r="C940" s="4" t="s">
        <v>46</v>
      </c>
      <c r="D940" s="4" t="s">
        <v>31</v>
      </c>
      <c r="E940" s="4" t="s">
        <v>1204</v>
      </c>
      <c r="F940" s="4" t="s">
        <v>2939</v>
      </c>
      <c r="G940" s="6">
        <v>4.7</v>
      </c>
      <c r="H940" s="7">
        <v>45725.881157407406</v>
      </c>
      <c r="I940" s="7" t="str">
        <f>TEXT(multilingual_mobile_app_reviews_2025[[#This Row],[Review_date]],"dd-mm-yyyy")</f>
        <v>09-03-2025</v>
      </c>
      <c r="J940" s="7" t="str">
        <f>TEXT(multilingual_mobile_app_reviews_2025[[#This Row],[Review_date]],"YYYY")</f>
        <v>2025</v>
      </c>
      <c r="K940" s="7" t="str">
        <f>TEXT(multilingual_mobile_app_reviews_2025[[#This Row],[Review_date]],"MMMM")</f>
        <v>March</v>
      </c>
      <c r="L940" s="4" t="b">
        <v>0</v>
      </c>
      <c r="M940" s="4" t="s">
        <v>10</v>
      </c>
      <c r="N940" s="5">
        <v>913</v>
      </c>
      <c r="O940" s="5">
        <v>21</v>
      </c>
      <c r="P940" s="4" t="s">
        <v>61</v>
      </c>
      <c r="Q940" s="8" t="s">
        <v>29</v>
      </c>
      <c r="R940" s="4" t="s">
        <v>1205</v>
      </c>
      <c r="S940" s="4"/>
      <c r="T940"/>
      <c r="U940" s="23"/>
    </row>
    <row r="941" spans="1:21" ht="15.6" x14ac:dyDescent="0.3">
      <c r="A941" s="4">
        <v>940</v>
      </c>
      <c r="B941" s="5">
        <v>7913071</v>
      </c>
      <c r="C941" s="4" t="s">
        <v>14</v>
      </c>
      <c r="D941" s="4" t="s">
        <v>47</v>
      </c>
      <c r="E941" s="4" t="s">
        <v>1206</v>
      </c>
      <c r="F941" s="4" t="s">
        <v>2953</v>
      </c>
      <c r="G941" s="6">
        <v>2.7</v>
      </c>
      <c r="H941" s="7">
        <v>45851.33861111111</v>
      </c>
      <c r="I941" s="7" t="str">
        <f>TEXT(multilingual_mobile_app_reviews_2025[[#This Row],[Review_date]],"dd-mm-yyyy")</f>
        <v>13-07-2025</v>
      </c>
      <c r="J941" s="7" t="str">
        <f>TEXT(multilingual_mobile_app_reviews_2025[[#This Row],[Review_date]],"YYYY")</f>
        <v>2025</v>
      </c>
      <c r="K941" s="7" t="str">
        <f>TEXT(multilingual_mobile_app_reviews_2025[[#This Row],[Review_date]],"MMMM")</f>
        <v>July</v>
      </c>
      <c r="L941" s="4" t="b">
        <v>0</v>
      </c>
      <c r="M941" s="4" t="s">
        <v>33</v>
      </c>
      <c r="N941" s="5">
        <v>790</v>
      </c>
      <c r="O941" s="5">
        <v>68</v>
      </c>
      <c r="P941" s="4" t="s">
        <v>34</v>
      </c>
      <c r="Q941" s="8" t="s">
        <v>12</v>
      </c>
      <c r="R941" s="4" t="s">
        <v>561</v>
      </c>
      <c r="S941" s="4"/>
      <c r="T941"/>
      <c r="U941" s="23"/>
    </row>
    <row r="942" spans="1:21" ht="15.6" x14ac:dyDescent="0.3">
      <c r="A942" s="4">
        <v>941</v>
      </c>
      <c r="B942" s="5">
        <v>5641983</v>
      </c>
      <c r="C942" s="4" t="s">
        <v>192</v>
      </c>
      <c r="D942" s="4" t="s">
        <v>47</v>
      </c>
      <c r="E942" s="4" t="s">
        <v>21</v>
      </c>
      <c r="F942" s="4" t="s">
        <v>2943</v>
      </c>
      <c r="G942" s="6">
        <v>4.2</v>
      </c>
      <c r="H942" s="7">
        <v>45751.540798611109</v>
      </c>
      <c r="I942" s="7" t="str">
        <f>TEXT(multilingual_mobile_app_reviews_2025[[#This Row],[Review_date]],"dd-mm-yyyy")</f>
        <v>04-04-2025</v>
      </c>
      <c r="J942" s="7" t="str">
        <f>TEXT(multilingual_mobile_app_reviews_2025[[#This Row],[Review_date]],"YYYY")</f>
        <v>2025</v>
      </c>
      <c r="K942" s="7" t="str">
        <f>TEXT(multilingual_mobile_app_reviews_2025[[#This Row],[Review_date]],"MMMM")</f>
        <v>April</v>
      </c>
      <c r="L942" s="4" t="b">
        <v>1</v>
      </c>
      <c r="M942" s="4" t="s">
        <v>10</v>
      </c>
      <c r="N942" s="5">
        <v>96</v>
      </c>
      <c r="O942" s="5">
        <v>15</v>
      </c>
      <c r="P942" s="4" t="s">
        <v>94</v>
      </c>
      <c r="Q942" s="8" t="s">
        <v>29</v>
      </c>
      <c r="R942" s="4" t="s">
        <v>569</v>
      </c>
      <c r="S942" s="4"/>
      <c r="T942"/>
      <c r="U942" s="23"/>
    </row>
    <row r="943" spans="1:21" ht="15.6" x14ac:dyDescent="0.3">
      <c r="A943" s="4">
        <v>942</v>
      </c>
      <c r="B943" s="5">
        <v>7704827</v>
      </c>
      <c r="C943" s="4" t="s">
        <v>89</v>
      </c>
      <c r="D943" s="4" t="s">
        <v>20</v>
      </c>
      <c r="E943" s="4" t="s">
        <v>64</v>
      </c>
      <c r="F943" s="4" t="s">
        <v>2955</v>
      </c>
      <c r="G943" s="6">
        <v>4.0999999999999996</v>
      </c>
      <c r="H943" s="7">
        <v>45517.535949074074</v>
      </c>
      <c r="I943" s="7" t="str">
        <f>TEXT(multilingual_mobile_app_reviews_2025[[#This Row],[Review_date]],"dd-mm-yyyy")</f>
        <v>13-08-2024</v>
      </c>
      <c r="J943" s="7" t="str">
        <f>TEXT(multilingual_mobile_app_reviews_2025[[#This Row],[Review_date]],"YYYY")</f>
        <v>2024</v>
      </c>
      <c r="K943" s="7" t="str">
        <f>TEXT(multilingual_mobile_app_reviews_2025[[#This Row],[Review_date]],"MMMM")</f>
        <v>August</v>
      </c>
      <c r="L943" s="4" t="b">
        <v>1</v>
      </c>
      <c r="M943" s="4" t="s">
        <v>3</v>
      </c>
      <c r="N943" s="5">
        <v>173</v>
      </c>
      <c r="O943" s="5">
        <v>41</v>
      </c>
      <c r="P943" s="4" t="s">
        <v>70</v>
      </c>
      <c r="Q943" s="8" t="s">
        <v>29</v>
      </c>
      <c r="R943" s="4" t="s">
        <v>1207</v>
      </c>
      <c r="S943" s="4"/>
      <c r="T943"/>
      <c r="U943" s="23"/>
    </row>
    <row r="944" spans="1:21" ht="15.6" x14ac:dyDescent="0.3">
      <c r="A944" s="4">
        <v>943</v>
      </c>
      <c r="B944" s="5">
        <v>1196646</v>
      </c>
      <c r="C944" s="4" t="s">
        <v>59</v>
      </c>
      <c r="D944" s="4" t="s">
        <v>47</v>
      </c>
      <c r="E944" s="4" t="s">
        <v>16</v>
      </c>
      <c r="F944" s="4" t="s">
        <v>2947</v>
      </c>
      <c r="G944" s="6">
        <v>2.4</v>
      </c>
      <c r="H944" s="7">
        <v>45508.081388888888</v>
      </c>
      <c r="I944" s="7" t="str">
        <f>TEXT(multilingual_mobile_app_reviews_2025[[#This Row],[Review_date]],"dd-mm-yyyy")</f>
        <v>04-08-2024</v>
      </c>
      <c r="J944" s="7" t="str">
        <f>TEXT(multilingual_mobile_app_reviews_2025[[#This Row],[Review_date]],"YYYY")</f>
        <v>2024</v>
      </c>
      <c r="K944" s="7" t="str">
        <f>TEXT(multilingual_mobile_app_reviews_2025[[#This Row],[Review_date]],"MMMM")</f>
        <v>August</v>
      </c>
      <c r="L944" s="4" t="b">
        <v>1</v>
      </c>
      <c r="M944" s="4" t="s">
        <v>98</v>
      </c>
      <c r="N944" s="5">
        <v>1111</v>
      </c>
      <c r="O944" s="5">
        <v>16</v>
      </c>
      <c r="P944" s="4" t="s">
        <v>4</v>
      </c>
      <c r="Q944" s="8" t="s">
        <v>2963</v>
      </c>
      <c r="R944" s="4" t="s">
        <v>1208</v>
      </c>
      <c r="S944" s="4"/>
      <c r="T944"/>
      <c r="U944" s="23"/>
    </row>
    <row r="945" spans="1:21" ht="15.6" x14ac:dyDescent="0.3">
      <c r="A945" s="4">
        <v>944</v>
      </c>
      <c r="B945" s="5">
        <v>5996198</v>
      </c>
      <c r="C945" s="4" t="s">
        <v>89</v>
      </c>
      <c r="D945" s="4" t="s">
        <v>63</v>
      </c>
      <c r="E945" s="4" t="s">
        <v>2938</v>
      </c>
      <c r="F945" s="4" t="s">
        <v>2944</v>
      </c>
      <c r="G945" s="6">
        <v>3.5</v>
      </c>
      <c r="H945" s="7">
        <v>45510.658333333333</v>
      </c>
      <c r="I945" s="7" t="str">
        <f>TEXT(multilingual_mobile_app_reviews_2025[[#This Row],[Review_date]],"dd-mm-yyyy")</f>
        <v>06-08-2024</v>
      </c>
      <c r="J945" s="7" t="str">
        <f>TEXT(multilingual_mobile_app_reviews_2025[[#This Row],[Review_date]],"YYYY")</f>
        <v>2024</v>
      </c>
      <c r="K945" s="7" t="str">
        <f>TEXT(multilingual_mobile_app_reviews_2025[[#This Row],[Review_date]],"MMMM")</f>
        <v>August</v>
      </c>
      <c r="L945" s="4" t="b">
        <v>1</v>
      </c>
      <c r="M945" s="4" t="s">
        <v>22</v>
      </c>
      <c r="N945" s="5">
        <v>677</v>
      </c>
      <c r="O945" s="5">
        <v>67</v>
      </c>
      <c r="P945" s="4" t="s">
        <v>17</v>
      </c>
      <c r="Q945" s="8" t="s">
        <v>39</v>
      </c>
      <c r="R945" s="4" t="s">
        <v>1209</v>
      </c>
      <c r="S945" s="4"/>
      <c r="T945"/>
      <c r="U945" s="23"/>
    </row>
    <row r="946" spans="1:21" ht="15.6" x14ac:dyDescent="0.3">
      <c r="A946" s="4">
        <v>945</v>
      </c>
      <c r="B946" s="5">
        <v>2965574</v>
      </c>
      <c r="C946" s="4" t="s">
        <v>192</v>
      </c>
      <c r="D946" s="4" t="s">
        <v>20</v>
      </c>
      <c r="E946" s="4" t="s">
        <v>16</v>
      </c>
      <c r="F946" s="4" t="s">
        <v>2945</v>
      </c>
      <c r="G946" s="6">
        <v>2.4</v>
      </c>
      <c r="H946" s="7">
        <v>45358.114050925928</v>
      </c>
      <c r="I946" s="7" t="str">
        <f>TEXT(multilingual_mobile_app_reviews_2025[[#This Row],[Review_date]],"dd-mm-yyyy")</f>
        <v>07-03-2024</v>
      </c>
      <c r="J946" s="7" t="str">
        <f>TEXT(multilingual_mobile_app_reviews_2025[[#This Row],[Review_date]],"YYYY")</f>
        <v>2024</v>
      </c>
      <c r="K946" s="7" t="str">
        <f>TEXT(multilingual_mobile_app_reviews_2025[[#This Row],[Review_date]],"MMMM")</f>
        <v>March</v>
      </c>
      <c r="L946" s="4" t="b">
        <v>0</v>
      </c>
      <c r="M946" s="4" t="s">
        <v>22</v>
      </c>
      <c r="N946" s="5">
        <v>571</v>
      </c>
      <c r="O946" s="5">
        <v>29</v>
      </c>
      <c r="P946" s="4" t="s">
        <v>230</v>
      </c>
      <c r="Q946" s="8" t="s">
        <v>39</v>
      </c>
      <c r="R946" s="4" t="s">
        <v>1210</v>
      </c>
      <c r="S946" s="4"/>
      <c r="T946"/>
      <c r="U946" s="23"/>
    </row>
    <row r="947" spans="1:21" ht="15.6" x14ac:dyDescent="0.3">
      <c r="A947" s="4">
        <v>946</v>
      </c>
      <c r="B947" s="5">
        <v>5948796</v>
      </c>
      <c r="C947" s="4" t="s">
        <v>258</v>
      </c>
      <c r="D947" s="4" t="s">
        <v>20</v>
      </c>
      <c r="E947" s="4" t="s">
        <v>1211</v>
      </c>
      <c r="F947" s="4" t="s">
        <v>2939</v>
      </c>
      <c r="G947" s="6">
        <v>3.6</v>
      </c>
      <c r="H947" s="7">
        <v>45496.928020833337</v>
      </c>
      <c r="I947" s="7" t="str">
        <f>TEXT(multilingual_mobile_app_reviews_2025[[#This Row],[Review_date]],"dd-mm-yyyy")</f>
        <v>23-07-2024</v>
      </c>
      <c r="J947" s="7" t="str">
        <f>TEXT(multilingual_mobile_app_reviews_2025[[#This Row],[Review_date]],"YYYY")</f>
        <v>2024</v>
      </c>
      <c r="K947" s="7" t="str">
        <f>TEXT(multilingual_mobile_app_reviews_2025[[#This Row],[Review_date]],"MMMM")</f>
        <v>July</v>
      </c>
      <c r="L947" s="4" t="b">
        <v>1</v>
      </c>
      <c r="M947" s="4" t="s">
        <v>10</v>
      </c>
      <c r="N947" s="5">
        <v>493</v>
      </c>
      <c r="O947" s="5">
        <v>54</v>
      </c>
      <c r="P947" s="4" t="s">
        <v>144</v>
      </c>
      <c r="Q947" s="8" t="s">
        <v>12</v>
      </c>
      <c r="R947" s="4" t="s">
        <v>1212</v>
      </c>
      <c r="S947" s="4"/>
      <c r="T947"/>
      <c r="U947" s="23"/>
    </row>
    <row r="948" spans="1:21" ht="15.6" x14ac:dyDescent="0.3">
      <c r="A948" s="4">
        <v>947</v>
      </c>
      <c r="B948" s="5">
        <v>7036404</v>
      </c>
      <c r="C948" s="4" t="s">
        <v>101</v>
      </c>
      <c r="D948" s="4" t="s">
        <v>157</v>
      </c>
      <c r="E948" s="4" t="s">
        <v>9</v>
      </c>
      <c r="F948" s="4" t="s">
        <v>2947</v>
      </c>
      <c r="G948" s="6">
        <v>3.3</v>
      </c>
      <c r="H948" s="7">
        <v>45324.185173611113</v>
      </c>
      <c r="I948" s="7" t="str">
        <f>TEXT(multilingual_mobile_app_reviews_2025[[#This Row],[Review_date]],"dd-mm-yyyy")</f>
        <v>02-02-2024</v>
      </c>
      <c r="J948" s="7" t="str">
        <f>TEXT(multilingual_mobile_app_reviews_2025[[#This Row],[Review_date]],"YYYY")</f>
        <v>2024</v>
      </c>
      <c r="K948" s="7" t="str">
        <f>TEXT(multilingual_mobile_app_reviews_2025[[#This Row],[Review_date]],"MMMM")</f>
        <v>February</v>
      </c>
      <c r="L948" s="4" t="b">
        <v>0</v>
      </c>
      <c r="M948" s="4" t="s">
        <v>22</v>
      </c>
      <c r="N948" s="5">
        <v>981</v>
      </c>
      <c r="O948" s="5">
        <v>19</v>
      </c>
      <c r="P948" s="4" t="s">
        <v>230</v>
      </c>
      <c r="Q948" s="8" t="s">
        <v>29</v>
      </c>
      <c r="R948" s="4" t="s">
        <v>1213</v>
      </c>
      <c r="S948" s="4"/>
      <c r="T948"/>
      <c r="U948" s="23"/>
    </row>
    <row r="949" spans="1:21" ht="15.6" x14ac:dyDescent="0.3">
      <c r="A949" s="4">
        <v>948</v>
      </c>
      <c r="B949" s="5">
        <v>4188457</v>
      </c>
      <c r="C949" s="4" t="s">
        <v>137</v>
      </c>
      <c r="D949" s="4" t="s">
        <v>51</v>
      </c>
      <c r="E949" s="4" t="s">
        <v>27</v>
      </c>
      <c r="F949" s="4" t="s">
        <v>2949</v>
      </c>
      <c r="G949" s="6">
        <v>3.6</v>
      </c>
      <c r="H949" s="7">
        <v>45564.482858796298</v>
      </c>
      <c r="I949" s="7" t="str">
        <f>TEXT(multilingual_mobile_app_reviews_2025[[#This Row],[Review_date]],"dd-mm-yyyy")</f>
        <v>29-09-2024</v>
      </c>
      <c r="J949" s="7" t="str">
        <f>TEXT(multilingual_mobile_app_reviews_2025[[#This Row],[Review_date]],"YYYY")</f>
        <v>2024</v>
      </c>
      <c r="K949" s="7" t="str">
        <f>TEXT(multilingual_mobile_app_reviews_2025[[#This Row],[Review_date]],"MMMM")</f>
        <v>September</v>
      </c>
      <c r="L949" s="4" t="b">
        <v>1</v>
      </c>
      <c r="M949" s="4" t="s">
        <v>33</v>
      </c>
      <c r="N949" s="5">
        <v>920</v>
      </c>
      <c r="O949" s="5">
        <v>23</v>
      </c>
      <c r="P949" s="4" t="s">
        <v>85</v>
      </c>
      <c r="Q949" s="8" t="s">
        <v>5</v>
      </c>
      <c r="R949" s="4" t="s">
        <v>153</v>
      </c>
      <c r="S949" s="4"/>
      <c r="T949"/>
      <c r="U949" s="23"/>
    </row>
    <row r="950" spans="1:21" ht="15.6" x14ac:dyDescent="0.3">
      <c r="A950" s="4">
        <v>949</v>
      </c>
      <c r="B950" s="5">
        <v>8192903</v>
      </c>
      <c r="C950" s="4" t="s">
        <v>46</v>
      </c>
      <c r="D950" s="4" t="s">
        <v>60</v>
      </c>
      <c r="E950" s="4" t="s">
        <v>1214</v>
      </c>
      <c r="F950" s="4" t="s">
        <v>2940</v>
      </c>
      <c r="G950" s="6">
        <v>3.8</v>
      </c>
      <c r="H950" s="7">
        <v>45603.559918981482</v>
      </c>
      <c r="I950" s="7" t="str">
        <f>TEXT(multilingual_mobile_app_reviews_2025[[#This Row],[Review_date]],"dd-mm-yyyy")</f>
        <v>07-11-2024</v>
      </c>
      <c r="J950" s="7" t="str">
        <f>TEXT(multilingual_mobile_app_reviews_2025[[#This Row],[Review_date]],"YYYY")</f>
        <v>2024</v>
      </c>
      <c r="K950" s="7" t="str">
        <f>TEXT(multilingual_mobile_app_reviews_2025[[#This Row],[Review_date]],"MMMM")</f>
        <v>November</v>
      </c>
      <c r="L950" s="4" t="b">
        <v>1</v>
      </c>
      <c r="M950" s="4" t="s">
        <v>33</v>
      </c>
      <c r="N950" s="5">
        <v>434</v>
      </c>
      <c r="O950" s="5">
        <v>23</v>
      </c>
      <c r="P950" s="4" t="s">
        <v>180</v>
      </c>
      <c r="Q950" s="8" t="s">
        <v>12</v>
      </c>
      <c r="R950" s="4" t="s">
        <v>2963</v>
      </c>
      <c r="S950" s="4"/>
      <c r="T950"/>
      <c r="U950" s="23"/>
    </row>
    <row r="951" spans="1:21" ht="15.6" x14ac:dyDescent="0.3">
      <c r="A951" s="4">
        <v>950</v>
      </c>
      <c r="B951" s="5">
        <v>6457071</v>
      </c>
      <c r="C951" s="4" t="s">
        <v>264</v>
      </c>
      <c r="D951" s="4" t="s">
        <v>97</v>
      </c>
      <c r="E951" s="4" t="s">
        <v>109</v>
      </c>
      <c r="F951" s="4" t="s">
        <v>2948</v>
      </c>
      <c r="G951" s="6">
        <v>4.4000000000000004</v>
      </c>
      <c r="H951" s="7">
        <v>45393.18377314815</v>
      </c>
      <c r="I951" s="7" t="str">
        <f>TEXT(multilingual_mobile_app_reviews_2025[[#This Row],[Review_date]],"dd-mm-yyyy")</f>
        <v>11-04-2024</v>
      </c>
      <c r="J951" s="7" t="str">
        <f>TEXT(multilingual_mobile_app_reviews_2025[[#This Row],[Review_date]],"YYYY")</f>
        <v>2024</v>
      </c>
      <c r="K951" s="7" t="str">
        <f>TEXT(multilingual_mobile_app_reviews_2025[[#This Row],[Review_date]],"MMMM")</f>
        <v>April</v>
      </c>
      <c r="L951" s="4" t="b">
        <v>1</v>
      </c>
      <c r="M951" s="4" t="s">
        <v>33</v>
      </c>
      <c r="N951" s="5">
        <v>1143</v>
      </c>
      <c r="O951" s="5">
        <v>71</v>
      </c>
      <c r="P951" s="4" t="s">
        <v>94</v>
      </c>
      <c r="Q951" s="8" t="s">
        <v>29</v>
      </c>
      <c r="R951" s="4" t="s">
        <v>1215</v>
      </c>
      <c r="S951" s="4"/>
      <c r="T951"/>
      <c r="U951" s="23"/>
    </row>
    <row r="952" spans="1:21" ht="15.6" x14ac:dyDescent="0.3">
      <c r="A952" s="4">
        <v>951</v>
      </c>
      <c r="B952" s="5">
        <v>1131500</v>
      </c>
      <c r="C952" s="4" t="s">
        <v>101</v>
      </c>
      <c r="D952" s="4" t="s">
        <v>20</v>
      </c>
      <c r="E952" s="4" t="s">
        <v>9</v>
      </c>
      <c r="F952" s="4" t="s">
        <v>2956</v>
      </c>
      <c r="G952" s="6">
        <v>2</v>
      </c>
      <c r="H952" s="7">
        <v>45209.197337962964</v>
      </c>
      <c r="I952" s="7" t="str">
        <f>TEXT(multilingual_mobile_app_reviews_2025[[#This Row],[Review_date]],"dd-mm-yyyy")</f>
        <v>10-10-2023</v>
      </c>
      <c r="J952" s="7" t="str">
        <f>TEXT(multilingual_mobile_app_reviews_2025[[#This Row],[Review_date]],"YYYY")</f>
        <v>2023</v>
      </c>
      <c r="K952" s="7" t="str">
        <f>TEXT(multilingual_mobile_app_reviews_2025[[#This Row],[Review_date]],"MMMM")</f>
        <v>October</v>
      </c>
      <c r="L952" s="4" t="b">
        <v>1</v>
      </c>
      <c r="M952" s="4" t="s">
        <v>98</v>
      </c>
      <c r="N952" s="5">
        <v>1207</v>
      </c>
      <c r="O952" s="5">
        <v>45</v>
      </c>
      <c r="P952" s="4" t="s">
        <v>23</v>
      </c>
      <c r="Q952" s="8" t="s">
        <v>29</v>
      </c>
      <c r="R952" s="4" t="s">
        <v>1216</v>
      </c>
      <c r="S952" s="4"/>
      <c r="T952"/>
      <c r="U952" s="23"/>
    </row>
    <row r="953" spans="1:21" ht="15.6" x14ac:dyDescent="0.3">
      <c r="A953" s="4">
        <v>952</v>
      </c>
      <c r="B953" s="5">
        <v>2430636</v>
      </c>
      <c r="C953" s="4" t="s">
        <v>208</v>
      </c>
      <c r="D953" s="4" t="s">
        <v>71</v>
      </c>
      <c r="E953" s="4" t="s">
        <v>109</v>
      </c>
      <c r="F953" s="4" t="s">
        <v>2946</v>
      </c>
      <c r="G953" s="6">
        <v>4.3</v>
      </c>
      <c r="H953" s="7">
        <v>45828.034675925926</v>
      </c>
      <c r="I953" s="7" t="str">
        <f>TEXT(multilingual_mobile_app_reviews_2025[[#This Row],[Review_date]],"dd-mm-yyyy")</f>
        <v>20-06-2025</v>
      </c>
      <c r="J953" s="7" t="str">
        <f>TEXT(multilingual_mobile_app_reviews_2025[[#This Row],[Review_date]],"YYYY")</f>
        <v>2025</v>
      </c>
      <c r="K953" s="7" t="str">
        <f>TEXT(multilingual_mobile_app_reviews_2025[[#This Row],[Review_date]],"MMMM")</f>
        <v>June</v>
      </c>
      <c r="L953" s="4" t="b">
        <v>1</v>
      </c>
      <c r="M953" s="4" t="s">
        <v>3</v>
      </c>
      <c r="N953" s="5">
        <v>373</v>
      </c>
      <c r="O953" s="5">
        <v>13</v>
      </c>
      <c r="P953" s="4" t="s">
        <v>162</v>
      </c>
      <c r="Q953" s="8" t="s">
        <v>39</v>
      </c>
      <c r="R953" s="4" t="s">
        <v>1217</v>
      </c>
      <c r="S953" s="4"/>
      <c r="T953"/>
      <c r="U953" s="23"/>
    </row>
    <row r="954" spans="1:21" ht="15.6" x14ac:dyDescent="0.3">
      <c r="A954" s="4">
        <v>953</v>
      </c>
      <c r="B954" s="5">
        <v>103092</v>
      </c>
      <c r="C954" s="4" t="s">
        <v>132</v>
      </c>
      <c r="D954" s="4" t="s">
        <v>63</v>
      </c>
      <c r="E954" s="4" t="s">
        <v>16</v>
      </c>
      <c r="F954" s="4" t="s">
        <v>2939</v>
      </c>
      <c r="G954" s="6">
        <v>4.5999999999999996</v>
      </c>
      <c r="H954" s="7">
        <v>45726.917916666665</v>
      </c>
      <c r="I954" s="7" t="str">
        <f>TEXT(multilingual_mobile_app_reviews_2025[[#This Row],[Review_date]],"dd-mm-yyyy")</f>
        <v>10-03-2025</v>
      </c>
      <c r="J954" s="7" t="str">
        <f>TEXT(multilingual_mobile_app_reviews_2025[[#This Row],[Review_date]],"YYYY")</f>
        <v>2025</v>
      </c>
      <c r="K954" s="7" t="str">
        <f>TEXT(multilingual_mobile_app_reviews_2025[[#This Row],[Review_date]],"MMMM")</f>
        <v>March</v>
      </c>
      <c r="L954" s="4" t="b">
        <v>1</v>
      </c>
      <c r="M954" s="4" t="s">
        <v>3</v>
      </c>
      <c r="N954" s="5">
        <v>759</v>
      </c>
      <c r="O954" s="5">
        <v>32</v>
      </c>
      <c r="P954" s="4" t="s">
        <v>4</v>
      </c>
      <c r="Q954" s="8" t="s">
        <v>12</v>
      </c>
      <c r="R954" s="4" t="s">
        <v>2963</v>
      </c>
      <c r="S954" s="4"/>
      <c r="T954"/>
      <c r="U954" s="23"/>
    </row>
    <row r="955" spans="1:21" ht="15.6" x14ac:dyDescent="0.3">
      <c r="A955" s="4">
        <v>954</v>
      </c>
      <c r="B955" s="5">
        <v>2603436</v>
      </c>
      <c r="C955" s="4" t="s">
        <v>104</v>
      </c>
      <c r="D955" s="4" t="s">
        <v>51</v>
      </c>
      <c r="E955" s="4" t="s">
        <v>1218</v>
      </c>
      <c r="F955" s="4" t="s">
        <v>2948</v>
      </c>
      <c r="G955" s="6">
        <v>3.5</v>
      </c>
      <c r="H955" s="7">
        <v>45848.184988425928</v>
      </c>
      <c r="I955" s="7" t="str">
        <f>TEXT(multilingual_mobile_app_reviews_2025[[#This Row],[Review_date]],"dd-mm-yyyy")</f>
        <v>10-07-2025</v>
      </c>
      <c r="J955" s="7" t="str">
        <f>TEXT(multilingual_mobile_app_reviews_2025[[#This Row],[Review_date]],"YYYY")</f>
        <v>2025</v>
      </c>
      <c r="K955" s="7" t="str">
        <f>TEXT(multilingual_mobile_app_reviews_2025[[#This Row],[Review_date]],"MMMM")</f>
        <v>July</v>
      </c>
      <c r="L955" s="4" t="b">
        <v>0</v>
      </c>
      <c r="M955" s="4" t="s">
        <v>10</v>
      </c>
      <c r="N955" s="5">
        <v>1150</v>
      </c>
      <c r="O955" s="5">
        <v>61</v>
      </c>
      <c r="P955" s="4" t="s">
        <v>127</v>
      </c>
      <c r="Q955" s="8" t="s">
        <v>29</v>
      </c>
      <c r="R955" s="4" t="s">
        <v>1219</v>
      </c>
      <c r="S955" s="4"/>
      <c r="T955"/>
      <c r="U955" s="23"/>
    </row>
    <row r="956" spans="1:21" ht="15.6" x14ac:dyDescent="0.3">
      <c r="A956" s="4">
        <v>955</v>
      </c>
      <c r="B956" s="5">
        <v>5209503</v>
      </c>
      <c r="C956" s="4" t="s">
        <v>25</v>
      </c>
      <c r="D956" s="4" t="s">
        <v>15</v>
      </c>
      <c r="E956" s="4" t="s">
        <v>64</v>
      </c>
      <c r="F956" s="4" t="s">
        <v>2945</v>
      </c>
      <c r="G956" s="6">
        <v>3.2</v>
      </c>
      <c r="H956" s="7">
        <v>45852.299571759257</v>
      </c>
      <c r="I956" s="7" t="str">
        <f>TEXT(multilingual_mobile_app_reviews_2025[[#This Row],[Review_date]],"dd-mm-yyyy")</f>
        <v>14-07-2025</v>
      </c>
      <c r="J956" s="7" t="str">
        <f>TEXT(multilingual_mobile_app_reviews_2025[[#This Row],[Review_date]],"YYYY")</f>
        <v>2025</v>
      </c>
      <c r="K956" s="7" t="str">
        <f>TEXT(multilingual_mobile_app_reviews_2025[[#This Row],[Review_date]],"MMMM")</f>
        <v>July</v>
      </c>
      <c r="L956" s="4" t="b">
        <v>1</v>
      </c>
      <c r="M956" s="4" t="s">
        <v>33</v>
      </c>
      <c r="N956" s="5">
        <v>1158</v>
      </c>
      <c r="O956" s="5">
        <v>20</v>
      </c>
      <c r="P956" s="4" t="s">
        <v>99</v>
      </c>
      <c r="Q956" s="8" t="s">
        <v>2963</v>
      </c>
      <c r="R956" s="4" t="s">
        <v>1220</v>
      </c>
      <c r="S956" s="4"/>
      <c r="T956"/>
      <c r="U956" s="23"/>
    </row>
    <row r="957" spans="1:21" ht="15.6" x14ac:dyDescent="0.3">
      <c r="A957" s="4">
        <v>956</v>
      </c>
      <c r="B957" s="5">
        <v>5875801</v>
      </c>
      <c r="C957" s="4" t="s">
        <v>258</v>
      </c>
      <c r="D957" s="4" t="s">
        <v>157</v>
      </c>
      <c r="E957" s="4" t="s">
        <v>32</v>
      </c>
      <c r="F957" s="4" t="s">
        <v>2939</v>
      </c>
      <c r="G957" s="6">
        <v>3.8</v>
      </c>
      <c r="H957" s="7">
        <v>45208.229849537034</v>
      </c>
      <c r="I957" s="7" t="str">
        <f>TEXT(multilingual_mobile_app_reviews_2025[[#This Row],[Review_date]],"dd-mm-yyyy")</f>
        <v>09-10-2023</v>
      </c>
      <c r="J957" s="7" t="str">
        <f>TEXT(multilingual_mobile_app_reviews_2025[[#This Row],[Review_date]],"YYYY")</f>
        <v>2023</v>
      </c>
      <c r="K957" s="7" t="str">
        <f>TEXT(multilingual_mobile_app_reviews_2025[[#This Row],[Review_date]],"MMMM")</f>
        <v>October</v>
      </c>
      <c r="L957" s="4" t="b">
        <v>1</v>
      </c>
      <c r="M957" s="4" t="s">
        <v>22</v>
      </c>
      <c r="N957" s="5">
        <v>259</v>
      </c>
      <c r="O957" s="5">
        <v>14</v>
      </c>
      <c r="P957" s="4" t="s">
        <v>4</v>
      </c>
      <c r="Q957" s="8" t="s">
        <v>5</v>
      </c>
      <c r="R957" s="4" t="s">
        <v>1221</v>
      </c>
      <c r="S957" s="4"/>
      <c r="T957"/>
      <c r="U957" s="23"/>
    </row>
    <row r="958" spans="1:21" ht="15.6" x14ac:dyDescent="0.3">
      <c r="A958" s="4">
        <v>957</v>
      </c>
      <c r="B958" s="5">
        <v>236218</v>
      </c>
      <c r="C958" s="4" t="s">
        <v>41</v>
      </c>
      <c r="D958" s="4" t="s">
        <v>51</v>
      </c>
      <c r="E958" s="4" t="s">
        <v>1222</v>
      </c>
      <c r="F958" s="4" t="s">
        <v>2950</v>
      </c>
      <c r="G958" s="6">
        <v>2.5</v>
      </c>
      <c r="H958" s="7">
        <v>45776.376192129632</v>
      </c>
      <c r="I958" s="7" t="str">
        <f>TEXT(multilingual_mobile_app_reviews_2025[[#This Row],[Review_date]],"dd-mm-yyyy")</f>
        <v>29-04-2025</v>
      </c>
      <c r="J958" s="7" t="str">
        <f>TEXT(multilingual_mobile_app_reviews_2025[[#This Row],[Review_date]],"YYYY")</f>
        <v>2025</v>
      </c>
      <c r="K958" s="7" t="str">
        <f>TEXT(multilingual_mobile_app_reviews_2025[[#This Row],[Review_date]],"MMMM")</f>
        <v>April</v>
      </c>
      <c r="L958" s="4" t="b">
        <v>1</v>
      </c>
      <c r="M958" s="4" t="s">
        <v>22</v>
      </c>
      <c r="N958" s="5">
        <v>149</v>
      </c>
      <c r="O958" s="5">
        <v>63</v>
      </c>
      <c r="P958" s="4" t="s">
        <v>70</v>
      </c>
      <c r="Q958" s="8" t="s">
        <v>39</v>
      </c>
      <c r="R958" s="4" t="s">
        <v>1223</v>
      </c>
      <c r="S958" s="4"/>
      <c r="T958"/>
      <c r="U958" s="23"/>
    </row>
    <row r="959" spans="1:21" ht="15.6" x14ac:dyDescent="0.3">
      <c r="A959" s="4">
        <v>958</v>
      </c>
      <c r="B959" s="5">
        <v>1940432</v>
      </c>
      <c r="C959" s="4" t="s">
        <v>106</v>
      </c>
      <c r="D959" s="4" t="s">
        <v>31</v>
      </c>
      <c r="E959" s="4" t="s">
        <v>1224</v>
      </c>
      <c r="F959" s="4" t="s">
        <v>2957</v>
      </c>
      <c r="G959" s="6">
        <v>4.2</v>
      </c>
      <c r="H959" s="7">
        <v>45151.078877314816</v>
      </c>
      <c r="I959" s="7" t="str">
        <f>TEXT(multilingual_mobile_app_reviews_2025[[#This Row],[Review_date]],"dd-mm-yyyy")</f>
        <v>13-08-2023</v>
      </c>
      <c r="J959" s="7" t="str">
        <f>TEXT(multilingual_mobile_app_reviews_2025[[#This Row],[Review_date]],"YYYY")</f>
        <v>2023</v>
      </c>
      <c r="K959" s="7" t="str">
        <f>TEXT(multilingual_mobile_app_reviews_2025[[#This Row],[Review_date]],"MMMM")</f>
        <v>August</v>
      </c>
      <c r="L959" s="4" t="b">
        <v>1</v>
      </c>
      <c r="M959" s="4" t="s">
        <v>33</v>
      </c>
      <c r="N959" s="5">
        <v>296</v>
      </c>
      <c r="O959" s="5">
        <v>30</v>
      </c>
      <c r="P959" s="4" t="s">
        <v>4</v>
      </c>
      <c r="Q959" s="8" t="s">
        <v>2963</v>
      </c>
      <c r="R959" s="4" t="s">
        <v>1056</v>
      </c>
      <c r="S959" s="4"/>
      <c r="T959"/>
      <c r="U959" s="23"/>
    </row>
    <row r="960" spans="1:21" ht="15.6" x14ac:dyDescent="0.3">
      <c r="A960" s="4">
        <v>959</v>
      </c>
      <c r="B960" s="5">
        <v>8265493</v>
      </c>
      <c r="C960" s="4" t="s">
        <v>137</v>
      </c>
      <c r="D960" s="4" t="s">
        <v>60</v>
      </c>
      <c r="E960" s="4" t="s">
        <v>21</v>
      </c>
      <c r="F960" s="4" t="s">
        <v>2961</v>
      </c>
      <c r="G960" s="6">
        <v>3.9</v>
      </c>
      <c r="H960" s="7">
        <v>45649.905046296299</v>
      </c>
      <c r="I960" s="7" t="str">
        <f>TEXT(multilingual_mobile_app_reviews_2025[[#This Row],[Review_date]],"dd-mm-yyyy")</f>
        <v>23-12-2024</v>
      </c>
      <c r="J960" s="7" t="str">
        <f>TEXT(multilingual_mobile_app_reviews_2025[[#This Row],[Review_date]],"YYYY")</f>
        <v>2024</v>
      </c>
      <c r="K960" s="7" t="str">
        <f>TEXT(multilingual_mobile_app_reviews_2025[[#This Row],[Review_date]],"MMMM")</f>
        <v>December</v>
      </c>
      <c r="L960" s="4" t="b">
        <v>1</v>
      </c>
      <c r="M960" s="4" t="s">
        <v>10</v>
      </c>
      <c r="N960" s="5">
        <v>270</v>
      </c>
      <c r="O960" s="5">
        <v>19</v>
      </c>
      <c r="P960" s="4" t="s">
        <v>34</v>
      </c>
      <c r="Q960" s="8" t="s">
        <v>39</v>
      </c>
      <c r="R960" s="4" t="s">
        <v>1225</v>
      </c>
      <c r="S960" s="4"/>
      <c r="T960"/>
      <c r="U960" s="23"/>
    </row>
    <row r="961" spans="1:21" ht="15.6" x14ac:dyDescent="0.3">
      <c r="A961" s="4">
        <v>960</v>
      </c>
      <c r="B961" s="5">
        <v>2377939</v>
      </c>
      <c r="C961" s="4" t="s">
        <v>192</v>
      </c>
      <c r="D961" s="4" t="s">
        <v>31</v>
      </c>
      <c r="E961" s="4" t="s">
        <v>109</v>
      </c>
      <c r="F961" s="4" t="s">
        <v>2958</v>
      </c>
      <c r="G961" s="6">
        <v>3.3</v>
      </c>
      <c r="H961" s="7">
        <v>45204.638310185182</v>
      </c>
      <c r="I961" s="7" t="str">
        <f>TEXT(multilingual_mobile_app_reviews_2025[[#This Row],[Review_date]],"dd-mm-yyyy")</f>
        <v>05-10-2023</v>
      </c>
      <c r="J961" s="7" t="str">
        <f>TEXT(multilingual_mobile_app_reviews_2025[[#This Row],[Review_date]],"YYYY")</f>
        <v>2023</v>
      </c>
      <c r="K961" s="7" t="str">
        <f>TEXT(multilingual_mobile_app_reviews_2025[[#This Row],[Review_date]],"MMMM")</f>
        <v>October</v>
      </c>
      <c r="L961" s="4" t="b">
        <v>1</v>
      </c>
      <c r="M961" s="4" t="s">
        <v>98</v>
      </c>
      <c r="N961" s="5">
        <v>129</v>
      </c>
      <c r="O961" s="5">
        <v>53</v>
      </c>
      <c r="P961" s="4" t="s">
        <v>11</v>
      </c>
      <c r="Q961" s="8" t="s">
        <v>5</v>
      </c>
      <c r="R961" s="4" t="s">
        <v>1226</v>
      </c>
      <c r="S961" s="4"/>
      <c r="T961"/>
      <c r="U961" s="23"/>
    </row>
    <row r="962" spans="1:21" ht="15.6" x14ac:dyDescent="0.3">
      <c r="A962" s="4">
        <v>961</v>
      </c>
      <c r="B962" s="5">
        <v>7076896</v>
      </c>
      <c r="C962" s="4" t="s">
        <v>113</v>
      </c>
      <c r="D962" s="4" t="s">
        <v>31</v>
      </c>
      <c r="E962" s="4" t="s">
        <v>1227</v>
      </c>
      <c r="F962" s="4" t="s">
        <v>2961</v>
      </c>
      <c r="G962" s="6">
        <v>4.5</v>
      </c>
      <c r="H962" s="7">
        <v>45528.582557870373</v>
      </c>
      <c r="I962" s="7" t="str">
        <f>TEXT(multilingual_mobile_app_reviews_2025[[#This Row],[Review_date]],"dd-mm-yyyy")</f>
        <v>24-08-2024</v>
      </c>
      <c r="J962" s="7" t="str">
        <f>TEXT(multilingual_mobile_app_reviews_2025[[#This Row],[Review_date]],"YYYY")</f>
        <v>2024</v>
      </c>
      <c r="K962" s="7" t="str">
        <f>TEXT(multilingual_mobile_app_reviews_2025[[#This Row],[Review_date]],"MMMM")</f>
        <v>August</v>
      </c>
      <c r="L962" s="4" t="b">
        <v>1</v>
      </c>
      <c r="M962" s="4" t="s">
        <v>10</v>
      </c>
      <c r="N962" s="5">
        <v>10</v>
      </c>
      <c r="O962" s="5">
        <v>16</v>
      </c>
      <c r="P962" s="4" t="s">
        <v>4</v>
      </c>
      <c r="Q962" s="8" t="s">
        <v>29</v>
      </c>
      <c r="R962" s="4" t="s">
        <v>730</v>
      </c>
      <c r="S962" s="4"/>
      <c r="T962"/>
      <c r="U962" s="23"/>
    </row>
    <row r="963" spans="1:21" ht="15.6" x14ac:dyDescent="0.3">
      <c r="A963" s="4">
        <v>962</v>
      </c>
      <c r="B963" s="5">
        <v>6992714</v>
      </c>
      <c r="C963" s="4" t="s">
        <v>104</v>
      </c>
      <c r="D963" s="4" t="s">
        <v>8</v>
      </c>
      <c r="E963" s="4" t="s">
        <v>1228</v>
      </c>
      <c r="F963" s="4" t="s">
        <v>2939</v>
      </c>
      <c r="G963" s="6">
        <v>2.9</v>
      </c>
      <c r="H963" s="7">
        <v>45743.844340277778</v>
      </c>
      <c r="I963" s="7" t="str">
        <f>TEXT(multilingual_mobile_app_reviews_2025[[#This Row],[Review_date]],"dd-mm-yyyy")</f>
        <v>27-03-2025</v>
      </c>
      <c r="J963" s="7" t="str">
        <f>TEXT(multilingual_mobile_app_reviews_2025[[#This Row],[Review_date]],"YYYY")</f>
        <v>2025</v>
      </c>
      <c r="K963" s="7" t="str">
        <f>TEXT(multilingual_mobile_app_reviews_2025[[#This Row],[Review_date]],"MMMM")</f>
        <v>March</v>
      </c>
      <c r="L963" s="4" t="b">
        <v>1</v>
      </c>
      <c r="M963" s="4" t="s">
        <v>98</v>
      </c>
      <c r="N963" s="5">
        <v>719</v>
      </c>
      <c r="O963" s="5">
        <v>73</v>
      </c>
      <c r="P963" s="4" t="s">
        <v>34</v>
      </c>
      <c r="Q963" s="8" t="s">
        <v>12</v>
      </c>
      <c r="R963" s="4" t="s">
        <v>1229</v>
      </c>
      <c r="S963" s="4"/>
      <c r="T963"/>
      <c r="U963" s="23"/>
    </row>
    <row r="964" spans="1:21" ht="15.6" x14ac:dyDescent="0.3">
      <c r="A964" s="4">
        <v>963</v>
      </c>
      <c r="B964" s="5">
        <v>7900337</v>
      </c>
      <c r="C964" s="4" t="s">
        <v>134</v>
      </c>
      <c r="D964" s="4" t="s">
        <v>20</v>
      </c>
      <c r="E964" s="4" t="s">
        <v>1230</v>
      </c>
      <c r="F964" s="4" t="s">
        <v>2940</v>
      </c>
      <c r="G964" s="6">
        <v>4.3</v>
      </c>
      <c r="H964" s="7">
        <v>45503.341840277775</v>
      </c>
      <c r="I964" s="7" t="str">
        <f>TEXT(multilingual_mobile_app_reviews_2025[[#This Row],[Review_date]],"dd-mm-yyyy")</f>
        <v>30-07-2024</v>
      </c>
      <c r="J964" s="7" t="str">
        <f>TEXT(multilingual_mobile_app_reviews_2025[[#This Row],[Review_date]],"YYYY")</f>
        <v>2024</v>
      </c>
      <c r="K964" s="7" t="str">
        <f>TEXT(multilingual_mobile_app_reviews_2025[[#This Row],[Review_date]],"MMMM")</f>
        <v>July</v>
      </c>
      <c r="L964" s="4" t="b">
        <v>1</v>
      </c>
      <c r="M964" s="4" t="s">
        <v>22</v>
      </c>
      <c r="N964" s="5">
        <v>408</v>
      </c>
      <c r="O964" s="5">
        <v>15</v>
      </c>
      <c r="P964" s="4" t="s">
        <v>23</v>
      </c>
      <c r="Q964" s="8" t="s">
        <v>2963</v>
      </c>
      <c r="R964" s="4" t="s">
        <v>1231</v>
      </c>
      <c r="S964" s="4"/>
      <c r="T964"/>
      <c r="U964" s="23"/>
    </row>
    <row r="965" spans="1:21" ht="15.6" x14ac:dyDescent="0.3">
      <c r="A965" s="4">
        <v>964</v>
      </c>
      <c r="B965" s="5">
        <v>5661881</v>
      </c>
      <c r="C965" s="4" t="s">
        <v>87</v>
      </c>
      <c r="D965" s="4" t="s">
        <v>20</v>
      </c>
      <c r="E965" s="4" t="s">
        <v>1232</v>
      </c>
      <c r="F965" s="4" t="s">
        <v>2953</v>
      </c>
      <c r="G965" s="6">
        <v>4.2</v>
      </c>
      <c r="H965" s="7">
        <v>45178.972615740742</v>
      </c>
      <c r="I965" s="7" t="str">
        <f>TEXT(multilingual_mobile_app_reviews_2025[[#This Row],[Review_date]],"dd-mm-yyyy")</f>
        <v>09-09-2023</v>
      </c>
      <c r="J965" s="7" t="str">
        <f>TEXT(multilingual_mobile_app_reviews_2025[[#This Row],[Review_date]],"YYYY")</f>
        <v>2023</v>
      </c>
      <c r="K965" s="7" t="str">
        <f>TEXT(multilingual_mobile_app_reviews_2025[[#This Row],[Review_date]],"MMMM")</f>
        <v>September</v>
      </c>
      <c r="L965" s="4" t="b">
        <v>0</v>
      </c>
      <c r="M965" s="4" t="s">
        <v>22</v>
      </c>
      <c r="N965" s="5">
        <v>1162</v>
      </c>
      <c r="O965" s="5">
        <v>46</v>
      </c>
      <c r="P965" s="4" t="s">
        <v>70</v>
      </c>
      <c r="Q965" s="8" t="s">
        <v>29</v>
      </c>
      <c r="R965" s="4" t="s">
        <v>1233</v>
      </c>
      <c r="S965" s="4"/>
      <c r="T965"/>
      <c r="U965" s="23"/>
    </row>
    <row r="966" spans="1:21" ht="15.6" x14ac:dyDescent="0.3">
      <c r="A966" s="4">
        <v>965</v>
      </c>
      <c r="B966" s="5">
        <v>4994806</v>
      </c>
      <c r="C966" s="4" t="s">
        <v>87</v>
      </c>
      <c r="D966" s="4" t="s">
        <v>111</v>
      </c>
      <c r="E966" s="4" t="s">
        <v>1234</v>
      </c>
      <c r="F966" s="4" t="s">
        <v>2947</v>
      </c>
      <c r="G966" s="6">
        <v>1.8</v>
      </c>
      <c r="H966" s="7">
        <v>45338.461678240739</v>
      </c>
      <c r="I966" s="7" t="str">
        <f>TEXT(multilingual_mobile_app_reviews_2025[[#This Row],[Review_date]],"dd-mm-yyyy")</f>
        <v>16-02-2024</v>
      </c>
      <c r="J966" s="7" t="str">
        <f>TEXT(multilingual_mobile_app_reviews_2025[[#This Row],[Review_date]],"YYYY")</f>
        <v>2024</v>
      </c>
      <c r="K966" s="7" t="str">
        <f>TEXT(multilingual_mobile_app_reviews_2025[[#This Row],[Review_date]],"MMMM")</f>
        <v>February</v>
      </c>
      <c r="L966" s="4" t="b">
        <v>1</v>
      </c>
      <c r="M966" s="4" t="s">
        <v>10</v>
      </c>
      <c r="N966" s="5">
        <v>1102</v>
      </c>
      <c r="O966" s="5">
        <v>18</v>
      </c>
      <c r="P966" s="4" t="s">
        <v>127</v>
      </c>
      <c r="Q966" s="8" t="s">
        <v>12</v>
      </c>
      <c r="R966" s="4" t="s">
        <v>1235</v>
      </c>
      <c r="S966" s="4"/>
      <c r="T966"/>
      <c r="U966" s="23"/>
    </row>
    <row r="967" spans="1:21" ht="15.6" x14ac:dyDescent="0.3">
      <c r="A967" s="4">
        <v>966</v>
      </c>
      <c r="B967" s="5">
        <v>1971488</v>
      </c>
      <c r="C967" s="4" t="s">
        <v>159</v>
      </c>
      <c r="D967" s="4" t="s">
        <v>8</v>
      </c>
      <c r="E967" s="4" t="s">
        <v>9</v>
      </c>
      <c r="F967" s="4" t="s">
        <v>2946</v>
      </c>
      <c r="G967" s="6">
        <v>2</v>
      </c>
      <c r="H967" s="7">
        <v>45607.880324074074</v>
      </c>
      <c r="I967" s="7" t="str">
        <f>TEXT(multilingual_mobile_app_reviews_2025[[#This Row],[Review_date]],"dd-mm-yyyy")</f>
        <v>11-11-2024</v>
      </c>
      <c r="J967" s="7" t="str">
        <f>TEXT(multilingual_mobile_app_reviews_2025[[#This Row],[Review_date]],"YYYY")</f>
        <v>2024</v>
      </c>
      <c r="K967" s="7" t="str">
        <f>TEXT(multilingual_mobile_app_reviews_2025[[#This Row],[Review_date]],"MMMM")</f>
        <v>November</v>
      </c>
      <c r="L967" s="4" t="b">
        <v>1</v>
      </c>
      <c r="M967" s="4" t="s">
        <v>22</v>
      </c>
      <c r="N967" s="5">
        <v>690</v>
      </c>
      <c r="O967" s="5">
        <v>68</v>
      </c>
      <c r="P967" s="4" t="s">
        <v>180</v>
      </c>
      <c r="Q967" s="8" t="s">
        <v>29</v>
      </c>
      <c r="R967" s="4" t="s">
        <v>1236</v>
      </c>
      <c r="S967" s="4"/>
      <c r="T967"/>
      <c r="U967" s="23"/>
    </row>
    <row r="968" spans="1:21" ht="15.6" x14ac:dyDescent="0.3">
      <c r="A968" s="4">
        <v>967</v>
      </c>
      <c r="B968" s="5">
        <v>2635634</v>
      </c>
      <c r="C968" s="4" t="s">
        <v>165</v>
      </c>
      <c r="D968" s="4" t="s">
        <v>57</v>
      </c>
      <c r="E968" s="4" t="s">
        <v>1237</v>
      </c>
      <c r="F968" s="4" t="s">
        <v>2959</v>
      </c>
      <c r="G968" s="6">
        <v>3.2</v>
      </c>
      <c r="H968" s="7">
        <v>45406.906504629631</v>
      </c>
      <c r="I968" s="7" t="str">
        <f>TEXT(multilingual_mobile_app_reviews_2025[[#This Row],[Review_date]],"dd-mm-yyyy")</f>
        <v>24-04-2024</v>
      </c>
      <c r="J968" s="7" t="str">
        <f>TEXT(multilingual_mobile_app_reviews_2025[[#This Row],[Review_date]],"YYYY")</f>
        <v>2024</v>
      </c>
      <c r="K968" s="7" t="str">
        <f>TEXT(multilingual_mobile_app_reviews_2025[[#This Row],[Review_date]],"MMMM")</f>
        <v>April</v>
      </c>
      <c r="L968" s="4" t="b">
        <v>1</v>
      </c>
      <c r="M968" s="4" t="s">
        <v>22</v>
      </c>
      <c r="N968" s="5">
        <v>651</v>
      </c>
      <c r="O968" s="5">
        <v>64</v>
      </c>
      <c r="P968" s="4" t="s">
        <v>17</v>
      </c>
      <c r="Q968" s="8" t="s">
        <v>29</v>
      </c>
      <c r="R968" s="4" t="s">
        <v>1238</v>
      </c>
      <c r="S968" s="4"/>
      <c r="T968"/>
      <c r="U968" s="23"/>
    </row>
    <row r="969" spans="1:21" ht="15.6" x14ac:dyDescent="0.3">
      <c r="A969" s="4">
        <v>968</v>
      </c>
      <c r="B969" s="5">
        <v>4535820</v>
      </c>
      <c r="C969" s="4" t="s">
        <v>174</v>
      </c>
      <c r="D969" s="4" t="s">
        <v>51</v>
      </c>
      <c r="E969" s="4" t="s">
        <v>1239</v>
      </c>
      <c r="F969" s="4" t="s">
        <v>2940</v>
      </c>
      <c r="G969" s="6">
        <v>2.6</v>
      </c>
      <c r="H969" s="7">
        <v>45794.618310185186</v>
      </c>
      <c r="I969" s="7" t="str">
        <f>TEXT(multilingual_mobile_app_reviews_2025[[#This Row],[Review_date]],"dd-mm-yyyy")</f>
        <v>17-05-2025</v>
      </c>
      <c r="J969" s="7" t="str">
        <f>TEXT(multilingual_mobile_app_reviews_2025[[#This Row],[Review_date]],"YYYY")</f>
        <v>2025</v>
      </c>
      <c r="K969" s="7" t="str">
        <f>TEXT(multilingual_mobile_app_reviews_2025[[#This Row],[Review_date]],"MMMM")</f>
        <v>May</v>
      </c>
      <c r="L969" s="4" t="b">
        <v>1</v>
      </c>
      <c r="M969" s="4" t="s">
        <v>3</v>
      </c>
      <c r="N969" s="5">
        <v>687</v>
      </c>
      <c r="O969" s="5">
        <v>35</v>
      </c>
      <c r="P969" s="4" t="s">
        <v>4</v>
      </c>
      <c r="Q969" s="8" t="s">
        <v>39</v>
      </c>
      <c r="R969" s="4" t="s">
        <v>2963</v>
      </c>
      <c r="S969" s="4"/>
      <c r="T969"/>
      <c r="U969" s="23"/>
    </row>
    <row r="970" spans="1:21" ht="15.6" x14ac:dyDescent="0.3">
      <c r="A970" s="4">
        <v>969</v>
      </c>
      <c r="B970" s="5">
        <v>4673311</v>
      </c>
      <c r="C970" s="4" t="s">
        <v>78</v>
      </c>
      <c r="D970" s="4" t="s">
        <v>51</v>
      </c>
      <c r="E970" s="4" t="s">
        <v>21</v>
      </c>
      <c r="F970" s="4" t="s">
        <v>2961</v>
      </c>
      <c r="G970" s="6">
        <v>1.1000000000000001</v>
      </c>
      <c r="H970" s="7">
        <v>45399.055150462962</v>
      </c>
      <c r="I970" s="7" t="str">
        <f>TEXT(multilingual_mobile_app_reviews_2025[[#This Row],[Review_date]],"dd-mm-yyyy")</f>
        <v>17-04-2024</v>
      </c>
      <c r="J970" s="7" t="str">
        <f>TEXT(multilingual_mobile_app_reviews_2025[[#This Row],[Review_date]],"YYYY")</f>
        <v>2024</v>
      </c>
      <c r="K970" s="7" t="str">
        <f>TEXT(multilingual_mobile_app_reviews_2025[[#This Row],[Review_date]],"MMMM")</f>
        <v>April</v>
      </c>
      <c r="L970" s="4" t="b">
        <v>1</v>
      </c>
      <c r="M970" s="4" t="s">
        <v>33</v>
      </c>
      <c r="N970" s="5">
        <v>208</v>
      </c>
      <c r="O970" s="5">
        <v>69</v>
      </c>
      <c r="P970" s="4" t="s">
        <v>17</v>
      </c>
      <c r="Q970" s="8" t="s">
        <v>12</v>
      </c>
      <c r="R970" s="4" t="s">
        <v>1240</v>
      </c>
      <c r="S970" s="4"/>
      <c r="T970"/>
      <c r="U970" s="23"/>
    </row>
    <row r="971" spans="1:21" ht="15.6" x14ac:dyDescent="0.3">
      <c r="A971" s="4">
        <v>970</v>
      </c>
      <c r="B971" s="5">
        <v>4580989</v>
      </c>
      <c r="C971" s="4" t="s">
        <v>137</v>
      </c>
      <c r="D971" s="4" t="s">
        <v>42</v>
      </c>
      <c r="E971" s="4" t="s">
        <v>76</v>
      </c>
      <c r="F971" s="4" t="s">
        <v>2952</v>
      </c>
      <c r="G971" s="6">
        <v>3.5</v>
      </c>
      <c r="H971" s="7">
        <v>45762.055810185186</v>
      </c>
      <c r="I971" s="7" t="str">
        <f>TEXT(multilingual_mobile_app_reviews_2025[[#This Row],[Review_date]],"dd-mm-yyyy")</f>
        <v>15-04-2025</v>
      </c>
      <c r="J971" s="7" t="str">
        <f>TEXT(multilingual_mobile_app_reviews_2025[[#This Row],[Review_date]],"YYYY")</f>
        <v>2025</v>
      </c>
      <c r="K971" s="7" t="str">
        <f>TEXT(multilingual_mobile_app_reviews_2025[[#This Row],[Review_date]],"MMMM")</f>
        <v>April</v>
      </c>
      <c r="L971" s="4" t="b">
        <v>1</v>
      </c>
      <c r="M971" s="4" t="s">
        <v>3</v>
      </c>
      <c r="N971" s="5">
        <v>759</v>
      </c>
      <c r="O971" s="5">
        <v>71</v>
      </c>
      <c r="P971" s="4" t="s">
        <v>17</v>
      </c>
      <c r="Q971" s="8" t="s">
        <v>39</v>
      </c>
      <c r="R971" s="4" t="s">
        <v>1241</v>
      </c>
      <c r="S971" s="4"/>
      <c r="T971"/>
      <c r="U971" s="23"/>
    </row>
    <row r="972" spans="1:21" ht="15.6" x14ac:dyDescent="0.3">
      <c r="A972" s="4">
        <v>971</v>
      </c>
      <c r="B972" s="5">
        <v>4383960</v>
      </c>
      <c r="C972" s="4" t="s">
        <v>244</v>
      </c>
      <c r="D972" s="4" t="s">
        <v>20</v>
      </c>
      <c r="E972" s="4" t="s">
        <v>1242</v>
      </c>
      <c r="F972" s="4" t="s">
        <v>2940</v>
      </c>
      <c r="G972" s="6">
        <v>1</v>
      </c>
      <c r="H972" s="7">
        <v>45458.304629629631</v>
      </c>
      <c r="I972" s="7" t="str">
        <f>TEXT(multilingual_mobile_app_reviews_2025[[#This Row],[Review_date]],"dd-mm-yyyy")</f>
        <v>15-06-2024</v>
      </c>
      <c r="J972" s="7" t="str">
        <f>TEXT(multilingual_mobile_app_reviews_2025[[#This Row],[Review_date]],"YYYY")</f>
        <v>2024</v>
      </c>
      <c r="K972" s="7" t="str">
        <f>TEXT(multilingual_mobile_app_reviews_2025[[#This Row],[Review_date]],"MMMM")</f>
        <v>June</v>
      </c>
      <c r="L972" s="4" t="b">
        <v>1</v>
      </c>
      <c r="M972" s="4" t="s">
        <v>3</v>
      </c>
      <c r="N972" s="5">
        <v>103</v>
      </c>
      <c r="O972" s="5">
        <v>18</v>
      </c>
      <c r="P972" s="4" t="s">
        <v>73</v>
      </c>
      <c r="Q972" s="8" t="s">
        <v>12</v>
      </c>
      <c r="R972" s="4" t="s">
        <v>1243</v>
      </c>
      <c r="S972" s="4"/>
      <c r="T972"/>
      <c r="U972" s="23"/>
    </row>
    <row r="973" spans="1:21" ht="15.6" x14ac:dyDescent="0.3">
      <c r="A973" s="4">
        <v>972</v>
      </c>
      <c r="B973" s="5">
        <v>8912472</v>
      </c>
      <c r="C973" s="4" t="s">
        <v>50</v>
      </c>
      <c r="D973" s="4" t="s">
        <v>111</v>
      </c>
      <c r="E973" s="4" t="s">
        <v>130</v>
      </c>
      <c r="F973" s="4" t="s">
        <v>2942</v>
      </c>
      <c r="G973" s="6">
        <v>4.0999999999999996</v>
      </c>
      <c r="H973" s="7">
        <v>45219.585439814815</v>
      </c>
      <c r="I973" s="7" t="str">
        <f>TEXT(multilingual_mobile_app_reviews_2025[[#This Row],[Review_date]],"dd-mm-yyyy")</f>
        <v>20-10-2023</v>
      </c>
      <c r="J973" s="7" t="str">
        <f>TEXT(multilingual_mobile_app_reviews_2025[[#This Row],[Review_date]],"YYYY")</f>
        <v>2023</v>
      </c>
      <c r="K973" s="7" t="str">
        <f>TEXT(multilingual_mobile_app_reviews_2025[[#This Row],[Review_date]],"MMMM")</f>
        <v>October</v>
      </c>
      <c r="L973" s="4" t="b">
        <v>0</v>
      </c>
      <c r="M973" s="4" t="s">
        <v>22</v>
      </c>
      <c r="N973" s="5">
        <v>264</v>
      </c>
      <c r="O973" s="5">
        <v>42</v>
      </c>
      <c r="P973" s="4" t="s">
        <v>144</v>
      </c>
      <c r="Q973" s="8" t="s">
        <v>2963</v>
      </c>
      <c r="R973" s="4" t="s">
        <v>1244</v>
      </c>
      <c r="S973" s="4"/>
      <c r="T973"/>
      <c r="U973" s="23"/>
    </row>
    <row r="974" spans="1:21" ht="15.6" x14ac:dyDescent="0.3">
      <c r="A974" s="4">
        <v>973</v>
      </c>
      <c r="B974" s="5">
        <v>7581668</v>
      </c>
      <c r="C974" s="4" t="s">
        <v>154</v>
      </c>
      <c r="D974" s="4" t="s">
        <v>20</v>
      </c>
      <c r="E974" s="4" t="s">
        <v>21</v>
      </c>
      <c r="F974" s="4" t="s">
        <v>2961</v>
      </c>
      <c r="G974" s="6">
        <v>1</v>
      </c>
      <c r="H974" s="7">
        <v>45411.909143518518</v>
      </c>
      <c r="I974" s="7" t="str">
        <f>TEXT(multilingual_mobile_app_reviews_2025[[#This Row],[Review_date]],"dd-mm-yyyy")</f>
        <v>29-04-2024</v>
      </c>
      <c r="J974" s="7" t="str">
        <f>TEXT(multilingual_mobile_app_reviews_2025[[#This Row],[Review_date]],"YYYY")</f>
        <v>2024</v>
      </c>
      <c r="K974" s="7" t="str">
        <f>TEXT(multilingual_mobile_app_reviews_2025[[#This Row],[Review_date]],"MMMM")</f>
        <v>April</v>
      </c>
      <c r="L974" s="4" t="b">
        <v>1</v>
      </c>
      <c r="M974" s="4" t="s">
        <v>33</v>
      </c>
      <c r="N974" s="5">
        <v>242</v>
      </c>
      <c r="O974" s="5">
        <v>13</v>
      </c>
      <c r="P974" s="4" t="s">
        <v>230</v>
      </c>
      <c r="Q974" s="8" t="s">
        <v>39</v>
      </c>
      <c r="R974" s="4" t="s">
        <v>1245</v>
      </c>
      <c r="S974" s="4"/>
      <c r="T974"/>
      <c r="U974" s="23"/>
    </row>
    <row r="975" spans="1:21" ht="15.6" x14ac:dyDescent="0.3">
      <c r="A975" s="4">
        <v>974</v>
      </c>
      <c r="B975" s="5">
        <v>4852935</v>
      </c>
      <c r="C975" s="4" t="s">
        <v>96</v>
      </c>
      <c r="D975" s="4" t="s">
        <v>20</v>
      </c>
      <c r="E975" s="4" t="s">
        <v>1246</v>
      </c>
      <c r="F975" s="4" t="s">
        <v>2955</v>
      </c>
      <c r="G975" s="6">
        <v>4.5999999999999996</v>
      </c>
      <c r="H975" s="7">
        <v>45282.392291666663</v>
      </c>
      <c r="I975" s="7" t="str">
        <f>TEXT(multilingual_mobile_app_reviews_2025[[#This Row],[Review_date]],"dd-mm-yyyy")</f>
        <v>22-12-2023</v>
      </c>
      <c r="J975" s="7" t="str">
        <f>TEXT(multilingual_mobile_app_reviews_2025[[#This Row],[Review_date]],"YYYY")</f>
        <v>2023</v>
      </c>
      <c r="K975" s="7" t="str">
        <f>TEXT(multilingual_mobile_app_reviews_2025[[#This Row],[Review_date]],"MMMM")</f>
        <v>December</v>
      </c>
      <c r="L975" s="4" t="b">
        <v>1</v>
      </c>
      <c r="M975" s="4" t="s">
        <v>33</v>
      </c>
      <c r="N975" s="5">
        <v>735</v>
      </c>
      <c r="O975" s="5">
        <v>35</v>
      </c>
      <c r="P975" s="4" t="s">
        <v>17</v>
      </c>
      <c r="Q975" s="8" t="s">
        <v>39</v>
      </c>
      <c r="R975" s="4" t="s">
        <v>1247</v>
      </c>
      <c r="S975" s="4"/>
      <c r="T975"/>
      <c r="U975" s="23"/>
    </row>
    <row r="976" spans="1:21" ht="15.6" x14ac:dyDescent="0.3">
      <c r="A976" s="4">
        <v>975</v>
      </c>
      <c r="B976" s="5">
        <v>3191420</v>
      </c>
      <c r="C976" s="4" t="s">
        <v>7</v>
      </c>
      <c r="D976" s="4" t="s">
        <v>60</v>
      </c>
      <c r="E976" s="4" t="s">
        <v>64</v>
      </c>
      <c r="F976" s="4" t="s">
        <v>2940</v>
      </c>
      <c r="G976" s="6">
        <v>1.3</v>
      </c>
      <c r="H976" s="7">
        <v>45335.649953703702</v>
      </c>
      <c r="I976" s="7" t="str">
        <f>TEXT(multilingual_mobile_app_reviews_2025[[#This Row],[Review_date]],"dd-mm-yyyy")</f>
        <v>13-02-2024</v>
      </c>
      <c r="J976" s="7" t="str">
        <f>TEXT(multilingual_mobile_app_reviews_2025[[#This Row],[Review_date]],"YYYY")</f>
        <v>2024</v>
      </c>
      <c r="K976" s="7" t="str">
        <f>TEXT(multilingual_mobile_app_reviews_2025[[#This Row],[Review_date]],"MMMM")</f>
        <v>February</v>
      </c>
      <c r="L976" s="4" t="b">
        <v>1</v>
      </c>
      <c r="M976" s="4" t="s">
        <v>3</v>
      </c>
      <c r="N976" s="5">
        <v>899</v>
      </c>
      <c r="O976" s="5">
        <v>43</v>
      </c>
      <c r="P976" s="4" t="s">
        <v>230</v>
      </c>
      <c r="Q976" s="8" t="s">
        <v>12</v>
      </c>
      <c r="R976" s="4" t="s">
        <v>1248</v>
      </c>
      <c r="S976" s="4"/>
      <c r="T976"/>
      <c r="U976" s="23"/>
    </row>
    <row r="977" spans="1:21" ht="15.6" x14ac:dyDescent="0.3">
      <c r="A977" s="4">
        <v>976</v>
      </c>
      <c r="B977" s="5">
        <v>7934214</v>
      </c>
      <c r="C977" s="4" t="s">
        <v>174</v>
      </c>
      <c r="D977" s="4" t="s">
        <v>220</v>
      </c>
      <c r="E977" s="4" t="s">
        <v>9</v>
      </c>
      <c r="F977" s="4" t="s">
        <v>2953</v>
      </c>
      <c r="G977" s="6">
        <v>3</v>
      </c>
      <c r="H977" s="7">
        <v>45651.886574074073</v>
      </c>
      <c r="I977" s="7" t="str">
        <f>TEXT(multilingual_mobile_app_reviews_2025[[#This Row],[Review_date]],"dd-mm-yyyy")</f>
        <v>25-12-2024</v>
      </c>
      <c r="J977" s="7" t="str">
        <f>TEXT(multilingual_mobile_app_reviews_2025[[#This Row],[Review_date]],"YYYY")</f>
        <v>2024</v>
      </c>
      <c r="K977" s="7" t="str">
        <f>TEXT(multilingual_mobile_app_reviews_2025[[#This Row],[Review_date]],"MMMM")</f>
        <v>December</v>
      </c>
      <c r="L977" s="4" t="b">
        <v>1</v>
      </c>
      <c r="M977" s="4" t="s">
        <v>3</v>
      </c>
      <c r="N977" s="5">
        <v>1005</v>
      </c>
      <c r="O977" s="5">
        <v>42</v>
      </c>
      <c r="P977" s="4" t="s">
        <v>11</v>
      </c>
      <c r="Q977" s="8" t="s">
        <v>5</v>
      </c>
      <c r="R977" s="4" t="s">
        <v>1249</v>
      </c>
      <c r="S977" s="4"/>
      <c r="T977"/>
      <c r="U977" s="23"/>
    </row>
    <row r="978" spans="1:21" ht="15.6" x14ac:dyDescent="0.3">
      <c r="A978" s="4">
        <v>977</v>
      </c>
      <c r="B978" s="5">
        <v>7707523</v>
      </c>
      <c r="C978" s="4" t="s">
        <v>59</v>
      </c>
      <c r="D978" s="4" t="s">
        <v>220</v>
      </c>
      <c r="E978" s="4" t="s">
        <v>16</v>
      </c>
      <c r="F978" s="4" t="s">
        <v>2946</v>
      </c>
      <c r="G978" s="6">
        <v>3.1</v>
      </c>
      <c r="H978" s="7">
        <v>45855.556967592594</v>
      </c>
      <c r="I978" s="7" t="str">
        <f>TEXT(multilingual_mobile_app_reviews_2025[[#This Row],[Review_date]],"dd-mm-yyyy")</f>
        <v>17-07-2025</v>
      </c>
      <c r="J978" s="7" t="str">
        <f>TEXT(multilingual_mobile_app_reviews_2025[[#This Row],[Review_date]],"YYYY")</f>
        <v>2025</v>
      </c>
      <c r="K978" s="7" t="str">
        <f>TEXT(multilingual_mobile_app_reviews_2025[[#This Row],[Review_date]],"MMMM")</f>
        <v>July</v>
      </c>
      <c r="L978" s="4" t="b">
        <v>1</v>
      </c>
      <c r="M978" s="4" t="s">
        <v>22</v>
      </c>
      <c r="N978" s="5">
        <v>1192</v>
      </c>
      <c r="O978" s="5">
        <v>16</v>
      </c>
      <c r="P978" s="4" t="s">
        <v>38</v>
      </c>
      <c r="Q978" s="8" t="s">
        <v>5</v>
      </c>
      <c r="R978" s="4" t="s">
        <v>1250</v>
      </c>
      <c r="S978" s="4"/>
      <c r="T978"/>
      <c r="U978" s="23"/>
    </row>
    <row r="979" spans="1:21" ht="15.6" x14ac:dyDescent="0.3">
      <c r="A979" s="4">
        <v>978</v>
      </c>
      <c r="B979" s="5">
        <v>7263592</v>
      </c>
      <c r="C979" s="4" t="s">
        <v>36</v>
      </c>
      <c r="D979" s="4" t="s">
        <v>1</v>
      </c>
      <c r="E979" s="4" t="s">
        <v>32</v>
      </c>
      <c r="F979" s="4" t="s">
        <v>2957</v>
      </c>
      <c r="G979" s="6">
        <v>1.2</v>
      </c>
      <c r="H979" s="7">
        <v>45676.542592592596</v>
      </c>
      <c r="I979" s="7" t="str">
        <f>TEXT(multilingual_mobile_app_reviews_2025[[#This Row],[Review_date]],"dd-mm-yyyy")</f>
        <v>19-01-2025</v>
      </c>
      <c r="J979" s="7" t="str">
        <f>TEXT(multilingual_mobile_app_reviews_2025[[#This Row],[Review_date]],"YYYY")</f>
        <v>2025</v>
      </c>
      <c r="K979" s="7" t="str">
        <f>TEXT(multilingual_mobile_app_reviews_2025[[#This Row],[Review_date]],"MMMM")</f>
        <v>January</v>
      </c>
      <c r="L979" s="4" t="b">
        <v>0</v>
      </c>
      <c r="M979" s="4" t="s">
        <v>22</v>
      </c>
      <c r="N979" s="5">
        <v>11</v>
      </c>
      <c r="O979" s="5">
        <v>53</v>
      </c>
      <c r="P979" s="4" t="s">
        <v>34</v>
      </c>
      <c r="Q979" s="8" t="s">
        <v>2963</v>
      </c>
      <c r="R979" s="4" t="s">
        <v>1251</v>
      </c>
      <c r="S979" s="4"/>
      <c r="T979"/>
      <c r="U979" s="23"/>
    </row>
    <row r="980" spans="1:21" ht="15.6" x14ac:dyDescent="0.3">
      <c r="A980" s="4">
        <v>979</v>
      </c>
      <c r="B980" s="5">
        <v>5525820</v>
      </c>
      <c r="C980" s="4" t="s">
        <v>106</v>
      </c>
      <c r="D980" s="4" t="s">
        <v>15</v>
      </c>
      <c r="E980" s="4" t="s">
        <v>1252</v>
      </c>
      <c r="F980" s="4" t="s">
        <v>2954</v>
      </c>
      <c r="G980" s="6">
        <v>4.8</v>
      </c>
      <c r="H980" s="7">
        <v>45308.504074074073</v>
      </c>
      <c r="I980" s="7" t="str">
        <f>TEXT(multilingual_mobile_app_reviews_2025[[#This Row],[Review_date]],"dd-mm-yyyy")</f>
        <v>17-01-2024</v>
      </c>
      <c r="J980" s="7" t="str">
        <f>TEXT(multilingual_mobile_app_reviews_2025[[#This Row],[Review_date]],"YYYY")</f>
        <v>2024</v>
      </c>
      <c r="K980" s="7" t="str">
        <f>TEXT(multilingual_mobile_app_reviews_2025[[#This Row],[Review_date]],"MMMM")</f>
        <v>January</v>
      </c>
      <c r="L980" s="4" t="b">
        <v>0</v>
      </c>
      <c r="M980" s="4" t="s">
        <v>3</v>
      </c>
      <c r="N980" s="5">
        <v>684</v>
      </c>
      <c r="O980" s="5">
        <v>61</v>
      </c>
      <c r="P980" s="4" t="s">
        <v>28</v>
      </c>
      <c r="Q980" s="8" t="s">
        <v>2963</v>
      </c>
      <c r="R980" s="4" t="s">
        <v>1253</v>
      </c>
      <c r="S980" s="4"/>
      <c r="T980"/>
      <c r="U980" s="23"/>
    </row>
    <row r="981" spans="1:21" ht="15.6" x14ac:dyDescent="0.3">
      <c r="A981" s="4">
        <v>980</v>
      </c>
      <c r="B981" s="5">
        <v>1882574</v>
      </c>
      <c r="C981" s="4" t="s">
        <v>176</v>
      </c>
      <c r="D981" s="4" t="s">
        <v>157</v>
      </c>
      <c r="E981" s="4" t="s">
        <v>1254</v>
      </c>
      <c r="F981" s="4" t="s">
        <v>2957</v>
      </c>
      <c r="G981" s="6">
        <v>4.2</v>
      </c>
      <c r="H981" s="7">
        <v>45585.214548611111</v>
      </c>
      <c r="I981" s="7" t="str">
        <f>TEXT(multilingual_mobile_app_reviews_2025[[#This Row],[Review_date]],"dd-mm-yyyy")</f>
        <v>20-10-2024</v>
      </c>
      <c r="J981" s="7" t="str">
        <f>TEXT(multilingual_mobile_app_reviews_2025[[#This Row],[Review_date]],"YYYY")</f>
        <v>2024</v>
      </c>
      <c r="K981" s="7" t="str">
        <f>TEXT(multilingual_mobile_app_reviews_2025[[#This Row],[Review_date]],"MMMM")</f>
        <v>October</v>
      </c>
      <c r="L981" s="4" t="b">
        <v>1</v>
      </c>
      <c r="M981" s="4" t="s">
        <v>22</v>
      </c>
      <c r="N981" s="5">
        <v>17</v>
      </c>
      <c r="O981" s="5">
        <v>69</v>
      </c>
      <c r="P981" s="4" t="s">
        <v>61</v>
      </c>
      <c r="Q981" s="8" t="s">
        <v>5</v>
      </c>
      <c r="R981" s="4" t="s">
        <v>569</v>
      </c>
      <c r="S981" s="4"/>
      <c r="T981"/>
      <c r="U981" s="23"/>
    </row>
    <row r="982" spans="1:21" ht="15.6" x14ac:dyDescent="0.3">
      <c r="A982" s="4">
        <v>981</v>
      </c>
      <c r="B982" s="5">
        <v>8746691</v>
      </c>
      <c r="C982" s="4" t="s">
        <v>132</v>
      </c>
      <c r="D982" s="4" t="s">
        <v>31</v>
      </c>
      <c r="E982" s="4" t="s">
        <v>1255</v>
      </c>
      <c r="F982" s="4" t="s">
        <v>2949</v>
      </c>
      <c r="G982" s="6">
        <v>1</v>
      </c>
      <c r="H982" s="7">
        <v>45729.539641203701</v>
      </c>
      <c r="I982" s="7" t="str">
        <f>TEXT(multilingual_mobile_app_reviews_2025[[#This Row],[Review_date]],"dd-mm-yyyy")</f>
        <v>13-03-2025</v>
      </c>
      <c r="J982" s="7" t="str">
        <f>TEXT(multilingual_mobile_app_reviews_2025[[#This Row],[Review_date]],"YYYY")</f>
        <v>2025</v>
      </c>
      <c r="K982" s="7" t="str">
        <f>TEXT(multilingual_mobile_app_reviews_2025[[#This Row],[Review_date]],"MMMM")</f>
        <v>March</v>
      </c>
      <c r="L982" s="4" t="b">
        <v>0</v>
      </c>
      <c r="M982" s="4" t="s">
        <v>22</v>
      </c>
      <c r="N982" s="5">
        <v>883</v>
      </c>
      <c r="O982" s="5">
        <v>57</v>
      </c>
      <c r="P982" s="4" t="s">
        <v>65</v>
      </c>
      <c r="Q982" s="8" t="s">
        <v>12</v>
      </c>
      <c r="R982" s="4" t="s">
        <v>1256</v>
      </c>
      <c r="S982" s="4"/>
      <c r="T982"/>
      <c r="U982" s="23"/>
    </row>
    <row r="983" spans="1:21" ht="15.6" x14ac:dyDescent="0.3">
      <c r="A983" s="4">
        <v>982</v>
      </c>
      <c r="B983" s="5">
        <v>4964699</v>
      </c>
      <c r="C983" s="4" t="s">
        <v>41</v>
      </c>
      <c r="D983" s="4" t="s">
        <v>1</v>
      </c>
      <c r="E983" s="4" t="s">
        <v>32</v>
      </c>
      <c r="F983" s="4" t="s">
        <v>2942</v>
      </c>
      <c r="G983" s="6">
        <v>4.0999999999999996</v>
      </c>
      <c r="H983" s="7">
        <v>45642.033634259256</v>
      </c>
      <c r="I983" s="7" t="str">
        <f>TEXT(multilingual_mobile_app_reviews_2025[[#This Row],[Review_date]],"dd-mm-yyyy")</f>
        <v>16-12-2024</v>
      </c>
      <c r="J983" s="7" t="str">
        <f>TEXT(multilingual_mobile_app_reviews_2025[[#This Row],[Review_date]],"YYYY")</f>
        <v>2024</v>
      </c>
      <c r="K983" s="7" t="str">
        <f>TEXT(multilingual_mobile_app_reviews_2025[[#This Row],[Review_date]],"MMMM")</f>
        <v>December</v>
      </c>
      <c r="L983" s="4" t="b">
        <v>1</v>
      </c>
      <c r="M983" s="4" t="s">
        <v>33</v>
      </c>
      <c r="N983" s="5">
        <v>894</v>
      </c>
      <c r="O983" s="5">
        <v>26</v>
      </c>
      <c r="P983" s="4" t="s">
        <v>34</v>
      </c>
      <c r="Q983" s="8" t="s">
        <v>39</v>
      </c>
      <c r="R983" s="4" t="s">
        <v>1257</v>
      </c>
      <c r="S983" s="4"/>
      <c r="T983"/>
      <c r="U983" s="23"/>
    </row>
    <row r="984" spans="1:21" ht="15.6" x14ac:dyDescent="0.3">
      <c r="A984" s="4">
        <v>983</v>
      </c>
      <c r="B984" s="5">
        <v>3063163</v>
      </c>
      <c r="C984" s="4" t="s">
        <v>69</v>
      </c>
      <c r="D984" s="4" t="s">
        <v>60</v>
      </c>
      <c r="E984" s="4" t="s">
        <v>109</v>
      </c>
      <c r="F984" s="4" t="s">
        <v>2954</v>
      </c>
      <c r="G984" s="6">
        <v>4.7</v>
      </c>
      <c r="H984" s="7">
        <v>45569.552106481482</v>
      </c>
      <c r="I984" s="7" t="str">
        <f>TEXT(multilingual_mobile_app_reviews_2025[[#This Row],[Review_date]],"dd-mm-yyyy")</f>
        <v>04-10-2024</v>
      </c>
      <c r="J984" s="7" t="str">
        <f>TEXT(multilingual_mobile_app_reviews_2025[[#This Row],[Review_date]],"YYYY")</f>
        <v>2024</v>
      </c>
      <c r="K984" s="7" t="str">
        <f>TEXT(multilingual_mobile_app_reviews_2025[[#This Row],[Review_date]],"MMMM")</f>
        <v>October</v>
      </c>
      <c r="L984" s="4" t="b">
        <v>1</v>
      </c>
      <c r="M984" s="4" t="s">
        <v>3</v>
      </c>
      <c r="N984" s="5">
        <v>1095</v>
      </c>
      <c r="O984" s="5">
        <v>61</v>
      </c>
      <c r="P984" s="4" t="s">
        <v>61</v>
      </c>
      <c r="Q984" s="8" t="s">
        <v>2963</v>
      </c>
      <c r="R984" s="4" t="s">
        <v>1258</v>
      </c>
      <c r="S984" s="4"/>
      <c r="T984"/>
      <c r="U984" s="23"/>
    </row>
    <row r="985" spans="1:21" ht="15.6" x14ac:dyDescent="0.3">
      <c r="A985" s="4">
        <v>984</v>
      </c>
      <c r="B985" s="5">
        <v>6545196</v>
      </c>
      <c r="C985" s="4" t="s">
        <v>50</v>
      </c>
      <c r="D985" s="4" t="s">
        <v>60</v>
      </c>
      <c r="E985" s="4" t="s">
        <v>1259</v>
      </c>
      <c r="F985" s="4" t="s">
        <v>2957</v>
      </c>
      <c r="G985" s="6">
        <v>1.4</v>
      </c>
      <c r="H985" s="7">
        <v>45826.444432870368</v>
      </c>
      <c r="I985" s="7" t="str">
        <f>TEXT(multilingual_mobile_app_reviews_2025[[#This Row],[Review_date]],"dd-mm-yyyy")</f>
        <v>18-06-2025</v>
      </c>
      <c r="J985" s="7" t="str">
        <f>TEXT(multilingual_mobile_app_reviews_2025[[#This Row],[Review_date]],"YYYY")</f>
        <v>2025</v>
      </c>
      <c r="K985" s="7" t="str">
        <f>TEXT(multilingual_mobile_app_reviews_2025[[#This Row],[Review_date]],"MMMM")</f>
        <v>June</v>
      </c>
      <c r="L985" s="4" t="b">
        <v>0</v>
      </c>
      <c r="M985" s="4" t="s">
        <v>33</v>
      </c>
      <c r="N985" s="5">
        <v>282</v>
      </c>
      <c r="O985" s="5">
        <v>23</v>
      </c>
      <c r="P985" s="4" t="s">
        <v>44</v>
      </c>
      <c r="Q985" s="8" t="s">
        <v>29</v>
      </c>
      <c r="R985" s="4" t="s">
        <v>1260</v>
      </c>
      <c r="S985" s="4"/>
      <c r="T985"/>
      <c r="U985" s="23"/>
    </row>
    <row r="986" spans="1:21" ht="15.6" x14ac:dyDescent="0.3">
      <c r="A986" s="4">
        <v>985</v>
      </c>
      <c r="B986" s="5">
        <v>7448147</v>
      </c>
      <c r="C986" s="4" t="s">
        <v>0</v>
      </c>
      <c r="D986" s="4" t="s">
        <v>8</v>
      </c>
      <c r="E986" s="4" t="s">
        <v>130</v>
      </c>
      <c r="F986" s="4" t="s">
        <v>2944</v>
      </c>
      <c r="G986" s="6">
        <v>3.6</v>
      </c>
      <c r="H986" s="7">
        <v>45710.02144675926</v>
      </c>
      <c r="I986" s="7" t="str">
        <f>TEXT(multilingual_mobile_app_reviews_2025[[#This Row],[Review_date]],"dd-mm-yyyy")</f>
        <v>22-02-2025</v>
      </c>
      <c r="J986" s="7" t="str">
        <f>TEXT(multilingual_mobile_app_reviews_2025[[#This Row],[Review_date]],"YYYY")</f>
        <v>2025</v>
      </c>
      <c r="K986" s="7" t="str">
        <f>TEXT(multilingual_mobile_app_reviews_2025[[#This Row],[Review_date]],"MMMM")</f>
        <v>February</v>
      </c>
      <c r="L986" s="4" t="b">
        <v>1</v>
      </c>
      <c r="M986" s="4" t="s">
        <v>22</v>
      </c>
      <c r="N986" s="5">
        <v>1074</v>
      </c>
      <c r="O986" s="5">
        <v>60</v>
      </c>
      <c r="P986" s="4" t="s">
        <v>80</v>
      </c>
      <c r="Q986" s="8" t="s">
        <v>12</v>
      </c>
      <c r="R986" s="4" t="s">
        <v>1261</v>
      </c>
      <c r="S986" s="4"/>
      <c r="T986"/>
      <c r="U986" s="23"/>
    </row>
    <row r="987" spans="1:21" ht="15.6" x14ac:dyDescent="0.3">
      <c r="A987" s="4">
        <v>986</v>
      </c>
      <c r="B987" s="5">
        <v>2447853</v>
      </c>
      <c r="C987" s="4" t="s">
        <v>244</v>
      </c>
      <c r="D987" s="4" t="s">
        <v>31</v>
      </c>
      <c r="E987" s="4" t="s">
        <v>1262</v>
      </c>
      <c r="F987" s="4" t="s">
        <v>2958</v>
      </c>
      <c r="G987" s="6">
        <v>1.6</v>
      </c>
      <c r="H987" s="7">
        <v>45172.133298611108</v>
      </c>
      <c r="I987" s="7" t="str">
        <f>TEXT(multilingual_mobile_app_reviews_2025[[#This Row],[Review_date]],"dd-mm-yyyy")</f>
        <v>03-09-2023</v>
      </c>
      <c r="J987" s="7" t="str">
        <f>TEXT(multilingual_mobile_app_reviews_2025[[#This Row],[Review_date]],"YYYY")</f>
        <v>2023</v>
      </c>
      <c r="K987" s="7" t="str">
        <f>TEXT(multilingual_mobile_app_reviews_2025[[#This Row],[Review_date]],"MMMM")</f>
        <v>September</v>
      </c>
      <c r="L987" s="4" t="b">
        <v>1</v>
      </c>
      <c r="M987" s="4" t="s">
        <v>22</v>
      </c>
      <c r="N987" s="5">
        <v>267</v>
      </c>
      <c r="O987" s="5">
        <v>58</v>
      </c>
      <c r="P987" s="4" t="s">
        <v>70</v>
      </c>
      <c r="Q987" s="8" t="s">
        <v>29</v>
      </c>
      <c r="R987" s="4" t="s">
        <v>1263</v>
      </c>
      <c r="S987" s="4"/>
      <c r="T987"/>
      <c r="U987" s="23"/>
    </row>
    <row r="988" spans="1:21" ht="15.6" x14ac:dyDescent="0.3">
      <c r="A988" s="4">
        <v>987</v>
      </c>
      <c r="B988" s="5">
        <v>2082850</v>
      </c>
      <c r="C988" s="4" t="s">
        <v>89</v>
      </c>
      <c r="D988" s="4" t="s">
        <v>63</v>
      </c>
      <c r="E988" s="4" t="s">
        <v>109</v>
      </c>
      <c r="F988" s="4" t="s">
        <v>2945</v>
      </c>
      <c r="G988" s="6">
        <v>2</v>
      </c>
      <c r="H988" s="7">
        <v>45303.293564814812</v>
      </c>
      <c r="I988" s="7" t="str">
        <f>TEXT(multilingual_mobile_app_reviews_2025[[#This Row],[Review_date]],"dd-mm-yyyy")</f>
        <v>12-01-2024</v>
      </c>
      <c r="J988" s="7" t="str">
        <f>TEXT(multilingual_mobile_app_reviews_2025[[#This Row],[Review_date]],"YYYY")</f>
        <v>2024</v>
      </c>
      <c r="K988" s="7" t="str">
        <f>TEXT(multilingual_mobile_app_reviews_2025[[#This Row],[Review_date]],"MMMM")</f>
        <v>January</v>
      </c>
      <c r="L988" s="4" t="b">
        <v>0</v>
      </c>
      <c r="M988" s="4" t="s">
        <v>22</v>
      </c>
      <c r="N988" s="5">
        <v>5</v>
      </c>
      <c r="O988" s="5">
        <v>56</v>
      </c>
      <c r="P988" s="4" t="s">
        <v>23</v>
      </c>
      <c r="Q988" s="8" t="s">
        <v>39</v>
      </c>
      <c r="R988" s="4" t="s">
        <v>1264</v>
      </c>
      <c r="S988" s="4"/>
      <c r="T988"/>
      <c r="U988" s="23"/>
    </row>
    <row r="989" spans="1:21" ht="15.6" x14ac:dyDescent="0.3">
      <c r="A989" s="4">
        <v>988</v>
      </c>
      <c r="B989" s="5">
        <v>8876491</v>
      </c>
      <c r="C989" s="4" t="s">
        <v>159</v>
      </c>
      <c r="D989" s="4" t="s">
        <v>1</v>
      </c>
      <c r="E989" s="4" t="s">
        <v>76</v>
      </c>
      <c r="F989" s="4" t="s">
        <v>2955</v>
      </c>
      <c r="G989" s="6">
        <v>1.4</v>
      </c>
      <c r="H989" s="7">
        <v>45494.905057870368</v>
      </c>
      <c r="I989" s="7" t="str">
        <f>TEXT(multilingual_mobile_app_reviews_2025[[#This Row],[Review_date]],"dd-mm-yyyy")</f>
        <v>21-07-2024</v>
      </c>
      <c r="J989" s="7" t="str">
        <f>TEXT(multilingual_mobile_app_reviews_2025[[#This Row],[Review_date]],"YYYY")</f>
        <v>2024</v>
      </c>
      <c r="K989" s="7" t="str">
        <f>TEXT(multilingual_mobile_app_reviews_2025[[#This Row],[Review_date]],"MMMM")</f>
        <v>July</v>
      </c>
      <c r="L989" s="4" t="b">
        <v>0</v>
      </c>
      <c r="M989" s="4" t="s">
        <v>98</v>
      </c>
      <c r="N989" s="5">
        <v>961</v>
      </c>
      <c r="O989" s="5">
        <v>32</v>
      </c>
      <c r="P989" s="4" t="s">
        <v>11</v>
      </c>
      <c r="Q989" s="8" t="s">
        <v>2963</v>
      </c>
      <c r="R989" s="4" t="s">
        <v>1265</v>
      </c>
      <c r="S989" s="4"/>
      <c r="T989"/>
      <c r="U989" s="23"/>
    </row>
    <row r="990" spans="1:21" ht="15.6" x14ac:dyDescent="0.3">
      <c r="A990" s="4">
        <v>989</v>
      </c>
      <c r="B990" s="5">
        <v>9102006</v>
      </c>
      <c r="C990" s="4" t="s">
        <v>132</v>
      </c>
      <c r="D990" s="4" t="s">
        <v>111</v>
      </c>
      <c r="E990" s="4" t="s">
        <v>76</v>
      </c>
      <c r="F990" s="4" t="s">
        <v>2951</v>
      </c>
      <c r="G990" s="6">
        <v>3.3</v>
      </c>
      <c r="H990" s="7">
        <v>45254.573969907404</v>
      </c>
      <c r="I990" s="7" t="str">
        <f>TEXT(multilingual_mobile_app_reviews_2025[[#This Row],[Review_date]],"dd-mm-yyyy")</f>
        <v>24-11-2023</v>
      </c>
      <c r="J990" s="7" t="str">
        <f>TEXT(multilingual_mobile_app_reviews_2025[[#This Row],[Review_date]],"YYYY")</f>
        <v>2023</v>
      </c>
      <c r="K990" s="7" t="str">
        <f>TEXT(multilingual_mobile_app_reviews_2025[[#This Row],[Review_date]],"MMMM")</f>
        <v>November</v>
      </c>
      <c r="L990" s="4" t="b">
        <v>0</v>
      </c>
      <c r="M990" s="4" t="s">
        <v>22</v>
      </c>
      <c r="N990" s="5">
        <v>242</v>
      </c>
      <c r="O990" s="5">
        <v>39</v>
      </c>
      <c r="P990" s="4" t="s">
        <v>99</v>
      </c>
      <c r="Q990" s="8" t="s">
        <v>12</v>
      </c>
      <c r="R990" s="4" t="s">
        <v>1266</v>
      </c>
      <c r="S990" s="4"/>
      <c r="T990"/>
      <c r="U990" s="23"/>
    </row>
    <row r="991" spans="1:21" ht="15.6" x14ac:dyDescent="0.3">
      <c r="A991" s="4">
        <v>990</v>
      </c>
      <c r="B991" s="5">
        <v>9819808</v>
      </c>
      <c r="C991" s="4" t="s">
        <v>159</v>
      </c>
      <c r="D991" s="4" t="s">
        <v>57</v>
      </c>
      <c r="E991" s="4" t="s">
        <v>1267</v>
      </c>
      <c r="F991" s="4" t="s">
        <v>2948</v>
      </c>
      <c r="G991" s="6">
        <v>4.2</v>
      </c>
      <c r="H991" s="7">
        <v>45601.010879629626</v>
      </c>
      <c r="I991" s="7" t="str">
        <f>TEXT(multilingual_mobile_app_reviews_2025[[#This Row],[Review_date]],"dd-mm-yyyy")</f>
        <v>05-11-2024</v>
      </c>
      <c r="J991" s="7" t="str">
        <f>TEXT(multilingual_mobile_app_reviews_2025[[#This Row],[Review_date]],"YYYY")</f>
        <v>2024</v>
      </c>
      <c r="K991" s="7" t="str">
        <f>TEXT(multilingual_mobile_app_reviews_2025[[#This Row],[Review_date]],"MMMM")</f>
        <v>November</v>
      </c>
      <c r="L991" s="4" t="b">
        <v>0</v>
      </c>
      <c r="M991" s="4" t="s">
        <v>10</v>
      </c>
      <c r="N991" s="5">
        <v>740</v>
      </c>
      <c r="O991" s="5">
        <v>16</v>
      </c>
      <c r="P991" s="4" t="s">
        <v>114</v>
      </c>
      <c r="Q991" s="8" t="s">
        <v>2963</v>
      </c>
      <c r="R991" s="4" t="s">
        <v>1268</v>
      </c>
      <c r="S991" s="4"/>
      <c r="T991"/>
      <c r="U991" s="23"/>
    </row>
    <row r="992" spans="1:21" ht="15.6" x14ac:dyDescent="0.3">
      <c r="A992" s="4">
        <v>991</v>
      </c>
      <c r="B992" s="5">
        <v>3800592</v>
      </c>
      <c r="C992" s="4" t="s">
        <v>165</v>
      </c>
      <c r="D992" s="4" t="s">
        <v>15</v>
      </c>
      <c r="E992" s="4" t="s">
        <v>9</v>
      </c>
      <c r="F992" s="4" t="s">
        <v>2939</v>
      </c>
      <c r="G992" s="6">
        <v>2.2000000000000002</v>
      </c>
      <c r="H992" s="7">
        <v>45187.897337962961</v>
      </c>
      <c r="I992" s="7" t="str">
        <f>TEXT(multilingual_mobile_app_reviews_2025[[#This Row],[Review_date]],"dd-mm-yyyy")</f>
        <v>18-09-2023</v>
      </c>
      <c r="J992" s="7" t="str">
        <f>TEXT(multilingual_mobile_app_reviews_2025[[#This Row],[Review_date]],"YYYY")</f>
        <v>2023</v>
      </c>
      <c r="K992" s="7" t="str">
        <f>TEXT(multilingual_mobile_app_reviews_2025[[#This Row],[Review_date]],"MMMM")</f>
        <v>September</v>
      </c>
      <c r="L992" s="4" t="b">
        <v>1</v>
      </c>
      <c r="M992" s="4" t="s">
        <v>33</v>
      </c>
      <c r="N992" s="5">
        <v>771</v>
      </c>
      <c r="O992" s="5">
        <v>23</v>
      </c>
      <c r="P992" s="4" t="s">
        <v>70</v>
      </c>
      <c r="Q992" s="8" t="s">
        <v>5</v>
      </c>
      <c r="R992" s="4" t="s">
        <v>794</v>
      </c>
      <c r="S992" s="4"/>
      <c r="T992"/>
      <c r="U992" s="23"/>
    </row>
    <row r="993" spans="1:21" ht="15.6" x14ac:dyDescent="0.3">
      <c r="A993" s="4">
        <v>992</v>
      </c>
      <c r="B993" s="5">
        <v>7250641</v>
      </c>
      <c r="C993" s="4" t="s">
        <v>96</v>
      </c>
      <c r="D993" s="4" t="s">
        <v>31</v>
      </c>
      <c r="E993" s="4" t="s">
        <v>1269</v>
      </c>
      <c r="F993" s="4" t="s">
        <v>2954</v>
      </c>
      <c r="G993" s="6">
        <v>2.1</v>
      </c>
      <c r="H993" s="7">
        <v>45679.707199074073</v>
      </c>
      <c r="I993" s="7" t="str">
        <f>TEXT(multilingual_mobile_app_reviews_2025[[#This Row],[Review_date]],"dd-mm-yyyy")</f>
        <v>22-01-2025</v>
      </c>
      <c r="J993" s="7" t="str">
        <f>TEXT(multilingual_mobile_app_reviews_2025[[#This Row],[Review_date]],"YYYY")</f>
        <v>2025</v>
      </c>
      <c r="K993" s="7" t="str">
        <f>TEXT(multilingual_mobile_app_reviews_2025[[#This Row],[Review_date]],"MMMM")</f>
        <v>January</v>
      </c>
      <c r="L993" s="4" t="b">
        <v>1</v>
      </c>
      <c r="M993" s="4" t="s">
        <v>22</v>
      </c>
      <c r="N993" s="5">
        <v>207</v>
      </c>
      <c r="O993" s="5">
        <v>56</v>
      </c>
      <c r="P993" s="4" t="s">
        <v>85</v>
      </c>
      <c r="Q993" s="8" t="s">
        <v>2963</v>
      </c>
      <c r="R993" s="4" t="s">
        <v>1270</v>
      </c>
      <c r="S993" s="4"/>
      <c r="T993"/>
      <c r="U993" s="23"/>
    </row>
    <row r="994" spans="1:21" ht="15.6" x14ac:dyDescent="0.3">
      <c r="A994" s="4">
        <v>993</v>
      </c>
      <c r="B994" s="5">
        <v>9384641</v>
      </c>
      <c r="C994" s="4" t="s">
        <v>147</v>
      </c>
      <c r="D994" s="4" t="s">
        <v>1</v>
      </c>
      <c r="E994" s="4" t="s">
        <v>1271</v>
      </c>
      <c r="F994" s="4" t="s">
        <v>2941</v>
      </c>
      <c r="G994" s="6">
        <v>3.6</v>
      </c>
      <c r="H994" s="7">
        <v>45635.845590277779</v>
      </c>
      <c r="I994" s="7" t="str">
        <f>TEXT(multilingual_mobile_app_reviews_2025[[#This Row],[Review_date]],"dd-mm-yyyy")</f>
        <v>09-12-2024</v>
      </c>
      <c r="J994" s="7" t="str">
        <f>TEXT(multilingual_mobile_app_reviews_2025[[#This Row],[Review_date]],"YYYY")</f>
        <v>2024</v>
      </c>
      <c r="K994" s="7" t="str">
        <f>TEXT(multilingual_mobile_app_reviews_2025[[#This Row],[Review_date]],"MMMM")</f>
        <v>December</v>
      </c>
      <c r="L994" s="4" t="b">
        <v>1</v>
      </c>
      <c r="M994" s="4" t="s">
        <v>33</v>
      </c>
      <c r="N994" s="5">
        <v>778</v>
      </c>
      <c r="O994" s="5">
        <v>29</v>
      </c>
      <c r="P994" s="4" t="s">
        <v>17</v>
      </c>
      <c r="Q994" s="8" t="s">
        <v>5</v>
      </c>
      <c r="R994" s="4" t="s">
        <v>501</v>
      </c>
      <c r="S994" s="4"/>
      <c r="T994"/>
      <c r="U994" s="23"/>
    </row>
    <row r="995" spans="1:21" ht="15.6" x14ac:dyDescent="0.3">
      <c r="A995" s="4">
        <v>994</v>
      </c>
      <c r="B995" s="5">
        <v>8875941</v>
      </c>
      <c r="C995" s="4" t="s">
        <v>96</v>
      </c>
      <c r="D995" s="4" t="s">
        <v>57</v>
      </c>
      <c r="E995" s="4" t="s">
        <v>27</v>
      </c>
      <c r="F995" s="4" t="s">
        <v>2953</v>
      </c>
      <c r="G995" s="6">
        <v>2</v>
      </c>
      <c r="H995" s="7">
        <v>45488.729155092595</v>
      </c>
      <c r="I995" s="7" t="str">
        <f>TEXT(multilingual_mobile_app_reviews_2025[[#This Row],[Review_date]],"dd-mm-yyyy")</f>
        <v>15-07-2024</v>
      </c>
      <c r="J995" s="7" t="str">
        <f>TEXT(multilingual_mobile_app_reviews_2025[[#This Row],[Review_date]],"YYYY")</f>
        <v>2024</v>
      </c>
      <c r="K995" s="7" t="str">
        <f>TEXT(multilingual_mobile_app_reviews_2025[[#This Row],[Review_date]],"MMMM")</f>
        <v>July</v>
      </c>
      <c r="L995" s="4" t="b">
        <v>1</v>
      </c>
      <c r="M995" s="4" t="s">
        <v>22</v>
      </c>
      <c r="N995" s="5">
        <v>71</v>
      </c>
      <c r="O995" s="5">
        <v>64</v>
      </c>
      <c r="P995" s="4" t="s">
        <v>61</v>
      </c>
      <c r="Q995" s="8" t="s">
        <v>5</v>
      </c>
      <c r="R995" s="4" t="s">
        <v>1272</v>
      </c>
      <c r="S995" s="4"/>
      <c r="T995"/>
      <c r="U995" s="23"/>
    </row>
    <row r="996" spans="1:21" ht="15.6" x14ac:dyDescent="0.3">
      <c r="A996" s="4">
        <v>995</v>
      </c>
      <c r="B996" s="5">
        <v>4114011</v>
      </c>
      <c r="C996" s="4" t="s">
        <v>132</v>
      </c>
      <c r="D996" s="4" t="s">
        <v>79</v>
      </c>
      <c r="E996" s="4" t="s">
        <v>1273</v>
      </c>
      <c r="F996" s="4" t="s">
        <v>2944</v>
      </c>
      <c r="G996" s="6">
        <v>3</v>
      </c>
      <c r="H996" s="7">
        <v>45558.09337962963</v>
      </c>
      <c r="I996" s="7" t="str">
        <f>TEXT(multilingual_mobile_app_reviews_2025[[#This Row],[Review_date]],"dd-mm-yyyy")</f>
        <v>23-09-2024</v>
      </c>
      <c r="J996" s="7" t="str">
        <f>TEXT(multilingual_mobile_app_reviews_2025[[#This Row],[Review_date]],"YYYY")</f>
        <v>2024</v>
      </c>
      <c r="K996" s="7" t="str">
        <f>TEXT(multilingual_mobile_app_reviews_2025[[#This Row],[Review_date]],"MMMM")</f>
        <v>September</v>
      </c>
      <c r="L996" s="4" t="b">
        <v>1</v>
      </c>
      <c r="M996" s="4" t="s">
        <v>3</v>
      </c>
      <c r="N996" s="5">
        <v>822</v>
      </c>
      <c r="O996" s="5">
        <v>50</v>
      </c>
      <c r="P996" s="4" t="s">
        <v>61</v>
      </c>
      <c r="Q996" s="8" t="s">
        <v>39</v>
      </c>
      <c r="R996" s="4" t="s">
        <v>1274</v>
      </c>
      <c r="S996" s="4"/>
      <c r="T996"/>
      <c r="U996" s="23"/>
    </row>
    <row r="997" spans="1:21" ht="15.6" x14ac:dyDescent="0.3">
      <c r="A997" s="4">
        <v>996</v>
      </c>
      <c r="B997" s="5">
        <v>3778843</v>
      </c>
      <c r="C997" s="4" t="s">
        <v>67</v>
      </c>
      <c r="D997" s="4" t="s">
        <v>157</v>
      </c>
      <c r="E997" s="4" t="s">
        <v>93</v>
      </c>
      <c r="F997" s="4" t="s">
        <v>2948</v>
      </c>
      <c r="G997" s="6">
        <v>2.5</v>
      </c>
      <c r="H997" s="7">
        <v>45499.445497685185</v>
      </c>
      <c r="I997" s="7" t="str">
        <f>TEXT(multilingual_mobile_app_reviews_2025[[#This Row],[Review_date]],"dd-mm-yyyy")</f>
        <v>26-07-2024</v>
      </c>
      <c r="J997" s="7" t="str">
        <f>TEXT(multilingual_mobile_app_reviews_2025[[#This Row],[Review_date]],"YYYY")</f>
        <v>2024</v>
      </c>
      <c r="K997" s="7" t="str">
        <f>TEXT(multilingual_mobile_app_reviews_2025[[#This Row],[Review_date]],"MMMM")</f>
        <v>July</v>
      </c>
      <c r="L997" s="4" t="b">
        <v>0</v>
      </c>
      <c r="M997" s="4" t="s">
        <v>98</v>
      </c>
      <c r="N997" s="5">
        <v>882</v>
      </c>
      <c r="O997" s="5">
        <v>26</v>
      </c>
      <c r="P997" s="4" t="s">
        <v>230</v>
      </c>
      <c r="Q997" s="8" t="s">
        <v>5</v>
      </c>
      <c r="R997" s="4" t="s">
        <v>1275</v>
      </c>
      <c r="S997" s="4"/>
      <c r="T997"/>
      <c r="U997" s="23"/>
    </row>
    <row r="998" spans="1:21" ht="15.6" x14ac:dyDescent="0.3">
      <c r="A998" s="4">
        <v>997</v>
      </c>
      <c r="B998" s="5">
        <v>3591484</v>
      </c>
      <c r="C998" s="4" t="s">
        <v>25</v>
      </c>
      <c r="D998" s="4" t="s">
        <v>26</v>
      </c>
      <c r="E998" s="4" t="s">
        <v>1276</v>
      </c>
      <c r="F998" s="4" t="s">
        <v>2955</v>
      </c>
      <c r="G998" s="6">
        <v>1.6</v>
      </c>
      <c r="H998" s="7">
        <v>45764.259618055556</v>
      </c>
      <c r="I998" s="7" t="str">
        <f>TEXT(multilingual_mobile_app_reviews_2025[[#This Row],[Review_date]],"dd-mm-yyyy")</f>
        <v>17-04-2025</v>
      </c>
      <c r="J998" s="7" t="str">
        <f>TEXT(multilingual_mobile_app_reviews_2025[[#This Row],[Review_date]],"YYYY")</f>
        <v>2025</v>
      </c>
      <c r="K998" s="7" t="str">
        <f>TEXT(multilingual_mobile_app_reviews_2025[[#This Row],[Review_date]],"MMMM")</f>
        <v>April</v>
      </c>
      <c r="L998" s="4" t="b">
        <v>0</v>
      </c>
      <c r="M998" s="4" t="s">
        <v>10</v>
      </c>
      <c r="N998" s="5">
        <v>1179</v>
      </c>
      <c r="O998" s="5">
        <v>37</v>
      </c>
      <c r="P998" s="4" t="s">
        <v>11</v>
      </c>
      <c r="Q998" s="8" t="s">
        <v>39</v>
      </c>
      <c r="R998" s="4" t="s">
        <v>1277</v>
      </c>
      <c r="S998" s="4"/>
      <c r="T998"/>
      <c r="U998" s="23"/>
    </row>
    <row r="999" spans="1:21" ht="15.6" x14ac:dyDescent="0.3">
      <c r="A999" s="4">
        <v>998</v>
      </c>
      <c r="B999" s="5">
        <v>7702555</v>
      </c>
      <c r="C999" s="4" t="s">
        <v>19</v>
      </c>
      <c r="D999" s="4" t="s">
        <v>31</v>
      </c>
      <c r="E999" s="4" t="s">
        <v>32</v>
      </c>
      <c r="F999" s="4" t="s">
        <v>2942</v>
      </c>
      <c r="G999" s="6">
        <v>4.7</v>
      </c>
      <c r="H999" s="7">
        <v>45172.523958333331</v>
      </c>
      <c r="I999" s="7" t="str">
        <f>TEXT(multilingual_mobile_app_reviews_2025[[#This Row],[Review_date]],"dd-mm-yyyy")</f>
        <v>03-09-2023</v>
      </c>
      <c r="J999" s="7" t="str">
        <f>TEXT(multilingual_mobile_app_reviews_2025[[#This Row],[Review_date]],"YYYY")</f>
        <v>2023</v>
      </c>
      <c r="K999" s="7" t="str">
        <f>TEXT(multilingual_mobile_app_reviews_2025[[#This Row],[Review_date]],"MMMM")</f>
        <v>September</v>
      </c>
      <c r="L999" s="4" t="b">
        <v>1</v>
      </c>
      <c r="M999" s="4" t="s">
        <v>10</v>
      </c>
      <c r="N999" s="5">
        <v>107</v>
      </c>
      <c r="O999" s="5">
        <v>55</v>
      </c>
      <c r="P999" s="4" t="s">
        <v>230</v>
      </c>
      <c r="Q999" s="8" t="s">
        <v>2963</v>
      </c>
      <c r="R999" s="4" t="s">
        <v>1278</v>
      </c>
      <c r="S999" s="4"/>
      <c r="T999"/>
      <c r="U999" s="23"/>
    </row>
    <row r="1000" spans="1:21" ht="15.6" x14ac:dyDescent="0.3">
      <c r="A1000" s="4">
        <v>999</v>
      </c>
      <c r="B1000" s="5">
        <v>980075</v>
      </c>
      <c r="C1000" s="4" t="s">
        <v>123</v>
      </c>
      <c r="D1000" s="4" t="s">
        <v>26</v>
      </c>
      <c r="E1000" s="4" t="s">
        <v>27</v>
      </c>
      <c r="F1000" s="4" t="s">
        <v>2957</v>
      </c>
      <c r="G1000" s="6">
        <v>4.0999999999999996</v>
      </c>
      <c r="H1000" s="7">
        <v>45857.239317129628</v>
      </c>
      <c r="I1000" s="7" t="str">
        <f>TEXT(multilingual_mobile_app_reviews_2025[[#This Row],[Review_date]],"dd-mm-yyyy")</f>
        <v>19-07-2025</v>
      </c>
      <c r="J1000" s="7" t="str">
        <f>TEXT(multilingual_mobile_app_reviews_2025[[#This Row],[Review_date]],"YYYY")</f>
        <v>2025</v>
      </c>
      <c r="K1000" s="7" t="str">
        <f>TEXT(multilingual_mobile_app_reviews_2025[[#This Row],[Review_date]],"MMMM")</f>
        <v>July</v>
      </c>
      <c r="L1000" s="4" t="b">
        <v>1</v>
      </c>
      <c r="M1000" s="4" t="s">
        <v>22</v>
      </c>
      <c r="N1000" s="5">
        <v>213</v>
      </c>
      <c r="O1000" s="5">
        <v>74</v>
      </c>
      <c r="P1000" s="4" t="s">
        <v>94</v>
      </c>
      <c r="Q1000" s="8" t="s">
        <v>12</v>
      </c>
      <c r="R1000" s="4" t="s">
        <v>1279</v>
      </c>
      <c r="S1000" s="4"/>
      <c r="T1000"/>
      <c r="U1000" s="23"/>
    </row>
    <row r="1001" spans="1:21" ht="15.6" x14ac:dyDescent="0.3">
      <c r="A1001" s="4">
        <v>1000</v>
      </c>
      <c r="B1001" s="5">
        <v>3050904</v>
      </c>
      <c r="C1001" s="4" t="s">
        <v>84</v>
      </c>
      <c r="D1001" s="4" t="s">
        <v>47</v>
      </c>
      <c r="E1001" s="4" t="s">
        <v>64</v>
      </c>
      <c r="F1001" s="4" t="s">
        <v>2944</v>
      </c>
      <c r="G1001" s="6">
        <v>2.2999999999999998</v>
      </c>
      <c r="H1001" s="7">
        <v>45261.635925925926</v>
      </c>
      <c r="I1001" s="7" t="str">
        <f>TEXT(multilingual_mobile_app_reviews_2025[[#This Row],[Review_date]],"dd-mm-yyyy")</f>
        <v>01-12-2023</v>
      </c>
      <c r="J1001" s="7" t="str">
        <f>TEXT(multilingual_mobile_app_reviews_2025[[#This Row],[Review_date]],"YYYY")</f>
        <v>2023</v>
      </c>
      <c r="K1001" s="7" t="str">
        <f>TEXT(multilingual_mobile_app_reviews_2025[[#This Row],[Review_date]],"MMMM")</f>
        <v>December</v>
      </c>
      <c r="L1001" s="4" t="b">
        <v>1</v>
      </c>
      <c r="M1001" s="4" t="s">
        <v>22</v>
      </c>
      <c r="N1001" s="5">
        <v>742</v>
      </c>
      <c r="O1001" s="5">
        <v>65</v>
      </c>
      <c r="P1001" s="4" t="s">
        <v>94</v>
      </c>
      <c r="Q1001" s="8" t="s">
        <v>39</v>
      </c>
      <c r="R1001" s="4" t="s">
        <v>1280</v>
      </c>
      <c r="S1001" s="4"/>
      <c r="T1001"/>
      <c r="U1001" s="23"/>
    </row>
    <row r="1002" spans="1:21" ht="15.6" x14ac:dyDescent="0.3">
      <c r="A1002" s="4">
        <v>1001</v>
      </c>
      <c r="B1002" s="5">
        <v>8237979</v>
      </c>
      <c r="C1002" s="4" t="s">
        <v>19</v>
      </c>
      <c r="D1002" s="4" t="s">
        <v>60</v>
      </c>
      <c r="E1002" s="4" t="s">
        <v>1281</v>
      </c>
      <c r="F1002" s="4" t="s">
        <v>2939</v>
      </c>
      <c r="G1002" s="6">
        <v>3.8</v>
      </c>
      <c r="H1002" s="7">
        <v>45612.239305555559</v>
      </c>
      <c r="I1002" s="7" t="str">
        <f>TEXT(multilingual_mobile_app_reviews_2025[[#This Row],[Review_date]],"dd-mm-yyyy")</f>
        <v>16-11-2024</v>
      </c>
      <c r="J1002" s="7" t="str">
        <f>TEXT(multilingual_mobile_app_reviews_2025[[#This Row],[Review_date]],"YYYY")</f>
        <v>2024</v>
      </c>
      <c r="K1002" s="7" t="str">
        <f>TEXT(multilingual_mobile_app_reviews_2025[[#This Row],[Review_date]],"MMMM")</f>
        <v>November</v>
      </c>
      <c r="L1002" s="4" t="b">
        <v>1</v>
      </c>
      <c r="M1002" s="4" t="s">
        <v>3</v>
      </c>
      <c r="N1002" s="5">
        <v>699</v>
      </c>
      <c r="O1002" s="5">
        <v>69</v>
      </c>
      <c r="P1002" s="4" t="s">
        <v>44</v>
      </c>
      <c r="Q1002" s="8" t="s">
        <v>5</v>
      </c>
      <c r="R1002" s="4" t="s">
        <v>475</v>
      </c>
      <c r="S1002" s="4"/>
      <c r="T1002"/>
      <c r="U1002" s="23"/>
    </row>
    <row r="1003" spans="1:21" ht="15.6" x14ac:dyDescent="0.3">
      <c r="A1003" s="4">
        <v>1002</v>
      </c>
      <c r="B1003" s="5">
        <v>3087363</v>
      </c>
      <c r="C1003" s="4" t="s">
        <v>208</v>
      </c>
      <c r="D1003" s="4" t="s">
        <v>157</v>
      </c>
      <c r="E1003" s="4" t="s">
        <v>109</v>
      </c>
      <c r="F1003" s="4" t="s">
        <v>2956</v>
      </c>
      <c r="G1003" s="6">
        <v>4.3</v>
      </c>
      <c r="H1003" s="7">
        <v>45439.7266087963</v>
      </c>
      <c r="I1003" s="7" t="str">
        <f>TEXT(multilingual_mobile_app_reviews_2025[[#This Row],[Review_date]],"dd-mm-yyyy")</f>
        <v>27-05-2024</v>
      </c>
      <c r="J1003" s="7" t="str">
        <f>TEXT(multilingual_mobile_app_reviews_2025[[#This Row],[Review_date]],"YYYY")</f>
        <v>2024</v>
      </c>
      <c r="K1003" s="7" t="str">
        <f>TEXT(multilingual_mobile_app_reviews_2025[[#This Row],[Review_date]],"MMMM")</f>
        <v>May</v>
      </c>
      <c r="L1003" s="4" t="b">
        <v>1</v>
      </c>
      <c r="M1003" s="4" t="s">
        <v>10</v>
      </c>
      <c r="N1003" s="5">
        <v>312</v>
      </c>
      <c r="O1003" s="5">
        <v>65</v>
      </c>
      <c r="P1003" s="4" t="s">
        <v>70</v>
      </c>
      <c r="Q1003" s="8" t="s">
        <v>2963</v>
      </c>
      <c r="R1003" s="4" t="s">
        <v>1282</v>
      </c>
      <c r="S1003" s="4"/>
      <c r="T1003"/>
      <c r="U1003" s="23"/>
    </row>
    <row r="1004" spans="1:21" ht="15.6" x14ac:dyDescent="0.3">
      <c r="A1004" s="4">
        <v>1003</v>
      </c>
      <c r="B1004" s="5">
        <v>2388489</v>
      </c>
      <c r="C1004" s="4" t="s">
        <v>78</v>
      </c>
      <c r="D1004" s="4" t="s">
        <v>63</v>
      </c>
      <c r="E1004" s="4" t="s">
        <v>76</v>
      </c>
      <c r="F1004" s="4" t="s">
        <v>2954</v>
      </c>
      <c r="G1004" s="6">
        <v>2.9</v>
      </c>
      <c r="H1004" s="7">
        <v>45494.415590277778</v>
      </c>
      <c r="I1004" s="7" t="str">
        <f>TEXT(multilingual_mobile_app_reviews_2025[[#This Row],[Review_date]],"dd-mm-yyyy")</f>
        <v>21-07-2024</v>
      </c>
      <c r="J1004" s="7" t="str">
        <f>TEXT(multilingual_mobile_app_reviews_2025[[#This Row],[Review_date]],"YYYY")</f>
        <v>2024</v>
      </c>
      <c r="K1004" s="7" t="str">
        <f>TEXT(multilingual_mobile_app_reviews_2025[[#This Row],[Review_date]],"MMMM")</f>
        <v>July</v>
      </c>
      <c r="L1004" s="4" t="b">
        <v>0</v>
      </c>
      <c r="M1004" s="4" t="s">
        <v>22</v>
      </c>
      <c r="N1004" s="5">
        <v>245</v>
      </c>
      <c r="O1004" s="5">
        <v>40</v>
      </c>
      <c r="P1004" s="4" t="s">
        <v>118</v>
      </c>
      <c r="Q1004" s="8" t="s">
        <v>2963</v>
      </c>
      <c r="R1004" s="4" t="s">
        <v>965</v>
      </c>
      <c r="S1004" s="4"/>
      <c r="T1004"/>
      <c r="U1004" s="23"/>
    </row>
    <row r="1005" spans="1:21" ht="15.6" x14ac:dyDescent="0.3">
      <c r="A1005" s="4">
        <v>1004</v>
      </c>
      <c r="B1005" s="5">
        <v>3357379</v>
      </c>
      <c r="C1005" s="4" t="s">
        <v>159</v>
      </c>
      <c r="D1005" s="4" t="s">
        <v>97</v>
      </c>
      <c r="E1005" s="4" t="s">
        <v>27</v>
      </c>
      <c r="F1005" s="4" t="s">
        <v>2960</v>
      </c>
      <c r="G1005" s="6">
        <v>3.5</v>
      </c>
      <c r="H1005" s="7">
        <v>45629.783587962964</v>
      </c>
      <c r="I1005" s="7" t="str">
        <f>TEXT(multilingual_mobile_app_reviews_2025[[#This Row],[Review_date]],"dd-mm-yyyy")</f>
        <v>03-12-2024</v>
      </c>
      <c r="J1005" s="7" t="str">
        <f>TEXT(multilingual_mobile_app_reviews_2025[[#This Row],[Review_date]],"YYYY")</f>
        <v>2024</v>
      </c>
      <c r="K1005" s="7" t="str">
        <f>TEXT(multilingual_mobile_app_reviews_2025[[#This Row],[Review_date]],"MMMM")</f>
        <v>December</v>
      </c>
      <c r="L1005" s="4" t="b">
        <v>1</v>
      </c>
      <c r="M1005" s="4" t="s">
        <v>10</v>
      </c>
      <c r="N1005" s="5">
        <v>315</v>
      </c>
      <c r="O1005" s="5">
        <v>46</v>
      </c>
      <c r="P1005" s="4" t="s">
        <v>11</v>
      </c>
      <c r="Q1005" s="8" t="s">
        <v>5</v>
      </c>
      <c r="R1005" s="4" t="s">
        <v>1283</v>
      </c>
      <c r="S1005" s="4"/>
      <c r="T1005"/>
      <c r="U1005" s="23"/>
    </row>
    <row r="1006" spans="1:21" ht="15.6" x14ac:dyDescent="0.3">
      <c r="A1006" s="4">
        <v>1005</v>
      </c>
      <c r="B1006" s="5">
        <v>4624723</v>
      </c>
      <c r="C1006" s="4" t="s">
        <v>59</v>
      </c>
      <c r="D1006" s="4" t="s">
        <v>8</v>
      </c>
      <c r="E1006" s="4" t="s">
        <v>27</v>
      </c>
      <c r="F1006" s="4" t="s">
        <v>2953</v>
      </c>
      <c r="G1006" s="6">
        <v>1.6</v>
      </c>
      <c r="H1006" s="7">
        <v>45295.940115740741</v>
      </c>
      <c r="I1006" s="7" t="str">
        <f>TEXT(multilingual_mobile_app_reviews_2025[[#This Row],[Review_date]],"dd-mm-yyyy")</f>
        <v>04-01-2024</v>
      </c>
      <c r="J1006" s="7" t="str">
        <f>TEXT(multilingual_mobile_app_reviews_2025[[#This Row],[Review_date]],"YYYY")</f>
        <v>2024</v>
      </c>
      <c r="K1006" s="7" t="str">
        <f>TEXT(multilingual_mobile_app_reviews_2025[[#This Row],[Review_date]],"MMMM")</f>
        <v>January</v>
      </c>
      <c r="L1006" s="4" t="b">
        <v>1</v>
      </c>
      <c r="M1006" s="4" t="s">
        <v>22</v>
      </c>
      <c r="N1006" s="5">
        <v>906</v>
      </c>
      <c r="O1006" s="5">
        <v>27</v>
      </c>
      <c r="P1006" s="4" t="s">
        <v>61</v>
      </c>
      <c r="Q1006" s="8" t="s">
        <v>2963</v>
      </c>
      <c r="R1006" s="4" t="s">
        <v>1284</v>
      </c>
      <c r="S1006" s="4"/>
      <c r="T1006"/>
      <c r="U1006" s="23"/>
    </row>
    <row r="1007" spans="1:21" ht="15.6" x14ac:dyDescent="0.3">
      <c r="A1007" s="4">
        <v>1006</v>
      </c>
      <c r="B1007" s="5">
        <v>2234259</v>
      </c>
      <c r="C1007" s="4" t="s">
        <v>54</v>
      </c>
      <c r="D1007" s="4" t="s">
        <v>8</v>
      </c>
      <c r="E1007" s="4" t="s">
        <v>16</v>
      </c>
      <c r="F1007" s="4" t="s">
        <v>2948</v>
      </c>
      <c r="G1007" s="6">
        <v>2.4</v>
      </c>
      <c r="H1007" s="7">
        <v>45163.806875000002</v>
      </c>
      <c r="I1007" s="7" t="str">
        <f>TEXT(multilingual_mobile_app_reviews_2025[[#This Row],[Review_date]],"dd-mm-yyyy")</f>
        <v>25-08-2023</v>
      </c>
      <c r="J1007" s="7" t="str">
        <f>TEXT(multilingual_mobile_app_reviews_2025[[#This Row],[Review_date]],"YYYY")</f>
        <v>2023</v>
      </c>
      <c r="K1007" s="7" t="str">
        <f>TEXT(multilingual_mobile_app_reviews_2025[[#This Row],[Review_date]],"MMMM")</f>
        <v>August</v>
      </c>
      <c r="L1007" s="4" t="b">
        <v>0</v>
      </c>
      <c r="M1007" s="4" t="s">
        <v>98</v>
      </c>
      <c r="N1007" s="5">
        <v>961</v>
      </c>
      <c r="O1007" s="5">
        <v>38</v>
      </c>
      <c r="P1007" s="4" t="s">
        <v>4</v>
      </c>
      <c r="Q1007" s="8" t="s">
        <v>12</v>
      </c>
      <c r="R1007" s="4" t="s">
        <v>551</v>
      </c>
      <c r="S1007" s="4"/>
      <c r="T1007"/>
      <c r="U1007" s="23"/>
    </row>
    <row r="1008" spans="1:21" ht="15.6" x14ac:dyDescent="0.3">
      <c r="A1008" s="4">
        <v>1007</v>
      </c>
      <c r="B1008" s="5">
        <v>9640629</v>
      </c>
      <c r="C1008" s="4" t="s">
        <v>14</v>
      </c>
      <c r="D1008" s="4" t="s">
        <v>97</v>
      </c>
      <c r="E1008" s="4" t="s">
        <v>130</v>
      </c>
      <c r="F1008" s="4" t="s">
        <v>2942</v>
      </c>
      <c r="G1008" s="6">
        <v>1.6</v>
      </c>
      <c r="H1008" s="7">
        <v>45185.211134259262</v>
      </c>
      <c r="I1008" s="7" t="str">
        <f>TEXT(multilingual_mobile_app_reviews_2025[[#This Row],[Review_date]],"dd-mm-yyyy")</f>
        <v>16-09-2023</v>
      </c>
      <c r="J1008" s="7" t="str">
        <f>TEXT(multilingual_mobile_app_reviews_2025[[#This Row],[Review_date]],"YYYY")</f>
        <v>2023</v>
      </c>
      <c r="K1008" s="7" t="str">
        <f>TEXT(multilingual_mobile_app_reviews_2025[[#This Row],[Review_date]],"MMMM")</f>
        <v>September</v>
      </c>
      <c r="L1008" s="4" t="b">
        <v>1</v>
      </c>
      <c r="M1008" s="4" t="s">
        <v>98</v>
      </c>
      <c r="N1008" s="5">
        <v>725</v>
      </c>
      <c r="O1008" s="5">
        <v>54</v>
      </c>
      <c r="P1008" s="4" t="s">
        <v>34</v>
      </c>
      <c r="Q1008" s="8" t="s">
        <v>5</v>
      </c>
      <c r="R1008" s="4" t="s">
        <v>1285</v>
      </c>
      <c r="S1008" s="4"/>
      <c r="T1008"/>
      <c r="U1008" s="23"/>
    </row>
    <row r="1009" spans="1:21" ht="15.6" x14ac:dyDescent="0.3">
      <c r="A1009" s="4">
        <v>1008</v>
      </c>
      <c r="B1009" s="5">
        <v>2390115</v>
      </c>
      <c r="C1009" s="4" t="s">
        <v>59</v>
      </c>
      <c r="D1009" s="4" t="s">
        <v>157</v>
      </c>
      <c r="E1009" s="4" t="s">
        <v>9</v>
      </c>
      <c r="F1009" s="4" t="s">
        <v>2946</v>
      </c>
      <c r="G1009" s="6">
        <v>4</v>
      </c>
      <c r="H1009" s="7">
        <v>45225.179386574076</v>
      </c>
      <c r="I1009" s="7" t="str">
        <f>TEXT(multilingual_mobile_app_reviews_2025[[#This Row],[Review_date]],"dd-mm-yyyy")</f>
        <v>26-10-2023</v>
      </c>
      <c r="J1009" s="7" t="str">
        <f>TEXT(multilingual_mobile_app_reviews_2025[[#This Row],[Review_date]],"YYYY")</f>
        <v>2023</v>
      </c>
      <c r="K1009" s="7" t="str">
        <f>TEXT(multilingual_mobile_app_reviews_2025[[#This Row],[Review_date]],"MMMM")</f>
        <v>October</v>
      </c>
      <c r="L1009" s="4" t="b">
        <v>1</v>
      </c>
      <c r="M1009" s="4" t="s">
        <v>22</v>
      </c>
      <c r="N1009" s="5">
        <v>297</v>
      </c>
      <c r="O1009" s="5">
        <v>26</v>
      </c>
      <c r="P1009" s="4" t="s">
        <v>127</v>
      </c>
      <c r="Q1009" s="8" t="s">
        <v>2963</v>
      </c>
      <c r="R1009" s="4" t="s">
        <v>1286</v>
      </c>
      <c r="S1009" s="4"/>
      <c r="T1009"/>
      <c r="U1009" s="23"/>
    </row>
    <row r="1010" spans="1:21" ht="15.6" x14ac:dyDescent="0.3">
      <c r="A1010" s="4">
        <v>1009</v>
      </c>
      <c r="B1010" s="5">
        <v>7793677</v>
      </c>
      <c r="C1010" s="4" t="s">
        <v>137</v>
      </c>
      <c r="D1010" s="4" t="s">
        <v>71</v>
      </c>
      <c r="E1010" s="4" t="s">
        <v>76</v>
      </c>
      <c r="F1010" s="4" t="s">
        <v>2952</v>
      </c>
      <c r="G1010" s="6">
        <v>3.9</v>
      </c>
      <c r="H1010" s="7">
        <v>45463.722326388888</v>
      </c>
      <c r="I1010" s="7" t="str">
        <f>TEXT(multilingual_mobile_app_reviews_2025[[#This Row],[Review_date]],"dd-mm-yyyy")</f>
        <v>20-06-2024</v>
      </c>
      <c r="J1010" s="7" t="str">
        <f>TEXT(multilingual_mobile_app_reviews_2025[[#This Row],[Review_date]],"YYYY")</f>
        <v>2024</v>
      </c>
      <c r="K1010" s="7" t="str">
        <f>TEXT(multilingual_mobile_app_reviews_2025[[#This Row],[Review_date]],"MMMM")</f>
        <v>June</v>
      </c>
      <c r="L1010" s="4" t="b">
        <v>1</v>
      </c>
      <c r="M1010" s="4" t="s">
        <v>10</v>
      </c>
      <c r="N1010" s="5">
        <v>829</v>
      </c>
      <c r="O1010" s="5">
        <v>16</v>
      </c>
      <c r="P1010" s="4" t="s">
        <v>11</v>
      </c>
      <c r="Q1010" s="8" t="s">
        <v>5</v>
      </c>
      <c r="R1010" s="4" t="s">
        <v>1287</v>
      </c>
      <c r="S1010" s="4"/>
      <c r="T1010"/>
      <c r="U1010" s="23"/>
    </row>
    <row r="1011" spans="1:21" ht="15.6" x14ac:dyDescent="0.3">
      <c r="A1011" s="4">
        <v>1010</v>
      </c>
      <c r="B1011" s="5">
        <v>5864248</v>
      </c>
      <c r="C1011" s="4" t="s">
        <v>101</v>
      </c>
      <c r="D1011" s="4" t="s">
        <v>8</v>
      </c>
      <c r="E1011" s="4" t="s">
        <v>21</v>
      </c>
      <c r="F1011" s="4" t="s">
        <v>2960</v>
      </c>
      <c r="G1011" s="6">
        <v>3.7</v>
      </c>
      <c r="H1011" s="7">
        <v>45309.643576388888</v>
      </c>
      <c r="I1011" s="7" t="str">
        <f>TEXT(multilingual_mobile_app_reviews_2025[[#This Row],[Review_date]],"dd-mm-yyyy")</f>
        <v>18-01-2024</v>
      </c>
      <c r="J1011" s="7" t="str">
        <f>TEXT(multilingual_mobile_app_reviews_2025[[#This Row],[Review_date]],"YYYY")</f>
        <v>2024</v>
      </c>
      <c r="K1011" s="7" t="str">
        <f>TEXT(multilingual_mobile_app_reviews_2025[[#This Row],[Review_date]],"MMMM")</f>
        <v>January</v>
      </c>
      <c r="L1011" s="4" t="b">
        <v>1</v>
      </c>
      <c r="M1011" s="4" t="s">
        <v>3</v>
      </c>
      <c r="N1011" s="5">
        <v>564</v>
      </c>
      <c r="O1011" s="5">
        <v>19</v>
      </c>
      <c r="P1011" s="4" t="s">
        <v>17</v>
      </c>
      <c r="Q1011" s="8" t="s">
        <v>12</v>
      </c>
      <c r="R1011" s="4" t="s">
        <v>1288</v>
      </c>
      <c r="S1011" s="4"/>
      <c r="T1011"/>
      <c r="U1011" s="23"/>
    </row>
    <row r="1012" spans="1:21" ht="15.6" x14ac:dyDescent="0.3">
      <c r="A1012" s="4">
        <v>1011</v>
      </c>
      <c r="B1012" s="5">
        <v>2730468</v>
      </c>
      <c r="C1012" s="4" t="s">
        <v>46</v>
      </c>
      <c r="D1012" s="4" t="s">
        <v>26</v>
      </c>
      <c r="E1012" s="4" t="s">
        <v>1289</v>
      </c>
      <c r="F1012" s="4" t="s">
        <v>2957</v>
      </c>
      <c r="G1012" s="6">
        <v>1.2</v>
      </c>
      <c r="H1012" s="7">
        <v>45831.577384259261</v>
      </c>
      <c r="I1012" s="7" t="str">
        <f>TEXT(multilingual_mobile_app_reviews_2025[[#This Row],[Review_date]],"dd-mm-yyyy")</f>
        <v>23-06-2025</v>
      </c>
      <c r="J1012" s="7" t="str">
        <f>TEXT(multilingual_mobile_app_reviews_2025[[#This Row],[Review_date]],"YYYY")</f>
        <v>2025</v>
      </c>
      <c r="K1012" s="7" t="str">
        <f>TEXT(multilingual_mobile_app_reviews_2025[[#This Row],[Review_date]],"MMMM")</f>
        <v>June</v>
      </c>
      <c r="L1012" s="4" t="b">
        <v>1</v>
      </c>
      <c r="M1012" s="4" t="s">
        <v>10</v>
      </c>
      <c r="N1012" s="5">
        <v>817</v>
      </c>
      <c r="O1012" s="5">
        <v>27</v>
      </c>
      <c r="P1012" s="4" t="s">
        <v>28</v>
      </c>
      <c r="Q1012" s="8" t="s">
        <v>29</v>
      </c>
      <c r="R1012" s="4" t="s">
        <v>339</v>
      </c>
      <c r="S1012" s="4"/>
      <c r="T1012"/>
      <c r="U1012" s="23"/>
    </row>
    <row r="1013" spans="1:21" ht="15.6" x14ac:dyDescent="0.3">
      <c r="A1013" s="4">
        <v>1012</v>
      </c>
      <c r="B1013" s="5">
        <v>2599296</v>
      </c>
      <c r="C1013" s="4" t="s">
        <v>258</v>
      </c>
      <c r="D1013" s="4" t="s">
        <v>26</v>
      </c>
      <c r="E1013" s="4" t="s">
        <v>32</v>
      </c>
      <c r="F1013" s="4" t="s">
        <v>2961</v>
      </c>
      <c r="G1013" s="6">
        <v>2.1</v>
      </c>
      <c r="H1013" s="7">
        <v>45848.612546296295</v>
      </c>
      <c r="I1013" s="7" t="str">
        <f>TEXT(multilingual_mobile_app_reviews_2025[[#This Row],[Review_date]],"dd-mm-yyyy")</f>
        <v>10-07-2025</v>
      </c>
      <c r="J1013" s="7" t="str">
        <f>TEXT(multilingual_mobile_app_reviews_2025[[#This Row],[Review_date]],"YYYY")</f>
        <v>2025</v>
      </c>
      <c r="K1013" s="7" t="str">
        <f>TEXT(multilingual_mobile_app_reviews_2025[[#This Row],[Review_date]],"MMMM")</f>
        <v>July</v>
      </c>
      <c r="L1013" s="4" t="b">
        <v>1</v>
      </c>
      <c r="M1013" s="4" t="s">
        <v>98</v>
      </c>
      <c r="N1013" s="5">
        <v>1159</v>
      </c>
      <c r="O1013" s="5">
        <v>62</v>
      </c>
      <c r="P1013" s="4" t="s">
        <v>94</v>
      </c>
      <c r="Q1013" s="8" t="s">
        <v>39</v>
      </c>
      <c r="R1013" s="4" t="s">
        <v>1290</v>
      </c>
      <c r="S1013" s="4"/>
      <c r="T1013"/>
      <c r="U1013" s="23"/>
    </row>
    <row r="1014" spans="1:21" ht="15.6" x14ac:dyDescent="0.3">
      <c r="A1014" s="4">
        <v>1013</v>
      </c>
      <c r="B1014" s="5">
        <v>185187</v>
      </c>
      <c r="C1014" s="4" t="s">
        <v>101</v>
      </c>
      <c r="D1014" s="4" t="s">
        <v>220</v>
      </c>
      <c r="E1014" s="4" t="s">
        <v>76</v>
      </c>
      <c r="F1014" s="4" t="s">
        <v>2940</v>
      </c>
      <c r="G1014" s="6">
        <v>2.9</v>
      </c>
      <c r="H1014" s="7">
        <v>45463.371261574073</v>
      </c>
      <c r="I1014" s="7" t="str">
        <f>TEXT(multilingual_mobile_app_reviews_2025[[#This Row],[Review_date]],"dd-mm-yyyy")</f>
        <v>20-06-2024</v>
      </c>
      <c r="J1014" s="7" t="str">
        <f>TEXT(multilingual_mobile_app_reviews_2025[[#This Row],[Review_date]],"YYYY")</f>
        <v>2024</v>
      </c>
      <c r="K1014" s="7" t="str">
        <f>TEXT(multilingual_mobile_app_reviews_2025[[#This Row],[Review_date]],"MMMM")</f>
        <v>June</v>
      </c>
      <c r="L1014" s="4" t="b">
        <v>1</v>
      </c>
      <c r="M1014" s="4" t="s">
        <v>98</v>
      </c>
      <c r="N1014" s="5">
        <v>280</v>
      </c>
      <c r="O1014" s="5">
        <v>14</v>
      </c>
      <c r="P1014" s="4" t="s">
        <v>2963</v>
      </c>
      <c r="Q1014" s="8" t="s">
        <v>5</v>
      </c>
      <c r="R1014" s="4" t="s">
        <v>1291</v>
      </c>
      <c r="S1014" s="4"/>
      <c r="T1014"/>
      <c r="U1014" s="23"/>
    </row>
    <row r="1015" spans="1:21" ht="15.6" x14ac:dyDescent="0.3">
      <c r="A1015" s="4">
        <v>1014</v>
      </c>
      <c r="B1015" s="5">
        <v>772073</v>
      </c>
      <c r="C1015" s="4" t="s">
        <v>134</v>
      </c>
      <c r="D1015" s="4" t="s">
        <v>31</v>
      </c>
      <c r="E1015" s="4" t="s">
        <v>1292</v>
      </c>
      <c r="F1015" s="4" t="s">
        <v>2958</v>
      </c>
      <c r="G1015" s="6">
        <v>2.7</v>
      </c>
      <c r="H1015" s="7">
        <v>45523.577534722222</v>
      </c>
      <c r="I1015" s="7" t="str">
        <f>TEXT(multilingual_mobile_app_reviews_2025[[#This Row],[Review_date]],"dd-mm-yyyy")</f>
        <v>19-08-2024</v>
      </c>
      <c r="J1015" s="7" t="str">
        <f>TEXT(multilingual_mobile_app_reviews_2025[[#This Row],[Review_date]],"YYYY")</f>
        <v>2024</v>
      </c>
      <c r="K1015" s="7" t="str">
        <f>TEXT(multilingual_mobile_app_reviews_2025[[#This Row],[Review_date]],"MMMM")</f>
        <v>August</v>
      </c>
      <c r="L1015" s="4" t="b">
        <v>1</v>
      </c>
      <c r="M1015" s="4" t="s">
        <v>33</v>
      </c>
      <c r="N1015" s="5">
        <v>826</v>
      </c>
      <c r="O1015" s="5">
        <v>42</v>
      </c>
      <c r="P1015" s="4" t="s">
        <v>34</v>
      </c>
      <c r="Q1015" s="8" t="s">
        <v>2963</v>
      </c>
      <c r="R1015" s="4" t="s">
        <v>1293</v>
      </c>
      <c r="S1015" s="4"/>
      <c r="T1015"/>
      <c r="U1015" s="23"/>
    </row>
    <row r="1016" spans="1:21" ht="15.6" x14ac:dyDescent="0.3">
      <c r="A1016" s="4">
        <v>1015</v>
      </c>
      <c r="B1016" s="5">
        <v>1494044</v>
      </c>
      <c r="C1016" s="4" t="s">
        <v>176</v>
      </c>
      <c r="D1016" s="4" t="s">
        <v>157</v>
      </c>
      <c r="E1016" s="4" t="s">
        <v>1294</v>
      </c>
      <c r="F1016" s="4" t="s">
        <v>2946</v>
      </c>
      <c r="G1016" s="6">
        <v>3.6</v>
      </c>
      <c r="H1016" s="7">
        <v>45151.251597222225</v>
      </c>
      <c r="I1016" s="7" t="str">
        <f>TEXT(multilingual_mobile_app_reviews_2025[[#This Row],[Review_date]],"dd-mm-yyyy")</f>
        <v>13-08-2023</v>
      </c>
      <c r="J1016" s="7" t="str">
        <f>TEXT(multilingual_mobile_app_reviews_2025[[#This Row],[Review_date]],"YYYY")</f>
        <v>2023</v>
      </c>
      <c r="K1016" s="7" t="str">
        <f>TEXT(multilingual_mobile_app_reviews_2025[[#This Row],[Review_date]],"MMMM")</f>
        <v>August</v>
      </c>
      <c r="L1016" s="4" t="b">
        <v>1</v>
      </c>
      <c r="M1016" s="4" t="s">
        <v>98</v>
      </c>
      <c r="N1016" s="5">
        <v>942</v>
      </c>
      <c r="O1016" s="5">
        <v>74</v>
      </c>
      <c r="P1016" s="4" t="s">
        <v>73</v>
      </c>
      <c r="Q1016" s="8" t="s">
        <v>2963</v>
      </c>
      <c r="R1016" s="4" t="s">
        <v>1295</v>
      </c>
      <c r="S1016" s="4"/>
      <c r="T1016"/>
      <c r="U1016" s="23"/>
    </row>
    <row r="1017" spans="1:21" ht="15.6" x14ac:dyDescent="0.3">
      <c r="A1017" s="4">
        <v>1016</v>
      </c>
      <c r="B1017" s="5">
        <v>5214309</v>
      </c>
      <c r="C1017" s="4" t="s">
        <v>0</v>
      </c>
      <c r="D1017" s="4" t="s">
        <v>220</v>
      </c>
      <c r="E1017" s="4" t="s">
        <v>16</v>
      </c>
      <c r="F1017" s="4" t="s">
        <v>2956</v>
      </c>
      <c r="G1017" s="6">
        <v>4.0999999999999996</v>
      </c>
      <c r="H1017" s="7">
        <v>45264.554247685184</v>
      </c>
      <c r="I1017" s="7" t="str">
        <f>TEXT(multilingual_mobile_app_reviews_2025[[#This Row],[Review_date]],"dd-mm-yyyy")</f>
        <v>04-12-2023</v>
      </c>
      <c r="J1017" s="7" t="str">
        <f>TEXT(multilingual_mobile_app_reviews_2025[[#This Row],[Review_date]],"YYYY")</f>
        <v>2023</v>
      </c>
      <c r="K1017" s="7" t="str">
        <f>TEXT(multilingual_mobile_app_reviews_2025[[#This Row],[Review_date]],"MMMM")</f>
        <v>December</v>
      </c>
      <c r="L1017" s="4" t="b">
        <v>0</v>
      </c>
      <c r="M1017" s="4" t="s">
        <v>10</v>
      </c>
      <c r="N1017" s="5">
        <v>632</v>
      </c>
      <c r="O1017" s="5">
        <v>25</v>
      </c>
      <c r="P1017" s="4" t="s">
        <v>118</v>
      </c>
      <c r="Q1017" s="8" t="s">
        <v>2963</v>
      </c>
      <c r="R1017" s="4" t="s">
        <v>100</v>
      </c>
      <c r="S1017" s="4"/>
      <c r="T1017"/>
      <c r="U1017" s="23"/>
    </row>
    <row r="1018" spans="1:21" ht="15.6" x14ac:dyDescent="0.3">
      <c r="A1018" s="4">
        <v>1017</v>
      </c>
      <c r="B1018" s="5">
        <v>7805487</v>
      </c>
      <c r="C1018" s="4" t="s">
        <v>78</v>
      </c>
      <c r="D1018" s="4" t="s">
        <v>47</v>
      </c>
      <c r="E1018" s="4" t="s">
        <v>2938</v>
      </c>
      <c r="F1018" s="4" t="s">
        <v>2944</v>
      </c>
      <c r="G1018" s="6">
        <v>5</v>
      </c>
      <c r="H1018" s="7">
        <v>45551.256284722222</v>
      </c>
      <c r="I1018" s="7" t="str">
        <f>TEXT(multilingual_mobile_app_reviews_2025[[#This Row],[Review_date]],"dd-mm-yyyy")</f>
        <v>16-09-2024</v>
      </c>
      <c r="J1018" s="7" t="str">
        <f>TEXT(multilingual_mobile_app_reviews_2025[[#This Row],[Review_date]],"YYYY")</f>
        <v>2024</v>
      </c>
      <c r="K1018" s="7" t="str">
        <f>TEXT(multilingual_mobile_app_reviews_2025[[#This Row],[Review_date]],"MMMM")</f>
        <v>September</v>
      </c>
      <c r="L1018" s="4" t="b">
        <v>1</v>
      </c>
      <c r="M1018" s="4" t="s">
        <v>33</v>
      </c>
      <c r="N1018" s="5">
        <v>934</v>
      </c>
      <c r="O1018" s="5">
        <v>64</v>
      </c>
      <c r="P1018" s="4" t="s">
        <v>114</v>
      </c>
      <c r="Q1018" s="8" t="s">
        <v>29</v>
      </c>
      <c r="R1018" s="4" t="s">
        <v>1296</v>
      </c>
      <c r="S1018" s="4"/>
      <c r="T1018"/>
      <c r="U1018" s="23"/>
    </row>
    <row r="1019" spans="1:21" ht="15.6" x14ac:dyDescent="0.3">
      <c r="A1019" s="4">
        <v>1018</v>
      </c>
      <c r="B1019" s="5">
        <v>5075954</v>
      </c>
      <c r="C1019" s="4" t="s">
        <v>123</v>
      </c>
      <c r="D1019" s="4" t="s">
        <v>71</v>
      </c>
      <c r="E1019" s="4" t="s">
        <v>93</v>
      </c>
      <c r="F1019" s="4" t="s">
        <v>2946</v>
      </c>
      <c r="G1019" s="6">
        <v>4.7</v>
      </c>
      <c r="H1019" s="7">
        <v>45469.686331018522</v>
      </c>
      <c r="I1019" s="7" t="str">
        <f>TEXT(multilingual_mobile_app_reviews_2025[[#This Row],[Review_date]],"dd-mm-yyyy")</f>
        <v>26-06-2024</v>
      </c>
      <c r="J1019" s="7" t="str">
        <f>TEXT(multilingual_mobile_app_reviews_2025[[#This Row],[Review_date]],"YYYY")</f>
        <v>2024</v>
      </c>
      <c r="K1019" s="7" t="str">
        <f>TEXT(multilingual_mobile_app_reviews_2025[[#This Row],[Review_date]],"MMMM")</f>
        <v>June</v>
      </c>
      <c r="L1019" s="4" t="b">
        <v>0</v>
      </c>
      <c r="M1019" s="4" t="s">
        <v>98</v>
      </c>
      <c r="N1019" s="5">
        <v>859</v>
      </c>
      <c r="O1019" s="5">
        <v>65</v>
      </c>
      <c r="P1019" s="4" t="s">
        <v>127</v>
      </c>
      <c r="Q1019" s="8" t="s">
        <v>29</v>
      </c>
      <c r="R1019" s="4" t="s">
        <v>1297</v>
      </c>
      <c r="S1019" s="4"/>
      <c r="T1019"/>
      <c r="U1019" s="23"/>
    </row>
    <row r="1020" spans="1:21" ht="15.6" x14ac:dyDescent="0.3">
      <c r="A1020" s="4">
        <v>1019</v>
      </c>
      <c r="B1020" s="5">
        <v>4626314</v>
      </c>
      <c r="C1020" s="4" t="s">
        <v>132</v>
      </c>
      <c r="D1020" s="4" t="s">
        <v>157</v>
      </c>
      <c r="E1020" s="4" t="s">
        <v>93</v>
      </c>
      <c r="F1020" s="4" t="s">
        <v>2961</v>
      </c>
      <c r="G1020" s="6">
        <v>2.5</v>
      </c>
      <c r="H1020" s="7">
        <v>45681.073599537034</v>
      </c>
      <c r="I1020" s="7" t="str">
        <f>TEXT(multilingual_mobile_app_reviews_2025[[#This Row],[Review_date]],"dd-mm-yyyy")</f>
        <v>24-01-2025</v>
      </c>
      <c r="J1020" s="7" t="str">
        <f>TEXT(multilingual_mobile_app_reviews_2025[[#This Row],[Review_date]],"YYYY")</f>
        <v>2025</v>
      </c>
      <c r="K1020" s="7" t="str">
        <f>TEXT(multilingual_mobile_app_reviews_2025[[#This Row],[Review_date]],"MMMM")</f>
        <v>January</v>
      </c>
      <c r="L1020" s="4" t="b">
        <v>0</v>
      </c>
      <c r="M1020" s="4" t="s">
        <v>10</v>
      </c>
      <c r="N1020" s="5">
        <v>1157</v>
      </c>
      <c r="O1020" s="5">
        <v>40</v>
      </c>
      <c r="P1020" s="4" t="s">
        <v>144</v>
      </c>
      <c r="Q1020" s="8" t="s">
        <v>5</v>
      </c>
      <c r="R1020" s="4" t="s">
        <v>1298</v>
      </c>
      <c r="S1020" s="4"/>
      <c r="T1020"/>
      <c r="U1020" s="23"/>
    </row>
    <row r="1021" spans="1:21" ht="15.6" x14ac:dyDescent="0.3">
      <c r="A1021" s="4">
        <v>1020</v>
      </c>
      <c r="B1021" s="5">
        <v>9200550</v>
      </c>
      <c r="C1021" s="4" t="s">
        <v>174</v>
      </c>
      <c r="D1021" s="4" t="s">
        <v>15</v>
      </c>
      <c r="E1021" s="4" t="s">
        <v>109</v>
      </c>
      <c r="F1021" s="4" t="s">
        <v>2952</v>
      </c>
      <c r="G1021" s="6">
        <v>2.5</v>
      </c>
      <c r="H1021" s="7">
        <v>45585.672129629631</v>
      </c>
      <c r="I1021" s="7" t="str">
        <f>TEXT(multilingual_mobile_app_reviews_2025[[#This Row],[Review_date]],"dd-mm-yyyy")</f>
        <v>20-10-2024</v>
      </c>
      <c r="J1021" s="7" t="str">
        <f>TEXT(multilingual_mobile_app_reviews_2025[[#This Row],[Review_date]],"YYYY")</f>
        <v>2024</v>
      </c>
      <c r="K1021" s="7" t="str">
        <f>TEXT(multilingual_mobile_app_reviews_2025[[#This Row],[Review_date]],"MMMM")</f>
        <v>October</v>
      </c>
      <c r="L1021" s="4" t="b">
        <v>1</v>
      </c>
      <c r="M1021" s="4" t="s">
        <v>98</v>
      </c>
      <c r="N1021" s="5">
        <v>330</v>
      </c>
      <c r="O1021" s="5">
        <v>46</v>
      </c>
      <c r="P1021" s="4" t="s">
        <v>65</v>
      </c>
      <c r="Q1021" s="8" t="s">
        <v>29</v>
      </c>
      <c r="R1021" s="4" t="s">
        <v>1299</v>
      </c>
      <c r="S1021" s="4"/>
      <c r="T1021"/>
      <c r="U1021" s="23"/>
    </row>
    <row r="1022" spans="1:21" ht="15.6" x14ac:dyDescent="0.3">
      <c r="A1022" s="4">
        <v>1021</v>
      </c>
      <c r="B1022" s="5">
        <v>1458267</v>
      </c>
      <c r="C1022" s="4" t="s">
        <v>147</v>
      </c>
      <c r="D1022" s="4" t="s">
        <v>71</v>
      </c>
      <c r="E1022" s="4" t="s">
        <v>1300</v>
      </c>
      <c r="F1022" s="4" t="s">
        <v>2943</v>
      </c>
      <c r="G1022" s="6">
        <v>4.7</v>
      </c>
      <c r="H1022" s="7">
        <v>45558.024259259262</v>
      </c>
      <c r="I1022" s="7" t="str">
        <f>TEXT(multilingual_mobile_app_reviews_2025[[#This Row],[Review_date]],"dd-mm-yyyy")</f>
        <v>23-09-2024</v>
      </c>
      <c r="J1022" s="7" t="str">
        <f>TEXT(multilingual_mobile_app_reviews_2025[[#This Row],[Review_date]],"YYYY")</f>
        <v>2024</v>
      </c>
      <c r="K1022" s="7" t="str">
        <f>TEXT(multilingual_mobile_app_reviews_2025[[#This Row],[Review_date]],"MMMM")</f>
        <v>September</v>
      </c>
      <c r="L1022" s="4" t="b">
        <v>1</v>
      </c>
      <c r="M1022" s="4" t="s">
        <v>3</v>
      </c>
      <c r="N1022" s="5">
        <v>890</v>
      </c>
      <c r="O1022" s="5">
        <v>28</v>
      </c>
      <c r="P1022" s="4" t="s">
        <v>114</v>
      </c>
      <c r="Q1022" s="8" t="s">
        <v>39</v>
      </c>
      <c r="R1022" s="4" t="s">
        <v>1301</v>
      </c>
      <c r="S1022" s="4"/>
      <c r="T1022"/>
      <c r="U1022" s="23"/>
    </row>
    <row r="1023" spans="1:21" ht="15.6" x14ac:dyDescent="0.3">
      <c r="A1023" s="4">
        <v>1022</v>
      </c>
      <c r="B1023" s="5">
        <v>8127788</v>
      </c>
      <c r="C1023" s="4" t="s">
        <v>87</v>
      </c>
      <c r="D1023" s="4" t="s">
        <v>20</v>
      </c>
      <c r="E1023" s="4" t="s">
        <v>93</v>
      </c>
      <c r="F1023" s="4" t="s">
        <v>2950</v>
      </c>
      <c r="G1023" s="6">
        <v>2</v>
      </c>
      <c r="H1023" s="7">
        <v>45711.618298611109</v>
      </c>
      <c r="I1023" s="7" t="str">
        <f>TEXT(multilingual_mobile_app_reviews_2025[[#This Row],[Review_date]],"dd-mm-yyyy")</f>
        <v>23-02-2025</v>
      </c>
      <c r="J1023" s="7" t="str">
        <f>TEXT(multilingual_mobile_app_reviews_2025[[#This Row],[Review_date]],"YYYY")</f>
        <v>2025</v>
      </c>
      <c r="K1023" s="7" t="str">
        <f>TEXT(multilingual_mobile_app_reviews_2025[[#This Row],[Review_date]],"MMMM")</f>
        <v>February</v>
      </c>
      <c r="L1023" s="4" t="b">
        <v>0</v>
      </c>
      <c r="M1023" s="4" t="s">
        <v>33</v>
      </c>
      <c r="N1023" s="5">
        <v>496</v>
      </c>
      <c r="O1023" s="5">
        <v>66</v>
      </c>
      <c r="P1023" s="4" t="s">
        <v>61</v>
      </c>
      <c r="Q1023" s="8" t="s">
        <v>39</v>
      </c>
      <c r="R1023" s="4" t="s">
        <v>1302</v>
      </c>
      <c r="S1023" s="4"/>
      <c r="T1023"/>
      <c r="U1023" s="23"/>
    </row>
    <row r="1024" spans="1:21" ht="15.6" x14ac:dyDescent="0.3">
      <c r="A1024" s="4">
        <v>1023</v>
      </c>
      <c r="B1024" s="5">
        <v>9832788</v>
      </c>
      <c r="C1024" s="4" t="s">
        <v>87</v>
      </c>
      <c r="D1024" s="4" t="s">
        <v>42</v>
      </c>
      <c r="E1024" s="4" t="s">
        <v>9</v>
      </c>
      <c r="F1024" s="4" t="s">
        <v>2948</v>
      </c>
      <c r="G1024" s="6">
        <v>2.7</v>
      </c>
      <c r="H1024" s="7">
        <v>45815.506018518521</v>
      </c>
      <c r="I1024" s="7" t="str">
        <f>TEXT(multilingual_mobile_app_reviews_2025[[#This Row],[Review_date]],"dd-mm-yyyy")</f>
        <v>07-06-2025</v>
      </c>
      <c r="J1024" s="7" t="str">
        <f>TEXT(multilingual_mobile_app_reviews_2025[[#This Row],[Review_date]],"YYYY")</f>
        <v>2025</v>
      </c>
      <c r="K1024" s="7" t="str">
        <f>TEXT(multilingual_mobile_app_reviews_2025[[#This Row],[Review_date]],"MMMM")</f>
        <v>June</v>
      </c>
      <c r="L1024" s="4" t="b">
        <v>0</v>
      </c>
      <c r="M1024" s="4" t="s">
        <v>33</v>
      </c>
      <c r="N1024" s="5">
        <v>976</v>
      </c>
      <c r="O1024" s="5">
        <v>59</v>
      </c>
      <c r="P1024" s="4" t="s">
        <v>127</v>
      </c>
      <c r="Q1024" s="8" t="s">
        <v>2963</v>
      </c>
      <c r="R1024" s="4" t="s">
        <v>367</v>
      </c>
      <c r="S1024" s="4"/>
      <c r="T1024"/>
      <c r="U1024" s="23"/>
    </row>
    <row r="1025" spans="1:21" ht="15.6" x14ac:dyDescent="0.3">
      <c r="A1025" s="4">
        <v>1024</v>
      </c>
      <c r="B1025" s="5">
        <v>3619758</v>
      </c>
      <c r="C1025" s="4" t="s">
        <v>19</v>
      </c>
      <c r="D1025" s="4" t="s">
        <v>1</v>
      </c>
      <c r="E1025" s="4" t="s">
        <v>109</v>
      </c>
      <c r="F1025" s="4" t="s">
        <v>2958</v>
      </c>
      <c r="G1025" s="6">
        <v>1.7</v>
      </c>
      <c r="H1025" s="7">
        <v>45723.885416666664</v>
      </c>
      <c r="I1025" s="7" t="str">
        <f>TEXT(multilingual_mobile_app_reviews_2025[[#This Row],[Review_date]],"dd-mm-yyyy")</f>
        <v>07-03-2025</v>
      </c>
      <c r="J1025" s="7" t="str">
        <f>TEXT(multilingual_mobile_app_reviews_2025[[#This Row],[Review_date]],"YYYY")</f>
        <v>2025</v>
      </c>
      <c r="K1025" s="7" t="str">
        <f>TEXT(multilingual_mobile_app_reviews_2025[[#This Row],[Review_date]],"MMMM")</f>
        <v>March</v>
      </c>
      <c r="L1025" s="4" t="b">
        <v>0</v>
      </c>
      <c r="M1025" s="4" t="s">
        <v>3</v>
      </c>
      <c r="N1025" s="5">
        <v>88</v>
      </c>
      <c r="O1025" s="5">
        <v>43</v>
      </c>
      <c r="P1025" s="4" t="s">
        <v>73</v>
      </c>
      <c r="Q1025" s="8" t="s">
        <v>39</v>
      </c>
      <c r="R1025" s="4" t="s">
        <v>1303</v>
      </c>
      <c r="S1025" s="4"/>
      <c r="T1025"/>
      <c r="U1025" s="23"/>
    </row>
    <row r="1026" spans="1:21" ht="15.6" x14ac:dyDescent="0.3">
      <c r="A1026" s="4">
        <v>1025</v>
      </c>
      <c r="B1026" s="5">
        <v>3882209</v>
      </c>
      <c r="C1026" s="4" t="s">
        <v>258</v>
      </c>
      <c r="D1026" s="4" t="s">
        <v>26</v>
      </c>
      <c r="E1026" s="4" t="s">
        <v>109</v>
      </c>
      <c r="F1026" s="4" t="s">
        <v>2962</v>
      </c>
      <c r="G1026" s="6">
        <v>2.1</v>
      </c>
      <c r="H1026" s="7">
        <v>45387.789872685185</v>
      </c>
      <c r="I1026" s="7" t="str">
        <f>TEXT(multilingual_mobile_app_reviews_2025[[#This Row],[Review_date]],"dd-mm-yyyy")</f>
        <v>05-04-2024</v>
      </c>
      <c r="J1026" s="7" t="str">
        <f>TEXT(multilingual_mobile_app_reviews_2025[[#This Row],[Review_date]],"YYYY")</f>
        <v>2024</v>
      </c>
      <c r="K1026" s="7" t="str">
        <f>TEXT(multilingual_mobile_app_reviews_2025[[#This Row],[Review_date]],"MMMM")</f>
        <v>April</v>
      </c>
      <c r="L1026" s="4" t="b">
        <v>1</v>
      </c>
      <c r="M1026" s="4" t="s">
        <v>3</v>
      </c>
      <c r="N1026" s="5">
        <v>623</v>
      </c>
      <c r="O1026" s="5">
        <v>37</v>
      </c>
      <c r="P1026" s="4" t="s">
        <v>4</v>
      </c>
      <c r="Q1026" s="8" t="s">
        <v>2963</v>
      </c>
      <c r="R1026" s="4" t="s">
        <v>1304</v>
      </c>
      <c r="S1026" s="4"/>
      <c r="T1026"/>
      <c r="U1026" s="23"/>
    </row>
    <row r="1027" spans="1:21" ht="15.6" x14ac:dyDescent="0.3">
      <c r="A1027" s="4">
        <v>1026</v>
      </c>
      <c r="B1027" s="5">
        <v>4585520</v>
      </c>
      <c r="C1027" s="4" t="s">
        <v>84</v>
      </c>
      <c r="D1027" s="4" t="s">
        <v>1</v>
      </c>
      <c r="E1027" s="4" t="s">
        <v>1305</v>
      </c>
      <c r="F1027" s="4" t="s">
        <v>2948</v>
      </c>
      <c r="G1027" s="6">
        <v>3.8</v>
      </c>
      <c r="H1027" s="7">
        <v>45824.825879629629</v>
      </c>
      <c r="I1027" s="7" t="str">
        <f>TEXT(multilingual_mobile_app_reviews_2025[[#This Row],[Review_date]],"dd-mm-yyyy")</f>
        <v>16-06-2025</v>
      </c>
      <c r="J1027" s="7" t="str">
        <f>TEXT(multilingual_mobile_app_reviews_2025[[#This Row],[Review_date]],"YYYY")</f>
        <v>2025</v>
      </c>
      <c r="K1027" s="7" t="str">
        <f>TEXT(multilingual_mobile_app_reviews_2025[[#This Row],[Review_date]],"MMMM")</f>
        <v>June</v>
      </c>
      <c r="L1027" s="4" t="b">
        <v>1</v>
      </c>
      <c r="M1027" s="4" t="s">
        <v>3</v>
      </c>
      <c r="N1027" s="5">
        <v>389</v>
      </c>
      <c r="O1027" s="5">
        <v>34</v>
      </c>
      <c r="P1027" s="4" t="s">
        <v>28</v>
      </c>
      <c r="Q1027" s="8" t="s">
        <v>39</v>
      </c>
      <c r="R1027" s="4" t="s">
        <v>1306</v>
      </c>
      <c r="S1027" s="4"/>
      <c r="T1027"/>
      <c r="U1027" s="23"/>
    </row>
    <row r="1028" spans="1:21" ht="15.6" x14ac:dyDescent="0.3">
      <c r="A1028" s="4">
        <v>1027</v>
      </c>
      <c r="B1028" s="5">
        <v>3260048</v>
      </c>
      <c r="C1028" s="4" t="s">
        <v>106</v>
      </c>
      <c r="D1028" s="4" t="s">
        <v>220</v>
      </c>
      <c r="E1028" s="4" t="s">
        <v>21</v>
      </c>
      <c r="F1028" s="4" t="s">
        <v>2958</v>
      </c>
      <c r="G1028" s="6">
        <v>2.2999999999999998</v>
      </c>
      <c r="H1028" s="7">
        <v>45831.639976851853</v>
      </c>
      <c r="I1028" s="7" t="str">
        <f>TEXT(multilingual_mobile_app_reviews_2025[[#This Row],[Review_date]],"dd-mm-yyyy")</f>
        <v>23-06-2025</v>
      </c>
      <c r="J1028" s="7" t="str">
        <f>TEXT(multilingual_mobile_app_reviews_2025[[#This Row],[Review_date]],"YYYY")</f>
        <v>2025</v>
      </c>
      <c r="K1028" s="7" t="str">
        <f>TEXT(multilingual_mobile_app_reviews_2025[[#This Row],[Review_date]],"MMMM")</f>
        <v>June</v>
      </c>
      <c r="L1028" s="4" t="b">
        <v>1</v>
      </c>
      <c r="M1028" s="4" t="s">
        <v>3</v>
      </c>
      <c r="N1028" s="5">
        <v>453</v>
      </c>
      <c r="O1028" s="5">
        <v>18</v>
      </c>
      <c r="P1028" s="4" t="s">
        <v>4</v>
      </c>
      <c r="Q1028" s="8" t="s">
        <v>5</v>
      </c>
      <c r="R1028" s="4" t="s">
        <v>1307</v>
      </c>
      <c r="S1028" s="4"/>
      <c r="T1028"/>
      <c r="U1028" s="23"/>
    </row>
    <row r="1029" spans="1:21" ht="15.6" x14ac:dyDescent="0.3">
      <c r="A1029" s="4">
        <v>1028</v>
      </c>
      <c r="B1029" s="5">
        <v>1564797</v>
      </c>
      <c r="C1029" s="4" t="s">
        <v>89</v>
      </c>
      <c r="D1029" s="4" t="s">
        <v>157</v>
      </c>
      <c r="E1029" s="4" t="s">
        <v>21</v>
      </c>
      <c r="F1029" s="4" t="s">
        <v>2952</v>
      </c>
      <c r="G1029" s="6">
        <v>2.1</v>
      </c>
      <c r="H1029" s="7">
        <v>45201.148460648146</v>
      </c>
      <c r="I1029" s="7" t="str">
        <f>TEXT(multilingual_mobile_app_reviews_2025[[#This Row],[Review_date]],"dd-mm-yyyy")</f>
        <v>02-10-2023</v>
      </c>
      <c r="J1029" s="7" t="str">
        <f>TEXT(multilingual_mobile_app_reviews_2025[[#This Row],[Review_date]],"YYYY")</f>
        <v>2023</v>
      </c>
      <c r="K1029" s="7" t="str">
        <f>TEXT(multilingual_mobile_app_reviews_2025[[#This Row],[Review_date]],"MMMM")</f>
        <v>October</v>
      </c>
      <c r="L1029" s="4" t="b">
        <v>1</v>
      </c>
      <c r="M1029" s="4" t="s">
        <v>22</v>
      </c>
      <c r="N1029" s="5">
        <v>220</v>
      </c>
      <c r="O1029" s="5">
        <v>14</v>
      </c>
      <c r="P1029" s="4" t="s">
        <v>114</v>
      </c>
      <c r="Q1029" s="8" t="s">
        <v>5</v>
      </c>
      <c r="R1029" s="4" t="s">
        <v>903</v>
      </c>
      <c r="S1029" s="4"/>
      <c r="T1029"/>
      <c r="U1029" s="23"/>
    </row>
    <row r="1030" spans="1:21" ht="15.6" x14ac:dyDescent="0.3">
      <c r="A1030" s="4">
        <v>1029</v>
      </c>
      <c r="B1030" s="5">
        <v>3099964</v>
      </c>
      <c r="C1030" s="4" t="s">
        <v>159</v>
      </c>
      <c r="D1030" s="4" t="s">
        <v>51</v>
      </c>
      <c r="E1030" s="4" t="s">
        <v>1308</v>
      </c>
      <c r="F1030" s="4" t="s">
        <v>2944</v>
      </c>
      <c r="G1030" s="6">
        <v>2.5</v>
      </c>
      <c r="H1030" s="7">
        <v>45761.801620370374</v>
      </c>
      <c r="I1030" s="7" t="str">
        <f>TEXT(multilingual_mobile_app_reviews_2025[[#This Row],[Review_date]],"dd-mm-yyyy")</f>
        <v>14-04-2025</v>
      </c>
      <c r="J1030" s="7" t="str">
        <f>TEXT(multilingual_mobile_app_reviews_2025[[#This Row],[Review_date]],"YYYY")</f>
        <v>2025</v>
      </c>
      <c r="K1030" s="7" t="str">
        <f>TEXT(multilingual_mobile_app_reviews_2025[[#This Row],[Review_date]],"MMMM")</f>
        <v>April</v>
      </c>
      <c r="L1030" s="4" t="b">
        <v>1</v>
      </c>
      <c r="M1030" s="4" t="s">
        <v>33</v>
      </c>
      <c r="N1030" s="5">
        <v>102</v>
      </c>
      <c r="O1030" s="5">
        <v>22</v>
      </c>
      <c r="P1030" s="4" t="s">
        <v>38</v>
      </c>
      <c r="Q1030" s="8" t="s">
        <v>12</v>
      </c>
      <c r="R1030" s="4" t="s">
        <v>1309</v>
      </c>
      <c r="S1030" s="4"/>
      <c r="T1030"/>
      <c r="U1030" s="23"/>
    </row>
    <row r="1031" spans="1:21" ht="15.6" x14ac:dyDescent="0.3">
      <c r="A1031" s="4">
        <v>1030</v>
      </c>
      <c r="B1031" s="5">
        <v>8817785</v>
      </c>
      <c r="C1031" s="4" t="s">
        <v>89</v>
      </c>
      <c r="D1031" s="4" t="s">
        <v>63</v>
      </c>
      <c r="E1031" s="4" t="s">
        <v>9</v>
      </c>
      <c r="F1031" s="4" t="s">
        <v>2940</v>
      </c>
      <c r="G1031" s="6">
        <v>1.7</v>
      </c>
      <c r="H1031" s="7">
        <v>45639.609837962962</v>
      </c>
      <c r="I1031" s="7" t="str">
        <f>TEXT(multilingual_mobile_app_reviews_2025[[#This Row],[Review_date]],"dd-mm-yyyy")</f>
        <v>13-12-2024</v>
      </c>
      <c r="J1031" s="7" t="str">
        <f>TEXT(multilingual_mobile_app_reviews_2025[[#This Row],[Review_date]],"YYYY")</f>
        <v>2024</v>
      </c>
      <c r="K1031" s="7" t="str">
        <f>TEXT(multilingual_mobile_app_reviews_2025[[#This Row],[Review_date]],"MMMM")</f>
        <v>December</v>
      </c>
      <c r="L1031" s="4" t="b">
        <v>1</v>
      </c>
      <c r="M1031" s="4" t="s">
        <v>33</v>
      </c>
      <c r="N1031" s="5">
        <v>1248</v>
      </c>
      <c r="O1031" s="5">
        <v>73</v>
      </c>
      <c r="P1031" s="4" t="s">
        <v>230</v>
      </c>
      <c r="Q1031" s="8" t="s">
        <v>29</v>
      </c>
      <c r="R1031" s="4" t="s">
        <v>806</v>
      </c>
      <c r="S1031" s="4"/>
      <c r="T1031"/>
      <c r="U1031" s="23"/>
    </row>
    <row r="1032" spans="1:21" ht="15.6" x14ac:dyDescent="0.3">
      <c r="A1032" s="4">
        <v>1031</v>
      </c>
      <c r="B1032" s="5">
        <v>7007041</v>
      </c>
      <c r="C1032" s="4" t="s">
        <v>176</v>
      </c>
      <c r="D1032" s="4" t="s">
        <v>220</v>
      </c>
      <c r="E1032" s="4" t="s">
        <v>1310</v>
      </c>
      <c r="F1032" s="4" t="s">
        <v>2939</v>
      </c>
      <c r="G1032" s="6">
        <v>1.5</v>
      </c>
      <c r="H1032" s="7">
        <v>45241.370162037034</v>
      </c>
      <c r="I1032" s="7" t="str">
        <f>TEXT(multilingual_mobile_app_reviews_2025[[#This Row],[Review_date]],"dd-mm-yyyy")</f>
        <v>11-11-2023</v>
      </c>
      <c r="J1032" s="7" t="str">
        <f>TEXT(multilingual_mobile_app_reviews_2025[[#This Row],[Review_date]],"YYYY")</f>
        <v>2023</v>
      </c>
      <c r="K1032" s="7" t="str">
        <f>TEXT(multilingual_mobile_app_reviews_2025[[#This Row],[Review_date]],"MMMM")</f>
        <v>November</v>
      </c>
      <c r="L1032" s="4" t="b">
        <v>1</v>
      </c>
      <c r="M1032" s="4" t="s">
        <v>3</v>
      </c>
      <c r="N1032" s="5">
        <v>1174</v>
      </c>
      <c r="O1032" s="5">
        <v>19</v>
      </c>
      <c r="P1032" s="4" t="s">
        <v>127</v>
      </c>
      <c r="Q1032" s="8" t="s">
        <v>5</v>
      </c>
      <c r="R1032" s="4" t="s">
        <v>1311</v>
      </c>
      <c r="S1032" s="4"/>
      <c r="T1032"/>
      <c r="U1032" s="23"/>
    </row>
    <row r="1033" spans="1:21" ht="15.6" x14ac:dyDescent="0.3">
      <c r="A1033" s="4">
        <v>1032</v>
      </c>
      <c r="B1033" s="5">
        <v>2981270</v>
      </c>
      <c r="C1033" s="4" t="s">
        <v>264</v>
      </c>
      <c r="D1033" s="4" t="s">
        <v>1</v>
      </c>
      <c r="E1033" s="4" t="s">
        <v>32</v>
      </c>
      <c r="F1033" s="4" t="s">
        <v>2951</v>
      </c>
      <c r="G1033" s="6">
        <v>4.0999999999999996</v>
      </c>
      <c r="H1033" s="7">
        <v>45751.920624999999</v>
      </c>
      <c r="I1033" s="7" t="str">
        <f>TEXT(multilingual_mobile_app_reviews_2025[[#This Row],[Review_date]],"dd-mm-yyyy")</f>
        <v>04-04-2025</v>
      </c>
      <c r="J1033" s="7" t="str">
        <f>TEXT(multilingual_mobile_app_reviews_2025[[#This Row],[Review_date]],"YYYY")</f>
        <v>2025</v>
      </c>
      <c r="K1033" s="7" t="str">
        <f>TEXT(multilingual_mobile_app_reviews_2025[[#This Row],[Review_date]],"MMMM")</f>
        <v>April</v>
      </c>
      <c r="L1033" s="4" t="b">
        <v>1</v>
      </c>
      <c r="M1033" s="4" t="s">
        <v>33</v>
      </c>
      <c r="N1033" s="5">
        <v>1249</v>
      </c>
      <c r="O1033" s="5">
        <v>35</v>
      </c>
      <c r="P1033" s="4" t="s">
        <v>73</v>
      </c>
      <c r="Q1033" s="8" t="s">
        <v>5</v>
      </c>
      <c r="R1033" s="4" t="s">
        <v>1312</v>
      </c>
      <c r="S1033" s="4"/>
      <c r="T1033"/>
      <c r="U1033" s="23"/>
    </row>
    <row r="1034" spans="1:21" ht="15.6" x14ac:dyDescent="0.3">
      <c r="A1034" s="4">
        <v>1033</v>
      </c>
      <c r="B1034" s="5">
        <v>3904769</v>
      </c>
      <c r="C1034" s="4" t="s">
        <v>92</v>
      </c>
      <c r="D1034" s="4" t="s">
        <v>8</v>
      </c>
      <c r="E1034" s="4" t="s">
        <v>109</v>
      </c>
      <c r="F1034" s="4" t="s">
        <v>2959</v>
      </c>
      <c r="G1034" s="6">
        <v>2.1</v>
      </c>
      <c r="H1034" s="7">
        <v>45515.001018518517</v>
      </c>
      <c r="I1034" s="7" t="str">
        <f>TEXT(multilingual_mobile_app_reviews_2025[[#This Row],[Review_date]],"dd-mm-yyyy")</f>
        <v>11-08-2024</v>
      </c>
      <c r="J1034" s="7" t="str">
        <f>TEXT(multilingual_mobile_app_reviews_2025[[#This Row],[Review_date]],"YYYY")</f>
        <v>2024</v>
      </c>
      <c r="K1034" s="7" t="str">
        <f>TEXT(multilingual_mobile_app_reviews_2025[[#This Row],[Review_date]],"MMMM")</f>
        <v>August</v>
      </c>
      <c r="L1034" s="4" t="b">
        <v>1</v>
      </c>
      <c r="M1034" s="4" t="s">
        <v>22</v>
      </c>
      <c r="N1034" s="5">
        <v>95</v>
      </c>
      <c r="O1034" s="5">
        <v>21</v>
      </c>
      <c r="P1034" s="4" t="s">
        <v>34</v>
      </c>
      <c r="Q1034" s="8" t="s">
        <v>39</v>
      </c>
      <c r="R1034" s="4" t="s">
        <v>1313</v>
      </c>
      <c r="S1034" s="4"/>
      <c r="T1034"/>
      <c r="U1034" s="23"/>
    </row>
    <row r="1035" spans="1:21" ht="15.6" x14ac:dyDescent="0.3">
      <c r="A1035" s="4">
        <v>1034</v>
      </c>
      <c r="B1035" s="5">
        <v>4934292</v>
      </c>
      <c r="C1035" s="4" t="s">
        <v>132</v>
      </c>
      <c r="D1035" s="4" t="s">
        <v>20</v>
      </c>
      <c r="E1035" s="4" t="s">
        <v>9</v>
      </c>
      <c r="F1035" s="4" t="s">
        <v>2940</v>
      </c>
      <c r="G1035" s="6">
        <v>2.8</v>
      </c>
      <c r="H1035" s="7">
        <v>45736.760567129626</v>
      </c>
      <c r="I1035" s="7" t="str">
        <f>TEXT(multilingual_mobile_app_reviews_2025[[#This Row],[Review_date]],"dd-mm-yyyy")</f>
        <v>20-03-2025</v>
      </c>
      <c r="J1035" s="7" t="str">
        <f>TEXT(multilingual_mobile_app_reviews_2025[[#This Row],[Review_date]],"YYYY")</f>
        <v>2025</v>
      </c>
      <c r="K1035" s="7" t="str">
        <f>TEXT(multilingual_mobile_app_reviews_2025[[#This Row],[Review_date]],"MMMM")</f>
        <v>March</v>
      </c>
      <c r="L1035" s="4" t="b">
        <v>1</v>
      </c>
      <c r="M1035" s="4" t="s">
        <v>3</v>
      </c>
      <c r="N1035" s="5">
        <v>530</v>
      </c>
      <c r="O1035" s="5">
        <v>55</v>
      </c>
      <c r="P1035" s="4" t="s">
        <v>34</v>
      </c>
      <c r="Q1035" s="8" t="s">
        <v>29</v>
      </c>
      <c r="R1035" s="4" t="s">
        <v>1314</v>
      </c>
      <c r="S1035" s="4"/>
      <c r="T1035"/>
      <c r="U1035" s="23"/>
    </row>
    <row r="1036" spans="1:21" ht="15.6" x14ac:dyDescent="0.3">
      <c r="A1036" s="4">
        <v>1035</v>
      </c>
      <c r="B1036" s="5">
        <v>2588704</v>
      </c>
      <c r="C1036" s="4" t="s">
        <v>59</v>
      </c>
      <c r="D1036" s="4" t="s">
        <v>26</v>
      </c>
      <c r="E1036" s="4" t="s">
        <v>1315</v>
      </c>
      <c r="F1036" s="4" t="s">
        <v>2944</v>
      </c>
      <c r="G1036" s="6">
        <v>1.2</v>
      </c>
      <c r="H1036" s="7">
        <v>45275.08390046296</v>
      </c>
      <c r="I1036" s="7" t="str">
        <f>TEXT(multilingual_mobile_app_reviews_2025[[#This Row],[Review_date]],"dd-mm-yyyy")</f>
        <v>15-12-2023</v>
      </c>
      <c r="J1036" s="7" t="str">
        <f>TEXT(multilingual_mobile_app_reviews_2025[[#This Row],[Review_date]],"YYYY")</f>
        <v>2023</v>
      </c>
      <c r="K1036" s="7" t="str">
        <f>TEXT(multilingual_mobile_app_reviews_2025[[#This Row],[Review_date]],"MMMM")</f>
        <v>December</v>
      </c>
      <c r="L1036" s="4" t="b">
        <v>0</v>
      </c>
      <c r="M1036" s="4" t="s">
        <v>10</v>
      </c>
      <c r="N1036" s="5">
        <v>1109</v>
      </c>
      <c r="O1036" s="5">
        <v>27</v>
      </c>
      <c r="P1036" s="4" t="s">
        <v>34</v>
      </c>
      <c r="Q1036" s="8" t="s">
        <v>29</v>
      </c>
      <c r="R1036" s="4" t="s">
        <v>1316</v>
      </c>
      <c r="S1036" s="4"/>
      <c r="T1036"/>
      <c r="U1036" s="23"/>
    </row>
    <row r="1037" spans="1:21" ht="15.6" x14ac:dyDescent="0.3">
      <c r="A1037" s="4">
        <v>1036</v>
      </c>
      <c r="B1037" s="5">
        <v>2675047</v>
      </c>
      <c r="C1037" s="4" t="s">
        <v>264</v>
      </c>
      <c r="D1037" s="4" t="s">
        <v>47</v>
      </c>
      <c r="E1037" s="4" t="s">
        <v>1317</v>
      </c>
      <c r="F1037" s="4" t="s">
        <v>2960</v>
      </c>
      <c r="G1037" s="6">
        <v>4</v>
      </c>
      <c r="H1037" s="7">
        <v>45253.789942129632</v>
      </c>
      <c r="I1037" s="7" t="str">
        <f>TEXT(multilingual_mobile_app_reviews_2025[[#This Row],[Review_date]],"dd-mm-yyyy")</f>
        <v>23-11-2023</v>
      </c>
      <c r="J1037" s="7" t="str">
        <f>TEXT(multilingual_mobile_app_reviews_2025[[#This Row],[Review_date]],"YYYY")</f>
        <v>2023</v>
      </c>
      <c r="K1037" s="7" t="str">
        <f>TEXT(multilingual_mobile_app_reviews_2025[[#This Row],[Review_date]],"MMMM")</f>
        <v>November</v>
      </c>
      <c r="L1037" s="4" t="b">
        <v>1</v>
      </c>
      <c r="M1037" s="4" t="s">
        <v>10</v>
      </c>
      <c r="N1037" s="5">
        <v>521</v>
      </c>
      <c r="O1037" s="5">
        <v>71</v>
      </c>
      <c r="P1037" s="4" t="s">
        <v>85</v>
      </c>
      <c r="Q1037" s="8" t="s">
        <v>5</v>
      </c>
      <c r="R1037" s="4" t="s">
        <v>1318</v>
      </c>
      <c r="S1037" s="4"/>
      <c r="T1037"/>
      <c r="U1037" s="23"/>
    </row>
    <row r="1038" spans="1:21" ht="15.6" x14ac:dyDescent="0.3">
      <c r="A1038" s="4">
        <v>1037</v>
      </c>
      <c r="B1038" s="5">
        <v>7623391</v>
      </c>
      <c r="C1038" s="4" t="s">
        <v>264</v>
      </c>
      <c r="D1038" s="4" t="s">
        <v>47</v>
      </c>
      <c r="E1038" s="4" t="s">
        <v>130</v>
      </c>
      <c r="F1038" s="4" t="s">
        <v>2948</v>
      </c>
      <c r="G1038" s="6">
        <v>1.2</v>
      </c>
      <c r="H1038" s="7">
        <v>45558.205046296294</v>
      </c>
      <c r="I1038" s="7" t="str">
        <f>TEXT(multilingual_mobile_app_reviews_2025[[#This Row],[Review_date]],"dd-mm-yyyy")</f>
        <v>23-09-2024</v>
      </c>
      <c r="J1038" s="7" t="str">
        <f>TEXT(multilingual_mobile_app_reviews_2025[[#This Row],[Review_date]],"YYYY")</f>
        <v>2024</v>
      </c>
      <c r="K1038" s="7" t="str">
        <f>TEXT(multilingual_mobile_app_reviews_2025[[#This Row],[Review_date]],"MMMM")</f>
        <v>September</v>
      </c>
      <c r="L1038" s="4" t="b">
        <v>1</v>
      </c>
      <c r="M1038" s="4" t="s">
        <v>10</v>
      </c>
      <c r="N1038" s="5">
        <v>1132</v>
      </c>
      <c r="O1038" s="5">
        <v>39</v>
      </c>
      <c r="P1038" s="4" t="s">
        <v>44</v>
      </c>
      <c r="Q1038" s="8" t="s">
        <v>2963</v>
      </c>
      <c r="R1038" s="4" t="s">
        <v>1319</v>
      </c>
      <c r="S1038" s="4"/>
      <c r="T1038"/>
      <c r="U1038" s="23"/>
    </row>
    <row r="1039" spans="1:21" ht="15.6" x14ac:dyDescent="0.3">
      <c r="A1039" s="4">
        <v>1038</v>
      </c>
      <c r="B1039" s="5">
        <v>9053043</v>
      </c>
      <c r="C1039" s="4" t="s">
        <v>59</v>
      </c>
      <c r="D1039" s="4" t="s">
        <v>71</v>
      </c>
      <c r="E1039" s="4" t="s">
        <v>16</v>
      </c>
      <c r="F1039" s="4" t="s">
        <v>2950</v>
      </c>
      <c r="G1039" s="6">
        <v>4.9000000000000004</v>
      </c>
      <c r="H1039" s="7">
        <v>45373.106666666667</v>
      </c>
      <c r="I1039" s="7" t="str">
        <f>TEXT(multilingual_mobile_app_reviews_2025[[#This Row],[Review_date]],"dd-mm-yyyy")</f>
        <v>22-03-2024</v>
      </c>
      <c r="J1039" s="7" t="str">
        <f>TEXT(multilingual_mobile_app_reviews_2025[[#This Row],[Review_date]],"YYYY")</f>
        <v>2024</v>
      </c>
      <c r="K1039" s="7" t="str">
        <f>TEXT(multilingual_mobile_app_reviews_2025[[#This Row],[Review_date]],"MMMM")</f>
        <v>March</v>
      </c>
      <c r="L1039" s="4" t="b">
        <v>1</v>
      </c>
      <c r="M1039" s="4" t="s">
        <v>33</v>
      </c>
      <c r="N1039" s="5">
        <v>515</v>
      </c>
      <c r="O1039" s="5">
        <v>57</v>
      </c>
      <c r="P1039" s="4" t="s">
        <v>162</v>
      </c>
      <c r="Q1039" s="8" t="s">
        <v>5</v>
      </c>
      <c r="R1039" s="4" t="s">
        <v>1320</v>
      </c>
      <c r="S1039" s="4"/>
      <c r="T1039"/>
      <c r="U1039" s="23"/>
    </row>
    <row r="1040" spans="1:21" ht="15.6" x14ac:dyDescent="0.3">
      <c r="A1040" s="4">
        <v>1039</v>
      </c>
      <c r="B1040" s="5">
        <v>518175</v>
      </c>
      <c r="C1040" s="4" t="s">
        <v>92</v>
      </c>
      <c r="D1040" s="4" t="s">
        <v>31</v>
      </c>
      <c r="E1040" s="4" t="s">
        <v>130</v>
      </c>
      <c r="F1040" s="4" t="s">
        <v>2952</v>
      </c>
      <c r="G1040" s="6">
        <v>1.7</v>
      </c>
      <c r="H1040" s="7">
        <v>45453.111122685186</v>
      </c>
      <c r="I1040" s="7" t="str">
        <f>TEXT(multilingual_mobile_app_reviews_2025[[#This Row],[Review_date]],"dd-mm-yyyy")</f>
        <v>10-06-2024</v>
      </c>
      <c r="J1040" s="7" t="str">
        <f>TEXT(multilingual_mobile_app_reviews_2025[[#This Row],[Review_date]],"YYYY")</f>
        <v>2024</v>
      </c>
      <c r="K1040" s="7" t="str">
        <f>TEXT(multilingual_mobile_app_reviews_2025[[#This Row],[Review_date]],"MMMM")</f>
        <v>June</v>
      </c>
      <c r="L1040" s="4" t="b">
        <v>1</v>
      </c>
      <c r="M1040" s="4" t="s">
        <v>10</v>
      </c>
      <c r="N1040" s="5">
        <v>592</v>
      </c>
      <c r="O1040" s="5">
        <v>22</v>
      </c>
      <c r="P1040" s="4" t="s">
        <v>180</v>
      </c>
      <c r="Q1040" s="8" t="s">
        <v>12</v>
      </c>
      <c r="R1040" s="4" t="s">
        <v>892</v>
      </c>
      <c r="S1040" s="4"/>
      <c r="T1040"/>
      <c r="U1040" s="23"/>
    </row>
    <row r="1041" spans="1:21" ht="15.6" x14ac:dyDescent="0.3">
      <c r="A1041" s="4">
        <v>1040</v>
      </c>
      <c r="B1041" s="5">
        <v>2539136</v>
      </c>
      <c r="C1041" s="4" t="s">
        <v>101</v>
      </c>
      <c r="D1041" s="4" t="s">
        <v>220</v>
      </c>
      <c r="E1041" s="4" t="s">
        <v>1321</v>
      </c>
      <c r="F1041" s="4" t="s">
        <v>2962</v>
      </c>
      <c r="G1041" s="6">
        <v>2.2000000000000002</v>
      </c>
      <c r="H1041" s="7">
        <v>45704.754953703705</v>
      </c>
      <c r="I1041" s="7" t="str">
        <f>TEXT(multilingual_mobile_app_reviews_2025[[#This Row],[Review_date]],"dd-mm-yyyy")</f>
        <v>16-02-2025</v>
      </c>
      <c r="J1041" s="7" t="str">
        <f>TEXT(multilingual_mobile_app_reviews_2025[[#This Row],[Review_date]],"YYYY")</f>
        <v>2025</v>
      </c>
      <c r="K1041" s="7" t="str">
        <f>TEXT(multilingual_mobile_app_reviews_2025[[#This Row],[Review_date]],"MMMM")</f>
        <v>February</v>
      </c>
      <c r="L1041" s="4" t="b">
        <v>1</v>
      </c>
      <c r="M1041" s="4" t="s">
        <v>98</v>
      </c>
      <c r="N1041" s="5">
        <v>624</v>
      </c>
      <c r="O1041" s="5">
        <v>45</v>
      </c>
      <c r="P1041" s="4" t="s">
        <v>85</v>
      </c>
      <c r="Q1041" s="8" t="s">
        <v>29</v>
      </c>
      <c r="R1041" s="4" t="s">
        <v>1322</v>
      </c>
      <c r="S1041" s="4"/>
      <c r="T1041"/>
      <c r="U1041" s="23"/>
    </row>
    <row r="1042" spans="1:21" ht="15.6" x14ac:dyDescent="0.3">
      <c r="A1042" s="4">
        <v>1041</v>
      </c>
      <c r="B1042" s="5">
        <v>5782181</v>
      </c>
      <c r="C1042" s="4" t="s">
        <v>176</v>
      </c>
      <c r="D1042" s="4" t="s">
        <v>42</v>
      </c>
      <c r="E1042" s="4" t="s">
        <v>16</v>
      </c>
      <c r="F1042" s="4" t="s">
        <v>2955</v>
      </c>
      <c r="G1042" s="6">
        <v>4.0999999999999996</v>
      </c>
      <c r="H1042" s="7">
        <v>45674.154560185183</v>
      </c>
      <c r="I1042" s="7" t="str">
        <f>TEXT(multilingual_mobile_app_reviews_2025[[#This Row],[Review_date]],"dd-mm-yyyy")</f>
        <v>17-01-2025</v>
      </c>
      <c r="J1042" s="7" t="str">
        <f>TEXT(multilingual_mobile_app_reviews_2025[[#This Row],[Review_date]],"YYYY")</f>
        <v>2025</v>
      </c>
      <c r="K1042" s="7" t="str">
        <f>TEXT(multilingual_mobile_app_reviews_2025[[#This Row],[Review_date]],"MMMM")</f>
        <v>January</v>
      </c>
      <c r="L1042" s="4" t="b">
        <v>1</v>
      </c>
      <c r="M1042" s="4" t="s">
        <v>10</v>
      </c>
      <c r="N1042" s="5">
        <v>388</v>
      </c>
      <c r="O1042" s="5">
        <v>63</v>
      </c>
      <c r="P1042" s="4" t="s">
        <v>94</v>
      </c>
      <c r="Q1042" s="8" t="s">
        <v>29</v>
      </c>
      <c r="R1042" s="4" t="s">
        <v>1323</v>
      </c>
      <c r="S1042" s="4"/>
      <c r="T1042"/>
      <c r="U1042" s="23"/>
    </row>
    <row r="1043" spans="1:21" ht="15.6" x14ac:dyDescent="0.3">
      <c r="A1043" s="4">
        <v>1042</v>
      </c>
      <c r="B1043" s="5">
        <v>8135971</v>
      </c>
      <c r="C1043" s="4" t="s">
        <v>113</v>
      </c>
      <c r="D1043" s="4" t="s">
        <v>47</v>
      </c>
      <c r="E1043" s="4" t="s">
        <v>76</v>
      </c>
      <c r="F1043" s="4" t="s">
        <v>2946</v>
      </c>
      <c r="G1043" s="6">
        <v>4.7</v>
      </c>
      <c r="H1043" s="7">
        <v>45838.064456018517</v>
      </c>
      <c r="I1043" s="7" t="str">
        <f>TEXT(multilingual_mobile_app_reviews_2025[[#This Row],[Review_date]],"dd-mm-yyyy")</f>
        <v>30-06-2025</v>
      </c>
      <c r="J1043" s="7" t="str">
        <f>TEXT(multilingual_mobile_app_reviews_2025[[#This Row],[Review_date]],"YYYY")</f>
        <v>2025</v>
      </c>
      <c r="K1043" s="7" t="str">
        <f>TEXT(multilingual_mobile_app_reviews_2025[[#This Row],[Review_date]],"MMMM")</f>
        <v>June</v>
      </c>
      <c r="L1043" s="4" t="b">
        <v>1</v>
      </c>
      <c r="M1043" s="4" t="s">
        <v>3</v>
      </c>
      <c r="N1043" s="5">
        <v>653</v>
      </c>
      <c r="O1043" s="5">
        <v>63</v>
      </c>
      <c r="P1043" s="4" t="s">
        <v>2963</v>
      </c>
      <c r="Q1043" s="8" t="s">
        <v>5</v>
      </c>
      <c r="R1043" s="4" t="s">
        <v>1324</v>
      </c>
      <c r="S1043" s="4"/>
      <c r="T1043"/>
      <c r="U1043" s="23"/>
    </row>
    <row r="1044" spans="1:21" ht="15.6" x14ac:dyDescent="0.3">
      <c r="A1044" s="4">
        <v>1043</v>
      </c>
      <c r="B1044" s="5">
        <v>2439134</v>
      </c>
      <c r="C1044" s="4" t="s">
        <v>56</v>
      </c>
      <c r="D1044" s="4" t="s">
        <v>20</v>
      </c>
      <c r="E1044" s="4" t="s">
        <v>76</v>
      </c>
      <c r="F1044" s="4" t="s">
        <v>2951</v>
      </c>
      <c r="G1044" s="6">
        <v>3.4</v>
      </c>
      <c r="H1044" s="7">
        <v>45665.502916666665</v>
      </c>
      <c r="I1044" s="7" t="str">
        <f>TEXT(multilingual_mobile_app_reviews_2025[[#This Row],[Review_date]],"dd-mm-yyyy")</f>
        <v>08-01-2025</v>
      </c>
      <c r="J1044" s="7" t="str">
        <f>TEXT(multilingual_mobile_app_reviews_2025[[#This Row],[Review_date]],"YYYY")</f>
        <v>2025</v>
      </c>
      <c r="K1044" s="7" t="str">
        <f>TEXT(multilingual_mobile_app_reviews_2025[[#This Row],[Review_date]],"MMMM")</f>
        <v>January</v>
      </c>
      <c r="L1044" s="4" t="b">
        <v>1</v>
      </c>
      <c r="M1044" s="4" t="s">
        <v>98</v>
      </c>
      <c r="N1044" s="5">
        <v>146</v>
      </c>
      <c r="O1044" s="5">
        <v>33</v>
      </c>
      <c r="P1044" s="4" t="s">
        <v>90</v>
      </c>
      <c r="Q1044" s="8" t="s">
        <v>5</v>
      </c>
      <c r="R1044" s="4" t="s">
        <v>1325</v>
      </c>
      <c r="S1044" s="4"/>
      <c r="T1044"/>
      <c r="U1044" s="23"/>
    </row>
    <row r="1045" spans="1:21" ht="15.6" x14ac:dyDescent="0.3">
      <c r="A1045" s="4">
        <v>1044</v>
      </c>
      <c r="B1045" s="5">
        <v>2060855</v>
      </c>
      <c r="C1045" s="4" t="s">
        <v>154</v>
      </c>
      <c r="D1045" s="4" t="s">
        <v>157</v>
      </c>
      <c r="E1045" s="4" t="s">
        <v>93</v>
      </c>
      <c r="F1045" s="4" t="s">
        <v>2961</v>
      </c>
      <c r="G1045" s="6">
        <v>2.2000000000000002</v>
      </c>
      <c r="H1045" s="7">
        <v>45378.172789351855</v>
      </c>
      <c r="I1045" s="7" t="str">
        <f>TEXT(multilingual_mobile_app_reviews_2025[[#This Row],[Review_date]],"dd-mm-yyyy")</f>
        <v>27-03-2024</v>
      </c>
      <c r="J1045" s="7" t="str">
        <f>TEXT(multilingual_mobile_app_reviews_2025[[#This Row],[Review_date]],"YYYY")</f>
        <v>2024</v>
      </c>
      <c r="K1045" s="7" t="str">
        <f>TEXT(multilingual_mobile_app_reviews_2025[[#This Row],[Review_date]],"MMMM")</f>
        <v>March</v>
      </c>
      <c r="L1045" s="4" t="b">
        <v>1</v>
      </c>
      <c r="M1045" s="4" t="s">
        <v>22</v>
      </c>
      <c r="N1045" s="5">
        <v>87</v>
      </c>
      <c r="O1045" s="5">
        <v>40</v>
      </c>
      <c r="P1045" s="4" t="s">
        <v>11</v>
      </c>
      <c r="Q1045" s="8" t="s">
        <v>12</v>
      </c>
      <c r="R1045" s="4" t="s">
        <v>1326</v>
      </c>
      <c r="S1045" s="4"/>
      <c r="T1045"/>
      <c r="U1045" s="23"/>
    </row>
    <row r="1046" spans="1:21" ht="15.6" x14ac:dyDescent="0.3">
      <c r="A1046" s="4">
        <v>1045</v>
      </c>
      <c r="B1046" s="5">
        <v>6838231</v>
      </c>
      <c r="C1046" s="4" t="s">
        <v>134</v>
      </c>
      <c r="D1046" s="4" t="s">
        <v>220</v>
      </c>
      <c r="E1046" s="4" t="s">
        <v>93</v>
      </c>
      <c r="F1046" s="4" t="s">
        <v>2949</v>
      </c>
      <c r="G1046" s="6">
        <v>4.4000000000000004</v>
      </c>
      <c r="H1046" s="7">
        <v>45618.521782407406</v>
      </c>
      <c r="I1046" s="7" t="str">
        <f>TEXT(multilingual_mobile_app_reviews_2025[[#This Row],[Review_date]],"dd-mm-yyyy")</f>
        <v>22-11-2024</v>
      </c>
      <c r="J1046" s="7" t="str">
        <f>TEXT(multilingual_mobile_app_reviews_2025[[#This Row],[Review_date]],"YYYY")</f>
        <v>2024</v>
      </c>
      <c r="K1046" s="7" t="str">
        <f>TEXT(multilingual_mobile_app_reviews_2025[[#This Row],[Review_date]],"MMMM")</f>
        <v>November</v>
      </c>
      <c r="L1046" s="4" t="b">
        <v>1</v>
      </c>
      <c r="M1046" s="4" t="s">
        <v>22</v>
      </c>
      <c r="N1046" s="5">
        <v>321</v>
      </c>
      <c r="O1046" s="5">
        <v>17</v>
      </c>
      <c r="P1046" s="4" t="s">
        <v>38</v>
      </c>
      <c r="Q1046" s="8" t="s">
        <v>12</v>
      </c>
      <c r="R1046" s="4" t="s">
        <v>1327</v>
      </c>
      <c r="S1046" s="4"/>
      <c r="T1046"/>
      <c r="U1046" s="23"/>
    </row>
    <row r="1047" spans="1:21" ht="15.6" x14ac:dyDescent="0.3">
      <c r="A1047" s="4">
        <v>1046</v>
      </c>
      <c r="B1047" s="5">
        <v>7582180</v>
      </c>
      <c r="C1047" s="4" t="s">
        <v>96</v>
      </c>
      <c r="D1047" s="4" t="s">
        <v>97</v>
      </c>
      <c r="E1047" s="4" t="s">
        <v>32</v>
      </c>
      <c r="F1047" s="4" t="s">
        <v>2949</v>
      </c>
      <c r="G1047" s="6">
        <v>2.7</v>
      </c>
      <c r="H1047" s="7">
        <v>45416.474050925928</v>
      </c>
      <c r="I1047" s="7" t="str">
        <f>TEXT(multilingual_mobile_app_reviews_2025[[#This Row],[Review_date]],"dd-mm-yyyy")</f>
        <v>04-05-2024</v>
      </c>
      <c r="J1047" s="7" t="str">
        <f>TEXT(multilingual_mobile_app_reviews_2025[[#This Row],[Review_date]],"YYYY")</f>
        <v>2024</v>
      </c>
      <c r="K1047" s="7" t="str">
        <f>TEXT(multilingual_mobile_app_reviews_2025[[#This Row],[Review_date]],"MMMM")</f>
        <v>May</v>
      </c>
      <c r="L1047" s="4" t="b">
        <v>1</v>
      </c>
      <c r="M1047" s="4" t="s">
        <v>3</v>
      </c>
      <c r="N1047" s="5">
        <v>822</v>
      </c>
      <c r="O1047" s="5">
        <v>32</v>
      </c>
      <c r="P1047" s="4" t="s">
        <v>118</v>
      </c>
      <c r="Q1047" s="8" t="s">
        <v>12</v>
      </c>
      <c r="R1047" s="4" t="s">
        <v>1328</v>
      </c>
      <c r="S1047" s="4"/>
      <c r="T1047"/>
      <c r="U1047" s="23"/>
    </row>
    <row r="1048" spans="1:21" ht="15.6" x14ac:dyDescent="0.3">
      <c r="A1048" s="4">
        <v>1047</v>
      </c>
      <c r="B1048" s="5">
        <v>5575520</v>
      </c>
      <c r="C1048" s="4" t="s">
        <v>123</v>
      </c>
      <c r="D1048" s="4" t="s">
        <v>71</v>
      </c>
      <c r="E1048" s="4" t="s">
        <v>1329</v>
      </c>
      <c r="F1048" s="4" t="s">
        <v>2948</v>
      </c>
      <c r="G1048" s="6">
        <v>4.7</v>
      </c>
      <c r="H1048" s="7">
        <v>45694.983773148146</v>
      </c>
      <c r="I1048" s="7" t="str">
        <f>TEXT(multilingual_mobile_app_reviews_2025[[#This Row],[Review_date]],"dd-mm-yyyy")</f>
        <v>06-02-2025</v>
      </c>
      <c r="J1048" s="7" t="str">
        <f>TEXT(multilingual_mobile_app_reviews_2025[[#This Row],[Review_date]],"YYYY")</f>
        <v>2025</v>
      </c>
      <c r="K1048" s="7" t="str">
        <f>TEXT(multilingual_mobile_app_reviews_2025[[#This Row],[Review_date]],"MMMM")</f>
        <v>February</v>
      </c>
      <c r="L1048" s="4" t="b">
        <v>1</v>
      </c>
      <c r="M1048" s="4" t="s">
        <v>3</v>
      </c>
      <c r="N1048" s="5">
        <v>905</v>
      </c>
      <c r="O1048" s="5">
        <v>53</v>
      </c>
      <c r="P1048" s="4" t="s">
        <v>85</v>
      </c>
      <c r="Q1048" s="8" t="s">
        <v>29</v>
      </c>
      <c r="R1048" s="4" t="s">
        <v>1330</v>
      </c>
      <c r="S1048" s="4"/>
      <c r="T1048"/>
      <c r="U1048" s="23"/>
    </row>
    <row r="1049" spans="1:21" ht="15.6" x14ac:dyDescent="0.3">
      <c r="A1049" s="4">
        <v>1048</v>
      </c>
      <c r="B1049" s="5">
        <v>6301361</v>
      </c>
      <c r="C1049" s="4" t="s">
        <v>159</v>
      </c>
      <c r="D1049" s="4" t="s">
        <v>71</v>
      </c>
      <c r="E1049" s="4" t="s">
        <v>76</v>
      </c>
      <c r="F1049" s="4" t="s">
        <v>2959</v>
      </c>
      <c r="G1049" s="6">
        <v>2.2000000000000002</v>
      </c>
      <c r="H1049" s="7">
        <v>45438.780810185184</v>
      </c>
      <c r="I1049" s="7" t="str">
        <f>TEXT(multilingual_mobile_app_reviews_2025[[#This Row],[Review_date]],"dd-mm-yyyy")</f>
        <v>26-05-2024</v>
      </c>
      <c r="J1049" s="7" t="str">
        <f>TEXT(multilingual_mobile_app_reviews_2025[[#This Row],[Review_date]],"YYYY")</f>
        <v>2024</v>
      </c>
      <c r="K1049" s="7" t="str">
        <f>TEXT(multilingual_mobile_app_reviews_2025[[#This Row],[Review_date]],"MMMM")</f>
        <v>May</v>
      </c>
      <c r="L1049" s="4" t="b">
        <v>1</v>
      </c>
      <c r="M1049" s="4" t="s">
        <v>22</v>
      </c>
      <c r="N1049" s="5">
        <v>228</v>
      </c>
      <c r="O1049" s="5">
        <v>52</v>
      </c>
      <c r="P1049" s="4" t="s">
        <v>180</v>
      </c>
      <c r="Q1049" s="8" t="s">
        <v>2963</v>
      </c>
      <c r="R1049" s="4" t="s">
        <v>1331</v>
      </c>
      <c r="S1049" s="4"/>
      <c r="T1049"/>
      <c r="U1049" s="23"/>
    </row>
    <row r="1050" spans="1:21" ht="15.6" x14ac:dyDescent="0.3">
      <c r="A1050" s="4">
        <v>1049</v>
      </c>
      <c r="B1050" s="5">
        <v>304527</v>
      </c>
      <c r="C1050" s="4" t="s">
        <v>78</v>
      </c>
      <c r="D1050" s="4" t="s">
        <v>71</v>
      </c>
      <c r="E1050" s="4" t="s">
        <v>1332</v>
      </c>
      <c r="F1050" s="4" t="s">
        <v>2961</v>
      </c>
      <c r="G1050" s="6">
        <v>2.9</v>
      </c>
      <c r="H1050" s="7">
        <v>45704.802905092591</v>
      </c>
      <c r="I1050" s="7" t="str">
        <f>TEXT(multilingual_mobile_app_reviews_2025[[#This Row],[Review_date]],"dd-mm-yyyy")</f>
        <v>16-02-2025</v>
      </c>
      <c r="J1050" s="7" t="str">
        <f>TEXT(multilingual_mobile_app_reviews_2025[[#This Row],[Review_date]],"YYYY")</f>
        <v>2025</v>
      </c>
      <c r="K1050" s="7" t="str">
        <f>TEXT(multilingual_mobile_app_reviews_2025[[#This Row],[Review_date]],"MMMM")</f>
        <v>February</v>
      </c>
      <c r="L1050" s="4" t="b">
        <v>1</v>
      </c>
      <c r="M1050" s="4" t="s">
        <v>33</v>
      </c>
      <c r="N1050" s="5">
        <v>1163</v>
      </c>
      <c r="O1050" s="5">
        <v>62</v>
      </c>
      <c r="P1050" s="4" t="s">
        <v>61</v>
      </c>
      <c r="Q1050" s="8" t="s">
        <v>12</v>
      </c>
      <c r="R1050" s="4" t="s">
        <v>1333</v>
      </c>
      <c r="S1050" s="4"/>
      <c r="T1050"/>
      <c r="U1050" s="23"/>
    </row>
    <row r="1051" spans="1:21" ht="15.6" x14ac:dyDescent="0.3">
      <c r="A1051" s="4">
        <v>1050</v>
      </c>
      <c r="B1051" s="5">
        <v>2441557</v>
      </c>
      <c r="C1051" s="4" t="s">
        <v>147</v>
      </c>
      <c r="D1051" s="4" t="s">
        <v>111</v>
      </c>
      <c r="E1051" s="4" t="s">
        <v>16</v>
      </c>
      <c r="F1051" s="4" t="s">
        <v>2961</v>
      </c>
      <c r="G1051" s="6">
        <v>3.2</v>
      </c>
      <c r="H1051" s="7">
        <v>45787.839259259257</v>
      </c>
      <c r="I1051" s="7" t="str">
        <f>TEXT(multilingual_mobile_app_reviews_2025[[#This Row],[Review_date]],"dd-mm-yyyy")</f>
        <v>10-05-2025</v>
      </c>
      <c r="J1051" s="7" t="str">
        <f>TEXT(multilingual_mobile_app_reviews_2025[[#This Row],[Review_date]],"YYYY")</f>
        <v>2025</v>
      </c>
      <c r="K1051" s="7" t="str">
        <f>TEXT(multilingual_mobile_app_reviews_2025[[#This Row],[Review_date]],"MMMM")</f>
        <v>May</v>
      </c>
      <c r="L1051" s="4" t="b">
        <v>1</v>
      </c>
      <c r="M1051" s="4" t="s">
        <v>98</v>
      </c>
      <c r="N1051" s="5">
        <v>449</v>
      </c>
      <c r="O1051" s="5">
        <v>69</v>
      </c>
      <c r="P1051" s="4" t="s">
        <v>90</v>
      </c>
      <c r="Q1051" s="8" t="s">
        <v>29</v>
      </c>
      <c r="R1051" s="4" t="s">
        <v>1334</v>
      </c>
      <c r="S1051" s="4"/>
      <c r="T1051"/>
      <c r="U1051" s="23"/>
    </row>
    <row r="1052" spans="1:21" ht="15.6" x14ac:dyDescent="0.3">
      <c r="A1052" s="4">
        <v>1051</v>
      </c>
      <c r="B1052" s="5">
        <v>1544148</v>
      </c>
      <c r="C1052" s="4" t="s">
        <v>84</v>
      </c>
      <c r="D1052" s="4" t="s">
        <v>220</v>
      </c>
      <c r="E1052" s="4" t="s">
        <v>27</v>
      </c>
      <c r="F1052" s="4" t="s">
        <v>2942</v>
      </c>
      <c r="G1052" s="6">
        <v>1</v>
      </c>
      <c r="H1052" s="7">
        <v>45250.446203703701</v>
      </c>
      <c r="I1052" s="7" t="str">
        <f>TEXT(multilingual_mobile_app_reviews_2025[[#This Row],[Review_date]],"dd-mm-yyyy")</f>
        <v>20-11-2023</v>
      </c>
      <c r="J1052" s="7" t="str">
        <f>TEXT(multilingual_mobile_app_reviews_2025[[#This Row],[Review_date]],"YYYY")</f>
        <v>2023</v>
      </c>
      <c r="K1052" s="7" t="str">
        <f>TEXT(multilingual_mobile_app_reviews_2025[[#This Row],[Review_date]],"MMMM")</f>
        <v>November</v>
      </c>
      <c r="L1052" s="4" t="b">
        <v>1</v>
      </c>
      <c r="M1052" s="4" t="s">
        <v>98</v>
      </c>
      <c r="N1052" s="5">
        <v>668</v>
      </c>
      <c r="O1052" s="5">
        <v>64</v>
      </c>
      <c r="P1052" s="4" t="s">
        <v>65</v>
      </c>
      <c r="Q1052" s="8" t="s">
        <v>39</v>
      </c>
      <c r="R1052" s="4" t="s">
        <v>178</v>
      </c>
      <c r="S1052" s="4"/>
      <c r="T1052"/>
      <c r="U1052" s="23"/>
    </row>
    <row r="1053" spans="1:21" ht="15.6" x14ac:dyDescent="0.3">
      <c r="A1053" s="4">
        <v>1052</v>
      </c>
      <c r="B1053" s="5">
        <v>5187374</v>
      </c>
      <c r="C1053" s="4" t="s">
        <v>46</v>
      </c>
      <c r="D1053" s="4" t="s">
        <v>47</v>
      </c>
      <c r="E1053" s="4" t="s">
        <v>1335</v>
      </c>
      <c r="F1053" s="4" t="s">
        <v>2946</v>
      </c>
      <c r="G1053" s="6">
        <v>2.6</v>
      </c>
      <c r="H1053" s="7">
        <v>45635.053553240738</v>
      </c>
      <c r="I1053" s="7" t="str">
        <f>TEXT(multilingual_mobile_app_reviews_2025[[#This Row],[Review_date]],"dd-mm-yyyy")</f>
        <v>09-12-2024</v>
      </c>
      <c r="J1053" s="7" t="str">
        <f>TEXT(multilingual_mobile_app_reviews_2025[[#This Row],[Review_date]],"YYYY")</f>
        <v>2024</v>
      </c>
      <c r="K1053" s="7" t="str">
        <f>TEXT(multilingual_mobile_app_reviews_2025[[#This Row],[Review_date]],"MMMM")</f>
        <v>December</v>
      </c>
      <c r="L1053" s="4" t="b">
        <v>1</v>
      </c>
      <c r="M1053" s="4" t="s">
        <v>3</v>
      </c>
      <c r="N1053" s="5">
        <v>335</v>
      </c>
      <c r="O1053" s="5">
        <v>65</v>
      </c>
      <c r="P1053" s="4" t="s">
        <v>70</v>
      </c>
      <c r="Q1053" s="8" t="s">
        <v>29</v>
      </c>
      <c r="R1053" s="4" t="s">
        <v>1336</v>
      </c>
      <c r="S1053" s="4"/>
      <c r="T1053"/>
      <c r="U1053" s="23"/>
    </row>
    <row r="1054" spans="1:21" ht="15.6" x14ac:dyDescent="0.3">
      <c r="A1054" s="4">
        <v>1053</v>
      </c>
      <c r="B1054" s="5">
        <v>7054391</v>
      </c>
      <c r="C1054" s="4" t="s">
        <v>192</v>
      </c>
      <c r="D1054" s="4" t="s">
        <v>15</v>
      </c>
      <c r="E1054" s="4" t="s">
        <v>1337</v>
      </c>
      <c r="F1054" s="4" t="s">
        <v>2954</v>
      </c>
      <c r="G1054" s="6">
        <v>3.5</v>
      </c>
      <c r="H1054" s="7">
        <v>45140.778657407405</v>
      </c>
      <c r="I1054" s="7" t="str">
        <f>TEXT(multilingual_mobile_app_reviews_2025[[#This Row],[Review_date]],"dd-mm-yyyy")</f>
        <v>02-08-2023</v>
      </c>
      <c r="J1054" s="7" t="str">
        <f>TEXT(multilingual_mobile_app_reviews_2025[[#This Row],[Review_date]],"YYYY")</f>
        <v>2023</v>
      </c>
      <c r="K1054" s="7" t="str">
        <f>TEXT(multilingual_mobile_app_reviews_2025[[#This Row],[Review_date]],"MMMM")</f>
        <v>August</v>
      </c>
      <c r="L1054" s="4" t="b">
        <v>1</v>
      </c>
      <c r="M1054" s="4" t="s">
        <v>33</v>
      </c>
      <c r="N1054" s="5">
        <v>824</v>
      </c>
      <c r="O1054" s="5">
        <v>24</v>
      </c>
      <c r="P1054" s="4" t="s">
        <v>11</v>
      </c>
      <c r="Q1054" s="8" t="s">
        <v>29</v>
      </c>
      <c r="R1054" s="4" t="s">
        <v>2963</v>
      </c>
      <c r="S1054" s="4"/>
      <c r="T1054"/>
      <c r="U1054" s="23"/>
    </row>
    <row r="1055" spans="1:21" ht="15.6" x14ac:dyDescent="0.3">
      <c r="A1055" s="4">
        <v>1054</v>
      </c>
      <c r="B1055" s="5">
        <v>4506989</v>
      </c>
      <c r="C1055" s="4" t="s">
        <v>264</v>
      </c>
      <c r="D1055" s="4" t="s">
        <v>220</v>
      </c>
      <c r="E1055" s="4" t="s">
        <v>1338</v>
      </c>
      <c r="F1055" s="4" t="s">
        <v>2957</v>
      </c>
      <c r="G1055" s="6">
        <v>3.2</v>
      </c>
      <c r="H1055" s="7">
        <v>45462.893518518518</v>
      </c>
      <c r="I1055" s="7" t="str">
        <f>TEXT(multilingual_mobile_app_reviews_2025[[#This Row],[Review_date]],"dd-mm-yyyy")</f>
        <v>19-06-2024</v>
      </c>
      <c r="J1055" s="7" t="str">
        <f>TEXT(multilingual_mobile_app_reviews_2025[[#This Row],[Review_date]],"YYYY")</f>
        <v>2024</v>
      </c>
      <c r="K1055" s="7" t="str">
        <f>TEXT(multilingual_mobile_app_reviews_2025[[#This Row],[Review_date]],"MMMM")</f>
        <v>June</v>
      </c>
      <c r="L1055" s="4" t="b">
        <v>1</v>
      </c>
      <c r="M1055" s="4" t="s">
        <v>33</v>
      </c>
      <c r="N1055" s="5">
        <v>458</v>
      </c>
      <c r="O1055" s="5">
        <v>35</v>
      </c>
      <c r="P1055" s="4" t="s">
        <v>65</v>
      </c>
      <c r="Q1055" s="8" t="s">
        <v>29</v>
      </c>
      <c r="R1055" s="4" t="s">
        <v>1339</v>
      </c>
      <c r="S1055" s="4"/>
      <c r="T1055"/>
      <c r="U1055" s="23"/>
    </row>
    <row r="1056" spans="1:21" ht="15.6" x14ac:dyDescent="0.3">
      <c r="A1056" s="4">
        <v>1055</v>
      </c>
      <c r="B1056" s="5">
        <v>8352486</v>
      </c>
      <c r="C1056" s="4" t="s">
        <v>132</v>
      </c>
      <c r="D1056" s="4" t="s">
        <v>15</v>
      </c>
      <c r="E1056" s="4" t="s">
        <v>32</v>
      </c>
      <c r="F1056" s="4" t="s">
        <v>2956</v>
      </c>
      <c r="G1056" s="6">
        <v>3.9</v>
      </c>
      <c r="H1056" s="7">
        <v>45843.205370370371</v>
      </c>
      <c r="I1056" s="7" t="str">
        <f>TEXT(multilingual_mobile_app_reviews_2025[[#This Row],[Review_date]],"dd-mm-yyyy")</f>
        <v>05-07-2025</v>
      </c>
      <c r="J1056" s="7" t="str">
        <f>TEXT(multilingual_mobile_app_reviews_2025[[#This Row],[Review_date]],"YYYY")</f>
        <v>2025</v>
      </c>
      <c r="K1056" s="7" t="str">
        <f>TEXT(multilingual_mobile_app_reviews_2025[[#This Row],[Review_date]],"MMMM")</f>
        <v>July</v>
      </c>
      <c r="L1056" s="4" t="b">
        <v>0</v>
      </c>
      <c r="M1056" s="4" t="s">
        <v>33</v>
      </c>
      <c r="N1056" s="5">
        <v>342</v>
      </c>
      <c r="O1056" s="5">
        <v>13</v>
      </c>
      <c r="P1056" s="4" t="s">
        <v>38</v>
      </c>
      <c r="Q1056" s="8" t="s">
        <v>2963</v>
      </c>
      <c r="R1056" s="4" t="s">
        <v>1340</v>
      </c>
      <c r="S1056" s="4"/>
      <c r="T1056"/>
      <c r="U1056" s="23"/>
    </row>
    <row r="1057" spans="1:21" ht="15.6" x14ac:dyDescent="0.3">
      <c r="A1057" s="4">
        <v>1056</v>
      </c>
      <c r="B1057" s="5">
        <v>4206228</v>
      </c>
      <c r="C1057" s="4" t="s">
        <v>174</v>
      </c>
      <c r="D1057" s="4" t="s">
        <v>57</v>
      </c>
      <c r="E1057" s="4" t="s">
        <v>1341</v>
      </c>
      <c r="F1057" s="4" t="s">
        <v>2943</v>
      </c>
      <c r="G1057" s="6">
        <v>4.9000000000000004</v>
      </c>
      <c r="H1057" s="7">
        <v>45190.704976851855</v>
      </c>
      <c r="I1057" s="7" t="str">
        <f>TEXT(multilingual_mobile_app_reviews_2025[[#This Row],[Review_date]],"dd-mm-yyyy")</f>
        <v>21-09-2023</v>
      </c>
      <c r="J1057" s="7" t="str">
        <f>TEXT(multilingual_mobile_app_reviews_2025[[#This Row],[Review_date]],"YYYY")</f>
        <v>2023</v>
      </c>
      <c r="K1057" s="7" t="str">
        <f>TEXT(multilingual_mobile_app_reviews_2025[[#This Row],[Review_date]],"MMMM")</f>
        <v>September</v>
      </c>
      <c r="L1057" s="4" t="b">
        <v>1</v>
      </c>
      <c r="M1057" s="4" t="s">
        <v>3</v>
      </c>
      <c r="N1057" s="5">
        <v>1186</v>
      </c>
      <c r="O1057" s="5">
        <v>67</v>
      </c>
      <c r="P1057" s="4" t="s">
        <v>34</v>
      </c>
      <c r="Q1057" s="8" t="s">
        <v>5</v>
      </c>
      <c r="R1057" s="4" t="s">
        <v>1342</v>
      </c>
      <c r="S1057" s="4"/>
      <c r="T1057"/>
      <c r="U1057" s="23"/>
    </row>
    <row r="1058" spans="1:21" ht="15.6" x14ac:dyDescent="0.3">
      <c r="A1058" s="4">
        <v>1057</v>
      </c>
      <c r="B1058" s="5">
        <v>6169317</v>
      </c>
      <c r="C1058" s="4" t="s">
        <v>199</v>
      </c>
      <c r="D1058" s="4" t="s">
        <v>15</v>
      </c>
      <c r="E1058" s="4" t="s">
        <v>76</v>
      </c>
      <c r="F1058" s="4" t="s">
        <v>2955</v>
      </c>
      <c r="G1058" s="6">
        <v>4.5</v>
      </c>
      <c r="H1058" s="7">
        <v>45590.205393518518</v>
      </c>
      <c r="I1058" s="7" t="str">
        <f>TEXT(multilingual_mobile_app_reviews_2025[[#This Row],[Review_date]],"dd-mm-yyyy")</f>
        <v>25-10-2024</v>
      </c>
      <c r="J1058" s="7" t="str">
        <f>TEXT(multilingual_mobile_app_reviews_2025[[#This Row],[Review_date]],"YYYY")</f>
        <v>2024</v>
      </c>
      <c r="K1058" s="7" t="str">
        <f>TEXT(multilingual_mobile_app_reviews_2025[[#This Row],[Review_date]],"MMMM")</f>
        <v>October</v>
      </c>
      <c r="L1058" s="4" t="b">
        <v>1</v>
      </c>
      <c r="M1058" s="4" t="s">
        <v>33</v>
      </c>
      <c r="N1058" s="5">
        <v>192</v>
      </c>
      <c r="O1058" s="5">
        <v>21</v>
      </c>
      <c r="P1058" s="4" t="s">
        <v>73</v>
      </c>
      <c r="Q1058" s="8" t="s">
        <v>29</v>
      </c>
      <c r="R1058" s="4" t="s">
        <v>1343</v>
      </c>
      <c r="S1058" s="4"/>
      <c r="T1058"/>
      <c r="U1058" s="23"/>
    </row>
    <row r="1059" spans="1:21" ht="15.6" x14ac:dyDescent="0.3">
      <c r="A1059" s="4">
        <v>1058</v>
      </c>
      <c r="B1059" s="5">
        <v>9588767</v>
      </c>
      <c r="C1059" s="4" t="s">
        <v>208</v>
      </c>
      <c r="D1059" s="4" t="s">
        <v>8</v>
      </c>
      <c r="E1059" s="4" t="s">
        <v>1344</v>
      </c>
      <c r="F1059" s="4" t="s">
        <v>2951</v>
      </c>
      <c r="G1059" s="6">
        <v>3.3</v>
      </c>
      <c r="H1059" s="7">
        <v>45179.95784722222</v>
      </c>
      <c r="I1059" s="7" t="str">
        <f>TEXT(multilingual_mobile_app_reviews_2025[[#This Row],[Review_date]],"dd-mm-yyyy")</f>
        <v>10-09-2023</v>
      </c>
      <c r="J1059" s="7" t="str">
        <f>TEXT(multilingual_mobile_app_reviews_2025[[#This Row],[Review_date]],"YYYY")</f>
        <v>2023</v>
      </c>
      <c r="K1059" s="7" t="str">
        <f>TEXT(multilingual_mobile_app_reviews_2025[[#This Row],[Review_date]],"MMMM")</f>
        <v>September</v>
      </c>
      <c r="L1059" s="4" t="b">
        <v>1</v>
      </c>
      <c r="M1059" s="4" t="s">
        <v>33</v>
      </c>
      <c r="N1059" s="5">
        <v>46</v>
      </c>
      <c r="O1059" s="5">
        <v>41</v>
      </c>
      <c r="P1059" s="4" t="s">
        <v>230</v>
      </c>
      <c r="Q1059" s="8" t="s">
        <v>29</v>
      </c>
      <c r="R1059" s="4" t="s">
        <v>992</v>
      </c>
      <c r="S1059" s="4"/>
      <c r="T1059"/>
      <c r="U1059" s="23"/>
    </row>
    <row r="1060" spans="1:21" ht="15.6" x14ac:dyDescent="0.3">
      <c r="A1060" s="4">
        <v>1059</v>
      </c>
      <c r="B1060" s="5">
        <v>6159317</v>
      </c>
      <c r="C1060" s="4" t="s">
        <v>104</v>
      </c>
      <c r="D1060" s="4" t="s">
        <v>15</v>
      </c>
      <c r="E1060" s="4" t="s">
        <v>1345</v>
      </c>
      <c r="F1060" s="4" t="s">
        <v>2957</v>
      </c>
      <c r="G1060" s="6">
        <v>3.7</v>
      </c>
      <c r="H1060" s="7">
        <v>45816.524884259263</v>
      </c>
      <c r="I1060" s="7" t="str">
        <f>TEXT(multilingual_mobile_app_reviews_2025[[#This Row],[Review_date]],"dd-mm-yyyy")</f>
        <v>08-06-2025</v>
      </c>
      <c r="J1060" s="7" t="str">
        <f>TEXT(multilingual_mobile_app_reviews_2025[[#This Row],[Review_date]],"YYYY")</f>
        <v>2025</v>
      </c>
      <c r="K1060" s="7" t="str">
        <f>TEXT(multilingual_mobile_app_reviews_2025[[#This Row],[Review_date]],"MMMM")</f>
        <v>June</v>
      </c>
      <c r="L1060" s="4" t="b">
        <v>1</v>
      </c>
      <c r="M1060" s="4" t="s">
        <v>10</v>
      </c>
      <c r="N1060" s="5">
        <v>1145</v>
      </c>
      <c r="O1060" s="5">
        <v>35</v>
      </c>
      <c r="P1060" s="4" t="s">
        <v>94</v>
      </c>
      <c r="Q1060" s="8" t="s">
        <v>2963</v>
      </c>
      <c r="R1060" s="4" t="s">
        <v>1346</v>
      </c>
      <c r="S1060" s="4"/>
      <c r="T1060"/>
      <c r="U1060" s="23"/>
    </row>
    <row r="1061" spans="1:21" ht="15.6" x14ac:dyDescent="0.3">
      <c r="A1061" s="4">
        <v>1060</v>
      </c>
      <c r="B1061" s="5">
        <v>5151155</v>
      </c>
      <c r="C1061" s="4" t="s">
        <v>137</v>
      </c>
      <c r="D1061" s="4" t="s">
        <v>97</v>
      </c>
      <c r="E1061" s="4" t="s">
        <v>130</v>
      </c>
      <c r="F1061" s="4" t="s">
        <v>2948</v>
      </c>
      <c r="G1061" s="6">
        <v>4.8</v>
      </c>
      <c r="H1061" s="7">
        <v>45349.726689814815</v>
      </c>
      <c r="I1061" s="7" t="str">
        <f>TEXT(multilingual_mobile_app_reviews_2025[[#This Row],[Review_date]],"dd-mm-yyyy")</f>
        <v>27-02-2024</v>
      </c>
      <c r="J1061" s="7" t="str">
        <f>TEXT(multilingual_mobile_app_reviews_2025[[#This Row],[Review_date]],"YYYY")</f>
        <v>2024</v>
      </c>
      <c r="K1061" s="7" t="str">
        <f>TEXT(multilingual_mobile_app_reviews_2025[[#This Row],[Review_date]],"MMMM")</f>
        <v>February</v>
      </c>
      <c r="L1061" s="4" t="b">
        <v>0</v>
      </c>
      <c r="M1061" s="4" t="s">
        <v>10</v>
      </c>
      <c r="N1061" s="5">
        <v>422</v>
      </c>
      <c r="O1061" s="5">
        <v>38</v>
      </c>
      <c r="P1061" s="4" t="s">
        <v>44</v>
      </c>
      <c r="Q1061" s="8" t="s">
        <v>2963</v>
      </c>
      <c r="R1061" s="4" t="s">
        <v>1347</v>
      </c>
      <c r="S1061" s="4"/>
      <c r="T1061"/>
      <c r="U1061" s="23"/>
    </row>
    <row r="1062" spans="1:21" ht="15.6" x14ac:dyDescent="0.3">
      <c r="A1062" s="4">
        <v>1061</v>
      </c>
      <c r="B1062" s="5">
        <v>6182121</v>
      </c>
      <c r="C1062" s="4" t="s">
        <v>132</v>
      </c>
      <c r="D1062" s="4" t="s">
        <v>111</v>
      </c>
      <c r="E1062" s="4" t="s">
        <v>64</v>
      </c>
      <c r="F1062" s="4" t="s">
        <v>2960</v>
      </c>
      <c r="G1062" s="6">
        <v>4.5</v>
      </c>
      <c r="H1062" s="7">
        <v>45213.314282407409</v>
      </c>
      <c r="I1062" s="7" t="str">
        <f>TEXT(multilingual_mobile_app_reviews_2025[[#This Row],[Review_date]],"dd-mm-yyyy")</f>
        <v>14-10-2023</v>
      </c>
      <c r="J1062" s="7" t="str">
        <f>TEXT(multilingual_mobile_app_reviews_2025[[#This Row],[Review_date]],"YYYY")</f>
        <v>2023</v>
      </c>
      <c r="K1062" s="7" t="str">
        <f>TEXT(multilingual_mobile_app_reviews_2025[[#This Row],[Review_date]],"MMMM")</f>
        <v>October</v>
      </c>
      <c r="L1062" s="4" t="b">
        <v>1</v>
      </c>
      <c r="M1062" s="4" t="s">
        <v>10</v>
      </c>
      <c r="N1062" s="5">
        <v>350</v>
      </c>
      <c r="O1062" s="5">
        <v>20</v>
      </c>
      <c r="P1062" s="4" t="s">
        <v>23</v>
      </c>
      <c r="Q1062" s="8" t="s">
        <v>5</v>
      </c>
      <c r="R1062" s="4" t="s">
        <v>1089</v>
      </c>
      <c r="S1062" s="4"/>
      <c r="T1062"/>
      <c r="U1062" s="23"/>
    </row>
    <row r="1063" spans="1:21" ht="15.6" x14ac:dyDescent="0.3">
      <c r="A1063" s="4">
        <v>1062</v>
      </c>
      <c r="B1063" s="5">
        <v>9831567</v>
      </c>
      <c r="C1063" s="4" t="s">
        <v>75</v>
      </c>
      <c r="D1063" s="4" t="s">
        <v>42</v>
      </c>
      <c r="E1063" s="4" t="s">
        <v>1348</v>
      </c>
      <c r="F1063" s="4" t="s">
        <v>2942</v>
      </c>
      <c r="G1063" s="6">
        <v>4.0999999999999996</v>
      </c>
      <c r="H1063" s="7">
        <v>45496.552476851852</v>
      </c>
      <c r="I1063" s="7" t="str">
        <f>TEXT(multilingual_mobile_app_reviews_2025[[#This Row],[Review_date]],"dd-mm-yyyy")</f>
        <v>23-07-2024</v>
      </c>
      <c r="J1063" s="7" t="str">
        <f>TEXT(multilingual_mobile_app_reviews_2025[[#This Row],[Review_date]],"YYYY")</f>
        <v>2024</v>
      </c>
      <c r="K1063" s="7" t="str">
        <f>TEXT(multilingual_mobile_app_reviews_2025[[#This Row],[Review_date]],"MMMM")</f>
        <v>July</v>
      </c>
      <c r="L1063" s="4" t="b">
        <v>1</v>
      </c>
      <c r="M1063" s="4" t="s">
        <v>98</v>
      </c>
      <c r="N1063" s="5">
        <v>1139</v>
      </c>
      <c r="O1063" s="5">
        <v>69</v>
      </c>
      <c r="P1063" s="4" t="s">
        <v>34</v>
      </c>
      <c r="Q1063" s="8" t="s">
        <v>2963</v>
      </c>
      <c r="R1063" s="4" t="s">
        <v>1349</v>
      </c>
      <c r="S1063" s="4"/>
      <c r="T1063"/>
      <c r="U1063" s="23"/>
    </row>
    <row r="1064" spans="1:21" ht="15.6" x14ac:dyDescent="0.3">
      <c r="A1064" s="4">
        <v>1063</v>
      </c>
      <c r="B1064" s="5">
        <v>2055647</v>
      </c>
      <c r="C1064" s="4" t="s">
        <v>56</v>
      </c>
      <c r="D1064" s="4" t="s">
        <v>51</v>
      </c>
      <c r="E1064" s="4" t="s">
        <v>1350</v>
      </c>
      <c r="F1064" s="4" t="s">
        <v>2949</v>
      </c>
      <c r="G1064" s="6">
        <v>2.4</v>
      </c>
      <c r="H1064" s="7">
        <v>45773.490995370368</v>
      </c>
      <c r="I1064" s="7" t="str">
        <f>TEXT(multilingual_mobile_app_reviews_2025[[#This Row],[Review_date]],"dd-mm-yyyy")</f>
        <v>26-04-2025</v>
      </c>
      <c r="J1064" s="7" t="str">
        <f>TEXT(multilingual_mobile_app_reviews_2025[[#This Row],[Review_date]],"YYYY")</f>
        <v>2025</v>
      </c>
      <c r="K1064" s="7" t="str">
        <f>TEXT(multilingual_mobile_app_reviews_2025[[#This Row],[Review_date]],"MMMM")</f>
        <v>April</v>
      </c>
      <c r="L1064" s="4" t="b">
        <v>1</v>
      </c>
      <c r="M1064" s="4" t="s">
        <v>22</v>
      </c>
      <c r="N1064" s="5">
        <v>29</v>
      </c>
      <c r="O1064" s="5">
        <v>22</v>
      </c>
      <c r="P1064" s="4" t="s">
        <v>70</v>
      </c>
      <c r="Q1064" s="8" t="s">
        <v>39</v>
      </c>
      <c r="R1064" s="4" t="s">
        <v>1351</v>
      </c>
      <c r="S1064" s="4"/>
      <c r="T1064"/>
      <c r="U1064" s="23"/>
    </row>
    <row r="1065" spans="1:21" ht="15.6" x14ac:dyDescent="0.3">
      <c r="A1065" s="4">
        <v>1064</v>
      </c>
      <c r="B1065" s="5">
        <v>8876515</v>
      </c>
      <c r="C1065" s="4" t="s">
        <v>159</v>
      </c>
      <c r="D1065" s="4" t="s">
        <v>1</v>
      </c>
      <c r="E1065" s="4" t="s">
        <v>1352</v>
      </c>
      <c r="F1065" s="4" t="s">
        <v>2962</v>
      </c>
      <c r="G1065" s="6">
        <v>1.4</v>
      </c>
      <c r="H1065" s="7">
        <v>45225.655462962961</v>
      </c>
      <c r="I1065" s="7" t="str">
        <f>TEXT(multilingual_mobile_app_reviews_2025[[#This Row],[Review_date]],"dd-mm-yyyy")</f>
        <v>26-10-2023</v>
      </c>
      <c r="J1065" s="7" t="str">
        <f>TEXT(multilingual_mobile_app_reviews_2025[[#This Row],[Review_date]],"YYYY")</f>
        <v>2023</v>
      </c>
      <c r="K1065" s="7" t="str">
        <f>TEXT(multilingual_mobile_app_reviews_2025[[#This Row],[Review_date]],"MMMM")</f>
        <v>October</v>
      </c>
      <c r="L1065" s="4" t="b">
        <v>1</v>
      </c>
      <c r="M1065" s="4" t="s">
        <v>10</v>
      </c>
      <c r="N1065" s="5">
        <v>1157</v>
      </c>
      <c r="O1065" s="5">
        <v>25</v>
      </c>
      <c r="P1065" s="4" t="s">
        <v>70</v>
      </c>
      <c r="Q1065" s="8" t="s">
        <v>2963</v>
      </c>
      <c r="R1065" s="4" t="s">
        <v>1353</v>
      </c>
      <c r="S1065" s="4"/>
      <c r="T1065"/>
      <c r="U1065" s="23"/>
    </row>
    <row r="1066" spans="1:21" ht="15.6" x14ac:dyDescent="0.3">
      <c r="A1066" s="4">
        <v>1065</v>
      </c>
      <c r="B1066" s="5">
        <v>415519</v>
      </c>
      <c r="C1066" s="4" t="s">
        <v>54</v>
      </c>
      <c r="D1066" s="4" t="s">
        <v>42</v>
      </c>
      <c r="E1066" s="4" t="s">
        <v>109</v>
      </c>
      <c r="F1066" s="4" t="s">
        <v>2939</v>
      </c>
      <c r="G1066" s="6">
        <v>1.5</v>
      </c>
      <c r="H1066" s="7">
        <v>45740.59957175926</v>
      </c>
      <c r="I1066" s="7" t="str">
        <f>TEXT(multilingual_mobile_app_reviews_2025[[#This Row],[Review_date]],"dd-mm-yyyy")</f>
        <v>24-03-2025</v>
      </c>
      <c r="J1066" s="7" t="str">
        <f>TEXT(multilingual_mobile_app_reviews_2025[[#This Row],[Review_date]],"YYYY")</f>
        <v>2025</v>
      </c>
      <c r="K1066" s="7" t="str">
        <f>TEXT(multilingual_mobile_app_reviews_2025[[#This Row],[Review_date]],"MMMM")</f>
        <v>March</v>
      </c>
      <c r="L1066" s="4" t="b">
        <v>1</v>
      </c>
      <c r="M1066" s="4" t="s">
        <v>22</v>
      </c>
      <c r="N1066" s="5">
        <v>875</v>
      </c>
      <c r="O1066" s="5">
        <v>36</v>
      </c>
      <c r="P1066" s="4" t="s">
        <v>61</v>
      </c>
      <c r="Q1066" s="8" t="s">
        <v>12</v>
      </c>
      <c r="R1066" s="4" t="s">
        <v>644</v>
      </c>
      <c r="S1066" s="4"/>
      <c r="T1066"/>
      <c r="U1066" s="23"/>
    </row>
    <row r="1067" spans="1:21" ht="15.6" x14ac:dyDescent="0.3">
      <c r="A1067" s="4">
        <v>1066</v>
      </c>
      <c r="B1067" s="5">
        <v>7335132</v>
      </c>
      <c r="C1067" s="4" t="s">
        <v>137</v>
      </c>
      <c r="D1067" s="4" t="s">
        <v>63</v>
      </c>
      <c r="E1067" s="4" t="s">
        <v>32</v>
      </c>
      <c r="F1067" s="4" t="s">
        <v>2943</v>
      </c>
      <c r="G1067" s="6">
        <v>1.7</v>
      </c>
      <c r="H1067" s="7">
        <v>45171.90215277778</v>
      </c>
      <c r="I1067" s="7" t="str">
        <f>TEXT(multilingual_mobile_app_reviews_2025[[#This Row],[Review_date]],"dd-mm-yyyy")</f>
        <v>02-09-2023</v>
      </c>
      <c r="J1067" s="7" t="str">
        <f>TEXT(multilingual_mobile_app_reviews_2025[[#This Row],[Review_date]],"YYYY")</f>
        <v>2023</v>
      </c>
      <c r="K1067" s="7" t="str">
        <f>TEXT(multilingual_mobile_app_reviews_2025[[#This Row],[Review_date]],"MMMM")</f>
        <v>September</v>
      </c>
      <c r="L1067" s="4" t="b">
        <v>1</v>
      </c>
      <c r="M1067" s="4" t="s">
        <v>98</v>
      </c>
      <c r="N1067" s="5">
        <v>773</v>
      </c>
      <c r="O1067" s="5">
        <v>22</v>
      </c>
      <c r="P1067" s="4" t="s">
        <v>180</v>
      </c>
      <c r="Q1067" s="8" t="s">
        <v>12</v>
      </c>
      <c r="R1067" s="4" t="s">
        <v>1354</v>
      </c>
      <c r="S1067" s="4"/>
      <c r="T1067"/>
      <c r="U1067" s="23"/>
    </row>
    <row r="1068" spans="1:21" ht="15.6" x14ac:dyDescent="0.3">
      <c r="A1068" s="4">
        <v>1067</v>
      </c>
      <c r="B1068" s="5">
        <v>1908875</v>
      </c>
      <c r="C1068" s="4" t="s">
        <v>165</v>
      </c>
      <c r="D1068" s="4" t="s">
        <v>47</v>
      </c>
      <c r="E1068" s="4" t="s">
        <v>27</v>
      </c>
      <c r="F1068" s="4" t="s">
        <v>2956</v>
      </c>
      <c r="G1068" s="6">
        <v>3.6</v>
      </c>
      <c r="H1068" s="7">
        <v>45164.349120370367</v>
      </c>
      <c r="I1068" s="7" t="str">
        <f>TEXT(multilingual_mobile_app_reviews_2025[[#This Row],[Review_date]],"dd-mm-yyyy")</f>
        <v>26-08-2023</v>
      </c>
      <c r="J1068" s="7" t="str">
        <f>TEXT(multilingual_mobile_app_reviews_2025[[#This Row],[Review_date]],"YYYY")</f>
        <v>2023</v>
      </c>
      <c r="K1068" s="7" t="str">
        <f>TEXT(multilingual_mobile_app_reviews_2025[[#This Row],[Review_date]],"MMMM")</f>
        <v>August</v>
      </c>
      <c r="L1068" s="4" t="b">
        <v>0</v>
      </c>
      <c r="M1068" s="4" t="s">
        <v>10</v>
      </c>
      <c r="N1068" s="5">
        <v>900</v>
      </c>
      <c r="O1068" s="5">
        <v>63</v>
      </c>
      <c r="P1068" s="4" t="s">
        <v>118</v>
      </c>
      <c r="Q1068" s="8" t="s">
        <v>39</v>
      </c>
      <c r="R1068" s="4" t="s">
        <v>1355</v>
      </c>
      <c r="S1068" s="4"/>
      <c r="T1068"/>
      <c r="U1068" s="23"/>
    </row>
    <row r="1069" spans="1:21" ht="15.6" x14ac:dyDescent="0.3">
      <c r="A1069" s="4">
        <v>1068</v>
      </c>
      <c r="B1069" s="5">
        <v>8714751</v>
      </c>
      <c r="C1069" s="4" t="s">
        <v>208</v>
      </c>
      <c r="D1069" s="4" t="s">
        <v>79</v>
      </c>
      <c r="E1069" s="4" t="s">
        <v>27</v>
      </c>
      <c r="F1069" s="4" t="s">
        <v>2949</v>
      </c>
      <c r="G1069" s="6">
        <v>1.9</v>
      </c>
      <c r="H1069" s="7">
        <v>45599.611828703702</v>
      </c>
      <c r="I1069" s="7" t="str">
        <f>TEXT(multilingual_mobile_app_reviews_2025[[#This Row],[Review_date]],"dd-mm-yyyy")</f>
        <v>03-11-2024</v>
      </c>
      <c r="J1069" s="7" t="str">
        <f>TEXT(multilingual_mobile_app_reviews_2025[[#This Row],[Review_date]],"YYYY")</f>
        <v>2024</v>
      </c>
      <c r="K1069" s="7" t="str">
        <f>TEXT(multilingual_mobile_app_reviews_2025[[#This Row],[Review_date]],"MMMM")</f>
        <v>November</v>
      </c>
      <c r="L1069" s="4" t="b">
        <v>1</v>
      </c>
      <c r="M1069" s="4" t="s">
        <v>98</v>
      </c>
      <c r="N1069" s="5">
        <v>1001</v>
      </c>
      <c r="O1069" s="5">
        <v>66</v>
      </c>
      <c r="P1069" s="4" t="s">
        <v>4</v>
      </c>
      <c r="Q1069" s="8" t="s">
        <v>5</v>
      </c>
      <c r="R1069" s="4" t="s">
        <v>1356</v>
      </c>
      <c r="S1069" s="4"/>
      <c r="T1069"/>
      <c r="U1069" s="23"/>
    </row>
    <row r="1070" spans="1:21" ht="15.6" x14ac:dyDescent="0.3">
      <c r="A1070" s="4">
        <v>1069</v>
      </c>
      <c r="B1070" s="5">
        <v>7969895</v>
      </c>
      <c r="C1070" s="4" t="s">
        <v>137</v>
      </c>
      <c r="D1070" s="4" t="s">
        <v>63</v>
      </c>
      <c r="E1070" s="4" t="s">
        <v>1357</v>
      </c>
      <c r="F1070" s="4" t="s">
        <v>2958</v>
      </c>
      <c r="G1070" s="6">
        <v>4.0999999999999996</v>
      </c>
      <c r="H1070" s="7">
        <v>45213.834826388891</v>
      </c>
      <c r="I1070" s="7" t="str">
        <f>TEXT(multilingual_mobile_app_reviews_2025[[#This Row],[Review_date]],"dd-mm-yyyy")</f>
        <v>14-10-2023</v>
      </c>
      <c r="J1070" s="7" t="str">
        <f>TEXT(multilingual_mobile_app_reviews_2025[[#This Row],[Review_date]],"YYYY")</f>
        <v>2023</v>
      </c>
      <c r="K1070" s="7" t="str">
        <f>TEXT(multilingual_mobile_app_reviews_2025[[#This Row],[Review_date]],"MMMM")</f>
        <v>October</v>
      </c>
      <c r="L1070" s="4" t="b">
        <v>1</v>
      </c>
      <c r="M1070" s="4" t="s">
        <v>22</v>
      </c>
      <c r="N1070" s="5">
        <v>293</v>
      </c>
      <c r="O1070" s="5">
        <v>53</v>
      </c>
      <c r="P1070" s="4" t="s">
        <v>70</v>
      </c>
      <c r="Q1070" s="8" t="s">
        <v>29</v>
      </c>
      <c r="R1070" s="4" t="s">
        <v>561</v>
      </c>
      <c r="S1070" s="4"/>
      <c r="T1070"/>
      <c r="U1070" s="23"/>
    </row>
    <row r="1071" spans="1:21" ht="15.6" x14ac:dyDescent="0.3">
      <c r="A1071" s="4">
        <v>1070</v>
      </c>
      <c r="B1071" s="5">
        <v>3546060</v>
      </c>
      <c r="C1071" s="4" t="s">
        <v>84</v>
      </c>
      <c r="D1071" s="4" t="s">
        <v>51</v>
      </c>
      <c r="E1071" s="4" t="s">
        <v>21</v>
      </c>
      <c r="F1071" s="4" t="s">
        <v>2952</v>
      </c>
      <c r="G1071" s="6">
        <v>3.7</v>
      </c>
      <c r="H1071" s="7">
        <v>45595.283043981479</v>
      </c>
      <c r="I1071" s="7" t="str">
        <f>TEXT(multilingual_mobile_app_reviews_2025[[#This Row],[Review_date]],"dd-mm-yyyy")</f>
        <v>30-10-2024</v>
      </c>
      <c r="J1071" s="7" t="str">
        <f>TEXT(multilingual_mobile_app_reviews_2025[[#This Row],[Review_date]],"YYYY")</f>
        <v>2024</v>
      </c>
      <c r="K1071" s="7" t="str">
        <f>TEXT(multilingual_mobile_app_reviews_2025[[#This Row],[Review_date]],"MMMM")</f>
        <v>October</v>
      </c>
      <c r="L1071" s="4" t="b">
        <v>1</v>
      </c>
      <c r="M1071" s="4" t="s">
        <v>10</v>
      </c>
      <c r="N1071" s="5">
        <v>286</v>
      </c>
      <c r="O1071" s="5">
        <v>58</v>
      </c>
      <c r="P1071" s="4" t="s">
        <v>73</v>
      </c>
      <c r="Q1071" s="8" t="s">
        <v>12</v>
      </c>
      <c r="R1071" s="4" t="s">
        <v>955</v>
      </c>
      <c r="S1071" s="4"/>
      <c r="T1071"/>
      <c r="U1071" s="23"/>
    </row>
    <row r="1072" spans="1:21" ht="15.6" x14ac:dyDescent="0.3">
      <c r="A1072" s="4">
        <v>1071</v>
      </c>
      <c r="B1072" s="5">
        <v>3200124</v>
      </c>
      <c r="C1072" s="4" t="s">
        <v>264</v>
      </c>
      <c r="D1072" s="4" t="s">
        <v>63</v>
      </c>
      <c r="E1072" s="4" t="s">
        <v>16</v>
      </c>
      <c r="F1072" s="4" t="s">
        <v>2944</v>
      </c>
      <c r="G1072" s="6">
        <v>2.8</v>
      </c>
      <c r="H1072" s="7">
        <v>45659.749189814815</v>
      </c>
      <c r="I1072" s="7" t="str">
        <f>TEXT(multilingual_mobile_app_reviews_2025[[#This Row],[Review_date]],"dd-mm-yyyy")</f>
        <v>02-01-2025</v>
      </c>
      <c r="J1072" s="7" t="str">
        <f>TEXT(multilingual_mobile_app_reviews_2025[[#This Row],[Review_date]],"YYYY")</f>
        <v>2025</v>
      </c>
      <c r="K1072" s="7" t="str">
        <f>TEXT(multilingual_mobile_app_reviews_2025[[#This Row],[Review_date]],"MMMM")</f>
        <v>January</v>
      </c>
      <c r="L1072" s="4" t="b">
        <v>1</v>
      </c>
      <c r="M1072" s="4" t="s">
        <v>10</v>
      </c>
      <c r="N1072" s="5">
        <v>551</v>
      </c>
      <c r="O1072" s="5">
        <v>43</v>
      </c>
      <c r="P1072" s="4" t="s">
        <v>17</v>
      </c>
      <c r="Q1072" s="8" t="s">
        <v>39</v>
      </c>
      <c r="R1072" s="4" t="s">
        <v>1358</v>
      </c>
      <c r="S1072" s="4"/>
      <c r="T1072"/>
      <c r="U1072" s="23"/>
    </row>
    <row r="1073" spans="1:21" ht="15.6" x14ac:dyDescent="0.3">
      <c r="A1073" s="4">
        <v>1072</v>
      </c>
      <c r="B1073" s="5">
        <v>590886</v>
      </c>
      <c r="C1073" s="4" t="s">
        <v>96</v>
      </c>
      <c r="D1073" s="4" t="s">
        <v>1</v>
      </c>
      <c r="E1073" s="4" t="s">
        <v>93</v>
      </c>
      <c r="F1073" s="4" t="s">
        <v>2946</v>
      </c>
      <c r="G1073" s="6">
        <v>1.8</v>
      </c>
      <c r="H1073" s="7">
        <v>45209.388645833336</v>
      </c>
      <c r="I1073" s="7" t="str">
        <f>TEXT(multilingual_mobile_app_reviews_2025[[#This Row],[Review_date]],"dd-mm-yyyy")</f>
        <v>10-10-2023</v>
      </c>
      <c r="J1073" s="7" t="str">
        <f>TEXT(multilingual_mobile_app_reviews_2025[[#This Row],[Review_date]],"YYYY")</f>
        <v>2023</v>
      </c>
      <c r="K1073" s="7" t="str">
        <f>TEXT(multilingual_mobile_app_reviews_2025[[#This Row],[Review_date]],"MMMM")</f>
        <v>October</v>
      </c>
      <c r="L1073" s="4" t="b">
        <v>1</v>
      </c>
      <c r="M1073" s="4" t="s">
        <v>10</v>
      </c>
      <c r="N1073" s="5">
        <v>1235</v>
      </c>
      <c r="O1073" s="5">
        <v>26</v>
      </c>
      <c r="P1073" s="4" t="s">
        <v>23</v>
      </c>
      <c r="Q1073" s="8" t="s">
        <v>39</v>
      </c>
      <c r="R1073" s="4" t="s">
        <v>1359</v>
      </c>
      <c r="S1073" s="4"/>
      <c r="T1073"/>
      <c r="U1073" s="23"/>
    </row>
    <row r="1074" spans="1:21" ht="15.6" x14ac:dyDescent="0.3">
      <c r="A1074" s="4">
        <v>1073</v>
      </c>
      <c r="B1074" s="5">
        <v>4753591</v>
      </c>
      <c r="C1074" s="4" t="s">
        <v>7</v>
      </c>
      <c r="D1074" s="4" t="s">
        <v>20</v>
      </c>
      <c r="E1074" s="4" t="s">
        <v>1360</v>
      </c>
      <c r="F1074" s="4" t="s">
        <v>2952</v>
      </c>
      <c r="G1074" s="6">
        <v>2.7</v>
      </c>
      <c r="H1074" s="7">
        <v>45305.108935185184</v>
      </c>
      <c r="I1074" s="7" t="str">
        <f>TEXT(multilingual_mobile_app_reviews_2025[[#This Row],[Review_date]],"dd-mm-yyyy")</f>
        <v>14-01-2024</v>
      </c>
      <c r="J1074" s="7" t="str">
        <f>TEXT(multilingual_mobile_app_reviews_2025[[#This Row],[Review_date]],"YYYY")</f>
        <v>2024</v>
      </c>
      <c r="K1074" s="7" t="str">
        <f>TEXT(multilingual_mobile_app_reviews_2025[[#This Row],[Review_date]],"MMMM")</f>
        <v>January</v>
      </c>
      <c r="L1074" s="4" t="b">
        <v>1</v>
      </c>
      <c r="M1074" s="4" t="s">
        <v>98</v>
      </c>
      <c r="N1074" s="5">
        <v>1050</v>
      </c>
      <c r="O1074" s="5">
        <v>43</v>
      </c>
      <c r="P1074" s="4" t="s">
        <v>85</v>
      </c>
      <c r="Q1074" s="8" t="s">
        <v>2963</v>
      </c>
      <c r="R1074" s="4" t="s">
        <v>275</v>
      </c>
      <c r="S1074" s="4"/>
      <c r="T1074"/>
      <c r="U1074" s="23"/>
    </row>
    <row r="1075" spans="1:21" ht="15.6" x14ac:dyDescent="0.3">
      <c r="A1075" s="4">
        <v>1074</v>
      </c>
      <c r="B1075" s="5">
        <v>8064404</v>
      </c>
      <c r="C1075" s="4" t="s">
        <v>56</v>
      </c>
      <c r="D1075" s="4" t="s">
        <v>60</v>
      </c>
      <c r="E1075" s="4" t="s">
        <v>16</v>
      </c>
      <c r="F1075" s="4" t="s">
        <v>2954</v>
      </c>
      <c r="G1075" s="6">
        <v>1.7</v>
      </c>
      <c r="H1075" s="7">
        <v>45423.518518518518</v>
      </c>
      <c r="I1075" s="7" t="str">
        <f>TEXT(multilingual_mobile_app_reviews_2025[[#This Row],[Review_date]],"dd-mm-yyyy")</f>
        <v>11-05-2024</v>
      </c>
      <c r="J1075" s="7" t="str">
        <f>TEXT(multilingual_mobile_app_reviews_2025[[#This Row],[Review_date]],"YYYY")</f>
        <v>2024</v>
      </c>
      <c r="K1075" s="7" t="str">
        <f>TEXT(multilingual_mobile_app_reviews_2025[[#This Row],[Review_date]],"MMMM")</f>
        <v>May</v>
      </c>
      <c r="L1075" s="4" t="b">
        <v>0</v>
      </c>
      <c r="M1075" s="4" t="s">
        <v>3</v>
      </c>
      <c r="N1075" s="5">
        <v>626</v>
      </c>
      <c r="O1075" s="5">
        <v>39</v>
      </c>
      <c r="P1075" s="4" t="s">
        <v>73</v>
      </c>
      <c r="Q1075" s="8" t="s">
        <v>5</v>
      </c>
      <c r="R1075" s="4" t="s">
        <v>1361</v>
      </c>
      <c r="S1075" s="4"/>
      <c r="T1075"/>
      <c r="U1075" s="23"/>
    </row>
    <row r="1076" spans="1:21" ht="15.6" x14ac:dyDescent="0.3">
      <c r="A1076" s="4">
        <v>1075</v>
      </c>
      <c r="B1076" s="5">
        <v>9988165</v>
      </c>
      <c r="C1076" s="4" t="s">
        <v>134</v>
      </c>
      <c r="D1076" s="4" t="s">
        <v>97</v>
      </c>
      <c r="E1076" s="4" t="s">
        <v>21</v>
      </c>
      <c r="F1076" s="4" t="s">
        <v>2960</v>
      </c>
      <c r="G1076" s="6">
        <v>3</v>
      </c>
      <c r="H1076" s="7">
        <v>45282.669710648152</v>
      </c>
      <c r="I1076" s="7" t="str">
        <f>TEXT(multilingual_mobile_app_reviews_2025[[#This Row],[Review_date]],"dd-mm-yyyy")</f>
        <v>22-12-2023</v>
      </c>
      <c r="J1076" s="7" t="str">
        <f>TEXT(multilingual_mobile_app_reviews_2025[[#This Row],[Review_date]],"YYYY")</f>
        <v>2023</v>
      </c>
      <c r="K1076" s="7" t="str">
        <f>TEXT(multilingual_mobile_app_reviews_2025[[#This Row],[Review_date]],"MMMM")</f>
        <v>December</v>
      </c>
      <c r="L1076" s="4" t="b">
        <v>1</v>
      </c>
      <c r="M1076" s="4" t="s">
        <v>3</v>
      </c>
      <c r="N1076" s="5">
        <v>906</v>
      </c>
      <c r="O1076" s="5">
        <v>60</v>
      </c>
      <c r="P1076" s="4" t="s">
        <v>11</v>
      </c>
      <c r="Q1076" s="8" t="s">
        <v>5</v>
      </c>
      <c r="R1076" s="4" t="s">
        <v>1362</v>
      </c>
      <c r="S1076" s="4"/>
      <c r="T1076"/>
      <c r="U1076" s="23"/>
    </row>
    <row r="1077" spans="1:21" ht="15.6" x14ac:dyDescent="0.3">
      <c r="A1077" s="4">
        <v>1076</v>
      </c>
      <c r="B1077" s="5">
        <v>1900606</v>
      </c>
      <c r="C1077" s="4" t="s">
        <v>159</v>
      </c>
      <c r="D1077" s="4" t="s">
        <v>31</v>
      </c>
      <c r="E1077" s="4" t="s">
        <v>32</v>
      </c>
      <c r="F1077" s="4" t="s">
        <v>2944</v>
      </c>
      <c r="G1077" s="6">
        <v>4.9000000000000004</v>
      </c>
      <c r="H1077" s="7">
        <v>45279.34747685185</v>
      </c>
      <c r="I1077" s="7" t="str">
        <f>TEXT(multilingual_mobile_app_reviews_2025[[#This Row],[Review_date]],"dd-mm-yyyy")</f>
        <v>19-12-2023</v>
      </c>
      <c r="J1077" s="7" t="str">
        <f>TEXT(multilingual_mobile_app_reviews_2025[[#This Row],[Review_date]],"YYYY")</f>
        <v>2023</v>
      </c>
      <c r="K1077" s="7" t="str">
        <f>TEXT(multilingual_mobile_app_reviews_2025[[#This Row],[Review_date]],"MMMM")</f>
        <v>December</v>
      </c>
      <c r="L1077" s="4" t="b">
        <v>1</v>
      </c>
      <c r="M1077" s="4" t="s">
        <v>10</v>
      </c>
      <c r="N1077" s="5">
        <v>107</v>
      </c>
      <c r="O1077" s="5">
        <v>52</v>
      </c>
      <c r="P1077" s="4" t="s">
        <v>28</v>
      </c>
      <c r="Q1077" s="8" t="s">
        <v>2963</v>
      </c>
      <c r="R1077" s="4" t="s">
        <v>1363</v>
      </c>
      <c r="S1077" s="4"/>
      <c r="T1077"/>
      <c r="U1077" s="23"/>
    </row>
    <row r="1078" spans="1:21" ht="15.6" x14ac:dyDescent="0.3">
      <c r="A1078" s="4">
        <v>1077</v>
      </c>
      <c r="B1078" s="5">
        <v>6468883</v>
      </c>
      <c r="C1078" s="4" t="s">
        <v>36</v>
      </c>
      <c r="D1078" s="4" t="s">
        <v>60</v>
      </c>
      <c r="E1078" s="4" t="s">
        <v>1364</v>
      </c>
      <c r="F1078" s="4" t="s">
        <v>2954</v>
      </c>
      <c r="G1078" s="6">
        <v>1.7</v>
      </c>
      <c r="H1078" s="7">
        <v>45381.221203703702</v>
      </c>
      <c r="I1078" s="7" t="str">
        <f>TEXT(multilingual_mobile_app_reviews_2025[[#This Row],[Review_date]],"dd-mm-yyyy")</f>
        <v>30-03-2024</v>
      </c>
      <c r="J1078" s="7" t="str">
        <f>TEXT(multilingual_mobile_app_reviews_2025[[#This Row],[Review_date]],"YYYY")</f>
        <v>2024</v>
      </c>
      <c r="K1078" s="7" t="str">
        <f>TEXT(multilingual_mobile_app_reviews_2025[[#This Row],[Review_date]],"MMMM")</f>
        <v>March</v>
      </c>
      <c r="L1078" s="4" t="b">
        <v>0</v>
      </c>
      <c r="M1078" s="4" t="s">
        <v>98</v>
      </c>
      <c r="N1078" s="5">
        <v>1106</v>
      </c>
      <c r="O1078" s="5">
        <v>51</v>
      </c>
      <c r="P1078" s="4" t="s">
        <v>90</v>
      </c>
      <c r="Q1078" s="8" t="s">
        <v>2963</v>
      </c>
      <c r="R1078" s="4" t="s">
        <v>201</v>
      </c>
      <c r="S1078" s="4"/>
      <c r="T1078"/>
      <c r="U1078" s="23"/>
    </row>
    <row r="1079" spans="1:21" ht="15.6" x14ac:dyDescent="0.3">
      <c r="A1079" s="4">
        <v>1078</v>
      </c>
      <c r="B1079" s="5">
        <v>7548343</v>
      </c>
      <c r="C1079" s="4" t="s">
        <v>192</v>
      </c>
      <c r="D1079" s="4" t="s">
        <v>97</v>
      </c>
      <c r="E1079" s="4" t="s">
        <v>76</v>
      </c>
      <c r="F1079" s="4" t="s">
        <v>2949</v>
      </c>
      <c r="G1079" s="6">
        <v>4.5999999999999996</v>
      </c>
      <c r="H1079" s="7">
        <v>45314.319351851853</v>
      </c>
      <c r="I1079" s="7" t="str">
        <f>TEXT(multilingual_mobile_app_reviews_2025[[#This Row],[Review_date]],"dd-mm-yyyy")</f>
        <v>23-01-2024</v>
      </c>
      <c r="J1079" s="7" t="str">
        <f>TEXT(multilingual_mobile_app_reviews_2025[[#This Row],[Review_date]],"YYYY")</f>
        <v>2024</v>
      </c>
      <c r="K1079" s="7" t="str">
        <f>TEXT(multilingual_mobile_app_reviews_2025[[#This Row],[Review_date]],"MMMM")</f>
        <v>January</v>
      </c>
      <c r="L1079" s="4" t="b">
        <v>1</v>
      </c>
      <c r="M1079" s="4" t="s">
        <v>10</v>
      </c>
      <c r="N1079" s="5">
        <v>1004</v>
      </c>
      <c r="O1079" s="5">
        <v>34</v>
      </c>
      <c r="P1079" s="4" t="s">
        <v>38</v>
      </c>
      <c r="Q1079" s="8" t="s">
        <v>2963</v>
      </c>
      <c r="R1079" s="4" t="s">
        <v>1365</v>
      </c>
      <c r="S1079" s="4"/>
      <c r="T1079"/>
      <c r="U1079" s="23"/>
    </row>
    <row r="1080" spans="1:21" ht="15.6" x14ac:dyDescent="0.3">
      <c r="A1080" s="4">
        <v>1079</v>
      </c>
      <c r="B1080" s="5">
        <v>6933061</v>
      </c>
      <c r="C1080" s="4" t="s">
        <v>75</v>
      </c>
      <c r="D1080" s="4" t="s">
        <v>47</v>
      </c>
      <c r="E1080" s="4" t="s">
        <v>1366</v>
      </c>
      <c r="F1080" s="4" t="s">
        <v>2957</v>
      </c>
      <c r="G1080" s="6">
        <v>4.4000000000000004</v>
      </c>
      <c r="H1080" s="7">
        <v>45714.765648148146</v>
      </c>
      <c r="I1080" s="7" t="str">
        <f>TEXT(multilingual_mobile_app_reviews_2025[[#This Row],[Review_date]],"dd-mm-yyyy")</f>
        <v>26-02-2025</v>
      </c>
      <c r="J1080" s="7" t="str">
        <f>TEXT(multilingual_mobile_app_reviews_2025[[#This Row],[Review_date]],"YYYY")</f>
        <v>2025</v>
      </c>
      <c r="K1080" s="7" t="str">
        <f>TEXT(multilingual_mobile_app_reviews_2025[[#This Row],[Review_date]],"MMMM")</f>
        <v>February</v>
      </c>
      <c r="L1080" s="4" t="b">
        <v>1</v>
      </c>
      <c r="M1080" s="4" t="s">
        <v>98</v>
      </c>
      <c r="N1080" s="5">
        <v>281</v>
      </c>
      <c r="O1080" s="5">
        <v>32</v>
      </c>
      <c r="P1080" s="4" t="s">
        <v>85</v>
      </c>
      <c r="Q1080" s="8" t="s">
        <v>2963</v>
      </c>
      <c r="R1080" s="4" t="s">
        <v>1367</v>
      </c>
      <c r="S1080" s="4"/>
      <c r="T1080"/>
      <c r="U1080" s="23"/>
    </row>
    <row r="1081" spans="1:21" ht="15.6" x14ac:dyDescent="0.3">
      <c r="A1081" s="4">
        <v>1080</v>
      </c>
      <c r="B1081" s="5">
        <v>1185660</v>
      </c>
      <c r="C1081" s="4" t="s">
        <v>36</v>
      </c>
      <c r="D1081" s="4" t="s">
        <v>97</v>
      </c>
      <c r="E1081" s="4" t="s">
        <v>1368</v>
      </c>
      <c r="F1081" s="4" t="s">
        <v>2947</v>
      </c>
      <c r="G1081" s="6">
        <v>4</v>
      </c>
      <c r="H1081" s="7">
        <v>45508.463472222225</v>
      </c>
      <c r="I1081" s="7" t="str">
        <f>TEXT(multilingual_mobile_app_reviews_2025[[#This Row],[Review_date]],"dd-mm-yyyy")</f>
        <v>04-08-2024</v>
      </c>
      <c r="J1081" s="7" t="str">
        <f>TEXT(multilingual_mobile_app_reviews_2025[[#This Row],[Review_date]],"YYYY")</f>
        <v>2024</v>
      </c>
      <c r="K1081" s="7" t="str">
        <f>TEXT(multilingual_mobile_app_reviews_2025[[#This Row],[Review_date]],"MMMM")</f>
        <v>August</v>
      </c>
      <c r="L1081" s="4" t="b">
        <v>0</v>
      </c>
      <c r="M1081" s="4" t="s">
        <v>22</v>
      </c>
      <c r="N1081" s="5">
        <v>1071</v>
      </c>
      <c r="O1081" s="5">
        <v>38</v>
      </c>
      <c r="P1081" s="4" t="s">
        <v>85</v>
      </c>
      <c r="Q1081" s="8" t="s">
        <v>12</v>
      </c>
      <c r="R1081" s="4" t="s">
        <v>1369</v>
      </c>
      <c r="S1081" s="4"/>
      <c r="T1081"/>
      <c r="U1081" s="23"/>
    </row>
    <row r="1082" spans="1:21" ht="15.6" x14ac:dyDescent="0.3">
      <c r="A1082" s="4">
        <v>1081</v>
      </c>
      <c r="B1082" s="5">
        <v>6885437</v>
      </c>
      <c r="C1082" s="4" t="s">
        <v>165</v>
      </c>
      <c r="D1082" s="4" t="s">
        <v>51</v>
      </c>
      <c r="E1082" s="4" t="s">
        <v>1370</v>
      </c>
      <c r="F1082" s="4" t="s">
        <v>2941</v>
      </c>
      <c r="G1082" s="6">
        <v>2.1</v>
      </c>
      <c r="H1082" s="7">
        <v>45257.512337962966</v>
      </c>
      <c r="I1082" s="7" t="str">
        <f>TEXT(multilingual_mobile_app_reviews_2025[[#This Row],[Review_date]],"dd-mm-yyyy")</f>
        <v>27-11-2023</v>
      </c>
      <c r="J1082" s="7" t="str">
        <f>TEXT(multilingual_mobile_app_reviews_2025[[#This Row],[Review_date]],"YYYY")</f>
        <v>2023</v>
      </c>
      <c r="K1082" s="7" t="str">
        <f>TEXT(multilingual_mobile_app_reviews_2025[[#This Row],[Review_date]],"MMMM")</f>
        <v>November</v>
      </c>
      <c r="L1082" s="4" t="b">
        <v>1</v>
      </c>
      <c r="M1082" s="4" t="s">
        <v>10</v>
      </c>
      <c r="N1082" s="5">
        <v>1180</v>
      </c>
      <c r="O1082" s="5">
        <v>13</v>
      </c>
      <c r="P1082" s="4" t="s">
        <v>118</v>
      </c>
      <c r="Q1082" s="8" t="s">
        <v>2963</v>
      </c>
      <c r="R1082" s="4" t="s">
        <v>1371</v>
      </c>
      <c r="S1082" s="4"/>
      <c r="T1082"/>
      <c r="U1082" s="23"/>
    </row>
    <row r="1083" spans="1:21" ht="15.6" x14ac:dyDescent="0.3">
      <c r="A1083" s="4">
        <v>1082</v>
      </c>
      <c r="B1083" s="5">
        <v>1716210</v>
      </c>
      <c r="C1083" s="4" t="s">
        <v>134</v>
      </c>
      <c r="D1083" s="4" t="s">
        <v>57</v>
      </c>
      <c r="E1083" s="4" t="s">
        <v>32</v>
      </c>
      <c r="F1083" s="4" t="s">
        <v>2945</v>
      </c>
      <c r="G1083" s="6">
        <v>3.3</v>
      </c>
      <c r="H1083" s="7">
        <v>45729.320891203701</v>
      </c>
      <c r="I1083" s="7" t="str">
        <f>TEXT(multilingual_mobile_app_reviews_2025[[#This Row],[Review_date]],"dd-mm-yyyy")</f>
        <v>13-03-2025</v>
      </c>
      <c r="J1083" s="7" t="str">
        <f>TEXT(multilingual_mobile_app_reviews_2025[[#This Row],[Review_date]],"YYYY")</f>
        <v>2025</v>
      </c>
      <c r="K1083" s="7" t="str">
        <f>TEXT(multilingual_mobile_app_reviews_2025[[#This Row],[Review_date]],"MMMM")</f>
        <v>March</v>
      </c>
      <c r="L1083" s="4" t="b">
        <v>1</v>
      </c>
      <c r="M1083" s="4" t="s">
        <v>22</v>
      </c>
      <c r="N1083" s="5">
        <v>765</v>
      </c>
      <c r="O1083" s="5">
        <v>18</v>
      </c>
      <c r="P1083" s="4" t="s">
        <v>38</v>
      </c>
      <c r="Q1083" s="8" t="s">
        <v>39</v>
      </c>
      <c r="R1083" s="4" t="s">
        <v>1372</v>
      </c>
      <c r="S1083" s="4"/>
      <c r="T1083"/>
      <c r="U1083" s="23"/>
    </row>
    <row r="1084" spans="1:21" ht="15.6" x14ac:dyDescent="0.3">
      <c r="A1084" s="4">
        <v>1083</v>
      </c>
      <c r="B1084" s="5">
        <v>8823295</v>
      </c>
      <c r="C1084" s="4" t="s">
        <v>244</v>
      </c>
      <c r="D1084" s="4" t="s">
        <v>26</v>
      </c>
      <c r="E1084" s="4" t="s">
        <v>1373</v>
      </c>
      <c r="F1084" s="4" t="s">
        <v>2950</v>
      </c>
      <c r="G1084" s="6">
        <v>2</v>
      </c>
      <c r="H1084" s="7">
        <v>45563.450601851851</v>
      </c>
      <c r="I1084" s="7" t="str">
        <f>TEXT(multilingual_mobile_app_reviews_2025[[#This Row],[Review_date]],"dd-mm-yyyy")</f>
        <v>28-09-2024</v>
      </c>
      <c r="J1084" s="7" t="str">
        <f>TEXT(multilingual_mobile_app_reviews_2025[[#This Row],[Review_date]],"YYYY")</f>
        <v>2024</v>
      </c>
      <c r="K1084" s="7" t="str">
        <f>TEXT(multilingual_mobile_app_reviews_2025[[#This Row],[Review_date]],"MMMM")</f>
        <v>September</v>
      </c>
      <c r="L1084" s="4" t="b">
        <v>1</v>
      </c>
      <c r="M1084" s="4" t="s">
        <v>33</v>
      </c>
      <c r="N1084" s="5">
        <v>163</v>
      </c>
      <c r="O1084" s="5">
        <v>13</v>
      </c>
      <c r="P1084" s="4" t="s">
        <v>17</v>
      </c>
      <c r="Q1084" s="8" t="s">
        <v>2963</v>
      </c>
      <c r="R1084" s="4" t="s">
        <v>1374</v>
      </c>
      <c r="S1084" s="4"/>
      <c r="T1084"/>
      <c r="U1084" s="23"/>
    </row>
    <row r="1085" spans="1:21" ht="15.6" x14ac:dyDescent="0.3">
      <c r="A1085" s="4">
        <v>1084</v>
      </c>
      <c r="B1085" s="5">
        <v>630135</v>
      </c>
      <c r="C1085" s="4" t="s">
        <v>84</v>
      </c>
      <c r="D1085" s="4" t="s">
        <v>1</v>
      </c>
      <c r="E1085" s="4" t="s">
        <v>9</v>
      </c>
      <c r="F1085" s="4" t="s">
        <v>2949</v>
      </c>
      <c r="G1085" s="6">
        <v>4.2</v>
      </c>
      <c r="H1085" s="7">
        <v>45473.184803240743</v>
      </c>
      <c r="I1085" s="7" t="str">
        <f>TEXT(multilingual_mobile_app_reviews_2025[[#This Row],[Review_date]],"dd-mm-yyyy")</f>
        <v>30-06-2024</v>
      </c>
      <c r="J1085" s="7" t="str">
        <f>TEXT(multilingual_mobile_app_reviews_2025[[#This Row],[Review_date]],"YYYY")</f>
        <v>2024</v>
      </c>
      <c r="K1085" s="7" t="str">
        <f>TEXT(multilingual_mobile_app_reviews_2025[[#This Row],[Review_date]],"MMMM")</f>
        <v>June</v>
      </c>
      <c r="L1085" s="4" t="b">
        <v>1</v>
      </c>
      <c r="M1085" s="4" t="s">
        <v>33</v>
      </c>
      <c r="N1085" s="5">
        <v>251</v>
      </c>
      <c r="O1085" s="5">
        <v>15</v>
      </c>
      <c r="P1085" s="4" t="s">
        <v>114</v>
      </c>
      <c r="Q1085" s="8" t="s">
        <v>39</v>
      </c>
      <c r="R1085" s="4" t="s">
        <v>1375</v>
      </c>
      <c r="S1085" s="4"/>
      <c r="T1085"/>
      <c r="U1085" s="23"/>
    </row>
    <row r="1086" spans="1:21" ht="15.6" x14ac:dyDescent="0.3">
      <c r="A1086" s="4">
        <v>1085</v>
      </c>
      <c r="B1086" s="5">
        <v>6536241</v>
      </c>
      <c r="C1086" s="4" t="s">
        <v>36</v>
      </c>
      <c r="D1086" s="4" t="s">
        <v>97</v>
      </c>
      <c r="E1086" s="4" t="s">
        <v>1376</v>
      </c>
      <c r="F1086" s="4" t="s">
        <v>2958</v>
      </c>
      <c r="G1086" s="6">
        <v>2.4</v>
      </c>
      <c r="H1086" s="7">
        <v>45687.290671296294</v>
      </c>
      <c r="I1086" s="7" t="str">
        <f>TEXT(multilingual_mobile_app_reviews_2025[[#This Row],[Review_date]],"dd-mm-yyyy")</f>
        <v>30-01-2025</v>
      </c>
      <c r="J1086" s="7" t="str">
        <f>TEXT(multilingual_mobile_app_reviews_2025[[#This Row],[Review_date]],"YYYY")</f>
        <v>2025</v>
      </c>
      <c r="K1086" s="7" t="str">
        <f>TEXT(multilingual_mobile_app_reviews_2025[[#This Row],[Review_date]],"MMMM")</f>
        <v>January</v>
      </c>
      <c r="L1086" s="4" t="b">
        <v>1</v>
      </c>
      <c r="M1086" s="4" t="s">
        <v>33</v>
      </c>
      <c r="N1086" s="5">
        <v>821</v>
      </c>
      <c r="O1086" s="5">
        <v>49</v>
      </c>
      <c r="P1086" s="4" t="s">
        <v>17</v>
      </c>
      <c r="Q1086" s="8" t="s">
        <v>2963</v>
      </c>
      <c r="R1086" s="4" t="s">
        <v>1071</v>
      </c>
      <c r="S1086" s="4"/>
      <c r="T1086"/>
      <c r="U1086" s="23"/>
    </row>
    <row r="1087" spans="1:21" ht="15.6" x14ac:dyDescent="0.3">
      <c r="A1087" s="4">
        <v>1086</v>
      </c>
      <c r="B1087" s="5">
        <v>8345659</v>
      </c>
      <c r="C1087" s="4" t="s">
        <v>208</v>
      </c>
      <c r="D1087" s="4" t="s">
        <v>157</v>
      </c>
      <c r="E1087" s="4" t="s">
        <v>16</v>
      </c>
      <c r="F1087" s="4" t="s">
        <v>2956</v>
      </c>
      <c r="G1087" s="6">
        <v>2.2999999999999998</v>
      </c>
      <c r="H1087" s="7">
        <v>45473.398182870369</v>
      </c>
      <c r="I1087" s="7" t="str">
        <f>TEXT(multilingual_mobile_app_reviews_2025[[#This Row],[Review_date]],"dd-mm-yyyy")</f>
        <v>30-06-2024</v>
      </c>
      <c r="J1087" s="7" t="str">
        <f>TEXT(multilingual_mobile_app_reviews_2025[[#This Row],[Review_date]],"YYYY")</f>
        <v>2024</v>
      </c>
      <c r="K1087" s="7" t="str">
        <f>TEXT(multilingual_mobile_app_reviews_2025[[#This Row],[Review_date]],"MMMM")</f>
        <v>June</v>
      </c>
      <c r="L1087" s="4" t="b">
        <v>1</v>
      </c>
      <c r="M1087" s="4" t="s">
        <v>3</v>
      </c>
      <c r="N1087" s="5">
        <v>769</v>
      </c>
      <c r="O1087" s="5">
        <v>28</v>
      </c>
      <c r="P1087" s="4" t="s">
        <v>28</v>
      </c>
      <c r="Q1087" s="8" t="s">
        <v>29</v>
      </c>
      <c r="R1087" s="4" t="s">
        <v>1377</v>
      </c>
      <c r="S1087" s="4"/>
      <c r="T1087"/>
      <c r="U1087" s="23"/>
    </row>
    <row r="1088" spans="1:21" ht="15.6" x14ac:dyDescent="0.3">
      <c r="A1088" s="4">
        <v>1087</v>
      </c>
      <c r="B1088" s="5">
        <v>5342203</v>
      </c>
      <c r="C1088" s="4" t="s">
        <v>67</v>
      </c>
      <c r="D1088" s="4" t="s">
        <v>15</v>
      </c>
      <c r="E1088" s="4" t="s">
        <v>1378</v>
      </c>
      <c r="F1088" s="4" t="s">
        <v>2952</v>
      </c>
      <c r="G1088" s="6">
        <v>2.8</v>
      </c>
      <c r="H1088" s="7">
        <v>45734.21371527778</v>
      </c>
      <c r="I1088" s="7" t="str">
        <f>TEXT(multilingual_mobile_app_reviews_2025[[#This Row],[Review_date]],"dd-mm-yyyy")</f>
        <v>18-03-2025</v>
      </c>
      <c r="J1088" s="7" t="str">
        <f>TEXT(multilingual_mobile_app_reviews_2025[[#This Row],[Review_date]],"YYYY")</f>
        <v>2025</v>
      </c>
      <c r="K1088" s="7" t="str">
        <f>TEXT(multilingual_mobile_app_reviews_2025[[#This Row],[Review_date]],"MMMM")</f>
        <v>March</v>
      </c>
      <c r="L1088" s="4" t="b">
        <v>1</v>
      </c>
      <c r="M1088" s="4" t="s">
        <v>22</v>
      </c>
      <c r="N1088" s="5">
        <v>1115</v>
      </c>
      <c r="O1088" s="5">
        <v>51</v>
      </c>
      <c r="P1088" s="4" t="s">
        <v>90</v>
      </c>
      <c r="Q1088" s="8" t="s">
        <v>29</v>
      </c>
      <c r="R1088" s="4" t="s">
        <v>1379</v>
      </c>
      <c r="S1088" s="4"/>
      <c r="T1088"/>
      <c r="U1088" s="23"/>
    </row>
    <row r="1089" spans="1:21" ht="15.6" x14ac:dyDescent="0.3">
      <c r="A1089" s="4">
        <v>1088</v>
      </c>
      <c r="B1089" s="5">
        <v>5476808</v>
      </c>
      <c r="C1089" s="4" t="s">
        <v>87</v>
      </c>
      <c r="D1089" s="4" t="s">
        <v>111</v>
      </c>
      <c r="E1089" s="4" t="s">
        <v>130</v>
      </c>
      <c r="F1089" s="4" t="s">
        <v>2954</v>
      </c>
      <c r="G1089" s="6">
        <v>3.5</v>
      </c>
      <c r="H1089" s="7">
        <v>45186.587685185186</v>
      </c>
      <c r="I1089" s="7" t="str">
        <f>TEXT(multilingual_mobile_app_reviews_2025[[#This Row],[Review_date]],"dd-mm-yyyy")</f>
        <v>17-09-2023</v>
      </c>
      <c r="J1089" s="7" t="str">
        <f>TEXT(multilingual_mobile_app_reviews_2025[[#This Row],[Review_date]],"YYYY")</f>
        <v>2023</v>
      </c>
      <c r="K1089" s="7" t="str">
        <f>TEXT(multilingual_mobile_app_reviews_2025[[#This Row],[Review_date]],"MMMM")</f>
        <v>September</v>
      </c>
      <c r="L1089" s="4" t="b">
        <v>1</v>
      </c>
      <c r="M1089" s="4" t="s">
        <v>22</v>
      </c>
      <c r="N1089" s="5">
        <v>685</v>
      </c>
      <c r="O1089" s="5">
        <v>47</v>
      </c>
      <c r="P1089" s="4" t="s">
        <v>38</v>
      </c>
      <c r="Q1089" s="8" t="s">
        <v>39</v>
      </c>
      <c r="R1089" s="4" t="s">
        <v>1380</v>
      </c>
      <c r="S1089" s="4"/>
      <c r="T1089"/>
      <c r="U1089" s="23"/>
    </row>
    <row r="1090" spans="1:21" ht="15.6" x14ac:dyDescent="0.3">
      <c r="A1090" s="4">
        <v>1089</v>
      </c>
      <c r="B1090" s="5">
        <v>856962</v>
      </c>
      <c r="C1090" s="4" t="s">
        <v>46</v>
      </c>
      <c r="D1090" s="4" t="s">
        <v>51</v>
      </c>
      <c r="E1090" s="4" t="s">
        <v>130</v>
      </c>
      <c r="F1090" s="4" t="s">
        <v>2945</v>
      </c>
      <c r="G1090" s="6">
        <v>1.8</v>
      </c>
      <c r="H1090" s="7">
        <v>45238.452650462961</v>
      </c>
      <c r="I1090" s="7" t="str">
        <f>TEXT(multilingual_mobile_app_reviews_2025[[#This Row],[Review_date]],"dd-mm-yyyy")</f>
        <v>08-11-2023</v>
      </c>
      <c r="J1090" s="7" t="str">
        <f>TEXT(multilingual_mobile_app_reviews_2025[[#This Row],[Review_date]],"YYYY")</f>
        <v>2023</v>
      </c>
      <c r="K1090" s="7" t="str">
        <f>TEXT(multilingual_mobile_app_reviews_2025[[#This Row],[Review_date]],"MMMM")</f>
        <v>November</v>
      </c>
      <c r="L1090" s="4" t="b">
        <v>1</v>
      </c>
      <c r="M1090" s="4" t="s">
        <v>22</v>
      </c>
      <c r="N1090" s="5">
        <v>1042</v>
      </c>
      <c r="O1090" s="5">
        <v>68</v>
      </c>
      <c r="P1090" s="4" t="s">
        <v>80</v>
      </c>
      <c r="Q1090" s="8" t="s">
        <v>39</v>
      </c>
      <c r="R1090" s="4" t="s">
        <v>1381</v>
      </c>
      <c r="S1090" s="4"/>
      <c r="T1090"/>
      <c r="U1090" s="23"/>
    </row>
    <row r="1091" spans="1:21" ht="15.6" x14ac:dyDescent="0.3">
      <c r="A1091" s="4">
        <v>1090</v>
      </c>
      <c r="B1091" s="5">
        <v>5953181</v>
      </c>
      <c r="C1091" s="4" t="s">
        <v>50</v>
      </c>
      <c r="D1091" s="4" t="s">
        <v>26</v>
      </c>
      <c r="E1091" s="4" t="s">
        <v>109</v>
      </c>
      <c r="F1091" s="4" t="s">
        <v>2945</v>
      </c>
      <c r="G1091" s="6">
        <v>3</v>
      </c>
      <c r="H1091" s="7">
        <v>45767.677002314813</v>
      </c>
      <c r="I1091" s="7" t="str">
        <f>TEXT(multilingual_mobile_app_reviews_2025[[#This Row],[Review_date]],"dd-mm-yyyy")</f>
        <v>20-04-2025</v>
      </c>
      <c r="J1091" s="7" t="str">
        <f>TEXT(multilingual_mobile_app_reviews_2025[[#This Row],[Review_date]],"YYYY")</f>
        <v>2025</v>
      </c>
      <c r="K1091" s="7" t="str">
        <f>TEXT(multilingual_mobile_app_reviews_2025[[#This Row],[Review_date]],"MMMM")</f>
        <v>April</v>
      </c>
      <c r="L1091" s="4" t="b">
        <v>0</v>
      </c>
      <c r="M1091" s="4" t="s">
        <v>10</v>
      </c>
      <c r="N1091" s="5">
        <v>1242</v>
      </c>
      <c r="O1091" s="5">
        <v>53</v>
      </c>
      <c r="P1091" s="4" t="s">
        <v>61</v>
      </c>
      <c r="Q1091" s="8" t="s">
        <v>12</v>
      </c>
      <c r="R1091" s="4" t="s">
        <v>1382</v>
      </c>
      <c r="S1091" s="4"/>
      <c r="T1091"/>
      <c r="U1091" s="23"/>
    </row>
    <row r="1092" spans="1:21" ht="15.6" x14ac:dyDescent="0.3">
      <c r="A1092" s="4">
        <v>1091</v>
      </c>
      <c r="B1092" s="5">
        <v>9897340</v>
      </c>
      <c r="C1092" s="4" t="s">
        <v>192</v>
      </c>
      <c r="D1092" s="4" t="s">
        <v>57</v>
      </c>
      <c r="E1092" s="4" t="s">
        <v>1383</v>
      </c>
      <c r="F1092" s="4" t="s">
        <v>2949</v>
      </c>
      <c r="G1092" s="6">
        <v>4</v>
      </c>
      <c r="H1092" s="7">
        <v>45599.111226851855</v>
      </c>
      <c r="I1092" s="7" t="str">
        <f>TEXT(multilingual_mobile_app_reviews_2025[[#This Row],[Review_date]],"dd-mm-yyyy")</f>
        <v>03-11-2024</v>
      </c>
      <c r="J1092" s="7" t="str">
        <f>TEXT(multilingual_mobile_app_reviews_2025[[#This Row],[Review_date]],"YYYY")</f>
        <v>2024</v>
      </c>
      <c r="K1092" s="7" t="str">
        <f>TEXT(multilingual_mobile_app_reviews_2025[[#This Row],[Review_date]],"MMMM")</f>
        <v>November</v>
      </c>
      <c r="L1092" s="4" t="b">
        <v>1</v>
      </c>
      <c r="M1092" s="4" t="s">
        <v>3</v>
      </c>
      <c r="N1092" s="5">
        <v>278</v>
      </c>
      <c r="O1092" s="5">
        <v>67</v>
      </c>
      <c r="P1092" s="4" t="s">
        <v>99</v>
      </c>
      <c r="Q1092" s="8" t="s">
        <v>12</v>
      </c>
      <c r="R1092" s="4" t="s">
        <v>1384</v>
      </c>
      <c r="S1092" s="4"/>
      <c r="T1092"/>
      <c r="U1092" s="23"/>
    </row>
    <row r="1093" spans="1:21" ht="15.6" x14ac:dyDescent="0.3">
      <c r="A1093" s="4">
        <v>1092</v>
      </c>
      <c r="B1093" s="5">
        <v>1198911</v>
      </c>
      <c r="C1093" s="4" t="s">
        <v>46</v>
      </c>
      <c r="D1093" s="4" t="s">
        <v>1</v>
      </c>
      <c r="E1093" s="4" t="s">
        <v>1385</v>
      </c>
      <c r="F1093" s="4" t="s">
        <v>2959</v>
      </c>
      <c r="G1093" s="6">
        <v>2.2000000000000002</v>
      </c>
      <c r="H1093" s="7">
        <v>45467.022777777776</v>
      </c>
      <c r="I1093" s="7" t="str">
        <f>TEXT(multilingual_mobile_app_reviews_2025[[#This Row],[Review_date]],"dd-mm-yyyy")</f>
        <v>24-06-2024</v>
      </c>
      <c r="J1093" s="7" t="str">
        <f>TEXT(multilingual_mobile_app_reviews_2025[[#This Row],[Review_date]],"YYYY")</f>
        <v>2024</v>
      </c>
      <c r="K1093" s="7" t="str">
        <f>TEXT(multilingual_mobile_app_reviews_2025[[#This Row],[Review_date]],"MMMM")</f>
        <v>June</v>
      </c>
      <c r="L1093" s="4" t="b">
        <v>1</v>
      </c>
      <c r="M1093" s="4" t="s">
        <v>22</v>
      </c>
      <c r="N1093" s="5">
        <v>1209</v>
      </c>
      <c r="O1093" s="5">
        <v>45</v>
      </c>
      <c r="P1093" s="4" t="s">
        <v>85</v>
      </c>
      <c r="Q1093" s="8" t="s">
        <v>12</v>
      </c>
      <c r="R1093" s="4" t="s">
        <v>1386</v>
      </c>
      <c r="S1093" s="4"/>
      <c r="T1093"/>
      <c r="U1093" s="23"/>
    </row>
    <row r="1094" spans="1:21" ht="15.6" x14ac:dyDescent="0.3">
      <c r="A1094" s="4">
        <v>1093</v>
      </c>
      <c r="B1094" s="5">
        <v>8736236</v>
      </c>
      <c r="C1094" s="4" t="s">
        <v>192</v>
      </c>
      <c r="D1094" s="4" t="s">
        <v>8</v>
      </c>
      <c r="E1094" s="4" t="s">
        <v>1387</v>
      </c>
      <c r="F1094" s="4" t="s">
        <v>2944</v>
      </c>
      <c r="G1094" s="6">
        <v>1.4</v>
      </c>
      <c r="H1094" s="7">
        <v>45583.582187499997</v>
      </c>
      <c r="I1094" s="7" t="str">
        <f>TEXT(multilingual_mobile_app_reviews_2025[[#This Row],[Review_date]],"dd-mm-yyyy")</f>
        <v>18-10-2024</v>
      </c>
      <c r="J1094" s="7" t="str">
        <f>TEXT(multilingual_mobile_app_reviews_2025[[#This Row],[Review_date]],"YYYY")</f>
        <v>2024</v>
      </c>
      <c r="K1094" s="7" t="str">
        <f>TEXT(multilingual_mobile_app_reviews_2025[[#This Row],[Review_date]],"MMMM")</f>
        <v>October</v>
      </c>
      <c r="L1094" s="4" t="b">
        <v>1</v>
      </c>
      <c r="M1094" s="4" t="s">
        <v>98</v>
      </c>
      <c r="N1094" s="5">
        <v>1239</v>
      </c>
      <c r="O1094" s="5">
        <v>13</v>
      </c>
      <c r="P1094" s="4" t="s">
        <v>144</v>
      </c>
      <c r="Q1094" s="8" t="s">
        <v>12</v>
      </c>
      <c r="R1094" s="4" t="s">
        <v>1388</v>
      </c>
      <c r="S1094" s="4"/>
      <c r="T1094"/>
      <c r="U1094" s="23"/>
    </row>
    <row r="1095" spans="1:21" ht="15.6" x14ac:dyDescent="0.3">
      <c r="A1095" s="4">
        <v>1094</v>
      </c>
      <c r="B1095" s="5">
        <v>8293298</v>
      </c>
      <c r="C1095" s="4" t="s">
        <v>132</v>
      </c>
      <c r="D1095" s="4" t="s">
        <v>47</v>
      </c>
      <c r="E1095" s="4" t="s">
        <v>76</v>
      </c>
      <c r="F1095" s="4" t="s">
        <v>2940</v>
      </c>
      <c r="G1095" s="6">
        <v>4.7</v>
      </c>
      <c r="H1095" s="7">
        <v>45216.594594907408</v>
      </c>
      <c r="I1095" s="7" t="str">
        <f>TEXT(multilingual_mobile_app_reviews_2025[[#This Row],[Review_date]],"dd-mm-yyyy")</f>
        <v>17-10-2023</v>
      </c>
      <c r="J1095" s="7" t="str">
        <f>TEXT(multilingual_mobile_app_reviews_2025[[#This Row],[Review_date]],"YYYY")</f>
        <v>2023</v>
      </c>
      <c r="K1095" s="7" t="str">
        <f>TEXT(multilingual_mobile_app_reviews_2025[[#This Row],[Review_date]],"MMMM")</f>
        <v>October</v>
      </c>
      <c r="L1095" s="4" t="b">
        <v>0</v>
      </c>
      <c r="M1095" s="4" t="s">
        <v>98</v>
      </c>
      <c r="N1095" s="5">
        <v>348</v>
      </c>
      <c r="O1095" s="5">
        <v>68</v>
      </c>
      <c r="P1095" s="4" t="s">
        <v>17</v>
      </c>
      <c r="Q1095" s="8" t="s">
        <v>12</v>
      </c>
      <c r="R1095" s="4" t="s">
        <v>2963</v>
      </c>
      <c r="S1095" s="4"/>
      <c r="T1095"/>
      <c r="U1095" s="23"/>
    </row>
    <row r="1096" spans="1:21" ht="15.6" x14ac:dyDescent="0.3">
      <c r="A1096" s="4">
        <v>1095</v>
      </c>
      <c r="B1096" s="5">
        <v>3554568</v>
      </c>
      <c r="C1096" s="4" t="s">
        <v>19</v>
      </c>
      <c r="D1096" s="4" t="s">
        <v>20</v>
      </c>
      <c r="E1096" s="4" t="s">
        <v>1389</v>
      </c>
      <c r="F1096" s="4" t="s">
        <v>2950</v>
      </c>
      <c r="G1096" s="6">
        <v>1.9</v>
      </c>
      <c r="H1096" s="7">
        <v>45295.588831018518</v>
      </c>
      <c r="I1096" s="7" t="str">
        <f>TEXT(multilingual_mobile_app_reviews_2025[[#This Row],[Review_date]],"dd-mm-yyyy")</f>
        <v>04-01-2024</v>
      </c>
      <c r="J1096" s="7" t="str">
        <f>TEXT(multilingual_mobile_app_reviews_2025[[#This Row],[Review_date]],"YYYY")</f>
        <v>2024</v>
      </c>
      <c r="K1096" s="7" t="str">
        <f>TEXT(multilingual_mobile_app_reviews_2025[[#This Row],[Review_date]],"MMMM")</f>
        <v>January</v>
      </c>
      <c r="L1096" s="4" t="b">
        <v>1</v>
      </c>
      <c r="M1096" s="4" t="s">
        <v>10</v>
      </c>
      <c r="N1096" s="5">
        <v>760</v>
      </c>
      <c r="O1096" s="5">
        <v>62</v>
      </c>
      <c r="P1096" s="4" t="s">
        <v>17</v>
      </c>
      <c r="Q1096" s="8" t="s">
        <v>2963</v>
      </c>
      <c r="R1096" s="4" t="s">
        <v>1390</v>
      </c>
      <c r="S1096" s="4"/>
      <c r="T1096"/>
      <c r="U1096" s="23"/>
    </row>
    <row r="1097" spans="1:21" ht="15.6" x14ac:dyDescent="0.3">
      <c r="A1097" s="4">
        <v>1096</v>
      </c>
      <c r="B1097" s="5">
        <v>1363679</v>
      </c>
      <c r="C1097" s="4" t="s">
        <v>0</v>
      </c>
      <c r="D1097" s="4" t="s">
        <v>31</v>
      </c>
      <c r="E1097" s="4" t="s">
        <v>64</v>
      </c>
      <c r="F1097" s="4" t="s">
        <v>2947</v>
      </c>
      <c r="G1097" s="6">
        <v>1.6</v>
      </c>
      <c r="H1097" s="7">
        <v>45791.621087962965</v>
      </c>
      <c r="I1097" s="7" t="str">
        <f>TEXT(multilingual_mobile_app_reviews_2025[[#This Row],[Review_date]],"dd-mm-yyyy")</f>
        <v>14-05-2025</v>
      </c>
      <c r="J1097" s="7" t="str">
        <f>TEXT(multilingual_mobile_app_reviews_2025[[#This Row],[Review_date]],"YYYY")</f>
        <v>2025</v>
      </c>
      <c r="K1097" s="7" t="str">
        <f>TEXT(multilingual_mobile_app_reviews_2025[[#This Row],[Review_date]],"MMMM")</f>
        <v>May</v>
      </c>
      <c r="L1097" s="4" t="b">
        <v>1</v>
      </c>
      <c r="M1097" s="4" t="s">
        <v>3</v>
      </c>
      <c r="N1097" s="5">
        <v>523</v>
      </c>
      <c r="O1097" s="5">
        <v>68</v>
      </c>
      <c r="P1097" s="4" t="s">
        <v>28</v>
      </c>
      <c r="Q1097" s="8" t="s">
        <v>29</v>
      </c>
      <c r="R1097" s="4" t="s">
        <v>1391</v>
      </c>
      <c r="S1097" s="4"/>
      <c r="T1097"/>
      <c r="U1097" s="23"/>
    </row>
    <row r="1098" spans="1:21" ht="15.6" x14ac:dyDescent="0.3">
      <c r="A1098" s="4">
        <v>1097</v>
      </c>
      <c r="B1098" s="5">
        <v>3691668</v>
      </c>
      <c r="C1098" s="4" t="s">
        <v>199</v>
      </c>
      <c r="D1098" s="4" t="s">
        <v>47</v>
      </c>
      <c r="E1098" s="4" t="s">
        <v>16</v>
      </c>
      <c r="F1098" s="4" t="s">
        <v>2949</v>
      </c>
      <c r="G1098" s="6">
        <v>4.3</v>
      </c>
      <c r="H1098" s="7">
        <v>45362.073935185188</v>
      </c>
      <c r="I1098" s="7" t="str">
        <f>TEXT(multilingual_mobile_app_reviews_2025[[#This Row],[Review_date]],"dd-mm-yyyy")</f>
        <v>11-03-2024</v>
      </c>
      <c r="J1098" s="7" t="str">
        <f>TEXT(multilingual_mobile_app_reviews_2025[[#This Row],[Review_date]],"YYYY")</f>
        <v>2024</v>
      </c>
      <c r="K1098" s="7" t="str">
        <f>TEXT(multilingual_mobile_app_reviews_2025[[#This Row],[Review_date]],"MMMM")</f>
        <v>March</v>
      </c>
      <c r="L1098" s="4" t="b">
        <v>1</v>
      </c>
      <c r="M1098" s="4" t="s">
        <v>98</v>
      </c>
      <c r="N1098" s="5">
        <v>72</v>
      </c>
      <c r="O1098" s="5">
        <v>25</v>
      </c>
      <c r="P1098" s="4" t="s">
        <v>114</v>
      </c>
      <c r="Q1098" s="8" t="s">
        <v>29</v>
      </c>
      <c r="R1098" s="4" t="s">
        <v>708</v>
      </c>
      <c r="S1098" s="4"/>
      <c r="T1098"/>
      <c r="U1098" s="23"/>
    </row>
    <row r="1099" spans="1:21" ht="15.6" x14ac:dyDescent="0.3">
      <c r="A1099" s="4">
        <v>1098</v>
      </c>
      <c r="B1099" s="5">
        <v>897443</v>
      </c>
      <c r="C1099" s="4" t="s">
        <v>56</v>
      </c>
      <c r="D1099" s="4" t="s">
        <v>15</v>
      </c>
      <c r="E1099" s="4" t="s">
        <v>9</v>
      </c>
      <c r="F1099" s="4" t="s">
        <v>2953</v>
      </c>
      <c r="G1099" s="6">
        <v>2.6</v>
      </c>
      <c r="H1099" s="7">
        <v>45369.813750000001</v>
      </c>
      <c r="I1099" s="7" t="str">
        <f>TEXT(multilingual_mobile_app_reviews_2025[[#This Row],[Review_date]],"dd-mm-yyyy")</f>
        <v>18-03-2024</v>
      </c>
      <c r="J1099" s="7" t="str">
        <f>TEXT(multilingual_mobile_app_reviews_2025[[#This Row],[Review_date]],"YYYY")</f>
        <v>2024</v>
      </c>
      <c r="K1099" s="7" t="str">
        <f>TEXT(multilingual_mobile_app_reviews_2025[[#This Row],[Review_date]],"MMMM")</f>
        <v>March</v>
      </c>
      <c r="L1099" s="4" t="b">
        <v>1</v>
      </c>
      <c r="M1099" s="4" t="s">
        <v>3</v>
      </c>
      <c r="N1099" s="5">
        <v>277</v>
      </c>
      <c r="O1099" s="5">
        <v>17</v>
      </c>
      <c r="P1099" s="4" t="s">
        <v>28</v>
      </c>
      <c r="Q1099" s="8" t="s">
        <v>2963</v>
      </c>
      <c r="R1099" s="4" t="s">
        <v>1392</v>
      </c>
      <c r="S1099" s="4"/>
      <c r="T1099"/>
      <c r="U1099" s="23"/>
    </row>
    <row r="1100" spans="1:21" ht="15.6" x14ac:dyDescent="0.3">
      <c r="A1100" s="4">
        <v>1099</v>
      </c>
      <c r="B1100" s="5">
        <v>6844899</v>
      </c>
      <c r="C1100" s="4" t="s">
        <v>137</v>
      </c>
      <c r="D1100" s="4" t="s">
        <v>26</v>
      </c>
      <c r="E1100" s="4" t="s">
        <v>93</v>
      </c>
      <c r="F1100" s="4" t="s">
        <v>2939</v>
      </c>
      <c r="G1100" s="6">
        <v>1.1000000000000001</v>
      </c>
      <c r="H1100" s="7">
        <v>45763.831909722219</v>
      </c>
      <c r="I1100" s="7" t="str">
        <f>TEXT(multilingual_mobile_app_reviews_2025[[#This Row],[Review_date]],"dd-mm-yyyy")</f>
        <v>16-04-2025</v>
      </c>
      <c r="J1100" s="7" t="str">
        <f>TEXT(multilingual_mobile_app_reviews_2025[[#This Row],[Review_date]],"YYYY")</f>
        <v>2025</v>
      </c>
      <c r="K1100" s="7" t="str">
        <f>TEXT(multilingual_mobile_app_reviews_2025[[#This Row],[Review_date]],"MMMM")</f>
        <v>April</v>
      </c>
      <c r="L1100" s="4" t="b">
        <v>1</v>
      </c>
      <c r="M1100" s="4" t="s">
        <v>3</v>
      </c>
      <c r="N1100" s="5">
        <v>442</v>
      </c>
      <c r="O1100" s="5">
        <v>52</v>
      </c>
      <c r="P1100" s="4" t="s">
        <v>70</v>
      </c>
      <c r="Q1100" s="8" t="s">
        <v>12</v>
      </c>
      <c r="R1100" s="4" t="s">
        <v>781</v>
      </c>
      <c r="S1100" s="4"/>
      <c r="T1100"/>
      <c r="U1100" s="23"/>
    </row>
    <row r="1101" spans="1:21" ht="15.6" x14ac:dyDescent="0.3">
      <c r="A1101" s="4">
        <v>1100</v>
      </c>
      <c r="B1101" s="5">
        <v>1642796</v>
      </c>
      <c r="C1101" s="4" t="s">
        <v>113</v>
      </c>
      <c r="D1101" s="4" t="s">
        <v>51</v>
      </c>
      <c r="E1101" s="4" t="s">
        <v>16</v>
      </c>
      <c r="F1101" s="4" t="s">
        <v>2956</v>
      </c>
      <c r="G1101" s="6">
        <v>2.6</v>
      </c>
      <c r="H1101" s="7">
        <v>45696.337650462963</v>
      </c>
      <c r="I1101" s="7" t="str">
        <f>TEXT(multilingual_mobile_app_reviews_2025[[#This Row],[Review_date]],"dd-mm-yyyy")</f>
        <v>08-02-2025</v>
      </c>
      <c r="J1101" s="7" t="str">
        <f>TEXT(multilingual_mobile_app_reviews_2025[[#This Row],[Review_date]],"YYYY")</f>
        <v>2025</v>
      </c>
      <c r="K1101" s="7" t="str">
        <f>TEXT(multilingual_mobile_app_reviews_2025[[#This Row],[Review_date]],"MMMM")</f>
        <v>February</v>
      </c>
      <c r="L1101" s="4" t="b">
        <v>1</v>
      </c>
      <c r="M1101" s="4" t="s">
        <v>22</v>
      </c>
      <c r="N1101" s="5">
        <v>380</v>
      </c>
      <c r="O1101" s="5">
        <v>20</v>
      </c>
      <c r="P1101" s="4" t="s">
        <v>118</v>
      </c>
      <c r="Q1101" s="8" t="s">
        <v>39</v>
      </c>
      <c r="R1101" s="4" t="s">
        <v>1393</v>
      </c>
      <c r="S1101" s="4"/>
      <c r="T1101"/>
      <c r="U1101" s="23"/>
    </row>
    <row r="1102" spans="1:21" ht="15.6" x14ac:dyDescent="0.3">
      <c r="A1102" s="4">
        <v>1101</v>
      </c>
      <c r="B1102" s="5">
        <v>1689366</v>
      </c>
      <c r="C1102" s="4" t="s">
        <v>59</v>
      </c>
      <c r="D1102" s="4" t="s">
        <v>1</v>
      </c>
      <c r="E1102" s="4" t="s">
        <v>1394</v>
      </c>
      <c r="F1102" s="4" t="s">
        <v>2962</v>
      </c>
      <c r="G1102" s="6">
        <v>2</v>
      </c>
      <c r="H1102" s="7">
        <v>45490.91133101852</v>
      </c>
      <c r="I1102" s="7" t="str">
        <f>TEXT(multilingual_mobile_app_reviews_2025[[#This Row],[Review_date]],"dd-mm-yyyy")</f>
        <v>17-07-2024</v>
      </c>
      <c r="J1102" s="7" t="str">
        <f>TEXT(multilingual_mobile_app_reviews_2025[[#This Row],[Review_date]],"YYYY")</f>
        <v>2024</v>
      </c>
      <c r="K1102" s="7" t="str">
        <f>TEXT(multilingual_mobile_app_reviews_2025[[#This Row],[Review_date]],"MMMM")</f>
        <v>July</v>
      </c>
      <c r="L1102" s="4" t="b">
        <v>0</v>
      </c>
      <c r="M1102" s="4" t="s">
        <v>98</v>
      </c>
      <c r="N1102" s="5">
        <v>296</v>
      </c>
      <c r="O1102" s="5">
        <v>65</v>
      </c>
      <c r="P1102" s="4" t="s">
        <v>17</v>
      </c>
      <c r="Q1102" s="8" t="s">
        <v>39</v>
      </c>
      <c r="R1102" s="4" t="s">
        <v>1395</v>
      </c>
      <c r="S1102" s="4"/>
      <c r="T1102"/>
      <c r="U1102" s="23"/>
    </row>
    <row r="1103" spans="1:21" ht="15.6" x14ac:dyDescent="0.3">
      <c r="A1103" s="4">
        <v>1102</v>
      </c>
      <c r="B1103" s="5">
        <v>9286574</v>
      </c>
      <c r="C1103" s="4" t="s">
        <v>159</v>
      </c>
      <c r="D1103" s="4" t="s">
        <v>42</v>
      </c>
      <c r="E1103" s="4" t="s">
        <v>16</v>
      </c>
      <c r="F1103" s="4" t="s">
        <v>2951</v>
      </c>
      <c r="G1103" s="6">
        <v>4.8</v>
      </c>
      <c r="H1103" s="7">
        <v>45279.155092592591</v>
      </c>
      <c r="I1103" s="7" t="str">
        <f>TEXT(multilingual_mobile_app_reviews_2025[[#This Row],[Review_date]],"dd-mm-yyyy")</f>
        <v>19-12-2023</v>
      </c>
      <c r="J1103" s="7" t="str">
        <f>TEXT(multilingual_mobile_app_reviews_2025[[#This Row],[Review_date]],"YYYY")</f>
        <v>2023</v>
      </c>
      <c r="K1103" s="7" t="str">
        <f>TEXT(multilingual_mobile_app_reviews_2025[[#This Row],[Review_date]],"MMMM")</f>
        <v>December</v>
      </c>
      <c r="L1103" s="4" t="b">
        <v>1</v>
      </c>
      <c r="M1103" s="4" t="s">
        <v>98</v>
      </c>
      <c r="N1103" s="5">
        <v>1194</v>
      </c>
      <c r="O1103" s="5">
        <v>30</v>
      </c>
      <c r="P1103" s="4" t="s">
        <v>114</v>
      </c>
      <c r="Q1103" s="8" t="s">
        <v>29</v>
      </c>
      <c r="R1103" s="4" t="s">
        <v>1396</v>
      </c>
      <c r="S1103" s="4"/>
      <c r="T1103"/>
      <c r="U1103" s="23"/>
    </row>
    <row r="1104" spans="1:21" ht="15.6" x14ac:dyDescent="0.3">
      <c r="A1104" s="4">
        <v>1103</v>
      </c>
      <c r="B1104" s="5">
        <v>8760803</v>
      </c>
      <c r="C1104" s="4" t="s">
        <v>92</v>
      </c>
      <c r="D1104" s="4" t="s">
        <v>157</v>
      </c>
      <c r="E1104" s="4" t="s">
        <v>1397</v>
      </c>
      <c r="F1104" s="4" t="s">
        <v>2941</v>
      </c>
      <c r="G1104" s="6">
        <v>3.6</v>
      </c>
      <c r="H1104" s="7">
        <v>45185.389733796299</v>
      </c>
      <c r="I1104" s="7" t="str">
        <f>TEXT(multilingual_mobile_app_reviews_2025[[#This Row],[Review_date]],"dd-mm-yyyy")</f>
        <v>16-09-2023</v>
      </c>
      <c r="J1104" s="7" t="str">
        <f>TEXT(multilingual_mobile_app_reviews_2025[[#This Row],[Review_date]],"YYYY")</f>
        <v>2023</v>
      </c>
      <c r="K1104" s="7" t="str">
        <f>TEXT(multilingual_mobile_app_reviews_2025[[#This Row],[Review_date]],"MMMM")</f>
        <v>September</v>
      </c>
      <c r="L1104" s="4" t="b">
        <v>1</v>
      </c>
      <c r="M1104" s="4" t="s">
        <v>33</v>
      </c>
      <c r="N1104" s="5">
        <v>614</v>
      </c>
      <c r="O1104" s="5">
        <v>59</v>
      </c>
      <c r="P1104" s="4" t="s">
        <v>34</v>
      </c>
      <c r="Q1104" s="8" t="s">
        <v>12</v>
      </c>
      <c r="R1104" s="4" t="s">
        <v>820</v>
      </c>
      <c r="S1104" s="4"/>
      <c r="T1104"/>
      <c r="U1104" s="23"/>
    </row>
    <row r="1105" spans="1:21" ht="15.6" x14ac:dyDescent="0.3">
      <c r="A1105" s="4">
        <v>1104</v>
      </c>
      <c r="B1105" s="5">
        <v>3466315</v>
      </c>
      <c r="C1105" s="4" t="s">
        <v>50</v>
      </c>
      <c r="D1105" s="4" t="s">
        <v>51</v>
      </c>
      <c r="E1105" s="4" t="s">
        <v>93</v>
      </c>
      <c r="F1105" s="4" t="s">
        <v>2957</v>
      </c>
      <c r="G1105" s="6">
        <v>1.4</v>
      </c>
      <c r="H1105" s="7">
        <v>45421.818773148145</v>
      </c>
      <c r="I1105" s="7" t="str">
        <f>TEXT(multilingual_mobile_app_reviews_2025[[#This Row],[Review_date]],"dd-mm-yyyy")</f>
        <v>09-05-2024</v>
      </c>
      <c r="J1105" s="7" t="str">
        <f>TEXT(multilingual_mobile_app_reviews_2025[[#This Row],[Review_date]],"YYYY")</f>
        <v>2024</v>
      </c>
      <c r="K1105" s="7" t="str">
        <f>TEXT(multilingual_mobile_app_reviews_2025[[#This Row],[Review_date]],"MMMM")</f>
        <v>May</v>
      </c>
      <c r="L1105" s="4" t="b">
        <v>1</v>
      </c>
      <c r="M1105" s="4" t="s">
        <v>33</v>
      </c>
      <c r="N1105" s="5">
        <v>1190</v>
      </c>
      <c r="O1105" s="5">
        <v>72</v>
      </c>
      <c r="P1105" s="4" t="s">
        <v>4</v>
      </c>
      <c r="Q1105" s="8" t="s">
        <v>5</v>
      </c>
      <c r="R1105" s="4" t="s">
        <v>563</v>
      </c>
      <c r="S1105" s="4"/>
      <c r="T1105"/>
      <c r="U1105" s="23"/>
    </row>
    <row r="1106" spans="1:21" ht="15.6" x14ac:dyDescent="0.3">
      <c r="A1106" s="4">
        <v>1105</v>
      </c>
      <c r="B1106" s="5">
        <v>2578727</v>
      </c>
      <c r="C1106" s="4" t="s">
        <v>137</v>
      </c>
      <c r="D1106" s="4" t="s">
        <v>51</v>
      </c>
      <c r="E1106" s="4" t="s">
        <v>64</v>
      </c>
      <c r="F1106" s="4" t="s">
        <v>2957</v>
      </c>
      <c r="G1106" s="6">
        <v>2.7</v>
      </c>
      <c r="H1106" s="7">
        <v>45325.582233796296</v>
      </c>
      <c r="I1106" s="7" t="str">
        <f>TEXT(multilingual_mobile_app_reviews_2025[[#This Row],[Review_date]],"dd-mm-yyyy")</f>
        <v>03-02-2024</v>
      </c>
      <c r="J1106" s="7" t="str">
        <f>TEXT(multilingual_mobile_app_reviews_2025[[#This Row],[Review_date]],"YYYY")</f>
        <v>2024</v>
      </c>
      <c r="K1106" s="7" t="str">
        <f>TEXT(multilingual_mobile_app_reviews_2025[[#This Row],[Review_date]],"MMMM")</f>
        <v>February</v>
      </c>
      <c r="L1106" s="4" t="b">
        <v>1</v>
      </c>
      <c r="M1106" s="4" t="s">
        <v>22</v>
      </c>
      <c r="N1106" s="5">
        <v>949</v>
      </c>
      <c r="O1106" s="5">
        <v>37</v>
      </c>
      <c r="P1106" s="4" t="s">
        <v>23</v>
      </c>
      <c r="Q1106" s="8" t="s">
        <v>2963</v>
      </c>
      <c r="R1106" s="4" t="s">
        <v>1398</v>
      </c>
      <c r="S1106" s="4"/>
      <c r="T1106"/>
      <c r="U1106" s="23"/>
    </row>
    <row r="1107" spans="1:21" ht="15.6" x14ac:dyDescent="0.3">
      <c r="A1107" s="4">
        <v>1106</v>
      </c>
      <c r="B1107" s="5">
        <v>5137789</v>
      </c>
      <c r="C1107" s="4" t="s">
        <v>104</v>
      </c>
      <c r="D1107" s="4" t="s">
        <v>51</v>
      </c>
      <c r="E1107" s="4" t="s">
        <v>93</v>
      </c>
      <c r="F1107" s="4" t="s">
        <v>2950</v>
      </c>
      <c r="G1107" s="6">
        <v>1.5</v>
      </c>
      <c r="H1107" s="7">
        <v>45794.52721064815</v>
      </c>
      <c r="I1107" s="7" t="str">
        <f>TEXT(multilingual_mobile_app_reviews_2025[[#This Row],[Review_date]],"dd-mm-yyyy")</f>
        <v>17-05-2025</v>
      </c>
      <c r="J1107" s="7" t="str">
        <f>TEXT(multilingual_mobile_app_reviews_2025[[#This Row],[Review_date]],"YYYY")</f>
        <v>2025</v>
      </c>
      <c r="K1107" s="7" t="str">
        <f>TEXT(multilingual_mobile_app_reviews_2025[[#This Row],[Review_date]],"MMMM")</f>
        <v>May</v>
      </c>
      <c r="L1107" s="4" t="b">
        <v>1</v>
      </c>
      <c r="M1107" s="4" t="s">
        <v>3</v>
      </c>
      <c r="N1107" s="5">
        <v>615</v>
      </c>
      <c r="O1107" s="5">
        <v>15</v>
      </c>
      <c r="P1107" s="4" t="s">
        <v>23</v>
      </c>
      <c r="Q1107" s="8" t="s">
        <v>29</v>
      </c>
      <c r="R1107" s="4" t="s">
        <v>1399</v>
      </c>
      <c r="S1107" s="4"/>
      <c r="T1107"/>
      <c r="U1107" s="23"/>
    </row>
    <row r="1108" spans="1:21" ht="15.6" x14ac:dyDescent="0.3">
      <c r="A1108" s="4">
        <v>1107</v>
      </c>
      <c r="B1108" s="5">
        <v>6983025</v>
      </c>
      <c r="C1108" s="4" t="s">
        <v>89</v>
      </c>
      <c r="D1108" s="4" t="s">
        <v>15</v>
      </c>
      <c r="E1108" s="4" t="s">
        <v>21</v>
      </c>
      <c r="F1108" s="4" t="s">
        <v>2948</v>
      </c>
      <c r="G1108" s="6">
        <v>2.7</v>
      </c>
      <c r="H1108" s="7">
        <v>45386.383506944447</v>
      </c>
      <c r="I1108" s="7" t="str">
        <f>TEXT(multilingual_mobile_app_reviews_2025[[#This Row],[Review_date]],"dd-mm-yyyy")</f>
        <v>04-04-2024</v>
      </c>
      <c r="J1108" s="7" t="str">
        <f>TEXT(multilingual_mobile_app_reviews_2025[[#This Row],[Review_date]],"YYYY")</f>
        <v>2024</v>
      </c>
      <c r="K1108" s="7" t="str">
        <f>TEXT(multilingual_mobile_app_reviews_2025[[#This Row],[Review_date]],"MMMM")</f>
        <v>April</v>
      </c>
      <c r="L1108" s="4" t="b">
        <v>1</v>
      </c>
      <c r="M1108" s="4" t="s">
        <v>3</v>
      </c>
      <c r="N1108" s="5">
        <v>80</v>
      </c>
      <c r="O1108" s="5">
        <v>45</v>
      </c>
      <c r="P1108" s="4" t="s">
        <v>65</v>
      </c>
      <c r="Q1108" s="8" t="s">
        <v>12</v>
      </c>
      <c r="R1108" s="4" t="s">
        <v>24</v>
      </c>
      <c r="S1108" s="4"/>
      <c r="T1108"/>
      <c r="U1108" s="23"/>
    </row>
    <row r="1109" spans="1:21" ht="15.6" x14ac:dyDescent="0.3">
      <c r="A1109" s="4">
        <v>1108</v>
      </c>
      <c r="B1109" s="5">
        <v>3515137</v>
      </c>
      <c r="C1109" s="4" t="s">
        <v>244</v>
      </c>
      <c r="D1109" s="4" t="s">
        <v>47</v>
      </c>
      <c r="E1109" s="4" t="s">
        <v>1400</v>
      </c>
      <c r="F1109" s="4" t="s">
        <v>2939</v>
      </c>
      <c r="G1109" s="6">
        <v>4.5</v>
      </c>
      <c r="H1109" s="7">
        <v>45573.70721064815</v>
      </c>
      <c r="I1109" s="7" t="str">
        <f>TEXT(multilingual_mobile_app_reviews_2025[[#This Row],[Review_date]],"dd-mm-yyyy")</f>
        <v>08-10-2024</v>
      </c>
      <c r="J1109" s="7" t="str">
        <f>TEXT(multilingual_mobile_app_reviews_2025[[#This Row],[Review_date]],"YYYY")</f>
        <v>2024</v>
      </c>
      <c r="K1109" s="7" t="str">
        <f>TEXT(multilingual_mobile_app_reviews_2025[[#This Row],[Review_date]],"MMMM")</f>
        <v>October</v>
      </c>
      <c r="L1109" s="4" t="b">
        <v>1</v>
      </c>
      <c r="M1109" s="4" t="s">
        <v>22</v>
      </c>
      <c r="N1109" s="5">
        <v>4</v>
      </c>
      <c r="O1109" s="5">
        <v>16</v>
      </c>
      <c r="P1109" s="4" t="s">
        <v>118</v>
      </c>
      <c r="Q1109" s="8" t="s">
        <v>12</v>
      </c>
      <c r="R1109" s="4" t="s">
        <v>1401</v>
      </c>
      <c r="S1109" s="4"/>
      <c r="T1109"/>
      <c r="U1109" s="23"/>
    </row>
    <row r="1110" spans="1:21" ht="15.6" x14ac:dyDescent="0.3">
      <c r="A1110" s="4">
        <v>1109</v>
      </c>
      <c r="B1110" s="5">
        <v>7180306</v>
      </c>
      <c r="C1110" s="4" t="s">
        <v>69</v>
      </c>
      <c r="D1110" s="4" t="s">
        <v>8</v>
      </c>
      <c r="E1110" s="4" t="s">
        <v>2938</v>
      </c>
      <c r="F1110" s="4" t="s">
        <v>2950</v>
      </c>
      <c r="G1110" s="6">
        <v>5</v>
      </c>
      <c r="H1110" s="7">
        <v>45641.357476851852</v>
      </c>
      <c r="I1110" s="7" t="str">
        <f>TEXT(multilingual_mobile_app_reviews_2025[[#This Row],[Review_date]],"dd-mm-yyyy")</f>
        <v>15-12-2024</v>
      </c>
      <c r="J1110" s="7" t="str">
        <f>TEXT(multilingual_mobile_app_reviews_2025[[#This Row],[Review_date]],"YYYY")</f>
        <v>2024</v>
      </c>
      <c r="K1110" s="7" t="str">
        <f>TEXT(multilingual_mobile_app_reviews_2025[[#This Row],[Review_date]],"MMMM")</f>
        <v>December</v>
      </c>
      <c r="L1110" s="4" t="b">
        <v>1</v>
      </c>
      <c r="M1110" s="4" t="s">
        <v>98</v>
      </c>
      <c r="N1110" s="5">
        <v>516</v>
      </c>
      <c r="O1110" s="5">
        <v>20</v>
      </c>
      <c r="P1110" s="4" t="s">
        <v>11</v>
      </c>
      <c r="Q1110" s="8" t="s">
        <v>12</v>
      </c>
      <c r="R1110" s="4" t="s">
        <v>1402</v>
      </c>
      <c r="S1110" s="4"/>
      <c r="T1110"/>
      <c r="U1110" s="23"/>
    </row>
    <row r="1111" spans="1:21" ht="15.6" x14ac:dyDescent="0.3">
      <c r="A1111" s="4">
        <v>1110</v>
      </c>
      <c r="B1111" s="5">
        <v>3488838</v>
      </c>
      <c r="C1111" s="4" t="s">
        <v>0</v>
      </c>
      <c r="D1111" s="4" t="s">
        <v>31</v>
      </c>
      <c r="E1111" s="4" t="s">
        <v>1403</v>
      </c>
      <c r="F1111" s="4" t="s">
        <v>2957</v>
      </c>
      <c r="G1111" s="6">
        <v>3</v>
      </c>
      <c r="H1111" s="7">
        <v>45793.461759259262</v>
      </c>
      <c r="I1111" s="7" t="str">
        <f>TEXT(multilingual_mobile_app_reviews_2025[[#This Row],[Review_date]],"dd-mm-yyyy")</f>
        <v>16-05-2025</v>
      </c>
      <c r="J1111" s="7" t="str">
        <f>TEXT(multilingual_mobile_app_reviews_2025[[#This Row],[Review_date]],"YYYY")</f>
        <v>2025</v>
      </c>
      <c r="K1111" s="7" t="str">
        <f>TEXT(multilingual_mobile_app_reviews_2025[[#This Row],[Review_date]],"MMMM")</f>
        <v>May</v>
      </c>
      <c r="L1111" s="4" t="b">
        <v>1</v>
      </c>
      <c r="M1111" s="4" t="s">
        <v>33</v>
      </c>
      <c r="N1111" s="5">
        <v>941</v>
      </c>
      <c r="O1111" s="5">
        <v>60</v>
      </c>
      <c r="P1111" s="4" t="s">
        <v>61</v>
      </c>
      <c r="Q1111" s="8" t="s">
        <v>2963</v>
      </c>
      <c r="R1111" s="4" t="s">
        <v>86</v>
      </c>
      <c r="S1111" s="4"/>
      <c r="T1111"/>
      <c r="U1111" s="23"/>
    </row>
    <row r="1112" spans="1:21" ht="15.6" x14ac:dyDescent="0.3">
      <c r="A1112" s="4">
        <v>1111</v>
      </c>
      <c r="B1112" s="5">
        <v>4060113</v>
      </c>
      <c r="C1112" s="4" t="s">
        <v>106</v>
      </c>
      <c r="D1112" s="4" t="s">
        <v>51</v>
      </c>
      <c r="E1112" s="4" t="s">
        <v>109</v>
      </c>
      <c r="F1112" s="4" t="s">
        <v>2955</v>
      </c>
      <c r="G1112" s="6">
        <v>4.3</v>
      </c>
      <c r="H1112" s="7">
        <v>45225.818703703706</v>
      </c>
      <c r="I1112" s="7" t="str">
        <f>TEXT(multilingual_mobile_app_reviews_2025[[#This Row],[Review_date]],"dd-mm-yyyy")</f>
        <v>26-10-2023</v>
      </c>
      <c r="J1112" s="7" t="str">
        <f>TEXT(multilingual_mobile_app_reviews_2025[[#This Row],[Review_date]],"YYYY")</f>
        <v>2023</v>
      </c>
      <c r="K1112" s="7" t="str">
        <f>TEXT(multilingual_mobile_app_reviews_2025[[#This Row],[Review_date]],"MMMM")</f>
        <v>October</v>
      </c>
      <c r="L1112" s="4" t="b">
        <v>1</v>
      </c>
      <c r="M1112" s="4" t="s">
        <v>33</v>
      </c>
      <c r="N1112" s="5">
        <v>1054</v>
      </c>
      <c r="O1112" s="5">
        <v>30</v>
      </c>
      <c r="P1112" s="4" t="s">
        <v>94</v>
      </c>
      <c r="Q1112" s="8" t="s">
        <v>5</v>
      </c>
      <c r="R1112" s="4" t="s">
        <v>1082</v>
      </c>
      <c r="S1112" s="4"/>
      <c r="T1112"/>
      <c r="U1112" s="23"/>
    </row>
    <row r="1113" spans="1:21" ht="15.6" x14ac:dyDescent="0.3">
      <c r="A1113" s="4">
        <v>1112</v>
      </c>
      <c r="B1113" s="5">
        <v>8492777</v>
      </c>
      <c r="C1113" s="4" t="s">
        <v>106</v>
      </c>
      <c r="D1113" s="4" t="s">
        <v>1</v>
      </c>
      <c r="E1113" s="4" t="s">
        <v>9</v>
      </c>
      <c r="F1113" s="4" t="s">
        <v>2958</v>
      </c>
      <c r="G1113" s="6">
        <v>2</v>
      </c>
      <c r="H1113" s="7">
        <v>45863.510659722226</v>
      </c>
      <c r="I1113" s="7" t="str">
        <f>TEXT(multilingual_mobile_app_reviews_2025[[#This Row],[Review_date]],"dd-mm-yyyy")</f>
        <v>25-07-2025</v>
      </c>
      <c r="J1113" s="7" t="str">
        <f>TEXT(multilingual_mobile_app_reviews_2025[[#This Row],[Review_date]],"YYYY")</f>
        <v>2025</v>
      </c>
      <c r="K1113" s="7" t="str">
        <f>TEXT(multilingual_mobile_app_reviews_2025[[#This Row],[Review_date]],"MMMM")</f>
        <v>July</v>
      </c>
      <c r="L1113" s="4" t="b">
        <v>1</v>
      </c>
      <c r="M1113" s="4" t="s">
        <v>33</v>
      </c>
      <c r="N1113" s="5">
        <v>289</v>
      </c>
      <c r="O1113" s="5">
        <v>61</v>
      </c>
      <c r="P1113" s="4" t="s">
        <v>28</v>
      </c>
      <c r="Q1113" s="8" t="s">
        <v>39</v>
      </c>
      <c r="R1113" s="4" t="s">
        <v>1404</v>
      </c>
      <c r="S1113" s="4"/>
      <c r="T1113"/>
      <c r="U1113" s="23"/>
    </row>
    <row r="1114" spans="1:21" ht="15.6" x14ac:dyDescent="0.3">
      <c r="A1114" s="4">
        <v>1113</v>
      </c>
      <c r="B1114" s="5">
        <v>8856994</v>
      </c>
      <c r="C1114" s="4" t="s">
        <v>264</v>
      </c>
      <c r="D1114" s="4" t="s">
        <v>79</v>
      </c>
      <c r="E1114" s="4" t="s">
        <v>109</v>
      </c>
      <c r="F1114" s="4" t="s">
        <v>2946</v>
      </c>
      <c r="G1114" s="6">
        <v>2.2999999999999998</v>
      </c>
      <c r="H1114" s="7">
        <v>45654.790972222225</v>
      </c>
      <c r="I1114" s="7" t="str">
        <f>TEXT(multilingual_mobile_app_reviews_2025[[#This Row],[Review_date]],"dd-mm-yyyy")</f>
        <v>28-12-2024</v>
      </c>
      <c r="J1114" s="7" t="str">
        <f>TEXT(multilingual_mobile_app_reviews_2025[[#This Row],[Review_date]],"YYYY")</f>
        <v>2024</v>
      </c>
      <c r="K1114" s="7" t="str">
        <f>TEXT(multilingual_mobile_app_reviews_2025[[#This Row],[Review_date]],"MMMM")</f>
        <v>December</v>
      </c>
      <c r="L1114" s="4" t="b">
        <v>1</v>
      </c>
      <c r="M1114" s="4" t="s">
        <v>33</v>
      </c>
      <c r="N1114" s="5">
        <v>1243</v>
      </c>
      <c r="O1114" s="5">
        <v>51</v>
      </c>
      <c r="P1114" s="4" t="s">
        <v>230</v>
      </c>
      <c r="Q1114" s="8" t="s">
        <v>39</v>
      </c>
      <c r="R1114" s="4" t="s">
        <v>1405</v>
      </c>
      <c r="S1114" s="4"/>
      <c r="T1114"/>
      <c r="U1114" s="23"/>
    </row>
    <row r="1115" spans="1:21" ht="15.6" x14ac:dyDescent="0.3">
      <c r="A1115" s="4">
        <v>1114</v>
      </c>
      <c r="B1115" s="5">
        <v>8912402</v>
      </c>
      <c r="C1115" s="4" t="s">
        <v>75</v>
      </c>
      <c r="D1115" s="4" t="s">
        <v>1</v>
      </c>
      <c r="E1115" s="4" t="s">
        <v>1406</v>
      </c>
      <c r="F1115" s="4" t="s">
        <v>2941</v>
      </c>
      <c r="G1115" s="6">
        <v>3.8</v>
      </c>
      <c r="H1115" s="7">
        <v>45468.038946759261</v>
      </c>
      <c r="I1115" s="7" t="str">
        <f>TEXT(multilingual_mobile_app_reviews_2025[[#This Row],[Review_date]],"dd-mm-yyyy")</f>
        <v>25-06-2024</v>
      </c>
      <c r="J1115" s="7" t="str">
        <f>TEXT(multilingual_mobile_app_reviews_2025[[#This Row],[Review_date]],"YYYY")</f>
        <v>2024</v>
      </c>
      <c r="K1115" s="7" t="str">
        <f>TEXT(multilingual_mobile_app_reviews_2025[[#This Row],[Review_date]],"MMMM")</f>
        <v>June</v>
      </c>
      <c r="L1115" s="4" t="b">
        <v>1</v>
      </c>
      <c r="M1115" s="4" t="s">
        <v>22</v>
      </c>
      <c r="N1115" s="5">
        <v>282</v>
      </c>
      <c r="O1115" s="5">
        <v>54</v>
      </c>
      <c r="P1115" s="4" t="s">
        <v>17</v>
      </c>
      <c r="Q1115" s="8" t="s">
        <v>2963</v>
      </c>
      <c r="R1115" s="4" t="s">
        <v>1407</v>
      </c>
      <c r="S1115" s="4"/>
      <c r="T1115"/>
      <c r="U1115" s="23"/>
    </row>
    <row r="1116" spans="1:21" ht="15.6" x14ac:dyDescent="0.3">
      <c r="A1116" s="4">
        <v>1115</v>
      </c>
      <c r="B1116" s="5">
        <v>4233011</v>
      </c>
      <c r="C1116" s="4" t="s">
        <v>159</v>
      </c>
      <c r="D1116" s="4" t="s">
        <v>31</v>
      </c>
      <c r="E1116" s="4" t="s">
        <v>9</v>
      </c>
      <c r="F1116" s="4" t="s">
        <v>2951</v>
      </c>
      <c r="G1116" s="6">
        <v>2.9</v>
      </c>
      <c r="H1116" s="7">
        <v>45354.600462962961</v>
      </c>
      <c r="I1116" s="7" t="str">
        <f>TEXT(multilingual_mobile_app_reviews_2025[[#This Row],[Review_date]],"dd-mm-yyyy")</f>
        <v>03-03-2024</v>
      </c>
      <c r="J1116" s="7" t="str">
        <f>TEXT(multilingual_mobile_app_reviews_2025[[#This Row],[Review_date]],"YYYY")</f>
        <v>2024</v>
      </c>
      <c r="K1116" s="7" t="str">
        <f>TEXT(multilingual_mobile_app_reviews_2025[[#This Row],[Review_date]],"MMMM")</f>
        <v>March</v>
      </c>
      <c r="L1116" s="4" t="b">
        <v>1</v>
      </c>
      <c r="M1116" s="4" t="s">
        <v>10</v>
      </c>
      <c r="N1116" s="5">
        <v>394</v>
      </c>
      <c r="O1116" s="5">
        <v>39</v>
      </c>
      <c r="P1116" s="4" t="s">
        <v>114</v>
      </c>
      <c r="Q1116" s="8" t="s">
        <v>2963</v>
      </c>
      <c r="R1116" s="4" t="s">
        <v>1408</v>
      </c>
      <c r="S1116" s="4"/>
      <c r="T1116"/>
      <c r="U1116" s="23"/>
    </row>
    <row r="1117" spans="1:21" ht="15.6" x14ac:dyDescent="0.3">
      <c r="A1117" s="4">
        <v>1116</v>
      </c>
      <c r="B1117" s="5">
        <v>6190096</v>
      </c>
      <c r="C1117" s="4" t="s">
        <v>176</v>
      </c>
      <c r="D1117" s="4" t="s">
        <v>1</v>
      </c>
      <c r="E1117" s="4" t="s">
        <v>16</v>
      </c>
      <c r="F1117" s="4" t="s">
        <v>2957</v>
      </c>
      <c r="G1117" s="6">
        <v>2.7</v>
      </c>
      <c r="H1117" s="7">
        <v>45507.993935185186</v>
      </c>
      <c r="I1117" s="7" t="str">
        <f>TEXT(multilingual_mobile_app_reviews_2025[[#This Row],[Review_date]],"dd-mm-yyyy")</f>
        <v>03-08-2024</v>
      </c>
      <c r="J1117" s="7" t="str">
        <f>TEXT(multilingual_mobile_app_reviews_2025[[#This Row],[Review_date]],"YYYY")</f>
        <v>2024</v>
      </c>
      <c r="K1117" s="7" t="str">
        <f>TEXT(multilingual_mobile_app_reviews_2025[[#This Row],[Review_date]],"MMMM")</f>
        <v>August</v>
      </c>
      <c r="L1117" s="4" t="b">
        <v>0</v>
      </c>
      <c r="M1117" s="4" t="s">
        <v>98</v>
      </c>
      <c r="N1117" s="5">
        <v>361</v>
      </c>
      <c r="O1117" s="5">
        <v>63</v>
      </c>
      <c r="P1117" s="4" t="s">
        <v>38</v>
      </c>
      <c r="Q1117" s="8" t="s">
        <v>39</v>
      </c>
      <c r="R1117" s="4" t="s">
        <v>1409</v>
      </c>
      <c r="S1117" s="4"/>
      <c r="T1117"/>
      <c r="U1117" s="23"/>
    </row>
    <row r="1118" spans="1:21" ht="15.6" x14ac:dyDescent="0.3">
      <c r="A1118" s="4">
        <v>1117</v>
      </c>
      <c r="B1118" s="5">
        <v>6269641</v>
      </c>
      <c r="C1118" s="4" t="s">
        <v>78</v>
      </c>
      <c r="D1118" s="4" t="s">
        <v>63</v>
      </c>
      <c r="E1118" s="4" t="s">
        <v>32</v>
      </c>
      <c r="F1118" s="4" t="s">
        <v>2939</v>
      </c>
      <c r="G1118" s="6">
        <v>1.2</v>
      </c>
      <c r="H1118" s="7">
        <v>45776.8516087963</v>
      </c>
      <c r="I1118" s="7" t="str">
        <f>TEXT(multilingual_mobile_app_reviews_2025[[#This Row],[Review_date]],"dd-mm-yyyy")</f>
        <v>29-04-2025</v>
      </c>
      <c r="J1118" s="7" t="str">
        <f>TEXT(multilingual_mobile_app_reviews_2025[[#This Row],[Review_date]],"YYYY")</f>
        <v>2025</v>
      </c>
      <c r="K1118" s="7" t="str">
        <f>TEXT(multilingual_mobile_app_reviews_2025[[#This Row],[Review_date]],"MMMM")</f>
        <v>April</v>
      </c>
      <c r="L1118" s="4" t="b">
        <v>1</v>
      </c>
      <c r="M1118" s="4" t="s">
        <v>22</v>
      </c>
      <c r="N1118" s="5">
        <v>1150</v>
      </c>
      <c r="O1118" s="5">
        <v>28</v>
      </c>
      <c r="P1118" s="4" t="s">
        <v>85</v>
      </c>
      <c r="Q1118" s="8" t="s">
        <v>5</v>
      </c>
      <c r="R1118" s="4" t="s">
        <v>1410</v>
      </c>
      <c r="S1118" s="4"/>
      <c r="T1118"/>
      <c r="U1118" s="23"/>
    </row>
    <row r="1119" spans="1:21" ht="15.6" x14ac:dyDescent="0.3">
      <c r="A1119" s="4">
        <v>1118</v>
      </c>
      <c r="B1119" s="5">
        <v>453566</v>
      </c>
      <c r="C1119" s="4" t="s">
        <v>174</v>
      </c>
      <c r="D1119" s="4" t="s">
        <v>157</v>
      </c>
      <c r="E1119" s="4" t="s">
        <v>21</v>
      </c>
      <c r="F1119" s="4" t="s">
        <v>2949</v>
      </c>
      <c r="G1119" s="6">
        <v>3.9</v>
      </c>
      <c r="H1119" s="7">
        <v>45640.173391203702</v>
      </c>
      <c r="I1119" s="7" t="str">
        <f>TEXT(multilingual_mobile_app_reviews_2025[[#This Row],[Review_date]],"dd-mm-yyyy")</f>
        <v>14-12-2024</v>
      </c>
      <c r="J1119" s="7" t="str">
        <f>TEXT(multilingual_mobile_app_reviews_2025[[#This Row],[Review_date]],"YYYY")</f>
        <v>2024</v>
      </c>
      <c r="K1119" s="7" t="str">
        <f>TEXT(multilingual_mobile_app_reviews_2025[[#This Row],[Review_date]],"MMMM")</f>
        <v>December</v>
      </c>
      <c r="L1119" s="4" t="b">
        <v>1</v>
      </c>
      <c r="M1119" s="4" t="s">
        <v>98</v>
      </c>
      <c r="N1119" s="5">
        <v>1019</v>
      </c>
      <c r="O1119" s="5">
        <v>60</v>
      </c>
      <c r="P1119" s="4" t="s">
        <v>90</v>
      </c>
      <c r="Q1119" s="8" t="s">
        <v>29</v>
      </c>
      <c r="R1119" s="4" t="s">
        <v>1411</v>
      </c>
      <c r="S1119" s="4"/>
      <c r="T1119"/>
      <c r="U1119" s="23"/>
    </row>
    <row r="1120" spans="1:21" ht="15.6" x14ac:dyDescent="0.3">
      <c r="A1120" s="4">
        <v>1119</v>
      </c>
      <c r="B1120" s="5">
        <v>684005</v>
      </c>
      <c r="C1120" s="4" t="s">
        <v>87</v>
      </c>
      <c r="D1120" s="4" t="s">
        <v>71</v>
      </c>
      <c r="E1120" s="4" t="s">
        <v>1412</v>
      </c>
      <c r="F1120" s="4" t="s">
        <v>2956</v>
      </c>
      <c r="G1120" s="6">
        <v>2.2000000000000002</v>
      </c>
      <c r="H1120" s="7">
        <v>45568.194722222222</v>
      </c>
      <c r="I1120" s="7" t="str">
        <f>TEXT(multilingual_mobile_app_reviews_2025[[#This Row],[Review_date]],"dd-mm-yyyy")</f>
        <v>03-10-2024</v>
      </c>
      <c r="J1120" s="7" t="str">
        <f>TEXT(multilingual_mobile_app_reviews_2025[[#This Row],[Review_date]],"YYYY")</f>
        <v>2024</v>
      </c>
      <c r="K1120" s="7" t="str">
        <f>TEXT(multilingual_mobile_app_reviews_2025[[#This Row],[Review_date]],"MMMM")</f>
        <v>October</v>
      </c>
      <c r="L1120" s="4" t="b">
        <v>1</v>
      </c>
      <c r="M1120" s="4" t="s">
        <v>98</v>
      </c>
      <c r="N1120" s="5">
        <v>219</v>
      </c>
      <c r="O1120" s="5">
        <v>52</v>
      </c>
      <c r="P1120" s="4" t="s">
        <v>4</v>
      </c>
      <c r="Q1120" s="8" t="s">
        <v>39</v>
      </c>
      <c r="R1120" s="4" t="s">
        <v>1413</v>
      </c>
      <c r="S1120" s="4"/>
      <c r="T1120"/>
      <c r="U1120" s="23"/>
    </row>
    <row r="1121" spans="1:21" ht="15.6" x14ac:dyDescent="0.3">
      <c r="A1121" s="4">
        <v>1120</v>
      </c>
      <c r="B1121" s="5">
        <v>5288664</v>
      </c>
      <c r="C1121" s="4" t="s">
        <v>123</v>
      </c>
      <c r="D1121" s="4" t="s">
        <v>60</v>
      </c>
      <c r="E1121" s="4" t="s">
        <v>32</v>
      </c>
      <c r="F1121" s="4" t="s">
        <v>2941</v>
      </c>
      <c r="G1121" s="6">
        <v>3</v>
      </c>
      <c r="H1121" s="7">
        <v>45635.164675925924</v>
      </c>
      <c r="I1121" s="7" t="str">
        <f>TEXT(multilingual_mobile_app_reviews_2025[[#This Row],[Review_date]],"dd-mm-yyyy")</f>
        <v>09-12-2024</v>
      </c>
      <c r="J1121" s="7" t="str">
        <f>TEXT(multilingual_mobile_app_reviews_2025[[#This Row],[Review_date]],"YYYY")</f>
        <v>2024</v>
      </c>
      <c r="K1121" s="7" t="str">
        <f>TEXT(multilingual_mobile_app_reviews_2025[[#This Row],[Review_date]],"MMMM")</f>
        <v>December</v>
      </c>
      <c r="L1121" s="4" t="b">
        <v>0</v>
      </c>
      <c r="M1121" s="4" t="s">
        <v>3</v>
      </c>
      <c r="N1121" s="5">
        <v>1095</v>
      </c>
      <c r="O1121" s="5">
        <v>23</v>
      </c>
      <c r="P1121" s="4" t="s">
        <v>65</v>
      </c>
      <c r="Q1121" s="8" t="s">
        <v>39</v>
      </c>
      <c r="R1121" s="4" t="s">
        <v>1414</v>
      </c>
      <c r="S1121" s="4"/>
      <c r="T1121"/>
      <c r="U1121" s="23"/>
    </row>
    <row r="1122" spans="1:21" ht="15.6" x14ac:dyDescent="0.3">
      <c r="A1122" s="4">
        <v>1121</v>
      </c>
      <c r="B1122" s="5">
        <v>6187698</v>
      </c>
      <c r="C1122" s="4" t="s">
        <v>159</v>
      </c>
      <c r="D1122" s="4" t="s">
        <v>57</v>
      </c>
      <c r="E1122" s="4" t="s">
        <v>1415</v>
      </c>
      <c r="F1122" s="4" t="s">
        <v>2951</v>
      </c>
      <c r="G1122" s="6">
        <v>4.4000000000000004</v>
      </c>
      <c r="H1122" s="7">
        <v>45806.40697916667</v>
      </c>
      <c r="I1122" s="7" t="str">
        <f>TEXT(multilingual_mobile_app_reviews_2025[[#This Row],[Review_date]],"dd-mm-yyyy")</f>
        <v>29-05-2025</v>
      </c>
      <c r="J1122" s="7" t="str">
        <f>TEXT(multilingual_mobile_app_reviews_2025[[#This Row],[Review_date]],"YYYY")</f>
        <v>2025</v>
      </c>
      <c r="K1122" s="7" t="str">
        <f>TEXT(multilingual_mobile_app_reviews_2025[[#This Row],[Review_date]],"MMMM")</f>
        <v>May</v>
      </c>
      <c r="L1122" s="4" t="b">
        <v>1</v>
      </c>
      <c r="M1122" s="4" t="s">
        <v>10</v>
      </c>
      <c r="N1122" s="5">
        <v>156</v>
      </c>
      <c r="O1122" s="5">
        <v>74</v>
      </c>
      <c r="P1122" s="4" t="s">
        <v>144</v>
      </c>
      <c r="Q1122" s="8" t="s">
        <v>29</v>
      </c>
      <c r="R1122" s="4" t="s">
        <v>1416</v>
      </c>
      <c r="S1122" s="4"/>
      <c r="T1122"/>
      <c r="U1122" s="23"/>
    </row>
    <row r="1123" spans="1:21" ht="15.6" x14ac:dyDescent="0.3">
      <c r="A1123" s="4">
        <v>1122</v>
      </c>
      <c r="B1123" s="5">
        <v>7462611</v>
      </c>
      <c r="C1123" s="4" t="s">
        <v>147</v>
      </c>
      <c r="D1123" s="4" t="s">
        <v>71</v>
      </c>
      <c r="E1123" s="4" t="s">
        <v>27</v>
      </c>
      <c r="F1123" s="4" t="s">
        <v>2943</v>
      </c>
      <c r="G1123" s="6">
        <v>1.1000000000000001</v>
      </c>
      <c r="H1123" s="7">
        <v>45629.264409722222</v>
      </c>
      <c r="I1123" s="7" t="str">
        <f>TEXT(multilingual_mobile_app_reviews_2025[[#This Row],[Review_date]],"dd-mm-yyyy")</f>
        <v>03-12-2024</v>
      </c>
      <c r="J1123" s="7" t="str">
        <f>TEXT(multilingual_mobile_app_reviews_2025[[#This Row],[Review_date]],"YYYY")</f>
        <v>2024</v>
      </c>
      <c r="K1123" s="7" t="str">
        <f>TEXT(multilingual_mobile_app_reviews_2025[[#This Row],[Review_date]],"MMMM")</f>
        <v>December</v>
      </c>
      <c r="L1123" s="4" t="b">
        <v>1</v>
      </c>
      <c r="M1123" s="4" t="s">
        <v>3</v>
      </c>
      <c r="N1123" s="5">
        <v>222</v>
      </c>
      <c r="O1123" s="5">
        <v>64</v>
      </c>
      <c r="P1123" s="4" t="s">
        <v>85</v>
      </c>
      <c r="Q1123" s="8" t="s">
        <v>39</v>
      </c>
      <c r="R1123" s="4" t="s">
        <v>1417</v>
      </c>
      <c r="S1123" s="4"/>
      <c r="T1123"/>
      <c r="U1123" s="23"/>
    </row>
    <row r="1124" spans="1:21" ht="15.6" x14ac:dyDescent="0.3">
      <c r="A1124" s="4">
        <v>1123</v>
      </c>
      <c r="B1124" s="5">
        <v>6916395</v>
      </c>
      <c r="C1124" s="4" t="s">
        <v>19</v>
      </c>
      <c r="D1124" s="4" t="s">
        <v>220</v>
      </c>
      <c r="E1124" s="4" t="s">
        <v>16</v>
      </c>
      <c r="F1124" s="4" t="s">
        <v>2951</v>
      </c>
      <c r="G1124" s="6">
        <v>1.3</v>
      </c>
      <c r="H1124" s="7">
        <v>45751.959224537037</v>
      </c>
      <c r="I1124" s="7" t="str">
        <f>TEXT(multilingual_mobile_app_reviews_2025[[#This Row],[Review_date]],"dd-mm-yyyy")</f>
        <v>04-04-2025</v>
      </c>
      <c r="J1124" s="7" t="str">
        <f>TEXT(multilingual_mobile_app_reviews_2025[[#This Row],[Review_date]],"YYYY")</f>
        <v>2025</v>
      </c>
      <c r="K1124" s="7" t="str">
        <f>TEXT(multilingual_mobile_app_reviews_2025[[#This Row],[Review_date]],"MMMM")</f>
        <v>April</v>
      </c>
      <c r="L1124" s="4" t="b">
        <v>1</v>
      </c>
      <c r="M1124" s="4" t="s">
        <v>3</v>
      </c>
      <c r="N1124" s="5">
        <v>517</v>
      </c>
      <c r="O1124" s="5">
        <v>51</v>
      </c>
      <c r="P1124" s="4" t="s">
        <v>44</v>
      </c>
      <c r="Q1124" s="8" t="s">
        <v>2963</v>
      </c>
      <c r="R1124" s="4" t="s">
        <v>1418</v>
      </c>
      <c r="S1124" s="4"/>
      <c r="T1124"/>
      <c r="U1124" s="23"/>
    </row>
    <row r="1125" spans="1:21" ht="15.6" x14ac:dyDescent="0.3">
      <c r="A1125" s="4">
        <v>1124</v>
      </c>
      <c r="B1125" s="5">
        <v>4697569</v>
      </c>
      <c r="C1125" s="4" t="s">
        <v>19</v>
      </c>
      <c r="D1125" s="4" t="s">
        <v>71</v>
      </c>
      <c r="E1125" s="4" t="s">
        <v>93</v>
      </c>
      <c r="F1125" s="4" t="s">
        <v>2947</v>
      </c>
      <c r="G1125" s="6">
        <v>3</v>
      </c>
      <c r="H1125" s="7">
        <v>45811.865682870368</v>
      </c>
      <c r="I1125" s="7" t="str">
        <f>TEXT(multilingual_mobile_app_reviews_2025[[#This Row],[Review_date]],"dd-mm-yyyy")</f>
        <v>03-06-2025</v>
      </c>
      <c r="J1125" s="7" t="str">
        <f>TEXT(multilingual_mobile_app_reviews_2025[[#This Row],[Review_date]],"YYYY")</f>
        <v>2025</v>
      </c>
      <c r="K1125" s="7" t="str">
        <f>TEXT(multilingual_mobile_app_reviews_2025[[#This Row],[Review_date]],"MMMM")</f>
        <v>June</v>
      </c>
      <c r="L1125" s="4" t="b">
        <v>1</v>
      </c>
      <c r="M1125" s="4" t="s">
        <v>33</v>
      </c>
      <c r="N1125" s="5">
        <v>1127</v>
      </c>
      <c r="O1125" s="5">
        <v>18</v>
      </c>
      <c r="P1125" s="4" t="s">
        <v>85</v>
      </c>
      <c r="Q1125" s="8" t="s">
        <v>5</v>
      </c>
      <c r="R1125" s="4" t="s">
        <v>1419</v>
      </c>
      <c r="S1125" s="4"/>
      <c r="T1125"/>
      <c r="U1125" s="23"/>
    </row>
    <row r="1126" spans="1:21" ht="15.6" x14ac:dyDescent="0.3">
      <c r="A1126" s="4">
        <v>1125</v>
      </c>
      <c r="B1126" s="5">
        <v>8349220</v>
      </c>
      <c r="C1126" s="4" t="s">
        <v>50</v>
      </c>
      <c r="D1126" s="4" t="s">
        <v>71</v>
      </c>
      <c r="E1126" s="4" t="s">
        <v>93</v>
      </c>
      <c r="F1126" s="4" t="s">
        <v>2945</v>
      </c>
      <c r="G1126" s="6">
        <v>3.1</v>
      </c>
      <c r="H1126" s="7">
        <v>45504.785682870373</v>
      </c>
      <c r="I1126" s="7" t="str">
        <f>TEXT(multilingual_mobile_app_reviews_2025[[#This Row],[Review_date]],"dd-mm-yyyy")</f>
        <v>31-07-2024</v>
      </c>
      <c r="J1126" s="7" t="str">
        <f>TEXT(multilingual_mobile_app_reviews_2025[[#This Row],[Review_date]],"YYYY")</f>
        <v>2024</v>
      </c>
      <c r="K1126" s="7" t="str">
        <f>TEXT(multilingual_mobile_app_reviews_2025[[#This Row],[Review_date]],"MMMM")</f>
        <v>July</v>
      </c>
      <c r="L1126" s="4" t="b">
        <v>0</v>
      </c>
      <c r="M1126" s="4" t="s">
        <v>3</v>
      </c>
      <c r="N1126" s="5">
        <v>829</v>
      </c>
      <c r="O1126" s="5">
        <v>29</v>
      </c>
      <c r="P1126" s="4" t="s">
        <v>118</v>
      </c>
      <c r="Q1126" s="8" t="s">
        <v>39</v>
      </c>
      <c r="R1126" s="4" t="s">
        <v>1420</v>
      </c>
      <c r="S1126" s="4"/>
      <c r="T1126"/>
      <c r="U1126" s="23"/>
    </row>
    <row r="1127" spans="1:21" ht="15.6" x14ac:dyDescent="0.3">
      <c r="A1127" s="4">
        <v>1126</v>
      </c>
      <c r="B1127" s="5">
        <v>7028341</v>
      </c>
      <c r="C1127" s="4" t="s">
        <v>258</v>
      </c>
      <c r="D1127" s="4" t="s">
        <v>71</v>
      </c>
      <c r="E1127" s="4" t="s">
        <v>1421</v>
      </c>
      <c r="F1127" s="4" t="s">
        <v>2960</v>
      </c>
      <c r="G1127" s="6">
        <v>1.2</v>
      </c>
      <c r="H1127" s="7">
        <v>45626.890416666669</v>
      </c>
      <c r="I1127" s="7" t="str">
        <f>TEXT(multilingual_mobile_app_reviews_2025[[#This Row],[Review_date]],"dd-mm-yyyy")</f>
        <v>30-11-2024</v>
      </c>
      <c r="J1127" s="7" t="str">
        <f>TEXT(multilingual_mobile_app_reviews_2025[[#This Row],[Review_date]],"YYYY")</f>
        <v>2024</v>
      </c>
      <c r="K1127" s="7" t="str">
        <f>TEXT(multilingual_mobile_app_reviews_2025[[#This Row],[Review_date]],"MMMM")</f>
        <v>November</v>
      </c>
      <c r="L1127" s="4" t="b">
        <v>1</v>
      </c>
      <c r="M1127" s="4" t="s">
        <v>33</v>
      </c>
      <c r="N1127" s="5">
        <v>1081</v>
      </c>
      <c r="O1127" s="5">
        <v>40</v>
      </c>
      <c r="P1127" s="4" t="s">
        <v>118</v>
      </c>
      <c r="Q1127" s="8" t="s">
        <v>5</v>
      </c>
      <c r="R1127" s="4" t="s">
        <v>794</v>
      </c>
      <c r="S1127" s="4"/>
      <c r="T1127"/>
      <c r="U1127" s="23"/>
    </row>
    <row r="1128" spans="1:21" ht="15.6" x14ac:dyDescent="0.3">
      <c r="A1128" s="4">
        <v>1127</v>
      </c>
      <c r="B1128" s="5">
        <v>5363378</v>
      </c>
      <c r="C1128" s="4" t="s">
        <v>75</v>
      </c>
      <c r="D1128" s="4" t="s">
        <v>220</v>
      </c>
      <c r="E1128" s="4" t="s">
        <v>64</v>
      </c>
      <c r="F1128" s="4" t="s">
        <v>2950</v>
      </c>
      <c r="G1128" s="6">
        <v>3.5</v>
      </c>
      <c r="H1128" s="7">
        <v>45586.122615740744</v>
      </c>
      <c r="I1128" s="7" t="str">
        <f>TEXT(multilingual_mobile_app_reviews_2025[[#This Row],[Review_date]],"dd-mm-yyyy")</f>
        <v>21-10-2024</v>
      </c>
      <c r="J1128" s="7" t="str">
        <f>TEXT(multilingual_mobile_app_reviews_2025[[#This Row],[Review_date]],"YYYY")</f>
        <v>2024</v>
      </c>
      <c r="K1128" s="7" t="str">
        <f>TEXT(multilingual_mobile_app_reviews_2025[[#This Row],[Review_date]],"MMMM")</f>
        <v>October</v>
      </c>
      <c r="L1128" s="4" t="b">
        <v>1</v>
      </c>
      <c r="M1128" s="4" t="s">
        <v>98</v>
      </c>
      <c r="N1128" s="5">
        <v>164</v>
      </c>
      <c r="O1128" s="5">
        <v>18</v>
      </c>
      <c r="P1128" s="4" t="s">
        <v>230</v>
      </c>
      <c r="Q1128" s="8" t="s">
        <v>12</v>
      </c>
      <c r="R1128" s="4" t="s">
        <v>1422</v>
      </c>
      <c r="S1128" s="4"/>
      <c r="T1128"/>
      <c r="U1128" s="23"/>
    </row>
    <row r="1129" spans="1:21" ht="15.6" x14ac:dyDescent="0.3">
      <c r="A1129" s="4">
        <v>1128</v>
      </c>
      <c r="B1129" s="5">
        <v>1959388</v>
      </c>
      <c r="C1129" s="4" t="s">
        <v>134</v>
      </c>
      <c r="D1129" s="4" t="s">
        <v>60</v>
      </c>
      <c r="E1129" s="4" t="s">
        <v>16</v>
      </c>
      <c r="F1129" s="4" t="s">
        <v>2956</v>
      </c>
      <c r="G1129" s="6">
        <v>4</v>
      </c>
      <c r="H1129" s="7">
        <v>45261.462581018517</v>
      </c>
      <c r="I1129" s="7" t="str">
        <f>TEXT(multilingual_mobile_app_reviews_2025[[#This Row],[Review_date]],"dd-mm-yyyy")</f>
        <v>01-12-2023</v>
      </c>
      <c r="J1129" s="7" t="str">
        <f>TEXT(multilingual_mobile_app_reviews_2025[[#This Row],[Review_date]],"YYYY")</f>
        <v>2023</v>
      </c>
      <c r="K1129" s="7" t="str">
        <f>TEXT(multilingual_mobile_app_reviews_2025[[#This Row],[Review_date]],"MMMM")</f>
        <v>December</v>
      </c>
      <c r="L1129" s="4" t="b">
        <v>1</v>
      </c>
      <c r="M1129" s="4" t="s">
        <v>22</v>
      </c>
      <c r="N1129" s="5">
        <v>726</v>
      </c>
      <c r="O1129" s="5">
        <v>56</v>
      </c>
      <c r="P1129" s="4" t="s">
        <v>61</v>
      </c>
      <c r="Q1129" s="8" t="s">
        <v>2963</v>
      </c>
      <c r="R1129" s="4" t="s">
        <v>1423</v>
      </c>
      <c r="S1129" s="4"/>
      <c r="T1129"/>
      <c r="U1129" s="23"/>
    </row>
    <row r="1130" spans="1:21" ht="15.6" x14ac:dyDescent="0.3">
      <c r="A1130" s="4">
        <v>1129</v>
      </c>
      <c r="B1130" s="5">
        <v>8763182</v>
      </c>
      <c r="C1130" s="4" t="s">
        <v>96</v>
      </c>
      <c r="D1130" s="4" t="s">
        <v>57</v>
      </c>
      <c r="E1130" s="4" t="s">
        <v>16</v>
      </c>
      <c r="F1130" s="4" t="s">
        <v>2959</v>
      </c>
      <c r="G1130" s="6">
        <v>4.8</v>
      </c>
      <c r="H1130" s="7">
        <v>45693.119768518518</v>
      </c>
      <c r="I1130" s="7" t="str">
        <f>TEXT(multilingual_mobile_app_reviews_2025[[#This Row],[Review_date]],"dd-mm-yyyy")</f>
        <v>05-02-2025</v>
      </c>
      <c r="J1130" s="7" t="str">
        <f>TEXT(multilingual_mobile_app_reviews_2025[[#This Row],[Review_date]],"YYYY")</f>
        <v>2025</v>
      </c>
      <c r="K1130" s="7" t="str">
        <f>TEXT(multilingual_mobile_app_reviews_2025[[#This Row],[Review_date]],"MMMM")</f>
        <v>February</v>
      </c>
      <c r="L1130" s="4" t="b">
        <v>0</v>
      </c>
      <c r="M1130" s="4" t="s">
        <v>10</v>
      </c>
      <c r="N1130" s="5">
        <v>457</v>
      </c>
      <c r="O1130" s="5">
        <v>34</v>
      </c>
      <c r="P1130" s="4" t="s">
        <v>85</v>
      </c>
      <c r="Q1130" s="8" t="s">
        <v>5</v>
      </c>
      <c r="R1130" s="4" t="s">
        <v>1424</v>
      </c>
      <c r="S1130" s="4"/>
      <c r="T1130"/>
      <c r="U1130" s="23"/>
    </row>
    <row r="1131" spans="1:21" ht="15.6" x14ac:dyDescent="0.3">
      <c r="A1131" s="4">
        <v>1130</v>
      </c>
      <c r="B1131" s="5">
        <v>2282597</v>
      </c>
      <c r="C1131" s="4" t="s">
        <v>104</v>
      </c>
      <c r="D1131" s="4" t="s">
        <v>97</v>
      </c>
      <c r="E1131" s="4" t="s">
        <v>109</v>
      </c>
      <c r="F1131" s="4" t="s">
        <v>2958</v>
      </c>
      <c r="G1131" s="6">
        <v>1.9</v>
      </c>
      <c r="H1131" s="7">
        <v>45796.731886574074</v>
      </c>
      <c r="I1131" s="7" t="str">
        <f>TEXT(multilingual_mobile_app_reviews_2025[[#This Row],[Review_date]],"dd-mm-yyyy")</f>
        <v>19-05-2025</v>
      </c>
      <c r="J1131" s="7" t="str">
        <f>TEXT(multilingual_mobile_app_reviews_2025[[#This Row],[Review_date]],"YYYY")</f>
        <v>2025</v>
      </c>
      <c r="K1131" s="7" t="str">
        <f>TEXT(multilingual_mobile_app_reviews_2025[[#This Row],[Review_date]],"MMMM")</f>
        <v>May</v>
      </c>
      <c r="L1131" s="4" t="b">
        <v>1</v>
      </c>
      <c r="M1131" s="4" t="s">
        <v>98</v>
      </c>
      <c r="N1131" s="5">
        <v>850</v>
      </c>
      <c r="O1131" s="5">
        <v>19</v>
      </c>
      <c r="P1131" s="4" t="s">
        <v>90</v>
      </c>
      <c r="Q1131" s="8" t="s">
        <v>12</v>
      </c>
      <c r="R1131" s="4" t="s">
        <v>1425</v>
      </c>
      <c r="S1131" s="4"/>
      <c r="T1131"/>
      <c r="U1131" s="23"/>
    </row>
    <row r="1132" spans="1:21" ht="15.6" x14ac:dyDescent="0.3">
      <c r="A1132" s="4">
        <v>1131</v>
      </c>
      <c r="B1132" s="5">
        <v>6983963</v>
      </c>
      <c r="C1132" s="4" t="s">
        <v>174</v>
      </c>
      <c r="D1132" s="4" t="s">
        <v>220</v>
      </c>
      <c r="E1132" s="4" t="s">
        <v>130</v>
      </c>
      <c r="F1132" s="4" t="s">
        <v>2942</v>
      </c>
      <c r="G1132" s="6">
        <v>3.1</v>
      </c>
      <c r="H1132" s="7">
        <v>45754.54173611111</v>
      </c>
      <c r="I1132" s="7" t="str">
        <f>TEXT(multilingual_mobile_app_reviews_2025[[#This Row],[Review_date]],"dd-mm-yyyy")</f>
        <v>07-04-2025</v>
      </c>
      <c r="J1132" s="7" t="str">
        <f>TEXT(multilingual_mobile_app_reviews_2025[[#This Row],[Review_date]],"YYYY")</f>
        <v>2025</v>
      </c>
      <c r="K1132" s="7" t="str">
        <f>TEXT(multilingual_mobile_app_reviews_2025[[#This Row],[Review_date]],"MMMM")</f>
        <v>April</v>
      </c>
      <c r="L1132" s="4" t="b">
        <v>1</v>
      </c>
      <c r="M1132" s="4" t="s">
        <v>3</v>
      </c>
      <c r="N1132" s="5">
        <v>693</v>
      </c>
      <c r="O1132" s="5">
        <v>66</v>
      </c>
      <c r="P1132" s="4" t="s">
        <v>17</v>
      </c>
      <c r="Q1132" s="8" t="s">
        <v>12</v>
      </c>
      <c r="R1132" s="4" t="s">
        <v>2963</v>
      </c>
      <c r="S1132" s="4"/>
      <c r="T1132"/>
      <c r="U1132" s="23"/>
    </row>
    <row r="1133" spans="1:21" ht="15.6" x14ac:dyDescent="0.3">
      <c r="A1133" s="4">
        <v>1132</v>
      </c>
      <c r="B1133" s="5">
        <v>7674743</v>
      </c>
      <c r="C1133" s="4" t="s">
        <v>96</v>
      </c>
      <c r="D1133" s="4" t="s">
        <v>51</v>
      </c>
      <c r="E1133" s="4" t="s">
        <v>1426</v>
      </c>
      <c r="F1133" s="4" t="s">
        <v>2939</v>
      </c>
      <c r="G1133" s="6">
        <v>1.7</v>
      </c>
      <c r="H1133" s="7">
        <v>45424.401296296295</v>
      </c>
      <c r="I1133" s="7" t="str">
        <f>TEXT(multilingual_mobile_app_reviews_2025[[#This Row],[Review_date]],"dd-mm-yyyy")</f>
        <v>12-05-2024</v>
      </c>
      <c r="J1133" s="7" t="str">
        <f>TEXT(multilingual_mobile_app_reviews_2025[[#This Row],[Review_date]],"YYYY")</f>
        <v>2024</v>
      </c>
      <c r="K1133" s="7" t="str">
        <f>TEXT(multilingual_mobile_app_reviews_2025[[#This Row],[Review_date]],"MMMM")</f>
        <v>May</v>
      </c>
      <c r="L1133" s="4" t="b">
        <v>1</v>
      </c>
      <c r="M1133" s="4" t="s">
        <v>10</v>
      </c>
      <c r="N1133" s="5">
        <v>600</v>
      </c>
      <c r="O1133" s="5">
        <v>25</v>
      </c>
      <c r="P1133" s="4" t="s">
        <v>180</v>
      </c>
      <c r="Q1133" s="8" t="s">
        <v>5</v>
      </c>
      <c r="R1133" s="4" t="s">
        <v>1427</v>
      </c>
      <c r="S1133" s="4"/>
      <c r="T1133"/>
      <c r="U1133" s="23"/>
    </row>
    <row r="1134" spans="1:21" ht="15.6" x14ac:dyDescent="0.3">
      <c r="A1134" s="4">
        <v>1133</v>
      </c>
      <c r="B1134" s="5">
        <v>6701736</v>
      </c>
      <c r="C1134" s="4" t="s">
        <v>78</v>
      </c>
      <c r="D1134" s="4" t="s">
        <v>15</v>
      </c>
      <c r="E1134" s="4" t="s">
        <v>130</v>
      </c>
      <c r="F1134" s="4" t="s">
        <v>2939</v>
      </c>
      <c r="G1134" s="6">
        <v>2.6</v>
      </c>
      <c r="H1134" s="7">
        <v>45819.590520833335</v>
      </c>
      <c r="I1134" s="7" t="str">
        <f>TEXT(multilingual_mobile_app_reviews_2025[[#This Row],[Review_date]],"dd-mm-yyyy")</f>
        <v>11-06-2025</v>
      </c>
      <c r="J1134" s="7" t="str">
        <f>TEXT(multilingual_mobile_app_reviews_2025[[#This Row],[Review_date]],"YYYY")</f>
        <v>2025</v>
      </c>
      <c r="K1134" s="7" t="str">
        <f>TEXT(multilingual_mobile_app_reviews_2025[[#This Row],[Review_date]],"MMMM")</f>
        <v>June</v>
      </c>
      <c r="L1134" s="4" t="b">
        <v>1</v>
      </c>
      <c r="M1134" s="4" t="s">
        <v>3</v>
      </c>
      <c r="N1134" s="5">
        <v>730</v>
      </c>
      <c r="O1134" s="5">
        <v>17</v>
      </c>
      <c r="P1134" s="4" t="s">
        <v>90</v>
      </c>
      <c r="Q1134" s="8" t="s">
        <v>2963</v>
      </c>
      <c r="R1134" s="4" t="s">
        <v>1428</v>
      </c>
      <c r="S1134" s="4"/>
      <c r="T1134"/>
      <c r="U1134" s="23"/>
    </row>
    <row r="1135" spans="1:21" ht="15.6" x14ac:dyDescent="0.3">
      <c r="A1135" s="4">
        <v>1134</v>
      </c>
      <c r="B1135" s="5">
        <v>9669565</v>
      </c>
      <c r="C1135" s="4" t="s">
        <v>199</v>
      </c>
      <c r="D1135" s="4" t="s">
        <v>20</v>
      </c>
      <c r="E1135" s="4" t="s">
        <v>1429</v>
      </c>
      <c r="F1135" s="4" t="s">
        <v>2960</v>
      </c>
      <c r="G1135" s="6">
        <v>1.3</v>
      </c>
      <c r="H1135" s="7">
        <v>45207.98841435185</v>
      </c>
      <c r="I1135" s="7" t="str">
        <f>TEXT(multilingual_mobile_app_reviews_2025[[#This Row],[Review_date]],"dd-mm-yyyy")</f>
        <v>08-10-2023</v>
      </c>
      <c r="J1135" s="7" t="str">
        <f>TEXT(multilingual_mobile_app_reviews_2025[[#This Row],[Review_date]],"YYYY")</f>
        <v>2023</v>
      </c>
      <c r="K1135" s="7" t="str">
        <f>TEXT(multilingual_mobile_app_reviews_2025[[#This Row],[Review_date]],"MMMM")</f>
        <v>October</v>
      </c>
      <c r="L1135" s="4" t="b">
        <v>1</v>
      </c>
      <c r="M1135" s="4" t="s">
        <v>3</v>
      </c>
      <c r="N1135" s="5">
        <v>19</v>
      </c>
      <c r="O1135" s="5">
        <v>26</v>
      </c>
      <c r="P1135" s="4" t="s">
        <v>127</v>
      </c>
      <c r="Q1135" s="8" t="s">
        <v>39</v>
      </c>
      <c r="R1135" s="4" t="s">
        <v>1430</v>
      </c>
      <c r="S1135" s="4"/>
      <c r="T1135"/>
      <c r="U1135" s="23"/>
    </row>
    <row r="1136" spans="1:21" ht="15.6" x14ac:dyDescent="0.3">
      <c r="A1136" s="4">
        <v>1135</v>
      </c>
      <c r="B1136" s="5">
        <v>3426354</v>
      </c>
      <c r="C1136" s="4" t="s">
        <v>176</v>
      </c>
      <c r="D1136" s="4" t="s">
        <v>71</v>
      </c>
      <c r="E1136" s="4" t="s">
        <v>2938</v>
      </c>
      <c r="F1136" s="4" t="s">
        <v>2950</v>
      </c>
      <c r="G1136" s="6">
        <v>1.5</v>
      </c>
      <c r="H1136" s="7">
        <v>45342.211261574077</v>
      </c>
      <c r="I1136" s="7" t="str">
        <f>TEXT(multilingual_mobile_app_reviews_2025[[#This Row],[Review_date]],"dd-mm-yyyy")</f>
        <v>20-02-2024</v>
      </c>
      <c r="J1136" s="7" t="str">
        <f>TEXT(multilingual_mobile_app_reviews_2025[[#This Row],[Review_date]],"YYYY")</f>
        <v>2024</v>
      </c>
      <c r="K1136" s="7" t="str">
        <f>TEXT(multilingual_mobile_app_reviews_2025[[#This Row],[Review_date]],"MMMM")</f>
        <v>February</v>
      </c>
      <c r="L1136" s="4" t="b">
        <v>0</v>
      </c>
      <c r="M1136" s="4" t="s">
        <v>33</v>
      </c>
      <c r="N1136" s="5">
        <v>599</v>
      </c>
      <c r="O1136" s="5">
        <v>45</v>
      </c>
      <c r="P1136" s="4" t="s">
        <v>4</v>
      </c>
      <c r="Q1136" s="8" t="s">
        <v>5</v>
      </c>
      <c r="R1136" s="4" t="s">
        <v>1431</v>
      </c>
      <c r="S1136" s="4"/>
      <c r="T1136"/>
      <c r="U1136" s="23"/>
    </row>
    <row r="1137" spans="1:21" ht="15.6" x14ac:dyDescent="0.3">
      <c r="A1137" s="4">
        <v>1136</v>
      </c>
      <c r="B1137" s="5">
        <v>2931255</v>
      </c>
      <c r="C1137" s="4" t="s">
        <v>264</v>
      </c>
      <c r="D1137" s="4" t="s">
        <v>42</v>
      </c>
      <c r="E1137" s="4" t="s">
        <v>16</v>
      </c>
      <c r="F1137" s="4" t="s">
        <v>2960</v>
      </c>
      <c r="G1137" s="6">
        <v>2.9</v>
      </c>
      <c r="H1137" s="7">
        <v>45177.545844907407</v>
      </c>
      <c r="I1137" s="7" t="str">
        <f>TEXT(multilingual_mobile_app_reviews_2025[[#This Row],[Review_date]],"dd-mm-yyyy")</f>
        <v>08-09-2023</v>
      </c>
      <c r="J1137" s="7" t="str">
        <f>TEXT(multilingual_mobile_app_reviews_2025[[#This Row],[Review_date]],"YYYY")</f>
        <v>2023</v>
      </c>
      <c r="K1137" s="7" t="str">
        <f>TEXT(multilingual_mobile_app_reviews_2025[[#This Row],[Review_date]],"MMMM")</f>
        <v>September</v>
      </c>
      <c r="L1137" s="4" t="b">
        <v>1</v>
      </c>
      <c r="M1137" s="4" t="s">
        <v>10</v>
      </c>
      <c r="N1137" s="5">
        <v>1126</v>
      </c>
      <c r="O1137" s="5">
        <v>37</v>
      </c>
      <c r="P1137" s="4" t="s">
        <v>61</v>
      </c>
      <c r="Q1137" s="8" t="s">
        <v>39</v>
      </c>
      <c r="R1137" s="4" t="s">
        <v>1432</v>
      </c>
      <c r="S1137" s="4"/>
      <c r="T1137"/>
      <c r="U1137" s="23"/>
    </row>
    <row r="1138" spans="1:21" ht="15.6" x14ac:dyDescent="0.3">
      <c r="A1138" s="4">
        <v>1137</v>
      </c>
      <c r="B1138" s="5">
        <v>7295804</v>
      </c>
      <c r="C1138" s="4" t="s">
        <v>36</v>
      </c>
      <c r="D1138" s="4" t="s">
        <v>8</v>
      </c>
      <c r="E1138" s="4" t="s">
        <v>16</v>
      </c>
      <c r="F1138" s="4" t="s">
        <v>2944</v>
      </c>
      <c r="G1138" s="6">
        <v>4.5999999999999996</v>
      </c>
      <c r="H1138" s="7">
        <v>45605.217094907406</v>
      </c>
      <c r="I1138" s="7" t="str">
        <f>TEXT(multilingual_mobile_app_reviews_2025[[#This Row],[Review_date]],"dd-mm-yyyy")</f>
        <v>09-11-2024</v>
      </c>
      <c r="J1138" s="7" t="str">
        <f>TEXT(multilingual_mobile_app_reviews_2025[[#This Row],[Review_date]],"YYYY")</f>
        <v>2024</v>
      </c>
      <c r="K1138" s="7" t="str">
        <f>TEXT(multilingual_mobile_app_reviews_2025[[#This Row],[Review_date]],"MMMM")</f>
        <v>November</v>
      </c>
      <c r="L1138" s="4" t="b">
        <v>1</v>
      </c>
      <c r="M1138" s="4" t="s">
        <v>3</v>
      </c>
      <c r="N1138" s="5">
        <v>531</v>
      </c>
      <c r="O1138" s="5">
        <v>62</v>
      </c>
      <c r="P1138" s="4" t="s">
        <v>180</v>
      </c>
      <c r="Q1138" s="8" t="s">
        <v>29</v>
      </c>
      <c r="R1138" s="4" t="s">
        <v>1433</v>
      </c>
      <c r="S1138" s="4"/>
      <c r="T1138"/>
      <c r="U1138" s="23"/>
    </row>
    <row r="1139" spans="1:21" ht="15.6" x14ac:dyDescent="0.3">
      <c r="A1139" s="4">
        <v>1138</v>
      </c>
      <c r="B1139" s="5">
        <v>2604019</v>
      </c>
      <c r="C1139" s="4" t="s">
        <v>54</v>
      </c>
      <c r="D1139" s="4" t="s">
        <v>8</v>
      </c>
      <c r="E1139" s="4" t="s">
        <v>16</v>
      </c>
      <c r="F1139" s="4" t="s">
        <v>2946</v>
      </c>
      <c r="G1139" s="6">
        <v>4.5999999999999996</v>
      </c>
      <c r="H1139" s="7">
        <v>45208.054201388892</v>
      </c>
      <c r="I1139" s="7" t="str">
        <f>TEXT(multilingual_mobile_app_reviews_2025[[#This Row],[Review_date]],"dd-mm-yyyy")</f>
        <v>09-10-2023</v>
      </c>
      <c r="J1139" s="7" t="str">
        <f>TEXT(multilingual_mobile_app_reviews_2025[[#This Row],[Review_date]],"YYYY")</f>
        <v>2023</v>
      </c>
      <c r="K1139" s="7" t="str">
        <f>TEXT(multilingual_mobile_app_reviews_2025[[#This Row],[Review_date]],"MMMM")</f>
        <v>October</v>
      </c>
      <c r="L1139" s="4" t="b">
        <v>1</v>
      </c>
      <c r="M1139" s="4" t="s">
        <v>10</v>
      </c>
      <c r="N1139" s="5">
        <v>201</v>
      </c>
      <c r="O1139" s="5">
        <v>21</v>
      </c>
      <c r="P1139" s="4" t="s">
        <v>17</v>
      </c>
      <c r="Q1139" s="8" t="s">
        <v>2963</v>
      </c>
      <c r="R1139" s="4" t="s">
        <v>876</v>
      </c>
      <c r="S1139" s="4"/>
      <c r="T1139"/>
      <c r="U1139" s="23"/>
    </row>
    <row r="1140" spans="1:21" ht="15.6" x14ac:dyDescent="0.3">
      <c r="A1140" s="4">
        <v>1139</v>
      </c>
      <c r="B1140" s="5">
        <v>2954188</v>
      </c>
      <c r="C1140" s="4" t="s">
        <v>101</v>
      </c>
      <c r="D1140" s="4" t="s">
        <v>63</v>
      </c>
      <c r="E1140" s="4" t="s">
        <v>1434</v>
      </c>
      <c r="F1140" s="4" t="s">
        <v>2962</v>
      </c>
      <c r="G1140" s="6">
        <v>4.0999999999999996</v>
      </c>
      <c r="H1140" s="7">
        <v>45693.11959490741</v>
      </c>
      <c r="I1140" s="7" t="str">
        <f>TEXT(multilingual_mobile_app_reviews_2025[[#This Row],[Review_date]],"dd-mm-yyyy")</f>
        <v>05-02-2025</v>
      </c>
      <c r="J1140" s="7" t="str">
        <f>TEXT(multilingual_mobile_app_reviews_2025[[#This Row],[Review_date]],"YYYY")</f>
        <v>2025</v>
      </c>
      <c r="K1140" s="7" t="str">
        <f>TEXT(multilingual_mobile_app_reviews_2025[[#This Row],[Review_date]],"MMMM")</f>
        <v>February</v>
      </c>
      <c r="L1140" s="4" t="b">
        <v>1</v>
      </c>
      <c r="M1140" s="4" t="s">
        <v>3</v>
      </c>
      <c r="N1140" s="5">
        <v>757</v>
      </c>
      <c r="O1140" s="5">
        <v>62</v>
      </c>
      <c r="P1140" s="4" t="s">
        <v>230</v>
      </c>
      <c r="Q1140" s="8" t="s">
        <v>29</v>
      </c>
      <c r="R1140" s="4" t="s">
        <v>163</v>
      </c>
      <c r="S1140" s="4"/>
      <c r="T1140"/>
      <c r="U1140" s="23"/>
    </row>
    <row r="1141" spans="1:21" ht="15.6" x14ac:dyDescent="0.3">
      <c r="A1141" s="4">
        <v>1140</v>
      </c>
      <c r="B1141" s="5">
        <v>3296800</v>
      </c>
      <c r="C1141" s="4" t="s">
        <v>69</v>
      </c>
      <c r="D1141" s="4" t="s">
        <v>220</v>
      </c>
      <c r="E1141" s="4" t="s">
        <v>21</v>
      </c>
      <c r="F1141" s="4" t="s">
        <v>2956</v>
      </c>
      <c r="G1141" s="6">
        <v>2.9</v>
      </c>
      <c r="H1141" s="7">
        <v>45808.364317129628</v>
      </c>
      <c r="I1141" s="7" t="str">
        <f>TEXT(multilingual_mobile_app_reviews_2025[[#This Row],[Review_date]],"dd-mm-yyyy")</f>
        <v>31-05-2025</v>
      </c>
      <c r="J1141" s="7" t="str">
        <f>TEXT(multilingual_mobile_app_reviews_2025[[#This Row],[Review_date]],"YYYY")</f>
        <v>2025</v>
      </c>
      <c r="K1141" s="7" t="str">
        <f>TEXT(multilingual_mobile_app_reviews_2025[[#This Row],[Review_date]],"MMMM")</f>
        <v>May</v>
      </c>
      <c r="L1141" s="4" t="b">
        <v>1</v>
      </c>
      <c r="M1141" s="4" t="s">
        <v>22</v>
      </c>
      <c r="N1141" s="5">
        <v>985</v>
      </c>
      <c r="O1141" s="5">
        <v>55</v>
      </c>
      <c r="P1141" s="4" t="s">
        <v>44</v>
      </c>
      <c r="Q1141" s="8" t="s">
        <v>12</v>
      </c>
      <c r="R1141" s="4" t="s">
        <v>1435</v>
      </c>
      <c r="S1141" s="4"/>
      <c r="T1141"/>
      <c r="U1141" s="23"/>
    </row>
    <row r="1142" spans="1:21" ht="15.6" x14ac:dyDescent="0.3">
      <c r="A1142" s="4">
        <v>1141</v>
      </c>
      <c r="B1142" s="5">
        <v>4931200</v>
      </c>
      <c r="C1142" s="4" t="s">
        <v>92</v>
      </c>
      <c r="D1142" s="4" t="s">
        <v>57</v>
      </c>
      <c r="E1142" s="4" t="s">
        <v>1436</v>
      </c>
      <c r="F1142" s="4" t="s">
        <v>2960</v>
      </c>
      <c r="G1142" s="6">
        <v>1.2</v>
      </c>
      <c r="H1142" s="7">
        <v>45278.975694444445</v>
      </c>
      <c r="I1142" s="7" t="str">
        <f>TEXT(multilingual_mobile_app_reviews_2025[[#This Row],[Review_date]],"dd-mm-yyyy")</f>
        <v>18-12-2023</v>
      </c>
      <c r="J1142" s="7" t="str">
        <f>TEXT(multilingual_mobile_app_reviews_2025[[#This Row],[Review_date]],"YYYY")</f>
        <v>2023</v>
      </c>
      <c r="K1142" s="7" t="str">
        <f>TEXT(multilingual_mobile_app_reviews_2025[[#This Row],[Review_date]],"MMMM")</f>
        <v>December</v>
      </c>
      <c r="L1142" s="4" t="b">
        <v>1</v>
      </c>
      <c r="M1142" s="4" t="s">
        <v>33</v>
      </c>
      <c r="N1142" s="5">
        <v>353</v>
      </c>
      <c r="O1142" s="5">
        <v>34</v>
      </c>
      <c r="P1142" s="4" t="s">
        <v>230</v>
      </c>
      <c r="Q1142" s="8" t="s">
        <v>29</v>
      </c>
      <c r="R1142" s="4" t="s">
        <v>1437</v>
      </c>
      <c r="S1142" s="4"/>
      <c r="T1142"/>
      <c r="U1142" s="23"/>
    </row>
    <row r="1143" spans="1:21" ht="15.6" x14ac:dyDescent="0.3">
      <c r="A1143" s="4">
        <v>1142</v>
      </c>
      <c r="B1143" s="5">
        <v>2548514</v>
      </c>
      <c r="C1143" s="4" t="s">
        <v>123</v>
      </c>
      <c r="D1143" s="4" t="s">
        <v>63</v>
      </c>
      <c r="E1143" s="4" t="s">
        <v>32</v>
      </c>
      <c r="F1143" s="4" t="s">
        <v>2957</v>
      </c>
      <c r="G1143" s="6">
        <v>1.8</v>
      </c>
      <c r="H1143" s="7">
        <v>45161.227013888885</v>
      </c>
      <c r="I1143" s="7" t="str">
        <f>TEXT(multilingual_mobile_app_reviews_2025[[#This Row],[Review_date]],"dd-mm-yyyy")</f>
        <v>23-08-2023</v>
      </c>
      <c r="J1143" s="7" t="str">
        <f>TEXT(multilingual_mobile_app_reviews_2025[[#This Row],[Review_date]],"YYYY")</f>
        <v>2023</v>
      </c>
      <c r="K1143" s="7" t="str">
        <f>TEXT(multilingual_mobile_app_reviews_2025[[#This Row],[Review_date]],"MMMM")</f>
        <v>August</v>
      </c>
      <c r="L1143" s="4" t="b">
        <v>1</v>
      </c>
      <c r="M1143" s="4" t="s">
        <v>3</v>
      </c>
      <c r="N1143" s="5">
        <v>138</v>
      </c>
      <c r="O1143" s="5">
        <v>68</v>
      </c>
      <c r="P1143" s="4" t="s">
        <v>61</v>
      </c>
      <c r="Q1143" s="8" t="s">
        <v>5</v>
      </c>
      <c r="R1143" s="4" t="s">
        <v>808</v>
      </c>
      <c r="S1143" s="4"/>
      <c r="T1143"/>
      <c r="U1143" s="23"/>
    </row>
    <row r="1144" spans="1:21" ht="15.6" x14ac:dyDescent="0.3">
      <c r="A1144" s="4">
        <v>1143</v>
      </c>
      <c r="B1144" s="5">
        <v>4492266</v>
      </c>
      <c r="C1144" s="4" t="s">
        <v>174</v>
      </c>
      <c r="D1144" s="4" t="s">
        <v>79</v>
      </c>
      <c r="E1144" s="4" t="s">
        <v>1438</v>
      </c>
      <c r="F1144" s="4" t="s">
        <v>2955</v>
      </c>
      <c r="G1144" s="6">
        <v>1.2</v>
      </c>
      <c r="H1144" s="7">
        <v>45447.66814814815</v>
      </c>
      <c r="I1144" s="7" t="str">
        <f>TEXT(multilingual_mobile_app_reviews_2025[[#This Row],[Review_date]],"dd-mm-yyyy")</f>
        <v>04-06-2024</v>
      </c>
      <c r="J1144" s="7" t="str">
        <f>TEXT(multilingual_mobile_app_reviews_2025[[#This Row],[Review_date]],"YYYY")</f>
        <v>2024</v>
      </c>
      <c r="K1144" s="7" t="str">
        <f>TEXT(multilingual_mobile_app_reviews_2025[[#This Row],[Review_date]],"MMMM")</f>
        <v>June</v>
      </c>
      <c r="L1144" s="4" t="b">
        <v>0</v>
      </c>
      <c r="M1144" s="4" t="s">
        <v>98</v>
      </c>
      <c r="N1144" s="5">
        <v>539</v>
      </c>
      <c r="O1144" s="5">
        <v>46</v>
      </c>
      <c r="P1144" s="4" t="s">
        <v>85</v>
      </c>
      <c r="Q1144" s="8" t="s">
        <v>29</v>
      </c>
      <c r="R1144" s="4" t="s">
        <v>1439</v>
      </c>
      <c r="S1144" s="4"/>
      <c r="T1144"/>
      <c r="U1144" s="23"/>
    </row>
    <row r="1145" spans="1:21" ht="15.6" x14ac:dyDescent="0.3">
      <c r="A1145" s="4">
        <v>1144</v>
      </c>
      <c r="B1145" s="5">
        <v>3660421</v>
      </c>
      <c r="C1145" s="4" t="s">
        <v>67</v>
      </c>
      <c r="D1145" s="4" t="s">
        <v>111</v>
      </c>
      <c r="E1145" s="4" t="s">
        <v>1440</v>
      </c>
      <c r="F1145" s="4" t="s">
        <v>2950</v>
      </c>
      <c r="G1145" s="6">
        <v>2.7</v>
      </c>
      <c r="H1145" s="7">
        <v>45321.285011574073</v>
      </c>
      <c r="I1145" s="7" t="str">
        <f>TEXT(multilingual_mobile_app_reviews_2025[[#This Row],[Review_date]],"dd-mm-yyyy")</f>
        <v>30-01-2024</v>
      </c>
      <c r="J1145" s="7" t="str">
        <f>TEXT(multilingual_mobile_app_reviews_2025[[#This Row],[Review_date]],"YYYY")</f>
        <v>2024</v>
      </c>
      <c r="K1145" s="7" t="str">
        <f>TEXT(multilingual_mobile_app_reviews_2025[[#This Row],[Review_date]],"MMMM")</f>
        <v>January</v>
      </c>
      <c r="L1145" s="4" t="b">
        <v>1</v>
      </c>
      <c r="M1145" s="4" t="s">
        <v>98</v>
      </c>
      <c r="N1145" s="5">
        <v>670</v>
      </c>
      <c r="O1145" s="5">
        <v>51</v>
      </c>
      <c r="P1145" s="4" t="s">
        <v>70</v>
      </c>
      <c r="Q1145" s="8" t="s">
        <v>29</v>
      </c>
      <c r="R1145" s="4" t="s">
        <v>1441</v>
      </c>
      <c r="S1145" s="4"/>
      <c r="T1145"/>
      <c r="U1145" s="23"/>
    </row>
    <row r="1146" spans="1:21" ht="15.6" x14ac:dyDescent="0.3">
      <c r="A1146" s="4">
        <v>1145</v>
      </c>
      <c r="B1146" s="5">
        <v>6044195</v>
      </c>
      <c r="C1146" s="4" t="s">
        <v>7</v>
      </c>
      <c r="D1146" s="4" t="s">
        <v>57</v>
      </c>
      <c r="E1146" s="4" t="s">
        <v>9</v>
      </c>
      <c r="F1146" s="4" t="s">
        <v>2943</v>
      </c>
      <c r="G1146" s="6">
        <v>2</v>
      </c>
      <c r="H1146" s="7">
        <v>45609.863240740742</v>
      </c>
      <c r="I1146" s="7" t="str">
        <f>TEXT(multilingual_mobile_app_reviews_2025[[#This Row],[Review_date]],"dd-mm-yyyy")</f>
        <v>13-11-2024</v>
      </c>
      <c r="J1146" s="7" t="str">
        <f>TEXT(multilingual_mobile_app_reviews_2025[[#This Row],[Review_date]],"YYYY")</f>
        <v>2024</v>
      </c>
      <c r="K1146" s="7" t="str">
        <f>TEXT(multilingual_mobile_app_reviews_2025[[#This Row],[Review_date]],"MMMM")</f>
        <v>November</v>
      </c>
      <c r="L1146" s="4" t="b">
        <v>0</v>
      </c>
      <c r="M1146" s="4" t="s">
        <v>3</v>
      </c>
      <c r="N1146" s="5">
        <v>157</v>
      </c>
      <c r="O1146" s="5">
        <v>50</v>
      </c>
      <c r="P1146" s="4" t="s">
        <v>61</v>
      </c>
      <c r="Q1146" s="8" t="s">
        <v>12</v>
      </c>
      <c r="R1146" s="4" t="s">
        <v>1442</v>
      </c>
      <c r="S1146" s="4"/>
      <c r="T1146"/>
      <c r="U1146" s="23"/>
    </row>
    <row r="1147" spans="1:21" ht="15.6" x14ac:dyDescent="0.3">
      <c r="A1147" s="4">
        <v>1146</v>
      </c>
      <c r="B1147" s="5">
        <v>863562</v>
      </c>
      <c r="C1147" s="4" t="s">
        <v>159</v>
      </c>
      <c r="D1147" s="4" t="s">
        <v>31</v>
      </c>
      <c r="E1147" s="4" t="s">
        <v>76</v>
      </c>
      <c r="F1147" s="4" t="s">
        <v>2947</v>
      </c>
      <c r="G1147" s="6">
        <v>1.4</v>
      </c>
      <c r="H1147" s="7">
        <v>45143.042268518519</v>
      </c>
      <c r="I1147" s="7" t="str">
        <f>TEXT(multilingual_mobile_app_reviews_2025[[#This Row],[Review_date]],"dd-mm-yyyy")</f>
        <v>05-08-2023</v>
      </c>
      <c r="J1147" s="7" t="str">
        <f>TEXT(multilingual_mobile_app_reviews_2025[[#This Row],[Review_date]],"YYYY")</f>
        <v>2023</v>
      </c>
      <c r="K1147" s="7" t="str">
        <f>TEXT(multilingual_mobile_app_reviews_2025[[#This Row],[Review_date]],"MMMM")</f>
        <v>August</v>
      </c>
      <c r="L1147" s="4" t="b">
        <v>1</v>
      </c>
      <c r="M1147" s="4" t="s">
        <v>98</v>
      </c>
      <c r="N1147" s="5">
        <v>951</v>
      </c>
      <c r="O1147" s="5">
        <v>66</v>
      </c>
      <c r="P1147" s="4" t="s">
        <v>162</v>
      </c>
      <c r="Q1147" s="8" t="s">
        <v>29</v>
      </c>
      <c r="R1147" s="4" t="s">
        <v>1071</v>
      </c>
      <c r="S1147" s="4"/>
      <c r="T1147"/>
      <c r="U1147" s="23"/>
    </row>
    <row r="1148" spans="1:21" ht="15.6" x14ac:dyDescent="0.3">
      <c r="A1148" s="4">
        <v>1147</v>
      </c>
      <c r="B1148" s="5">
        <v>8564810</v>
      </c>
      <c r="C1148" s="4" t="s">
        <v>96</v>
      </c>
      <c r="D1148" s="4" t="s">
        <v>47</v>
      </c>
      <c r="E1148" s="4" t="s">
        <v>64</v>
      </c>
      <c r="F1148" s="4" t="s">
        <v>2960</v>
      </c>
      <c r="G1148" s="6">
        <v>3.3</v>
      </c>
      <c r="H1148" s="7">
        <v>45620.180775462963</v>
      </c>
      <c r="I1148" s="7" t="str">
        <f>TEXT(multilingual_mobile_app_reviews_2025[[#This Row],[Review_date]],"dd-mm-yyyy")</f>
        <v>24-11-2024</v>
      </c>
      <c r="J1148" s="7" t="str">
        <f>TEXT(multilingual_mobile_app_reviews_2025[[#This Row],[Review_date]],"YYYY")</f>
        <v>2024</v>
      </c>
      <c r="K1148" s="7" t="str">
        <f>TEXT(multilingual_mobile_app_reviews_2025[[#This Row],[Review_date]],"MMMM")</f>
        <v>November</v>
      </c>
      <c r="L1148" s="4" t="b">
        <v>1</v>
      </c>
      <c r="M1148" s="4" t="s">
        <v>22</v>
      </c>
      <c r="N1148" s="5">
        <v>66</v>
      </c>
      <c r="O1148" s="5">
        <v>36</v>
      </c>
      <c r="P1148" s="4" t="s">
        <v>2963</v>
      </c>
      <c r="Q1148" s="8" t="s">
        <v>12</v>
      </c>
      <c r="R1148" s="4" t="s">
        <v>1443</v>
      </c>
      <c r="S1148" s="4"/>
      <c r="T1148"/>
      <c r="U1148" s="23"/>
    </row>
    <row r="1149" spans="1:21" ht="15.6" x14ac:dyDescent="0.3">
      <c r="A1149" s="4">
        <v>1148</v>
      </c>
      <c r="B1149" s="5">
        <v>5175231</v>
      </c>
      <c r="C1149" s="4" t="s">
        <v>92</v>
      </c>
      <c r="D1149" s="4" t="s">
        <v>42</v>
      </c>
      <c r="E1149" s="4" t="s">
        <v>1444</v>
      </c>
      <c r="F1149" s="4" t="s">
        <v>2944</v>
      </c>
      <c r="G1149" s="6">
        <v>1.7</v>
      </c>
      <c r="H1149" s="7">
        <v>45521.67827546296</v>
      </c>
      <c r="I1149" s="7" t="str">
        <f>TEXT(multilingual_mobile_app_reviews_2025[[#This Row],[Review_date]],"dd-mm-yyyy")</f>
        <v>17-08-2024</v>
      </c>
      <c r="J1149" s="7" t="str">
        <f>TEXT(multilingual_mobile_app_reviews_2025[[#This Row],[Review_date]],"YYYY")</f>
        <v>2024</v>
      </c>
      <c r="K1149" s="7" t="str">
        <f>TEXT(multilingual_mobile_app_reviews_2025[[#This Row],[Review_date]],"MMMM")</f>
        <v>August</v>
      </c>
      <c r="L1149" s="4" t="b">
        <v>1</v>
      </c>
      <c r="M1149" s="4" t="s">
        <v>3</v>
      </c>
      <c r="N1149" s="5">
        <v>550</v>
      </c>
      <c r="O1149" s="5">
        <v>44</v>
      </c>
      <c r="P1149" s="4" t="s">
        <v>4</v>
      </c>
      <c r="Q1149" s="8" t="s">
        <v>12</v>
      </c>
      <c r="R1149" s="4" t="s">
        <v>1445</v>
      </c>
      <c r="S1149" s="4"/>
      <c r="T1149"/>
      <c r="U1149" s="23"/>
    </row>
    <row r="1150" spans="1:21" ht="15.6" x14ac:dyDescent="0.3">
      <c r="A1150" s="4">
        <v>1149</v>
      </c>
      <c r="B1150" s="5">
        <v>7953160</v>
      </c>
      <c r="C1150" s="4" t="s">
        <v>132</v>
      </c>
      <c r="D1150" s="4" t="s">
        <v>220</v>
      </c>
      <c r="E1150" s="4" t="s">
        <v>1446</v>
      </c>
      <c r="F1150" s="4" t="s">
        <v>2957</v>
      </c>
      <c r="G1150" s="6">
        <v>1</v>
      </c>
      <c r="H1150" s="7">
        <v>45358.633009259262</v>
      </c>
      <c r="I1150" s="7" t="str">
        <f>TEXT(multilingual_mobile_app_reviews_2025[[#This Row],[Review_date]],"dd-mm-yyyy")</f>
        <v>07-03-2024</v>
      </c>
      <c r="J1150" s="7" t="str">
        <f>TEXT(multilingual_mobile_app_reviews_2025[[#This Row],[Review_date]],"YYYY")</f>
        <v>2024</v>
      </c>
      <c r="K1150" s="7" t="str">
        <f>TEXT(multilingual_mobile_app_reviews_2025[[#This Row],[Review_date]],"MMMM")</f>
        <v>March</v>
      </c>
      <c r="L1150" s="4" t="b">
        <v>1</v>
      </c>
      <c r="M1150" s="4" t="s">
        <v>98</v>
      </c>
      <c r="N1150" s="5">
        <v>596</v>
      </c>
      <c r="O1150" s="5">
        <v>50</v>
      </c>
      <c r="P1150" s="4" t="s">
        <v>127</v>
      </c>
      <c r="Q1150" s="8" t="s">
        <v>5</v>
      </c>
      <c r="R1150" s="4" t="s">
        <v>1447</v>
      </c>
      <c r="S1150" s="4"/>
      <c r="T1150"/>
      <c r="U1150" s="23"/>
    </row>
    <row r="1151" spans="1:21" ht="15.6" x14ac:dyDescent="0.3">
      <c r="A1151" s="4">
        <v>1150</v>
      </c>
      <c r="B1151" s="5">
        <v>4525123</v>
      </c>
      <c r="C1151" s="4" t="s">
        <v>154</v>
      </c>
      <c r="D1151" s="4" t="s">
        <v>1</v>
      </c>
      <c r="E1151" s="4" t="s">
        <v>1448</v>
      </c>
      <c r="F1151" s="4" t="s">
        <v>2949</v>
      </c>
      <c r="G1151" s="6">
        <v>1</v>
      </c>
      <c r="H1151" s="7">
        <v>45649.511076388888</v>
      </c>
      <c r="I1151" s="7" t="str">
        <f>TEXT(multilingual_mobile_app_reviews_2025[[#This Row],[Review_date]],"dd-mm-yyyy")</f>
        <v>23-12-2024</v>
      </c>
      <c r="J1151" s="7" t="str">
        <f>TEXT(multilingual_mobile_app_reviews_2025[[#This Row],[Review_date]],"YYYY")</f>
        <v>2024</v>
      </c>
      <c r="K1151" s="7" t="str">
        <f>TEXT(multilingual_mobile_app_reviews_2025[[#This Row],[Review_date]],"MMMM")</f>
        <v>December</v>
      </c>
      <c r="L1151" s="4" t="b">
        <v>0</v>
      </c>
      <c r="M1151" s="4" t="s">
        <v>22</v>
      </c>
      <c r="N1151" s="5">
        <v>1152</v>
      </c>
      <c r="O1151" s="5">
        <v>15</v>
      </c>
      <c r="P1151" s="4" t="s">
        <v>44</v>
      </c>
      <c r="Q1151" s="8" t="s">
        <v>29</v>
      </c>
      <c r="R1151" s="4" t="s">
        <v>1449</v>
      </c>
      <c r="S1151" s="4"/>
      <c r="T1151"/>
      <c r="U1151" s="23"/>
    </row>
    <row r="1152" spans="1:21" ht="15.6" x14ac:dyDescent="0.3">
      <c r="A1152" s="4">
        <v>1151</v>
      </c>
      <c r="B1152" s="5">
        <v>7481800</v>
      </c>
      <c r="C1152" s="4" t="s">
        <v>147</v>
      </c>
      <c r="D1152" s="4" t="s">
        <v>51</v>
      </c>
      <c r="E1152" s="4" t="s">
        <v>1450</v>
      </c>
      <c r="F1152" s="4" t="s">
        <v>2946</v>
      </c>
      <c r="G1152" s="6">
        <v>3.8</v>
      </c>
      <c r="H1152" s="7">
        <v>45504.130324074074</v>
      </c>
      <c r="I1152" s="7" t="str">
        <f>TEXT(multilingual_mobile_app_reviews_2025[[#This Row],[Review_date]],"dd-mm-yyyy")</f>
        <v>31-07-2024</v>
      </c>
      <c r="J1152" s="7" t="str">
        <f>TEXT(multilingual_mobile_app_reviews_2025[[#This Row],[Review_date]],"YYYY")</f>
        <v>2024</v>
      </c>
      <c r="K1152" s="7" t="str">
        <f>TEXT(multilingual_mobile_app_reviews_2025[[#This Row],[Review_date]],"MMMM")</f>
        <v>July</v>
      </c>
      <c r="L1152" s="4" t="b">
        <v>1</v>
      </c>
      <c r="M1152" s="4" t="s">
        <v>3</v>
      </c>
      <c r="N1152" s="5">
        <v>369</v>
      </c>
      <c r="O1152" s="5">
        <v>47</v>
      </c>
      <c r="P1152" s="4" t="s">
        <v>4</v>
      </c>
      <c r="Q1152" s="8" t="s">
        <v>5</v>
      </c>
      <c r="R1152" s="4" t="s">
        <v>563</v>
      </c>
      <c r="S1152" s="4"/>
      <c r="T1152"/>
      <c r="U1152" s="23"/>
    </row>
    <row r="1153" spans="1:21" ht="15.6" x14ac:dyDescent="0.3">
      <c r="A1153" s="4">
        <v>1152</v>
      </c>
      <c r="B1153" s="5">
        <v>2843996</v>
      </c>
      <c r="C1153" s="4" t="s">
        <v>25</v>
      </c>
      <c r="D1153" s="4" t="s">
        <v>157</v>
      </c>
      <c r="E1153" s="4" t="s">
        <v>9</v>
      </c>
      <c r="F1153" s="4" t="s">
        <v>2952</v>
      </c>
      <c r="G1153" s="6">
        <v>2.8</v>
      </c>
      <c r="H1153" s="7">
        <v>45687.215833333335</v>
      </c>
      <c r="I1153" s="7" t="str">
        <f>TEXT(multilingual_mobile_app_reviews_2025[[#This Row],[Review_date]],"dd-mm-yyyy")</f>
        <v>30-01-2025</v>
      </c>
      <c r="J1153" s="7" t="str">
        <f>TEXT(multilingual_mobile_app_reviews_2025[[#This Row],[Review_date]],"YYYY")</f>
        <v>2025</v>
      </c>
      <c r="K1153" s="7" t="str">
        <f>TEXT(multilingual_mobile_app_reviews_2025[[#This Row],[Review_date]],"MMMM")</f>
        <v>January</v>
      </c>
      <c r="L1153" s="4" t="b">
        <v>1</v>
      </c>
      <c r="M1153" s="4" t="s">
        <v>22</v>
      </c>
      <c r="N1153" s="5">
        <v>1132</v>
      </c>
      <c r="O1153" s="5">
        <v>54</v>
      </c>
      <c r="P1153" s="4" t="s">
        <v>114</v>
      </c>
      <c r="Q1153" s="8" t="s">
        <v>39</v>
      </c>
      <c r="R1153" s="4" t="s">
        <v>1451</v>
      </c>
      <c r="S1153" s="4"/>
      <c r="T1153"/>
      <c r="U1153" s="23"/>
    </row>
    <row r="1154" spans="1:21" ht="15.6" x14ac:dyDescent="0.3">
      <c r="A1154" s="4">
        <v>1153</v>
      </c>
      <c r="B1154" s="5">
        <v>7422078</v>
      </c>
      <c r="C1154" s="4" t="s">
        <v>132</v>
      </c>
      <c r="D1154" s="4" t="s">
        <v>57</v>
      </c>
      <c r="E1154" s="4" t="s">
        <v>109</v>
      </c>
      <c r="F1154" s="4" t="s">
        <v>2945</v>
      </c>
      <c r="G1154" s="6">
        <v>3</v>
      </c>
      <c r="H1154" s="7">
        <v>45228.996805555558</v>
      </c>
      <c r="I1154" s="7" t="str">
        <f>TEXT(multilingual_mobile_app_reviews_2025[[#This Row],[Review_date]],"dd-mm-yyyy")</f>
        <v>29-10-2023</v>
      </c>
      <c r="J1154" s="7" t="str">
        <f>TEXT(multilingual_mobile_app_reviews_2025[[#This Row],[Review_date]],"YYYY")</f>
        <v>2023</v>
      </c>
      <c r="K1154" s="7" t="str">
        <f>TEXT(multilingual_mobile_app_reviews_2025[[#This Row],[Review_date]],"MMMM")</f>
        <v>October</v>
      </c>
      <c r="L1154" s="4" t="b">
        <v>1</v>
      </c>
      <c r="M1154" s="4" t="s">
        <v>10</v>
      </c>
      <c r="N1154" s="5">
        <v>845</v>
      </c>
      <c r="O1154" s="5">
        <v>67</v>
      </c>
      <c r="P1154" s="4" t="s">
        <v>118</v>
      </c>
      <c r="Q1154" s="8" t="s">
        <v>5</v>
      </c>
      <c r="R1154" s="4" t="s">
        <v>1002</v>
      </c>
      <c r="S1154" s="4"/>
      <c r="T1154"/>
      <c r="U1154" s="23"/>
    </row>
    <row r="1155" spans="1:21" ht="15.6" x14ac:dyDescent="0.3">
      <c r="A1155" s="4">
        <v>1154</v>
      </c>
      <c r="B1155" s="5">
        <v>784371</v>
      </c>
      <c r="C1155" s="4" t="s">
        <v>176</v>
      </c>
      <c r="D1155" s="4" t="s">
        <v>63</v>
      </c>
      <c r="E1155" s="4" t="s">
        <v>1452</v>
      </c>
      <c r="F1155" s="4" t="s">
        <v>2955</v>
      </c>
      <c r="G1155" s="6">
        <v>1.1000000000000001</v>
      </c>
      <c r="H1155" s="7">
        <v>45234.923356481479</v>
      </c>
      <c r="I1155" s="7" t="str">
        <f>TEXT(multilingual_mobile_app_reviews_2025[[#This Row],[Review_date]],"dd-mm-yyyy")</f>
        <v>04-11-2023</v>
      </c>
      <c r="J1155" s="7" t="str">
        <f>TEXT(multilingual_mobile_app_reviews_2025[[#This Row],[Review_date]],"YYYY")</f>
        <v>2023</v>
      </c>
      <c r="K1155" s="7" t="str">
        <f>TEXT(multilingual_mobile_app_reviews_2025[[#This Row],[Review_date]],"MMMM")</f>
        <v>November</v>
      </c>
      <c r="L1155" s="4" t="b">
        <v>1</v>
      </c>
      <c r="M1155" s="4" t="s">
        <v>10</v>
      </c>
      <c r="N1155" s="5">
        <v>1110</v>
      </c>
      <c r="O1155" s="5">
        <v>49</v>
      </c>
      <c r="P1155" s="4" t="s">
        <v>23</v>
      </c>
      <c r="Q1155" s="8" t="s">
        <v>2963</v>
      </c>
      <c r="R1155" s="4" t="s">
        <v>1453</v>
      </c>
      <c r="S1155" s="4"/>
      <c r="T1155"/>
      <c r="U1155" s="23"/>
    </row>
    <row r="1156" spans="1:21" ht="15.6" x14ac:dyDescent="0.3">
      <c r="A1156" s="4">
        <v>1155</v>
      </c>
      <c r="B1156" s="5">
        <v>1669976</v>
      </c>
      <c r="C1156" s="4" t="s">
        <v>244</v>
      </c>
      <c r="D1156" s="4" t="s">
        <v>47</v>
      </c>
      <c r="E1156" s="4" t="s">
        <v>1454</v>
      </c>
      <c r="F1156" s="4" t="s">
        <v>2943</v>
      </c>
      <c r="G1156" s="6">
        <v>4.4000000000000004</v>
      </c>
      <c r="H1156" s="7">
        <v>45212.127303240741</v>
      </c>
      <c r="I1156" s="7" t="str">
        <f>TEXT(multilingual_mobile_app_reviews_2025[[#This Row],[Review_date]],"dd-mm-yyyy")</f>
        <v>13-10-2023</v>
      </c>
      <c r="J1156" s="7" t="str">
        <f>TEXT(multilingual_mobile_app_reviews_2025[[#This Row],[Review_date]],"YYYY")</f>
        <v>2023</v>
      </c>
      <c r="K1156" s="7" t="str">
        <f>TEXT(multilingual_mobile_app_reviews_2025[[#This Row],[Review_date]],"MMMM")</f>
        <v>October</v>
      </c>
      <c r="L1156" s="4" t="b">
        <v>1</v>
      </c>
      <c r="M1156" s="4" t="s">
        <v>98</v>
      </c>
      <c r="N1156" s="5">
        <v>232</v>
      </c>
      <c r="O1156" s="5">
        <v>52</v>
      </c>
      <c r="P1156" s="4" t="s">
        <v>44</v>
      </c>
      <c r="Q1156" s="8" t="s">
        <v>5</v>
      </c>
      <c r="R1156" s="4" t="s">
        <v>543</v>
      </c>
      <c r="S1156" s="4"/>
      <c r="T1156"/>
      <c r="U1156" s="23"/>
    </row>
    <row r="1157" spans="1:21" ht="15.6" x14ac:dyDescent="0.3">
      <c r="A1157" s="4">
        <v>1156</v>
      </c>
      <c r="B1157" s="5">
        <v>535572</v>
      </c>
      <c r="C1157" s="4" t="s">
        <v>159</v>
      </c>
      <c r="D1157" s="4" t="s">
        <v>97</v>
      </c>
      <c r="E1157" s="4" t="s">
        <v>27</v>
      </c>
      <c r="F1157" s="4" t="s">
        <v>2959</v>
      </c>
      <c r="G1157" s="6">
        <v>3</v>
      </c>
      <c r="H1157" s="7">
        <v>45359.686041666668</v>
      </c>
      <c r="I1157" s="7" t="str">
        <f>TEXT(multilingual_mobile_app_reviews_2025[[#This Row],[Review_date]],"dd-mm-yyyy")</f>
        <v>08-03-2024</v>
      </c>
      <c r="J1157" s="7" t="str">
        <f>TEXT(multilingual_mobile_app_reviews_2025[[#This Row],[Review_date]],"YYYY")</f>
        <v>2024</v>
      </c>
      <c r="K1157" s="7" t="str">
        <f>TEXT(multilingual_mobile_app_reviews_2025[[#This Row],[Review_date]],"MMMM")</f>
        <v>March</v>
      </c>
      <c r="L1157" s="4" t="b">
        <v>0</v>
      </c>
      <c r="M1157" s="4" t="s">
        <v>10</v>
      </c>
      <c r="N1157" s="5">
        <v>504</v>
      </c>
      <c r="O1157" s="5">
        <v>38</v>
      </c>
      <c r="P1157" s="4" t="s">
        <v>65</v>
      </c>
      <c r="Q1157" s="8" t="s">
        <v>2963</v>
      </c>
      <c r="R1157" s="4" t="s">
        <v>272</v>
      </c>
      <c r="S1157" s="4"/>
      <c r="T1157"/>
      <c r="U1157" s="23"/>
    </row>
    <row r="1158" spans="1:21" ht="15.6" x14ac:dyDescent="0.3">
      <c r="A1158" s="4">
        <v>1157</v>
      </c>
      <c r="B1158" s="5">
        <v>2146668</v>
      </c>
      <c r="C1158" s="4" t="s">
        <v>56</v>
      </c>
      <c r="D1158" s="4" t="s">
        <v>8</v>
      </c>
      <c r="E1158" s="4" t="s">
        <v>93</v>
      </c>
      <c r="F1158" s="4" t="s">
        <v>2940</v>
      </c>
      <c r="G1158" s="6">
        <v>2.8</v>
      </c>
      <c r="H1158" s="7">
        <v>45445.039004629631</v>
      </c>
      <c r="I1158" s="7" t="str">
        <f>TEXT(multilingual_mobile_app_reviews_2025[[#This Row],[Review_date]],"dd-mm-yyyy")</f>
        <v>02-06-2024</v>
      </c>
      <c r="J1158" s="7" t="str">
        <f>TEXT(multilingual_mobile_app_reviews_2025[[#This Row],[Review_date]],"YYYY")</f>
        <v>2024</v>
      </c>
      <c r="K1158" s="7" t="str">
        <f>TEXT(multilingual_mobile_app_reviews_2025[[#This Row],[Review_date]],"MMMM")</f>
        <v>June</v>
      </c>
      <c r="L1158" s="4" t="b">
        <v>1</v>
      </c>
      <c r="M1158" s="4" t="s">
        <v>10</v>
      </c>
      <c r="N1158" s="5">
        <v>1225</v>
      </c>
      <c r="O1158" s="5">
        <v>38</v>
      </c>
      <c r="P1158" s="4" t="s">
        <v>73</v>
      </c>
      <c r="Q1158" s="8" t="s">
        <v>2963</v>
      </c>
      <c r="R1158" s="4" t="s">
        <v>1455</v>
      </c>
      <c r="S1158" s="4"/>
      <c r="T1158"/>
      <c r="U1158" s="23"/>
    </row>
    <row r="1159" spans="1:21" ht="15.6" x14ac:dyDescent="0.3">
      <c r="A1159" s="4">
        <v>1158</v>
      </c>
      <c r="B1159" s="5">
        <v>1879557</v>
      </c>
      <c r="C1159" s="4" t="s">
        <v>159</v>
      </c>
      <c r="D1159" s="4" t="s">
        <v>220</v>
      </c>
      <c r="E1159" s="4" t="s">
        <v>76</v>
      </c>
      <c r="F1159" s="4" t="s">
        <v>2941</v>
      </c>
      <c r="G1159" s="6">
        <v>4.5999999999999996</v>
      </c>
      <c r="H1159" s="7">
        <v>45788.977685185186</v>
      </c>
      <c r="I1159" s="7" t="str">
        <f>TEXT(multilingual_mobile_app_reviews_2025[[#This Row],[Review_date]],"dd-mm-yyyy")</f>
        <v>11-05-2025</v>
      </c>
      <c r="J1159" s="7" t="str">
        <f>TEXT(multilingual_mobile_app_reviews_2025[[#This Row],[Review_date]],"YYYY")</f>
        <v>2025</v>
      </c>
      <c r="K1159" s="7" t="str">
        <f>TEXT(multilingual_mobile_app_reviews_2025[[#This Row],[Review_date]],"MMMM")</f>
        <v>May</v>
      </c>
      <c r="L1159" s="4" t="b">
        <v>1</v>
      </c>
      <c r="M1159" s="4" t="s">
        <v>3</v>
      </c>
      <c r="N1159" s="5">
        <v>373</v>
      </c>
      <c r="O1159" s="5">
        <v>51</v>
      </c>
      <c r="P1159" s="4" t="s">
        <v>230</v>
      </c>
      <c r="Q1159" s="8" t="s">
        <v>12</v>
      </c>
      <c r="R1159" s="4" t="s">
        <v>1456</v>
      </c>
      <c r="S1159" s="4"/>
      <c r="T1159"/>
      <c r="U1159" s="23"/>
    </row>
    <row r="1160" spans="1:21" ht="15.6" x14ac:dyDescent="0.3">
      <c r="A1160" s="4">
        <v>1159</v>
      </c>
      <c r="B1160" s="5">
        <v>2679924</v>
      </c>
      <c r="C1160" s="4" t="s">
        <v>174</v>
      </c>
      <c r="D1160" s="4" t="s">
        <v>47</v>
      </c>
      <c r="E1160" s="4" t="s">
        <v>27</v>
      </c>
      <c r="F1160" s="4" t="s">
        <v>2961</v>
      </c>
      <c r="G1160" s="6">
        <v>2.6</v>
      </c>
      <c r="H1160" s="7">
        <v>45161.305763888886</v>
      </c>
      <c r="I1160" s="7" t="str">
        <f>TEXT(multilingual_mobile_app_reviews_2025[[#This Row],[Review_date]],"dd-mm-yyyy")</f>
        <v>23-08-2023</v>
      </c>
      <c r="J1160" s="7" t="str">
        <f>TEXT(multilingual_mobile_app_reviews_2025[[#This Row],[Review_date]],"YYYY")</f>
        <v>2023</v>
      </c>
      <c r="K1160" s="7" t="str">
        <f>TEXT(multilingual_mobile_app_reviews_2025[[#This Row],[Review_date]],"MMMM")</f>
        <v>August</v>
      </c>
      <c r="L1160" s="4" t="b">
        <v>1</v>
      </c>
      <c r="M1160" s="4" t="s">
        <v>3</v>
      </c>
      <c r="N1160" s="5">
        <v>561</v>
      </c>
      <c r="O1160" s="5">
        <v>43</v>
      </c>
      <c r="P1160" s="4" t="s">
        <v>73</v>
      </c>
      <c r="Q1160" s="8" t="s">
        <v>5</v>
      </c>
      <c r="R1160" s="4" t="s">
        <v>1457</v>
      </c>
      <c r="S1160" s="4"/>
      <c r="T1160"/>
      <c r="U1160" s="23"/>
    </row>
    <row r="1161" spans="1:21" ht="15.6" x14ac:dyDescent="0.3">
      <c r="A1161" s="4">
        <v>1160</v>
      </c>
      <c r="B1161" s="5">
        <v>7821431</v>
      </c>
      <c r="C1161" s="4" t="s">
        <v>199</v>
      </c>
      <c r="D1161" s="4" t="s">
        <v>42</v>
      </c>
      <c r="E1161" s="4" t="s">
        <v>1458</v>
      </c>
      <c r="F1161" s="4" t="s">
        <v>2939</v>
      </c>
      <c r="G1161" s="6">
        <v>3.3</v>
      </c>
      <c r="H1161" s="7">
        <v>45391.247569444444</v>
      </c>
      <c r="I1161" s="7" t="str">
        <f>TEXT(multilingual_mobile_app_reviews_2025[[#This Row],[Review_date]],"dd-mm-yyyy")</f>
        <v>09-04-2024</v>
      </c>
      <c r="J1161" s="7" t="str">
        <f>TEXT(multilingual_mobile_app_reviews_2025[[#This Row],[Review_date]],"YYYY")</f>
        <v>2024</v>
      </c>
      <c r="K1161" s="7" t="str">
        <f>TEXT(multilingual_mobile_app_reviews_2025[[#This Row],[Review_date]],"MMMM")</f>
        <v>April</v>
      </c>
      <c r="L1161" s="4" t="b">
        <v>0</v>
      </c>
      <c r="M1161" s="4" t="s">
        <v>22</v>
      </c>
      <c r="N1161" s="5">
        <v>1091</v>
      </c>
      <c r="O1161" s="5">
        <v>70</v>
      </c>
      <c r="P1161" s="4" t="s">
        <v>230</v>
      </c>
      <c r="Q1161" s="8" t="s">
        <v>39</v>
      </c>
      <c r="R1161" s="4" t="s">
        <v>1459</v>
      </c>
      <c r="S1161" s="4"/>
      <c r="T1161"/>
      <c r="U1161" s="23"/>
    </row>
    <row r="1162" spans="1:21" ht="15.6" x14ac:dyDescent="0.3">
      <c r="A1162" s="4">
        <v>1161</v>
      </c>
      <c r="B1162" s="5">
        <v>9648894</v>
      </c>
      <c r="C1162" s="4" t="s">
        <v>154</v>
      </c>
      <c r="D1162" s="4" t="s">
        <v>26</v>
      </c>
      <c r="E1162" s="4" t="s">
        <v>76</v>
      </c>
      <c r="F1162" s="4" t="s">
        <v>2942</v>
      </c>
      <c r="G1162" s="6">
        <v>3.3</v>
      </c>
      <c r="H1162" s="7">
        <v>45239.324236111112</v>
      </c>
      <c r="I1162" s="7" t="str">
        <f>TEXT(multilingual_mobile_app_reviews_2025[[#This Row],[Review_date]],"dd-mm-yyyy")</f>
        <v>09-11-2023</v>
      </c>
      <c r="J1162" s="7" t="str">
        <f>TEXT(multilingual_mobile_app_reviews_2025[[#This Row],[Review_date]],"YYYY")</f>
        <v>2023</v>
      </c>
      <c r="K1162" s="7" t="str">
        <f>TEXT(multilingual_mobile_app_reviews_2025[[#This Row],[Review_date]],"MMMM")</f>
        <v>November</v>
      </c>
      <c r="L1162" s="4" t="b">
        <v>1</v>
      </c>
      <c r="M1162" s="4" t="s">
        <v>98</v>
      </c>
      <c r="N1162" s="5">
        <v>613</v>
      </c>
      <c r="O1162" s="5">
        <v>28</v>
      </c>
      <c r="P1162" s="4" t="s">
        <v>94</v>
      </c>
      <c r="Q1162" s="8" t="s">
        <v>12</v>
      </c>
      <c r="R1162" s="4" t="s">
        <v>1460</v>
      </c>
      <c r="S1162" s="4"/>
      <c r="T1162"/>
      <c r="U1162" s="23"/>
    </row>
    <row r="1163" spans="1:21" ht="15.6" x14ac:dyDescent="0.3">
      <c r="A1163" s="4">
        <v>1162</v>
      </c>
      <c r="B1163" s="5">
        <v>916752</v>
      </c>
      <c r="C1163" s="4" t="s">
        <v>69</v>
      </c>
      <c r="D1163" s="4" t="s">
        <v>31</v>
      </c>
      <c r="E1163" s="4" t="s">
        <v>27</v>
      </c>
      <c r="F1163" s="4" t="s">
        <v>2958</v>
      </c>
      <c r="G1163" s="6">
        <v>4.3</v>
      </c>
      <c r="H1163" s="7">
        <v>45761.466747685183</v>
      </c>
      <c r="I1163" s="7" t="str">
        <f>TEXT(multilingual_mobile_app_reviews_2025[[#This Row],[Review_date]],"dd-mm-yyyy")</f>
        <v>14-04-2025</v>
      </c>
      <c r="J1163" s="7" t="str">
        <f>TEXT(multilingual_mobile_app_reviews_2025[[#This Row],[Review_date]],"YYYY")</f>
        <v>2025</v>
      </c>
      <c r="K1163" s="7" t="str">
        <f>TEXT(multilingual_mobile_app_reviews_2025[[#This Row],[Review_date]],"MMMM")</f>
        <v>April</v>
      </c>
      <c r="L1163" s="4" t="b">
        <v>0</v>
      </c>
      <c r="M1163" s="4" t="s">
        <v>10</v>
      </c>
      <c r="N1163" s="5">
        <v>1105</v>
      </c>
      <c r="O1163" s="5">
        <v>63</v>
      </c>
      <c r="P1163" s="4" t="s">
        <v>2963</v>
      </c>
      <c r="Q1163" s="8" t="s">
        <v>2963</v>
      </c>
      <c r="R1163" s="4" t="s">
        <v>1461</v>
      </c>
      <c r="S1163" s="4"/>
      <c r="T1163"/>
      <c r="U1163" s="23"/>
    </row>
    <row r="1164" spans="1:21" ht="15.6" x14ac:dyDescent="0.3">
      <c r="A1164" s="4">
        <v>1163</v>
      </c>
      <c r="B1164" s="5">
        <v>4847180</v>
      </c>
      <c r="C1164" s="4" t="s">
        <v>78</v>
      </c>
      <c r="D1164" s="4" t="s">
        <v>157</v>
      </c>
      <c r="E1164" s="4" t="s">
        <v>1462</v>
      </c>
      <c r="F1164" s="4" t="s">
        <v>2950</v>
      </c>
      <c r="G1164" s="6">
        <v>3.4</v>
      </c>
      <c r="H1164" s="7">
        <v>45325.354016203702</v>
      </c>
      <c r="I1164" s="7" t="str">
        <f>TEXT(multilingual_mobile_app_reviews_2025[[#This Row],[Review_date]],"dd-mm-yyyy")</f>
        <v>03-02-2024</v>
      </c>
      <c r="J1164" s="7" t="str">
        <f>TEXT(multilingual_mobile_app_reviews_2025[[#This Row],[Review_date]],"YYYY")</f>
        <v>2024</v>
      </c>
      <c r="K1164" s="7" t="str">
        <f>TEXT(multilingual_mobile_app_reviews_2025[[#This Row],[Review_date]],"MMMM")</f>
        <v>February</v>
      </c>
      <c r="L1164" s="4" t="b">
        <v>0</v>
      </c>
      <c r="M1164" s="4" t="s">
        <v>33</v>
      </c>
      <c r="N1164" s="5">
        <v>880</v>
      </c>
      <c r="O1164" s="5">
        <v>35</v>
      </c>
      <c r="P1164" s="4" t="s">
        <v>80</v>
      </c>
      <c r="Q1164" s="8" t="s">
        <v>39</v>
      </c>
      <c r="R1164" s="4" t="s">
        <v>808</v>
      </c>
      <c r="S1164" s="4"/>
      <c r="T1164"/>
      <c r="U1164" s="23"/>
    </row>
    <row r="1165" spans="1:21" ht="15.6" x14ac:dyDescent="0.3">
      <c r="A1165" s="4">
        <v>1164</v>
      </c>
      <c r="B1165" s="5">
        <v>6792721</v>
      </c>
      <c r="C1165" s="4" t="s">
        <v>96</v>
      </c>
      <c r="D1165" s="4" t="s">
        <v>157</v>
      </c>
      <c r="E1165" s="4" t="s">
        <v>1463</v>
      </c>
      <c r="F1165" s="4" t="s">
        <v>2948</v>
      </c>
      <c r="G1165" s="6">
        <v>3.1</v>
      </c>
      <c r="H1165" s="7">
        <v>45294.122870370367</v>
      </c>
      <c r="I1165" s="7" t="str">
        <f>TEXT(multilingual_mobile_app_reviews_2025[[#This Row],[Review_date]],"dd-mm-yyyy")</f>
        <v>03-01-2024</v>
      </c>
      <c r="J1165" s="7" t="str">
        <f>TEXT(multilingual_mobile_app_reviews_2025[[#This Row],[Review_date]],"YYYY")</f>
        <v>2024</v>
      </c>
      <c r="K1165" s="7" t="str">
        <f>TEXT(multilingual_mobile_app_reviews_2025[[#This Row],[Review_date]],"MMMM")</f>
        <v>January</v>
      </c>
      <c r="L1165" s="4" t="b">
        <v>1</v>
      </c>
      <c r="M1165" s="4" t="s">
        <v>33</v>
      </c>
      <c r="N1165" s="5">
        <v>351</v>
      </c>
      <c r="O1165" s="5">
        <v>75</v>
      </c>
      <c r="P1165" s="4" t="s">
        <v>73</v>
      </c>
      <c r="Q1165" s="8" t="s">
        <v>29</v>
      </c>
      <c r="R1165" s="4" t="s">
        <v>1464</v>
      </c>
      <c r="S1165" s="4"/>
      <c r="T1165"/>
      <c r="U1165" s="23"/>
    </row>
    <row r="1166" spans="1:21" ht="15.6" x14ac:dyDescent="0.3">
      <c r="A1166" s="4">
        <v>1165</v>
      </c>
      <c r="B1166" s="5">
        <v>7573283</v>
      </c>
      <c r="C1166" s="4" t="s">
        <v>19</v>
      </c>
      <c r="D1166" s="4" t="s">
        <v>15</v>
      </c>
      <c r="E1166" s="4" t="s">
        <v>27</v>
      </c>
      <c r="F1166" s="4" t="s">
        <v>2956</v>
      </c>
      <c r="G1166" s="6">
        <v>4.5</v>
      </c>
      <c r="H1166" s="7">
        <v>45826.598912037036</v>
      </c>
      <c r="I1166" s="7" t="str">
        <f>TEXT(multilingual_mobile_app_reviews_2025[[#This Row],[Review_date]],"dd-mm-yyyy")</f>
        <v>18-06-2025</v>
      </c>
      <c r="J1166" s="7" t="str">
        <f>TEXT(multilingual_mobile_app_reviews_2025[[#This Row],[Review_date]],"YYYY")</f>
        <v>2025</v>
      </c>
      <c r="K1166" s="7" t="str">
        <f>TEXT(multilingual_mobile_app_reviews_2025[[#This Row],[Review_date]],"MMMM")</f>
        <v>June</v>
      </c>
      <c r="L1166" s="4" t="b">
        <v>1</v>
      </c>
      <c r="M1166" s="4" t="s">
        <v>10</v>
      </c>
      <c r="N1166" s="5">
        <v>164</v>
      </c>
      <c r="O1166" s="5">
        <v>63</v>
      </c>
      <c r="P1166" s="4" t="s">
        <v>28</v>
      </c>
      <c r="Q1166" s="8" t="s">
        <v>29</v>
      </c>
      <c r="R1166" s="4" t="s">
        <v>400</v>
      </c>
      <c r="S1166" s="4"/>
      <c r="T1166"/>
      <c r="U1166" s="23"/>
    </row>
    <row r="1167" spans="1:21" ht="15.6" x14ac:dyDescent="0.3">
      <c r="A1167" s="4">
        <v>1166</v>
      </c>
      <c r="B1167" s="5">
        <v>8093331</v>
      </c>
      <c r="C1167" s="4" t="s">
        <v>56</v>
      </c>
      <c r="D1167" s="4" t="s">
        <v>47</v>
      </c>
      <c r="E1167" s="4" t="s">
        <v>32</v>
      </c>
      <c r="F1167" s="4" t="s">
        <v>2959</v>
      </c>
      <c r="G1167" s="6">
        <v>3.4</v>
      </c>
      <c r="H1167" s="7">
        <v>45347.41238425926</v>
      </c>
      <c r="I1167" s="7" t="str">
        <f>TEXT(multilingual_mobile_app_reviews_2025[[#This Row],[Review_date]],"dd-mm-yyyy")</f>
        <v>25-02-2024</v>
      </c>
      <c r="J1167" s="7" t="str">
        <f>TEXT(multilingual_mobile_app_reviews_2025[[#This Row],[Review_date]],"YYYY")</f>
        <v>2024</v>
      </c>
      <c r="K1167" s="7" t="str">
        <f>TEXT(multilingual_mobile_app_reviews_2025[[#This Row],[Review_date]],"MMMM")</f>
        <v>February</v>
      </c>
      <c r="L1167" s="4" t="b">
        <v>1</v>
      </c>
      <c r="M1167" s="4" t="s">
        <v>10</v>
      </c>
      <c r="N1167" s="5">
        <v>369</v>
      </c>
      <c r="O1167" s="5">
        <v>54</v>
      </c>
      <c r="P1167" s="4" t="s">
        <v>118</v>
      </c>
      <c r="Q1167" s="8" t="s">
        <v>12</v>
      </c>
      <c r="R1167" s="4" t="s">
        <v>1465</v>
      </c>
      <c r="S1167" s="4"/>
      <c r="T1167"/>
      <c r="U1167" s="23"/>
    </row>
    <row r="1168" spans="1:21" ht="15.6" x14ac:dyDescent="0.3">
      <c r="A1168" s="4">
        <v>1167</v>
      </c>
      <c r="B1168" s="5">
        <v>7197946</v>
      </c>
      <c r="C1168" s="4" t="s">
        <v>25</v>
      </c>
      <c r="D1168" s="4" t="s">
        <v>47</v>
      </c>
      <c r="E1168" s="4" t="s">
        <v>130</v>
      </c>
      <c r="F1168" s="4" t="s">
        <v>2940</v>
      </c>
      <c r="G1168" s="6">
        <v>1.5</v>
      </c>
      <c r="H1168" s="7">
        <v>45208.956041666665</v>
      </c>
      <c r="I1168" s="7" t="str">
        <f>TEXT(multilingual_mobile_app_reviews_2025[[#This Row],[Review_date]],"dd-mm-yyyy")</f>
        <v>09-10-2023</v>
      </c>
      <c r="J1168" s="7" t="str">
        <f>TEXT(multilingual_mobile_app_reviews_2025[[#This Row],[Review_date]],"YYYY")</f>
        <v>2023</v>
      </c>
      <c r="K1168" s="7" t="str">
        <f>TEXT(multilingual_mobile_app_reviews_2025[[#This Row],[Review_date]],"MMMM")</f>
        <v>October</v>
      </c>
      <c r="L1168" s="4" t="b">
        <v>0</v>
      </c>
      <c r="M1168" s="4" t="s">
        <v>3</v>
      </c>
      <c r="N1168" s="5">
        <v>0</v>
      </c>
      <c r="O1168" s="5">
        <v>29</v>
      </c>
      <c r="P1168" s="4" t="s">
        <v>73</v>
      </c>
      <c r="Q1168" s="8" t="s">
        <v>12</v>
      </c>
      <c r="R1168" s="4" t="s">
        <v>1466</v>
      </c>
      <c r="S1168" s="4"/>
      <c r="T1168"/>
      <c r="U1168" s="23"/>
    </row>
    <row r="1169" spans="1:21" ht="15.6" x14ac:dyDescent="0.3">
      <c r="A1169" s="4">
        <v>1168</v>
      </c>
      <c r="B1169" s="5">
        <v>7188983</v>
      </c>
      <c r="C1169" s="4" t="s">
        <v>78</v>
      </c>
      <c r="D1169" s="4" t="s">
        <v>42</v>
      </c>
      <c r="E1169" s="4" t="s">
        <v>1467</v>
      </c>
      <c r="F1169" s="4" t="s">
        <v>2953</v>
      </c>
      <c r="G1169" s="6">
        <v>2</v>
      </c>
      <c r="H1169" s="7">
        <v>45254.304375</v>
      </c>
      <c r="I1169" s="7" t="str">
        <f>TEXT(multilingual_mobile_app_reviews_2025[[#This Row],[Review_date]],"dd-mm-yyyy")</f>
        <v>24-11-2023</v>
      </c>
      <c r="J1169" s="7" t="str">
        <f>TEXT(multilingual_mobile_app_reviews_2025[[#This Row],[Review_date]],"YYYY")</f>
        <v>2023</v>
      </c>
      <c r="K1169" s="7" t="str">
        <f>TEXT(multilingual_mobile_app_reviews_2025[[#This Row],[Review_date]],"MMMM")</f>
        <v>November</v>
      </c>
      <c r="L1169" s="4" t="b">
        <v>1</v>
      </c>
      <c r="M1169" s="4" t="s">
        <v>22</v>
      </c>
      <c r="N1169" s="5">
        <v>1103</v>
      </c>
      <c r="O1169" s="5">
        <v>52</v>
      </c>
      <c r="P1169" s="4" t="s">
        <v>65</v>
      </c>
      <c r="Q1169" s="8" t="s">
        <v>5</v>
      </c>
      <c r="R1169" s="4" t="s">
        <v>1468</v>
      </c>
      <c r="S1169" s="4"/>
      <c r="T1169"/>
      <c r="U1169" s="23"/>
    </row>
    <row r="1170" spans="1:21" ht="15.6" x14ac:dyDescent="0.3">
      <c r="A1170" s="4">
        <v>1169</v>
      </c>
      <c r="B1170" s="5">
        <v>5140020</v>
      </c>
      <c r="C1170" s="4" t="s">
        <v>244</v>
      </c>
      <c r="D1170" s="4" t="s">
        <v>63</v>
      </c>
      <c r="E1170" s="4" t="s">
        <v>109</v>
      </c>
      <c r="F1170" s="4" t="s">
        <v>2954</v>
      </c>
      <c r="G1170" s="6">
        <v>2.6</v>
      </c>
      <c r="H1170" s="7">
        <v>45792.520127314812</v>
      </c>
      <c r="I1170" s="7" t="str">
        <f>TEXT(multilingual_mobile_app_reviews_2025[[#This Row],[Review_date]],"dd-mm-yyyy")</f>
        <v>15-05-2025</v>
      </c>
      <c r="J1170" s="7" t="str">
        <f>TEXT(multilingual_mobile_app_reviews_2025[[#This Row],[Review_date]],"YYYY")</f>
        <v>2025</v>
      </c>
      <c r="K1170" s="7" t="str">
        <f>TEXT(multilingual_mobile_app_reviews_2025[[#This Row],[Review_date]],"MMMM")</f>
        <v>May</v>
      </c>
      <c r="L1170" s="4" t="b">
        <v>1</v>
      </c>
      <c r="M1170" s="4" t="s">
        <v>3</v>
      </c>
      <c r="N1170" s="5">
        <v>227</v>
      </c>
      <c r="O1170" s="5">
        <v>72</v>
      </c>
      <c r="P1170" s="4" t="s">
        <v>94</v>
      </c>
      <c r="Q1170" s="8" t="s">
        <v>29</v>
      </c>
      <c r="R1170" s="4" t="s">
        <v>1469</v>
      </c>
      <c r="S1170" s="4"/>
      <c r="T1170"/>
      <c r="U1170" s="23"/>
    </row>
    <row r="1171" spans="1:21" ht="15.6" x14ac:dyDescent="0.3">
      <c r="A1171" s="4">
        <v>1170</v>
      </c>
      <c r="B1171" s="5">
        <v>8876028</v>
      </c>
      <c r="C1171" s="4" t="s">
        <v>113</v>
      </c>
      <c r="D1171" s="4" t="s">
        <v>97</v>
      </c>
      <c r="E1171" s="4" t="s">
        <v>130</v>
      </c>
      <c r="F1171" s="4" t="s">
        <v>2952</v>
      </c>
      <c r="G1171" s="6">
        <v>1.8</v>
      </c>
      <c r="H1171" s="7">
        <v>45471.10738425926</v>
      </c>
      <c r="I1171" s="7" t="str">
        <f>TEXT(multilingual_mobile_app_reviews_2025[[#This Row],[Review_date]],"dd-mm-yyyy")</f>
        <v>28-06-2024</v>
      </c>
      <c r="J1171" s="7" t="str">
        <f>TEXT(multilingual_mobile_app_reviews_2025[[#This Row],[Review_date]],"YYYY")</f>
        <v>2024</v>
      </c>
      <c r="K1171" s="7" t="str">
        <f>TEXT(multilingual_mobile_app_reviews_2025[[#This Row],[Review_date]],"MMMM")</f>
        <v>June</v>
      </c>
      <c r="L1171" s="4" t="b">
        <v>1</v>
      </c>
      <c r="M1171" s="4" t="s">
        <v>3</v>
      </c>
      <c r="N1171" s="5">
        <v>184</v>
      </c>
      <c r="O1171" s="5">
        <v>41</v>
      </c>
      <c r="P1171" s="4" t="s">
        <v>90</v>
      </c>
      <c r="Q1171" s="8" t="s">
        <v>5</v>
      </c>
      <c r="R1171" s="4" t="s">
        <v>1470</v>
      </c>
      <c r="S1171" s="4"/>
      <c r="T1171"/>
      <c r="U1171" s="23"/>
    </row>
    <row r="1172" spans="1:21" ht="15.6" x14ac:dyDescent="0.3">
      <c r="A1172" s="4">
        <v>1171</v>
      </c>
      <c r="B1172" s="5">
        <v>9638446</v>
      </c>
      <c r="C1172" s="4" t="s">
        <v>7</v>
      </c>
      <c r="D1172" s="4" t="s">
        <v>1</v>
      </c>
      <c r="E1172" s="4" t="s">
        <v>1471</v>
      </c>
      <c r="F1172" s="4" t="s">
        <v>2959</v>
      </c>
      <c r="G1172" s="6">
        <v>3.9</v>
      </c>
      <c r="H1172" s="7">
        <v>45535.513078703705</v>
      </c>
      <c r="I1172" s="7" t="str">
        <f>TEXT(multilingual_mobile_app_reviews_2025[[#This Row],[Review_date]],"dd-mm-yyyy")</f>
        <v>31-08-2024</v>
      </c>
      <c r="J1172" s="7" t="str">
        <f>TEXT(multilingual_mobile_app_reviews_2025[[#This Row],[Review_date]],"YYYY")</f>
        <v>2024</v>
      </c>
      <c r="K1172" s="7" t="str">
        <f>TEXT(multilingual_mobile_app_reviews_2025[[#This Row],[Review_date]],"MMMM")</f>
        <v>August</v>
      </c>
      <c r="L1172" s="4" t="b">
        <v>1</v>
      </c>
      <c r="M1172" s="4" t="s">
        <v>3</v>
      </c>
      <c r="N1172" s="5">
        <v>714</v>
      </c>
      <c r="O1172" s="5">
        <v>30</v>
      </c>
      <c r="P1172" s="4" t="s">
        <v>114</v>
      </c>
      <c r="Q1172" s="8" t="s">
        <v>12</v>
      </c>
      <c r="R1172" s="4" t="s">
        <v>1472</v>
      </c>
      <c r="S1172" s="4"/>
      <c r="T1172"/>
      <c r="U1172" s="23"/>
    </row>
    <row r="1173" spans="1:21" ht="15.6" x14ac:dyDescent="0.3">
      <c r="A1173" s="4">
        <v>1172</v>
      </c>
      <c r="B1173" s="5">
        <v>7029315</v>
      </c>
      <c r="C1173" s="4" t="s">
        <v>41</v>
      </c>
      <c r="D1173" s="4" t="s">
        <v>79</v>
      </c>
      <c r="E1173" s="4" t="s">
        <v>1473</v>
      </c>
      <c r="F1173" s="4" t="s">
        <v>2955</v>
      </c>
      <c r="G1173" s="6">
        <v>2.2000000000000002</v>
      </c>
      <c r="H1173" s="7">
        <v>45819.874282407407</v>
      </c>
      <c r="I1173" s="7" t="str">
        <f>TEXT(multilingual_mobile_app_reviews_2025[[#This Row],[Review_date]],"dd-mm-yyyy")</f>
        <v>11-06-2025</v>
      </c>
      <c r="J1173" s="7" t="str">
        <f>TEXT(multilingual_mobile_app_reviews_2025[[#This Row],[Review_date]],"YYYY")</f>
        <v>2025</v>
      </c>
      <c r="K1173" s="7" t="str">
        <f>TEXT(multilingual_mobile_app_reviews_2025[[#This Row],[Review_date]],"MMMM")</f>
        <v>June</v>
      </c>
      <c r="L1173" s="4" t="b">
        <v>0</v>
      </c>
      <c r="M1173" s="4" t="s">
        <v>33</v>
      </c>
      <c r="N1173" s="5">
        <v>92</v>
      </c>
      <c r="O1173" s="5">
        <v>65</v>
      </c>
      <c r="P1173" s="4" t="s">
        <v>230</v>
      </c>
      <c r="Q1173" s="8" t="s">
        <v>29</v>
      </c>
      <c r="R1173" s="4" t="s">
        <v>1474</v>
      </c>
      <c r="S1173" s="4"/>
      <c r="T1173"/>
      <c r="U1173" s="23"/>
    </row>
    <row r="1174" spans="1:21" ht="15.6" x14ac:dyDescent="0.3">
      <c r="A1174" s="4">
        <v>1173</v>
      </c>
      <c r="B1174" s="5">
        <v>5093696</v>
      </c>
      <c r="C1174" s="4" t="s">
        <v>132</v>
      </c>
      <c r="D1174" s="4" t="s">
        <v>20</v>
      </c>
      <c r="E1174" s="4" t="s">
        <v>76</v>
      </c>
      <c r="F1174" s="4" t="s">
        <v>2940</v>
      </c>
      <c r="G1174" s="6">
        <v>4.5</v>
      </c>
      <c r="H1174" s="7">
        <v>45382.72761574074</v>
      </c>
      <c r="I1174" s="7" t="str">
        <f>TEXT(multilingual_mobile_app_reviews_2025[[#This Row],[Review_date]],"dd-mm-yyyy")</f>
        <v>31-03-2024</v>
      </c>
      <c r="J1174" s="7" t="str">
        <f>TEXT(multilingual_mobile_app_reviews_2025[[#This Row],[Review_date]],"YYYY")</f>
        <v>2024</v>
      </c>
      <c r="K1174" s="7" t="str">
        <f>TEXT(multilingual_mobile_app_reviews_2025[[#This Row],[Review_date]],"MMMM")</f>
        <v>March</v>
      </c>
      <c r="L1174" s="4" t="b">
        <v>1</v>
      </c>
      <c r="M1174" s="4" t="s">
        <v>10</v>
      </c>
      <c r="N1174" s="5">
        <v>1147</v>
      </c>
      <c r="O1174" s="5">
        <v>27</v>
      </c>
      <c r="P1174" s="4" t="s">
        <v>70</v>
      </c>
      <c r="Q1174" s="8" t="s">
        <v>39</v>
      </c>
      <c r="R1174" s="4" t="s">
        <v>490</v>
      </c>
      <c r="S1174" s="4"/>
      <c r="T1174"/>
      <c r="U1174" s="23"/>
    </row>
    <row r="1175" spans="1:21" ht="15.6" x14ac:dyDescent="0.3">
      <c r="A1175" s="4">
        <v>1174</v>
      </c>
      <c r="B1175" s="5">
        <v>7733602</v>
      </c>
      <c r="C1175" s="4" t="s">
        <v>165</v>
      </c>
      <c r="D1175" s="4" t="s">
        <v>26</v>
      </c>
      <c r="E1175" s="4" t="s">
        <v>93</v>
      </c>
      <c r="F1175" s="4" t="s">
        <v>2939</v>
      </c>
      <c r="G1175" s="6">
        <v>1.7</v>
      </c>
      <c r="H1175" s="7">
        <v>45727.132719907408</v>
      </c>
      <c r="I1175" s="7" t="str">
        <f>TEXT(multilingual_mobile_app_reviews_2025[[#This Row],[Review_date]],"dd-mm-yyyy")</f>
        <v>11-03-2025</v>
      </c>
      <c r="J1175" s="7" t="str">
        <f>TEXT(multilingual_mobile_app_reviews_2025[[#This Row],[Review_date]],"YYYY")</f>
        <v>2025</v>
      </c>
      <c r="K1175" s="7" t="str">
        <f>TEXT(multilingual_mobile_app_reviews_2025[[#This Row],[Review_date]],"MMMM")</f>
        <v>March</v>
      </c>
      <c r="L1175" s="4" t="b">
        <v>0</v>
      </c>
      <c r="M1175" s="4" t="s">
        <v>10</v>
      </c>
      <c r="N1175" s="5">
        <v>1097</v>
      </c>
      <c r="O1175" s="5">
        <v>36</v>
      </c>
      <c r="P1175" s="4" t="s">
        <v>44</v>
      </c>
      <c r="Q1175" s="8" t="s">
        <v>5</v>
      </c>
      <c r="R1175" s="4" t="s">
        <v>1475</v>
      </c>
      <c r="S1175" s="4"/>
      <c r="T1175"/>
      <c r="U1175" s="23"/>
    </row>
    <row r="1176" spans="1:21" ht="15.6" x14ac:dyDescent="0.3">
      <c r="A1176" s="4">
        <v>1175</v>
      </c>
      <c r="B1176" s="5">
        <v>7648873</v>
      </c>
      <c r="C1176" s="4" t="s">
        <v>69</v>
      </c>
      <c r="D1176" s="4" t="s">
        <v>47</v>
      </c>
      <c r="E1176" s="4" t="s">
        <v>109</v>
      </c>
      <c r="F1176" s="4" t="s">
        <v>2955</v>
      </c>
      <c r="G1176" s="6">
        <v>2.4</v>
      </c>
      <c r="H1176" s="7">
        <v>45623.406122685185</v>
      </c>
      <c r="I1176" s="7" t="str">
        <f>TEXT(multilingual_mobile_app_reviews_2025[[#This Row],[Review_date]],"dd-mm-yyyy")</f>
        <v>27-11-2024</v>
      </c>
      <c r="J1176" s="7" t="str">
        <f>TEXT(multilingual_mobile_app_reviews_2025[[#This Row],[Review_date]],"YYYY")</f>
        <v>2024</v>
      </c>
      <c r="K1176" s="7" t="str">
        <f>TEXT(multilingual_mobile_app_reviews_2025[[#This Row],[Review_date]],"MMMM")</f>
        <v>November</v>
      </c>
      <c r="L1176" s="4" t="b">
        <v>1</v>
      </c>
      <c r="M1176" s="4" t="s">
        <v>33</v>
      </c>
      <c r="N1176" s="5">
        <v>690</v>
      </c>
      <c r="O1176" s="5">
        <v>53</v>
      </c>
      <c r="P1176" s="4" t="s">
        <v>73</v>
      </c>
      <c r="Q1176" s="8" t="s">
        <v>29</v>
      </c>
      <c r="R1176" s="4" t="s">
        <v>1476</v>
      </c>
      <c r="S1176" s="4"/>
      <c r="T1176"/>
      <c r="U1176" s="23"/>
    </row>
    <row r="1177" spans="1:21" ht="15.6" x14ac:dyDescent="0.3">
      <c r="A1177" s="4">
        <v>1176</v>
      </c>
      <c r="B1177" s="5">
        <v>5826640</v>
      </c>
      <c r="C1177" s="4" t="s">
        <v>50</v>
      </c>
      <c r="D1177" s="4" t="s">
        <v>42</v>
      </c>
      <c r="E1177" s="4" t="s">
        <v>21</v>
      </c>
      <c r="F1177" s="4" t="s">
        <v>2957</v>
      </c>
      <c r="G1177" s="6">
        <v>2.7</v>
      </c>
      <c r="H1177" s="7">
        <v>45851.996886574074</v>
      </c>
      <c r="I1177" s="7" t="str">
        <f>TEXT(multilingual_mobile_app_reviews_2025[[#This Row],[Review_date]],"dd-mm-yyyy")</f>
        <v>13-07-2025</v>
      </c>
      <c r="J1177" s="7" t="str">
        <f>TEXT(multilingual_mobile_app_reviews_2025[[#This Row],[Review_date]],"YYYY")</f>
        <v>2025</v>
      </c>
      <c r="K1177" s="7" t="str">
        <f>TEXT(multilingual_mobile_app_reviews_2025[[#This Row],[Review_date]],"MMMM")</f>
        <v>July</v>
      </c>
      <c r="L1177" s="4" t="b">
        <v>1</v>
      </c>
      <c r="M1177" s="4" t="s">
        <v>10</v>
      </c>
      <c r="N1177" s="5">
        <v>1000</v>
      </c>
      <c r="O1177" s="5">
        <v>67</v>
      </c>
      <c r="P1177" s="4" t="s">
        <v>38</v>
      </c>
      <c r="Q1177" s="8" t="s">
        <v>29</v>
      </c>
      <c r="R1177" s="4" t="s">
        <v>1477</v>
      </c>
      <c r="S1177" s="4"/>
      <c r="T1177"/>
      <c r="U1177" s="23"/>
    </row>
    <row r="1178" spans="1:21" ht="15.6" x14ac:dyDescent="0.3">
      <c r="A1178" s="4">
        <v>1177</v>
      </c>
      <c r="B1178" s="5">
        <v>3641139</v>
      </c>
      <c r="C1178" s="4" t="s">
        <v>19</v>
      </c>
      <c r="D1178" s="4" t="s">
        <v>220</v>
      </c>
      <c r="E1178" s="4" t="s">
        <v>130</v>
      </c>
      <c r="F1178" s="4" t="s">
        <v>2956</v>
      </c>
      <c r="G1178" s="6">
        <v>4.9000000000000004</v>
      </c>
      <c r="H1178" s="7">
        <v>45282.63989583333</v>
      </c>
      <c r="I1178" s="7" t="str">
        <f>TEXT(multilingual_mobile_app_reviews_2025[[#This Row],[Review_date]],"dd-mm-yyyy")</f>
        <v>22-12-2023</v>
      </c>
      <c r="J1178" s="7" t="str">
        <f>TEXT(multilingual_mobile_app_reviews_2025[[#This Row],[Review_date]],"YYYY")</f>
        <v>2023</v>
      </c>
      <c r="K1178" s="7" t="str">
        <f>TEXT(multilingual_mobile_app_reviews_2025[[#This Row],[Review_date]],"MMMM")</f>
        <v>December</v>
      </c>
      <c r="L1178" s="4" t="b">
        <v>1</v>
      </c>
      <c r="M1178" s="4" t="s">
        <v>10</v>
      </c>
      <c r="N1178" s="5">
        <v>851</v>
      </c>
      <c r="O1178" s="5">
        <v>29</v>
      </c>
      <c r="P1178" s="4" t="s">
        <v>90</v>
      </c>
      <c r="Q1178" s="8" t="s">
        <v>29</v>
      </c>
      <c r="R1178" s="4" t="s">
        <v>1478</v>
      </c>
      <c r="S1178" s="4"/>
      <c r="T1178"/>
      <c r="U1178" s="23"/>
    </row>
    <row r="1179" spans="1:21" ht="15.6" x14ac:dyDescent="0.3">
      <c r="A1179" s="4">
        <v>1178</v>
      </c>
      <c r="B1179" s="5">
        <v>4450628</v>
      </c>
      <c r="C1179" s="4" t="s">
        <v>264</v>
      </c>
      <c r="D1179" s="4" t="s">
        <v>79</v>
      </c>
      <c r="E1179" s="4" t="s">
        <v>64</v>
      </c>
      <c r="F1179" s="4" t="s">
        <v>2961</v>
      </c>
      <c r="G1179" s="6">
        <v>3.4</v>
      </c>
      <c r="H1179" s="7">
        <v>45815.882268518515</v>
      </c>
      <c r="I1179" s="7" t="str">
        <f>TEXT(multilingual_mobile_app_reviews_2025[[#This Row],[Review_date]],"dd-mm-yyyy")</f>
        <v>07-06-2025</v>
      </c>
      <c r="J1179" s="7" t="str">
        <f>TEXT(multilingual_mobile_app_reviews_2025[[#This Row],[Review_date]],"YYYY")</f>
        <v>2025</v>
      </c>
      <c r="K1179" s="7" t="str">
        <f>TEXT(multilingual_mobile_app_reviews_2025[[#This Row],[Review_date]],"MMMM")</f>
        <v>June</v>
      </c>
      <c r="L1179" s="4" t="b">
        <v>0</v>
      </c>
      <c r="M1179" s="4" t="s">
        <v>98</v>
      </c>
      <c r="N1179" s="5">
        <v>122</v>
      </c>
      <c r="O1179" s="5">
        <v>22</v>
      </c>
      <c r="P1179" s="4" t="s">
        <v>70</v>
      </c>
      <c r="Q1179" s="8" t="s">
        <v>2963</v>
      </c>
      <c r="R1179" s="4" t="s">
        <v>1479</v>
      </c>
      <c r="S1179" s="4"/>
      <c r="T1179"/>
      <c r="U1179" s="23"/>
    </row>
    <row r="1180" spans="1:21" ht="15.6" x14ac:dyDescent="0.3">
      <c r="A1180" s="4">
        <v>1179</v>
      </c>
      <c r="B1180" s="5">
        <v>1883932</v>
      </c>
      <c r="C1180" s="4" t="s">
        <v>36</v>
      </c>
      <c r="D1180" s="4" t="s">
        <v>63</v>
      </c>
      <c r="E1180" s="4" t="s">
        <v>27</v>
      </c>
      <c r="F1180" s="4" t="s">
        <v>2943</v>
      </c>
      <c r="G1180" s="6">
        <v>2.6</v>
      </c>
      <c r="H1180" s="7">
        <v>45475.819849537038</v>
      </c>
      <c r="I1180" s="7" t="str">
        <f>TEXT(multilingual_mobile_app_reviews_2025[[#This Row],[Review_date]],"dd-mm-yyyy")</f>
        <v>02-07-2024</v>
      </c>
      <c r="J1180" s="7" t="str">
        <f>TEXT(multilingual_mobile_app_reviews_2025[[#This Row],[Review_date]],"YYYY")</f>
        <v>2024</v>
      </c>
      <c r="K1180" s="7" t="str">
        <f>TEXT(multilingual_mobile_app_reviews_2025[[#This Row],[Review_date]],"MMMM")</f>
        <v>July</v>
      </c>
      <c r="L1180" s="4" t="b">
        <v>1</v>
      </c>
      <c r="M1180" s="4" t="s">
        <v>3</v>
      </c>
      <c r="N1180" s="5">
        <v>68</v>
      </c>
      <c r="O1180" s="5">
        <v>34</v>
      </c>
      <c r="P1180" s="4" t="s">
        <v>23</v>
      </c>
      <c r="Q1180" s="8" t="s">
        <v>5</v>
      </c>
      <c r="R1180" s="4" t="s">
        <v>1480</v>
      </c>
      <c r="S1180" s="4"/>
      <c r="T1180"/>
      <c r="U1180" s="23"/>
    </row>
    <row r="1181" spans="1:21" ht="15.6" x14ac:dyDescent="0.3">
      <c r="A1181" s="4">
        <v>1180</v>
      </c>
      <c r="B1181" s="5">
        <v>400567</v>
      </c>
      <c r="C1181" s="4" t="s">
        <v>132</v>
      </c>
      <c r="D1181" s="4" t="s">
        <v>15</v>
      </c>
      <c r="E1181" s="4" t="s">
        <v>1481</v>
      </c>
      <c r="F1181" s="4" t="s">
        <v>2942</v>
      </c>
      <c r="G1181" s="6">
        <v>3.2</v>
      </c>
      <c r="H1181" s="7">
        <v>45287.078634259262</v>
      </c>
      <c r="I1181" s="7" t="str">
        <f>TEXT(multilingual_mobile_app_reviews_2025[[#This Row],[Review_date]],"dd-mm-yyyy")</f>
        <v>27-12-2023</v>
      </c>
      <c r="J1181" s="7" t="str">
        <f>TEXT(multilingual_mobile_app_reviews_2025[[#This Row],[Review_date]],"YYYY")</f>
        <v>2023</v>
      </c>
      <c r="K1181" s="7" t="str">
        <f>TEXT(multilingual_mobile_app_reviews_2025[[#This Row],[Review_date]],"MMMM")</f>
        <v>December</v>
      </c>
      <c r="L1181" s="4" t="b">
        <v>1</v>
      </c>
      <c r="M1181" s="4" t="s">
        <v>22</v>
      </c>
      <c r="N1181" s="5">
        <v>374</v>
      </c>
      <c r="O1181" s="5">
        <v>60</v>
      </c>
      <c r="P1181" s="4" t="s">
        <v>65</v>
      </c>
      <c r="Q1181" s="8" t="s">
        <v>29</v>
      </c>
      <c r="R1181" s="4" t="s">
        <v>1482</v>
      </c>
      <c r="S1181" s="4"/>
      <c r="T1181"/>
      <c r="U1181" s="23"/>
    </row>
    <row r="1182" spans="1:21" ht="15.6" x14ac:dyDescent="0.3">
      <c r="A1182" s="4">
        <v>1181</v>
      </c>
      <c r="B1182" s="5">
        <v>366510</v>
      </c>
      <c r="C1182" s="4" t="s">
        <v>147</v>
      </c>
      <c r="D1182" s="4" t="s">
        <v>42</v>
      </c>
      <c r="E1182" s="4" t="s">
        <v>27</v>
      </c>
      <c r="F1182" s="4" t="s">
        <v>2948</v>
      </c>
      <c r="G1182" s="6">
        <v>4</v>
      </c>
      <c r="H1182" s="7">
        <v>45679.502650462964</v>
      </c>
      <c r="I1182" s="7" t="str">
        <f>TEXT(multilingual_mobile_app_reviews_2025[[#This Row],[Review_date]],"dd-mm-yyyy")</f>
        <v>22-01-2025</v>
      </c>
      <c r="J1182" s="7" t="str">
        <f>TEXT(multilingual_mobile_app_reviews_2025[[#This Row],[Review_date]],"YYYY")</f>
        <v>2025</v>
      </c>
      <c r="K1182" s="7" t="str">
        <f>TEXT(multilingual_mobile_app_reviews_2025[[#This Row],[Review_date]],"MMMM")</f>
        <v>January</v>
      </c>
      <c r="L1182" s="4" t="b">
        <v>1</v>
      </c>
      <c r="M1182" s="4" t="s">
        <v>33</v>
      </c>
      <c r="N1182" s="5">
        <v>95</v>
      </c>
      <c r="O1182" s="5">
        <v>37</v>
      </c>
      <c r="P1182" s="4" t="s">
        <v>99</v>
      </c>
      <c r="Q1182" s="8" t="s">
        <v>5</v>
      </c>
      <c r="R1182" s="4" t="s">
        <v>1483</v>
      </c>
      <c r="S1182" s="4"/>
      <c r="T1182"/>
      <c r="U1182" s="23"/>
    </row>
    <row r="1183" spans="1:21" ht="15.6" x14ac:dyDescent="0.3">
      <c r="A1183" s="4">
        <v>1182</v>
      </c>
      <c r="B1183" s="5">
        <v>549886</v>
      </c>
      <c r="C1183" s="4" t="s">
        <v>147</v>
      </c>
      <c r="D1183" s="4" t="s">
        <v>97</v>
      </c>
      <c r="E1183" s="4" t="s">
        <v>1484</v>
      </c>
      <c r="F1183" s="4" t="s">
        <v>2939</v>
      </c>
      <c r="G1183" s="6">
        <v>4.4000000000000004</v>
      </c>
      <c r="H1183" s="7">
        <v>45684.602349537039</v>
      </c>
      <c r="I1183" s="7" t="str">
        <f>TEXT(multilingual_mobile_app_reviews_2025[[#This Row],[Review_date]],"dd-mm-yyyy")</f>
        <v>27-01-2025</v>
      </c>
      <c r="J1183" s="7" t="str">
        <f>TEXT(multilingual_mobile_app_reviews_2025[[#This Row],[Review_date]],"YYYY")</f>
        <v>2025</v>
      </c>
      <c r="K1183" s="7" t="str">
        <f>TEXT(multilingual_mobile_app_reviews_2025[[#This Row],[Review_date]],"MMMM")</f>
        <v>January</v>
      </c>
      <c r="L1183" s="4" t="b">
        <v>1</v>
      </c>
      <c r="M1183" s="4" t="s">
        <v>10</v>
      </c>
      <c r="N1183" s="5">
        <v>1169</v>
      </c>
      <c r="O1183" s="5">
        <v>21</v>
      </c>
      <c r="P1183" s="4" t="s">
        <v>180</v>
      </c>
      <c r="Q1183" s="8" t="s">
        <v>12</v>
      </c>
      <c r="R1183" s="4" t="s">
        <v>1485</v>
      </c>
      <c r="S1183" s="4"/>
      <c r="T1183"/>
      <c r="U1183" s="23"/>
    </row>
    <row r="1184" spans="1:21" ht="15.6" x14ac:dyDescent="0.3">
      <c r="A1184" s="4">
        <v>1183</v>
      </c>
      <c r="B1184" s="5">
        <v>8237735</v>
      </c>
      <c r="C1184" s="4" t="s">
        <v>264</v>
      </c>
      <c r="D1184" s="4" t="s">
        <v>51</v>
      </c>
      <c r="E1184" s="4" t="s">
        <v>27</v>
      </c>
      <c r="F1184" s="4" t="s">
        <v>2952</v>
      </c>
      <c r="G1184" s="6">
        <v>4.4000000000000004</v>
      </c>
      <c r="H1184" s="7">
        <v>45505.094756944447</v>
      </c>
      <c r="I1184" s="7" t="str">
        <f>TEXT(multilingual_mobile_app_reviews_2025[[#This Row],[Review_date]],"dd-mm-yyyy")</f>
        <v>01-08-2024</v>
      </c>
      <c r="J1184" s="7" t="str">
        <f>TEXT(multilingual_mobile_app_reviews_2025[[#This Row],[Review_date]],"YYYY")</f>
        <v>2024</v>
      </c>
      <c r="K1184" s="7" t="str">
        <f>TEXT(multilingual_mobile_app_reviews_2025[[#This Row],[Review_date]],"MMMM")</f>
        <v>August</v>
      </c>
      <c r="L1184" s="4" t="b">
        <v>1</v>
      </c>
      <c r="M1184" s="4" t="s">
        <v>98</v>
      </c>
      <c r="N1184" s="5">
        <v>823</v>
      </c>
      <c r="O1184" s="5">
        <v>61</v>
      </c>
      <c r="P1184" s="4" t="s">
        <v>65</v>
      </c>
      <c r="Q1184" s="8" t="s">
        <v>2963</v>
      </c>
      <c r="R1184" s="4" t="s">
        <v>1486</v>
      </c>
      <c r="S1184" s="4"/>
      <c r="T1184"/>
      <c r="U1184" s="23"/>
    </row>
    <row r="1185" spans="1:21" ht="15.6" x14ac:dyDescent="0.3">
      <c r="A1185" s="4">
        <v>1184</v>
      </c>
      <c r="B1185" s="5">
        <v>7641631</v>
      </c>
      <c r="C1185" s="4" t="s">
        <v>50</v>
      </c>
      <c r="D1185" s="4" t="s">
        <v>47</v>
      </c>
      <c r="E1185" s="4" t="s">
        <v>1487</v>
      </c>
      <c r="F1185" s="4" t="s">
        <v>2942</v>
      </c>
      <c r="G1185" s="6">
        <v>3.2</v>
      </c>
      <c r="H1185" s="7">
        <v>45516.444050925929</v>
      </c>
      <c r="I1185" s="7" t="str">
        <f>TEXT(multilingual_mobile_app_reviews_2025[[#This Row],[Review_date]],"dd-mm-yyyy")</f>
        <v>12-08-2024</v>
      </c>
      <c r="J1185" s="7" t="str">
        <f>TEXT(multilingual_mobile_app_reviews_2025[[#This Row],[Review_date]],"YYYY")</f>
        <v>2024</v>
      </c>
      <c r="K1185" s="7" t="str">
        <f>TEXT(multilingual_mobile_app_reviews_2025[[#This Row],[Review_date]],"MMMM")</f>
        <v>August</v>
      </c>
      <c r="L1185" s="4" t="b">
        <v>1</v>
      </c>
      <c r="M1185" s="4" t="s">
        <v>3</v>
      </c>
      <c r="N1185" s="5">
        <v>661</v>
      </c>
      <c r="O1185" s="5">
        <v>74</v>
      </c>
      <c r="P1185" s="4" t="s">
        <v>127</v>
      </c>
      <c r="Q1185" s="8" t="s">
        <v>2963</v>
      </c>
      <c r="R1185" s="4" t="s">
        <v>1488</v>
      </c>
      <c r="S1185" s="4"/>
      <c r="T1185"/>
      <c r="U1185" s="23"/>
    </row>
    <row r="1186" spans="1:21" ht="15.6" x14ac:dyDescent="0.3">
      <c r="A1186" s="4">
        <v>1185</v>
      </c>
      <c r="B1186" s="5">
        <v>8285628</v>
      </c>
      <c r="C1186" s="4" t="s">
        <v>123</v>
      </c>
      <c r="D1186" s="4" t="s">
        <v>111</v>
      </c>
      <c r="E1186" s="4" t="s">
        <v>93</v>
      </c>
      <c r="F1186" s="4" t="s">
        <v>2949</v>
      </c>
      <c r="G1186" s="6">
        <v>3.7</v>
      </c>
      <c r="H1186" s="7">
        <v>45319.004814814813</v>
      </c>
      <c r="I1186" s="7" t="str">
        <f>TEXT(multilingual_mobile_app_reviews_2025[[#This Row],[Review_date]],"dd-mm-yyyy")</f>
        <v>28-01-2024</v>
      </c>
      <c r="J1186" s="7" t="str">
        <f>TEXT(multilingual_mobile_app_reviews_2025[[#This Row],[Review_date]],"YYYY")</f>
        <v>2024</v>
      </c>
      <c r="K1186" s="7" t="str">
        <f>TEXT(multilingual_mobile_app_reviews_2025[[#This Row],[Review_date]],"MMMM")</f>
        <v>January</v>
      </c>
      <c r="L1186" s="4" t="b">
        <v>0</v>
      </c>
      <c r="M1186" s="4" t="s">
        <v>22</v>
      </c>
      <c r="N1186" s="5">
        <v>178</v>
      </c>
      <c r="O1186" s="5">
        <v>56</v>
      </c>
      <c r="P1186" s="4" t="s">
        <v>17</v>
      </c>
      <c r="Q1186" s="8" t="s">
        <v>2963</v>
      </c>
      <c r="R1186" s="4" t="s">
        <v>899</v>
      </c>
      <c r="S1186" s="4"/>
      <c r="T1186"/>
      <c r="U1186" s="23"/>
    </row>
    <row r="1187" spans="1:21" ht="15.6" x14ac:dyDescent="0.3">
      <c r="A1187" s="4">
        <v>1186</v>
      </c>
      <c r="B1187" s="5">
        <v>1118455</v>
      </c>
      <c r="C1187" s="4" t="s">
        <v>25</v>
      </c>
      <c r="D1187" s="4" t="s">
        <v>157</v>
      </c>
      <c r="E1187" s="4" t="s">
        <v>9</v>
      </c>
      <c r="F1187" s="4" t="s">
        <v>2949</v>
      </c>
      <c r="G1187" s="6">
        <v>2.8</v>
      </c>
      <c r="H1187" s="7">
        <v>45549.227858796294</v>
      </c>
      <c r="I1187" s="7" t="str">
        <f>TEXT(multilingual_mobile_app_reviews_2025[[#This Row],[Review_date]],"dd-mm-yyyy")</f>
        <v>14-09-2024</v>
      </c>
      <c r="J1187" s="7" t="str">
        <f>TEXT(multilingual_mobile_app_reviews_2025[[#This Row],[Review_date]],"YYYY")</f>
        <v>2024</v>
      </c>
      <c r="K1187" s="7" t="str">
        <f>TEXT(multilingual_mobile_app_reviews_2025[[#This Row],[Review_date]],"MMMM")</f>
        <v>September</v>
      </c>
      <c r="L1187" s="4" t="b">
        <v>1</v>
      </c>
      <c r="M1187" s="4" t="s">
        <v>98</v>
      </c>
      <c r="N1187" s="5">
        <v>753</v>
      </c>
      <c r="O1187" s="5">
        <v>29</v>
      </c>
      <c r="P1187" s="4" t="s">
        <v>144</v>
      </c>
      <c r="Q1187" s="8" t="s">
        <v>2963</v>
      </c>
      <c r="R1187" s="4" t="s">
        <v>120</v>
      </c>
      <c r="S1187" s="4"/>
      <c r="T1187"/>
      <c r="U1187" s="23"/>
    </row>
    <row r="1188" spans="1:21" ht="15.6" x14ac:dyDescent="0.3">
      <c r="A1188" s="4">
        <v>1187</v>
      </c>
      <c r="B1188" s="5">
        <v>7180061</v>
      </c>
      <c r="C1188" s="4" t="s">
        <v>19</v>
      </c>
      <c r="D1188" s="4" t="s">
        <v>8</v>
      </c>
      <c r="E1188" s="4" t="s">
        <v>64</v>
      </c>
      <c r="F1188" s="4" t="s">
        <v>2942</v>
      </c>
      <c r="G1188" s="6">
        <v>2.7</v>
      </c>
      <c r="H1188" s="7">
        <v>45586.583993055552</v>
      </c>
      <c r="I1188" s="7" t="str">
        <f>TEXT(multilingual_mobile_app_reviews_2025[[#This Row],[Review_date]],"dd-mm-yyyy")</f>
        <v>21-10-2024</v>
      </c>
      <c r="J1188" s="7" t="str">
        <f>TEXT(multilingual_mobile_app_reviews_2025[[#This Row],[Review_date]],"YYYY")</f>
        <v>2024</v>
      </c>
      <c r="K1188" s="7" t="str">
        <f>TEXT(multilingual_mobile_app_reviews_2025[[#This Row],[Review_date]],"MMMM")</f>
        <v>October</v>
      </c>
      <c r="L1188" s="4" t="b">
        <v>1</v>
      </c>
      <c r="M1188" s="4" t="s">
        <v>33</v>
      </c>
      <c r="N1188" s="5">
        <v>11</v>
      </c>
      <c r="O1188" s="5">
        <v>37</v>
      </c>
      <c r="P1188" s="4" t="s">
        <v>38</v>
      </c>
      <c r="Q1188" s="8" t="s">
        <v>29</v>
      </c>
      <c r="R1188" s="4" t="s">
        <v>1489</v>
      </c>
      <c r="S1188" s="4"/>
      <c r="T1188"/>
      <c r="U1188" s="23"/>
    </row>
    <row r="1189" spans="1:21" ht="15.6" x14ac:dyDescent="0.3">
      <c r="A1189" s="4">
        <v>1188</v>
      </c>
      <c r="B1189" s="5">
        <v>9382090</v>
      </c>
      <c r="C1189" s="4" t="s">
        <v>41</v>
      </c>
      <c r="D1189" s="4" t="s">
        <v>63</v>
      </c>
      <c r="E1189" s="4" t="s">
        <v>1490</v>
      </c>
      <c r="F1189" s="4" t="s">
        <v>2956</v>
      </c>
      <c r="G1189" s="6">
        <v>3</v>
      </c>
      <c r="H1189" s="7">
        <v>45622.541087962964</v>
      </c>
      <c r="I1189" s="7" t="str">
        <f>TEXT(multilingual_mobile_app_reviews_2025[[#This Row],[Review_date]],"dd-mm-yyyy")</f>
        <v>26-11-2024</v>
      </c>
      <c r="J1189" s="7" t="str">
        <f>TEXT(multilingual_mobile_app_reviews_2025[[#This Row],[Review_date]],"YYYY")</f>
        <v>2024</v>
      </c>
      <c r="K1189" s="7" t="str">
        <f>TEXT(multilingual_mobile_app_reviews_2025[[#This Row],[Review_date]],"MMMM")</f>
        <v>November</v>
      </c>
      <c r="L1189" s="4" t="b">
        <v>0</v>
      </c>
      <c r="M1189" s="4" t="s">
        <v>10</v>
      </c>
      <c r="N1189" s="5">
        <v>3</v>
      </c>
      <c r="O1189" s="5">
        <v>25</v>
      </c>
      <c r="P1189" s="4" t="s">
        <v>70</v>
      </c>
      <c r="Q1189" s="8" t="s">
        <v>12</v>
      </c>
      <c r="R1189" s="4" t="s">
        <v>1491</v>
      </c>
      <c r="S1189" s="4"/>
      <c r="T1189"/>
      <c r="U1189" s="23"/>
    </row>
    <row r="1190" spans="1:21" ht="15.6" x14ac:dyDescent="0.3">
      <c r="A1190" s="4">
        <v>1189</v>
      </c>
      <c r="B1190" s="5">
        <v>5917736</v>
      </c>
      <c r="C1190" s="4" t="s">
        <v>78</v>
      </c>
      <c r="D1190" s="4" t="s">
        <v>57</v>
      </c>
      <c r="E1190" s="4" t="s">
        <v>109</v>
      </c>
      <c r="F1190" s="4" t="s">
        <v>2948</v>
      </c>
      <c r="G1190" s="6">
        <v>3.6</v>
      </c>
      <c r="H1190" s="7">
        <v>45487.102893518517</v>
      </c>
      <c r="I1190" s="7" t="str">
        <f>TEXT(multilingual_mobile_app_reviews_2025[[#This Row],[Review_date]],"dd-mm-yyyy")</f>
        <v>14-07-2024</v>
      </c>
      <c r="J1190" s="7" t="str">
        <f>TEXT(multilingual_mobile_app_reviews_2025[[#This Row],[Review_date]],"YYYY")</f>
        <v>2024</v>
      </c>
      <c r="K1190" s="7" t="str">
        <f>TEXT(multilingual_mobile_app_reviews_2025[[#This Row],[Review_date]],"MMMM")</f>
        <v>July</v>
      </c>
      <c r="L1190" s="4" t="b">
        <v>0</v>
      </c>
      <c r="M1190" s="4" t="s">
        <v>98</v>
      </c>
      <c r="N1190" s="5">
        <v>930</v>
      </c>
      <c r="O1190" s="5">
        <v>23</v>
      </c>
      <c r="P1190" s="4" t="s">
        <v>11</v>
      </c>
      <c r="Q1190" s="8" t="s">
        <v>5</v>
      </c>
      <c r="R1190" s="4" t="s">
        <v>1492</v>
      </c>
      <c r="S1190" s="4"/>
      <c r="T1190"/>
      <c r="U1190" s="23"/>
    </row>
    <row r="1191" spans="1:21" ht="15.6" x14ac:dyDescent="0.3">
      <c r="A1191" s="4">
        <v>1190</v>
      </c>
      <c r="B1191" s="5">
        <v>7418725</v>
      </c>
      <c r="C1191" s="4" t="s">
        <v>96</v>
      </c>
      <c r="D1191" s="4" t="s">
        <v>71</v>
      </c>
      <c r="E1191" s="4" t="s">
        <v>64</v>
      </c>
      <c r="F1191" s="4" t="s">
        <v>2948</v>
      </c>
      <c r="G1191" s="6">
        <v>3.6</v>
      </c>
      <c r="H1191" s="7">
        <v>45155.039490740739</v>
      </c>
      <c r="I1191" s="7" t="str">
        <f>TEXT(multilingual_mobile_app_reviews_2025[[#This Row],[Review_date]],"dd-mm-yyyy")</f>
        <v>17-08-2023</v>
      </c>
      <c r="J1191" s="7" t="str">
        <f>TEXT(multilingual_mobile_app_reviews_2025[[#This Row],[Review_date]],"YYYY")</f>
        <v>2023</v>
      </c>
      <c r="K1191" s="7" t="str">
        <f>TEXT(multilingual_mobile_app_reviews_2025[[#This Row],[Review_date]],"MMMM")</f>
        <v>August</v>
      </c>
      <c r="L1191" s="4" t="b">
        <v>1</v>
      </c>
      <c r="M1191" s="4" t="s">
        <v>10</v>
      </c>
      <c r="N1191" s="5">
        <v>1157</v>
      </c>
      <c r="O1191" s="5">
        <v>24</v>
      </c>
      <c r="P1191" s="4" t="s">
        <v>38</v>
      </c>
      <c r="Q1191" s="8" t="s">
        <v>2963</v>
      </c>
      <c r="R1191" s="4" t="s">
        <v>1493</v>
      </c>
      <c r="S1191" s="4"/>
      <c r="T1191"/>
      <c r="U1191" s="23"/>
    </row>
    <row r="1192" spans="1:21" ht="15.6" x14ac:dyDescent="0.3">
      <c r="A1192" s="4">
        <v>1191</v>
      </c>
      <c r="B1192" s="5">
        <v>4932019</v>
      </c>
      <c r="C1192" s="4" t="s">
        <v>14</v>
      </c>
      <c r="D1192" s="4" t="s">
        <v>15</v>
      </c>
      <c r="E1192" s="4" t="s">
        <v>109</v>
      </c>
      <c r="F1192" s="4" t="s">
        <v>2949</v>
      </c>
      <c r="G1192" s="6">
        <v>1.1000000000000001</v>
      </c>
      <c r="H1192" s="7">
        <v>45702.94158564815</v>
      </c>
      <c r="I1192" s="7" t="str">
        <f>TEXT(multilingual_mobile_app_reviews_2025[[#This Row],[Review_date]],"dd-mm-yyyy")</f>
        <v>14-02-2025</v>
      </c>
      <c r="J1192" s="7" t="str">
        <f>TEXT(multilingual_mobile_app_reviews_2025[[#This Row],[Review_date]],"YYYY")</f>
        <v>2025</v>
      </c>
      <c r="K1192" s="7" t="str">
        <f>TEXT(multilingual_mobile_app_reviews_2025[[#This Row],[Review_date]],"MMMM")</f>
        <v>February</v>
      </c>
      <c r="L1192" s="4" t="b">
        <v>1</v>
      </c>
      <c r="M1192" s="4" t="s">
        <v>22</v>
      </c>
      <c r="N1192" s="5">
        <v>34</v>
      </c>
      <c r="O1192" s="5">
        <v>28</v>
      </c>
      <c r="P1192" s="4" t="s">
        <v>144</v>
      </c>
      <c r="Q1192" s="8" t="s">
        <v>12</v>
      </c>
      <c r="R1192" s="4" t="s">
        <v>1494</v>
      </c>
      <c r="S1192" s="4"/>
      <c r="T1192"/>
      <c r="U1192" s="23"/>
    </row>
    <row r="1193" spans="1:21" ht="15.6" x14ac:dyDescent="0.3">
      <c r="A1193" s="4">
        <v>1192</v>
      </c>
      <c r="B1193" s="5">
        <v>7972548</v>
      </c>
      <c r="C1193" s="4" t="s">
        <v>87</v>
      </c>
      <c r="D1193" s="4" t="s">
        <v>111</v>
      </c>
      <c r="E1193" s="4" t="s">
        <v>76</v>
      </c>
      <c r="F1193" s="4" t="s">
        <v>2956</v>
      </c>
      <c r="G1193" s="6">
        <v>2</v>
      </c>
      <c r="H1193" s="7">
        <v>45405.952430555553</v>
      </c>
      <c r="I1193" s="7" t="str">
        <f>TEXT(multilingual_mobile_app_reviews_2025[[#This Row],[Review_date]],"dd-mm-yyyy")</f>
        <v>23-04-2024</v>
      </c>
      <c r="J1193" s="7" t="str">
        <f>TEXT(multilingual_mobile_app_reviews_2025[[#This Row],[Review_date]],"YYYY")</f>
        <v>2024</v>
      </c>
      <c r="K1193" s="7" t="str">
        <f>TEXT(multilingual_mobile_app_reviews_2025[[#This Row],[Review_date]],"MMMM")</f>
        <v>April</v>
      </c>
      <c r="L1193" s="4" t="b">
        <v>1</v>
      </c>
      <c r="M1193" s="4" t="s">
        <v>33</v>
      </c>
      <c r="N1193" s="5">
        <v>992</v>
      </c>
      <c r="O1193" s="5">
        <v>70</v>
      </c>
      <c r="P1193" s="4" t="s">
        <v>118</v>
      </c>
      <c r="Q1193" s="8" t="s">
        <v>12</v>
      </c>
      <c r="R1193" s="4" t="s">
        <v>1495</v>
      </c>
      <c r="S1193" s="4"/>
      <c r="T1193"/>
      <c r="U1193" s="23"/>
    </row>
    <row r="1194" spans="1:21" ht="15.6" x14ac:dyDescent="0.3">
      <c r="A1194" s="4">
        <v>1193</v>
      </c>
      <c r="B1194" s="5">
        <v>3994044</v>
      </c>
      <c r="C1194" s="4" t="s">
        <v>123</v>
      </c>
      <c r="D1194" s="4" t="s">
        <v>47</v>
      </c>
      <c r="E1194" s="4" t="s">
        <v>16</v>
      </c>
      <c r="F1194" s="4" t="s">
        <v>2951</v>
      </c>
      <c r="G1194" s="6">
        <v>4.8</v>
      </c>
      <c r="H1194" s="7">
        <v>45533.170763888891</v>
      </c>
      <c r="I1194" s="7" t="str">
        <f>TEXT(multilingual_mobile_app_reviews_2025[[#This Row],[Review_date]],"dd-mm-yyyy")</f>
        <v>29-08-2024</v>
      </c>
      <c r="J1194" s="7" t="str">
        <f>TEXT(multilingual_mobile_app_reviews_2025[[#This Row],[Review_date]],"YYYY")</f>
        <v>2024</v>
      </c>
      <c r="K1194" s="7" t="str">
        <f>TEXT(multilingual_mobile_app_reviews_2025[[#This Row],[Review_date]],"MMMM")</f>
        <v>August</v>
      </c>
      <c r="L1194" s="4" t="b">
        <v>1</v>
      </c>
      <c r="M1194" s="4" t="s">
        <v>3</v>
      </c>
      <c r="N1194" s="5">
        <v>745</v>
      </c>
      <c r="O1194" s="5">
        <v>28</v>
      </c>
      <c r="P1194" s="4" t="s">
        <v>118</v>
      </c>
      <c r="Q1194" s="8" t="s">
        <v>5</v>
      </c>
      <c r="R1194" s="4" t="s">
        <v>1496</v>
      </c>
      <c r="S1194" s="4"/>
      <c r="T1194"/>
      <c r="U1194" s="23"/>
    </row>
    <row r="1195" spans="1:21" ht="15.6" x14ac:dyDescent="0.3">
      <c r="A1195" s="4">
        <v>1194</v>
      </c>
      <c r="B1195" s="5">
        <v>9959277</v>
      </c>
      <c r="C1195" s="4" t="s">
        <v>75</v>
      </c>
      <c r="D1195" s="4" t="s">
        <v>8</v>
      </c>
      <c r="E1195" s="4" t="s">
        <v>21</v>
      </c>
      <c r="F1195" s="4" t="s">
        <v>2953</v>
      </c>
      <c r="G1195" s="6">
        <v>2.5</v>
      </c>
      <c r="H1195" s="7">
        <v>45844.973935185182</v>
      </c>
      <c r="I1195" s="7" t="str">
        <f>TEXT(multilingual_mobile_app_reviews_2025[[#This Row],[Review_date]],"dd-mm-yyyy")</f>
        <v>06-07-2025</v>
      </c>
      <c r="J1195" s="7" t="str">
        <f>TEXT(multilingual_mobile_app_reviews_2025[[#This Row],[Review_date]],"YYYY")</f>
        <v>2025</v>
      </c>
      <c r="K1195" s="7" t="str">
        <f>TEXT(multilingual_mobile_app_reviews_2025[[#This Row],[Review_date]],"MMMM")</f>
        <v>July</v>
      </c>
      <c r="L1195" s="4" t="b">
        <v>0</v>
      </c>
      <c r="M1195" s="4" t="s">
        <v>22</v>
      </c>
      <c r="N1195" s="5">
        <v>631</v>
      </c>
      <c r="O1195" s="5">
        <v>15</v>
      </c>
      <c r="P1195" s="4" t="s">
        <v>162</v>
      </c>
      <c r="Q1195" s="8" t="s">
        <v>39</v>
      </c>
      <c r="R1195" s="4" t="s">
        <v>1497</v>
      </c>
      <c r="S1195" s="4"/>
      <c r="T1195"/>
      <c r="U1195" s="23"/>
    </row>
    <row r="1196" spans="1:21" ht="15.6" x14ac:dyDescent="0.3">
      <c r="A1196" s="4">
        <v>1195</v>
      </c>
      <c r="B1196" s="5">
        <v>5790043</v>
      </c>
      <c r="C1196" s="4" t="s">
        <v>104</v>
      </c>
      <c r="D1196" s="4" t="s">
        <v>79</v>
      </c>
      <c r="E1196" s="4" t="s">
        <v>1498</v>
      </c>
      <c r="F1196" s="4" t="s">
        <v>2944</v>
      </c>
      <c r="G1196" s="6">
        <v>4.4000000000000004</v>
      </c>
      <c r="H1196" s="7">
        <v>45301.549641203703</v>
      </c>
      <c r="I1196" s="7" t="str">
        <f>TEXT(multilingual_mobile_app_reviews_2025[[#This Row],[Review_date]],"dd-mm-yyyy")</f>
        <v>10-01-2024</v>
      </c>
      <c r="J1196" s="7" t="str">
        <f>TEXT(multilingual_mobile_app_reviews_2025[[#This Row],[Review_date]],"YYYY")</f>
        <v>2024</v>
      </c>
      <c r="K1196" s="7" t="str">
        <f>TEXT(multilingual_mobile_app_reviews_2025[[#This Row],[Review_date]],"MMMM")</f>
        <v>January</v>
      </c>
      <c r="L1196" s="4" t="b">
        <v>1</v>
      </c>
      <c r="M1196" s="4" t="s">
        <v>33</v>
      </c>
      <c r="N1196" s="5">
        <v>1119</v>
      </c>
      <c r="O1196" s="5">
        <v>22</v>
      </c>
      <c r="P1196" s="4" t="s">
        <v>80</v>
      </c>
      <c r="Q1196" s="8" t="s">
        <v>39</v>
      </c>
      <c r="R1196" s="4" t="s">
        <v>1114</v>
      </c>
      <c r="S1196" s="4"/>
      <c r="T1196"/>
      <c r="U1196" s="23"/>
    </row>
    <row r="1197" spans="1:21" ht="15.6" x14ac:dyDescent="0.3">
      <c r="A1197" s="4">
        <v>1196</v>
      </c>
      <c r="B1197" s="5">
        <v>889356</v>
      </c>
      <c r="C1197" s="4" t="s">
        <v>159</v>
      </c>
      <c r="D1197" s="4" t="s">
        <v>157</v>
      </c>
      <c r="E1197" s="4" t="s">
        <v>32</v>
      </c>
      <c r="F1197" s="4" t="s">
        <v>2946</v>
      </c>
      <c r="G1197" s="6">
        <v>3.4</v>
      </c>
      <c r="H1197" s="7">
        <v>45152.960717592592</v>
      </c>
      <c r="I1197" s="7" t="str">
        <f>TEXT(multilingual_mobile_app_reviews_2025[[#This Row],[Review_date]],"dd-mm-yyyy")</f>
        <v>14-08-2023</v>
      </c>
      <c r="J1197" s="7" t="str">
        <f>TEXT(multilingual_mobile_app_reviews_2025[[#This Row],[Review_date]],"YYYY")</f>
        <v>2023</v>
      </c>
      <c r="K1197" s="7" t="str">
        <f>TEXT(multilingual_mobile_app_reviews_2025[[#This Row],[Review_date]],"MMMM")</f>
        <v>August</v>
      </c>
      <c r="L1197" s="4" t="b">
        <v>1</v>
      </c>
      <c r="M1197" s="4" t="s">
        <v>33</v>
      </c>
      <c r="N1197" s="5">
        <v>1083</v>
      </c>
      <c r="O1197" s="5">
        <v>39</v>
      </c>
      <c r="P1197" s="4" t="s">
        <v>114</v>
      </c>
      <c r="Q1197" s="8" t="s">
        <v>2963</v>
      </c>
      <c r="R1197" s="4" t="s">
        <v>1499</v>
      </c>
      <c r="S1197" s="4"/>
      <c r="T1197"/>
      <c r="U1197" s="23"/>
    </row>
    <row r="1198" spans="1:21" ht="15.6" x14ac:dyDescent="0.3">
      <c r="A1198" s="4">
        <v>1197</v>
      </c>
      <c r="B1198" s="5">
        <v>4475632</v>
      </c>
      <c r="C1198" s="4" t="s">
        <v>92</v>
      </c>
      <c r="D1198" s="4" t="s">
        <v>31</v>
      </c>
      <c r="E1198" s="4" t="s">
        <v>76</v>
      </c>
      <c r="F1198" s="4" t="s">
        <v>2952</v>
      </c>
      <c r="G1198" s="6">
        <v>4.8</v>
      </c>
      <c r="H1198" s="7">
        <v>45416.20244212963</v>
      </c>
      <c r="I1198" s="7" t="str">
        <f>TEXT(multilingual_mobile_app_reviews_2025[[#This Row],[Review_date]],"dd-mm-yyyy")</f>
        <v>04-05-2024</v>
      </c>
      <c r="J1198" s="7" t="str">
        <f>TEXT(multilingual_mobile_app_reviews_2025[[#This Row],[Review_date]],"YYYY")</f>
        <v>2024</v>
      </c>
      <c r="K1198" s="7" t="str">
        <f>TEXT(multilingual_mobile_app_reviews_2025[[#This Row],[Review_date]],"MMMM")</f>
        <v>May</v>
      </c>
      <c r="L1198" s="4" t="b">
        <v>0</v>
      </c>
      <c r="M1198" s="4" t="s">
        <v>33</v>
      </c>
      <c r="N1198" s="5">
        <v>263</v>
      </c>
      <c r="O1198" s="5">
        <v>13</v>
      </c>
      <c r="P1198" s="4" t="s">
        <v>11</v>
      </c>
      <c r="Q1198" s="8" t="s">
        <v>29</v>
      </c>
      <c r="R1198" s="4" t="s">
        <v>1500</v>
      </c>
      <c r="S1198" s="4"/>
      <c r="T1198"/>
      <c r="U1198" s="23"/>
    </row>
    <row r="1199" spans="1:21" ht="15.6" x14ac:dyDescent="0.3">
      <c r="A1199" s="4">
        <v>1198</v>
      </c>
      <c r="B1199" s="5">
        <v>2760958</v>
      </c>
      <c r="C1199" s="4" t="s">
        <v>89</v>
      </c>
      <c r="D1199" s="4" t="s">
        <v>79</v>
      </c>
      <c r="E1199" s="4" t="s">
        <v>93</v>
      </c>
      <c r="F1199" s="4" t="s">
        <v>2961</v>
      </c>
      <c r="G1199" s="6">
        <v>3.2</v>
      </c>
      <c r="H1199" s="7">
        <v>45274.58326388889</v>
      </c>
      <c r="I1199" s="7" t="str">
        <f>TEXT(multilingual_mobile_app_reviews_2025[[#This Row],[Review_date]],"dd-mm-yyyy")</f>
        <v>14-12-2023</v>
      </c>
      <c r="J1199" s="7" t="str">
        <f>TEXT(multilingual_mobile_app_reviews_2025[[#This Row],[Review_date]],"YYYY")</f>
        <v>2023</v>
      </c>
      <c r="K1199" s="7" t="str">
        <f>TEXT(multilingual_mobile_app_reviews_2025[[#This Row],[Review_date]],"MMMM")</f>
        <v>December</v>
      </c>
      <c r="L1199" s="4" t="b">
        <v>1</v>
      </c>
      <c r="M1199" s="4" t="s">
        <v>22</v>
      </c>
      <c r="N1199" s="5">
        <v>656</v>
      </c>
      <c r="O1199" s="5">
        <v>61</v>
      </c>
      <c r="P1199" s="4" t="s">
        <v>34</v>
      </c>
      <c r="Q1199" s="8" t="s">
        <v>29</v>
      </c>
      <c r="R1199" s="4" t="s">
        <v>1501</v>
      </c>
      <c r="S1199" s="4"/>
      <c r="T1199"/>
      <c r="U1199" s="23"/>
    </row>
    <row r="1200" spans="1:21" ht="15.6" x14ac:dyDescent="0.3">
      <c r="A1200" s="4">
        <v>1199</v>
      </c>
      <c r="B1200" s="5">
        <v>636367</v>
      </c>
      <c r="C1200" s="4" t="s">
        <v>92</v>
      </c>
      <c r="D1200" s="4" t="s">
        <v>79</v>
      </c>
      <c r="E1200" s="4" t="s">
        <v>64</v>
      </c>
      <c r="F1200" s="4" t="s">
        <v>2952</v>
      </c>
      <c r="G1200" s="6">
        <v>1.2</v>
      </c>
      <c r="H1200" s="7">
        <v>45765.550428240742</v>
      </c>
      <c r="I1200" s="7" t="str">
        <f>TEXT(multilingual_mobile_app_reviews_2025[[#This Row],[Review_date]],"dd-mm-yyyy")</f>
        <v>18-04-2025</v>
      </c>
      <c r="J1200" s="7" t="str">
        <f>TEXT(multilingual_mobile_app_reviews_2025[[#This Row],[Review_date]],"YYYY")</f>
        <v>2025</v>
      </c>
      <c r="K1200" s="7" t="str">
        <f>TEXT(multilingual_mobile_app_reviews_2025[[#This Row],[Review_date]],"MMMM")</f>
        <v>April</v>
      </c>
      <c r="L1200" s="4" t="b">
        <v>1</v>
      </c>
      <c r="M1200" s="4" t="s">
        <v>10</v>
      </c>
      <c r="N1200" s="5">
        <v>1245</v>
      </c>
      <c r="O1200" s="5">
        <v>65</v>
      </c>
      <c r="P1200" s="4" t="s">
        <v>17</v>
      </c>
      <c r="Q1200" s="8" t="s">
        <v>12</v>
      </c>
      <c r="R1200" s="4" t="s">
        <v>1502</v>
      </c>
      <c r="S1200" s="4"/>
      <c r="T1200"/>
      <c r="U1200" s="23"/>
    </row>
    <row r="1201" spans="1:21" ht="15.6" x14ac:dyDescent="0.3">
      <c r="A1201" s="4">
        <v>1200</v>
      </c>
      <c r="B1201" s="5">
        <v>5766248</v>
      </c>
      <c r="C1201" s="4" t="s">
        <v>199</v>
      </c>
      <c r="D1201" s="4" t="s">
        <v>31</v>
      </c>
      <c r="E1201" s="4" t="s">
        <v>109</v>
      </c>
      <c r="F1201" s="4" t="s">
        <v>2956</v>
      </c>
      <c r="G1201" s="6">
        <v>4.9000000000000004</v>
      </c>
      <c r="H1201" s="7">
        <v>45473.351076388892</v>
      </c>
      <c r="I1201" s="7" t="str">
        <f>TEXT(multilingual_mobile_app_reviews_2025[[#This Row],[Review_date]],"dd-mm-yyyy")</f>
        <v>30-06-2024</v>
      </c>
      <c r="J1201" s="7" t="str">
        <f>TEXT(multilingual_mobile_app_reviews_2025[[#This Row],[Review_date]],"YYYY")</f>
        <v>2024</v>
      </c>
      <c r="K1201" s="7" t="str">
        <f>TEXT(multilingual_mobile_app_reviews_2025[[#This Row],[Review_date]],"MMMM")</f>
        <v>June</v>
      </c>
      <c r="L1201" s="4" t="b">
        <v>1</v>
      </c>
      <c r="M1201" s="4" t="s">
        <v>3</v>
      </c>
      <c r="N1201" s="5">
        <v>816</v>
      </c>
      <c r="O1201" s="5">
        <v>22</v>
      </c>
      <c r="P1201" s="4" t="s">
        <v>144</v>
      </c>
      <c r="Q1201" s="8" t="s">
        <v>12</v>
      </c>
      <c r="R1201" s="4" t="s">
        <v>1503</v>
      </c>
      <c r="S1201" s="4"/>
      <c r="T1201"/>
      <c r="U1201" s="23"/>
    </row>
    <row r="1202" spans="1:21" ht="15.6" x14ac:dyDescent="0.3">
      <c r="A1202" s="4">
        <v>1201</v>
      </c>
      <c r="B1202" s="5">
        <v>3903231</v>
      </c>
      <c r="C1202" s="4" t="s">
        <v>96</v>
      </c>
      <c r="D1202" s="4" t="s">
        <v>20</v>
      </c>
      <c r="E1202" s="4" t="s">
        <v>93</v>
      </c>
      <c r="F1202" s="4" t="s">
        <v>2947</v>
      </c>
      <c r="G1202" s="6">
        <v>2.2999999999999998</v>
      </c>
      <c r="H1202" s="7">
        <v>45232.619432870371</v>
      </c>
      <c r="I1202" s="7" t="str">
        <f>TEXT(multilingual_mobile_app_reviews_2025[[#This Row],[Review_date]],"dd-mm-yyyy")</f>
        <v>02-11-2023</v>
      </c>
      <c r="J1202" s="7" t="str">
        <f>TEXT(multilingual_mobile_app_reviews_2025[[#This Row],[Review_date]],"YYYY")</f>
        <v>2023</v>
      </c>
      <c r="K1202" s="7" t="str">
        <f>TEXT(multilingual_mobile_app_reviews_2025[[#This Row],[Review_date]],"MMMM")</f>
        <v>November</v>
      </c>
      <c r="L1202" s="4" t="b">
        <v>1</v>
      </c>
      <c r="M1202" s="4" t="s">
        <v>33</v>
      </c>
      <c r="N1202" s="5">
        <v>962</v>
      </c>
      <c r="O1202" s="5">
        <v>21</v>
      </c>
      <c r="P1202" s="4" t="s">
        <v>23</v>
      </c>
      <c r="Q1202" s="8" t="s">
        <v>2963</v>
      </c>
      <c r="R1202" s="4" t="s">
        <v>794</v>
      </c>
      <c r="S1202" s="4"/>
      <c r="T1202"/>
      <c r="U1202" s="23"/>
    </row>
    <row r="1203" spans="1:21" ht="15.6" x14ac:dyDescent="0.3">
      <c r="A1203" s="4">
        <v>1202</v>
      </c>
      <c r="B1203" s="5">
        <v>3859700</v>
      </c>
      <c r="C1203" s="4" t="s">
        <v>174</v>
      </c>
      <c r="D1203" s="4" t="s">
        <v>71</v>
      </c>
      <c r="E1203" s="4" t="s">
        <v>27</v>
      </c>
      <c r="F1203" s="4" t="s">
        <v>2954</v>
      </c>
      <c r="G1203" s="6">
        <v>4.3</v>
      </c>
      <c r="H1203" s="7">
        <v>45516.649363425924</v>
      </c>
      <c r="I1203" s="7" t="str">
        <f>TEXT(multilingual_mobile_app_reviews_2025[[#This Row],[Review_date]],"dd-mm-yyyy")</f>
        <v>12-08-2024</v>
      </c>
      <c r="J1203" s="7" t="str">
        <f>TEXT(multilingual_mobile_app_reviews_2025[[#This Row],[Review_date]],"YYYY")</f>
        <v>2024</v>
      </c>
      <c r="K1203" s="7" t="str">
        <f>TEXT(multilingual_mobile_app_reviews_2025[[#This Row],[Review_date]],"MMMM")</f>
        <v>August</v>
      </c>
      <c r="L1203" s="4" t="b">
        <v>1</v>
      </c>
      <c r="M1203" s="4" t="s">
        <v>98</v>
      </c>
      <c r="N1203" s="5">
        <v>1167</v>
      </c>
      <c r="O1203" s="5">
        <v>72</v>
      </c>
      <c r="P1203" s="4" t="s">
        <v>99</v>
      </c>
      <c r="Q1203" s="8" t="s">
        <v>29</v>
      </c>
      <c r="R1203" s="4" t="s">
        <v>1504</v>
      </c>
      <c r="S1203" s="4"/>
      <c r="T1203"/>
      <c r="U1203" s="23"/>
    </row>
    <row r="1204" spans="1:21" ht="15.6" x14ac:dyDescent="0.3">
      <c r="A1204" s="4">
        <v>1203</v>
      </c>
      <c r="B1204" s="5">
        <v>5809692</v>
      </c>
      <c r="C1204" s="4" t="s">
        <v>147</v>
      </c>
      <c r="D1204" s="4" t="s">
        <v>15</v>
      </c>
      <c r="E1204" s="4" t="s">
        <v>9</v>
      </c>
      <c r="F1204" s="4" t="s">
        <v>2960</v>
      </c>
      <c r="G1204" s="6">
        <v>3.1</v>
      </c>
      <c r="H1204" s="7">
        <v>45748.517094907409</v>
      </c>
      <c r="I1204" s="7" t="str">
        <f>TEXT(multilingual_mobile_app_reviews_2025[[#This Row],[Review_date]],"dd-mm-yyyy")</f>
        <v>01-04-2025</v>
      </c>
      <c r="J1204" s="7" t="str">
        <f>TEXT(multilingual_mobile_app_reviews_2025[[#This Row],[Review_date]],"YYYY")</f>
        <v>2025</v>
      </c>
      <c r="K1204" s="7" t="str">
        <f>TEXT(multilingual_mobile_app_reviews_2025[[#This Row],[Review_date]],"MMMM")</f>
        <v>April</v>
      </c>
      <c r="L1204" s="4" t="b">
        <v>1</v>
      </c>
      <c r="M1204" s="4" t="s">
        <v>98</v>
      </c>
      <c r="N1204" s="5">
        <v>174</v>
      </c>
      <c r="O1204" s="5">
        <v>43</v>
      </c>
      <c r="P1204" s="4" t="s">
        <v>94</v>
      </c>
      <c r="Q1204" s="8" t="s">
        <v>39</v>
      </c>
      <c r="R1204" s="4" t="s">
        <v>1505</v>
      </c>
      <c r="S1204" s="4"/>
      <c r="T1204"/>
      <c r="U1204" s="23"/>
    </row>
    <row r="1205" spans="1:21" ht="15.6" x14ac:dyDescent="0.3">
      <c r="A1205" s="4">
        <v>1204</v>
      </c>
      <c r="B1205" s="5">
        <v>883099</v>
      </c>
      <c r="C1205" s="4" t="s">
        <v>41</v>
      </c>
      <c r="D1205" s="4" t="s">
        <v>157</v>
      </c>
      <c r="E1205" s="4" t="s">
        <v>1506</v>
      </c>
      <c r="F1205" s="4" t="s">
        <v>2953</v>
      </c>
      <c r="G1205" s="6">
        <v>4.2</v>
      </c>
      <c r="H1205" s="7">
        <v>45805.607476851852</v>
      </c>
      <c r="I1205" s="7" t="str">
        <f>TEXT(multilingual_mobile_app_reviews_2025[[#This Row],[Review_date]],"dd-mm-yyyy")</f>
        <v>28-05-2025</v>
      </c>
      <c r="J1205" s="7" t="str">
        <f>TEXT(multilingual_mobile_app_reviews_2025[[#This Row],[Review_date]],"YYYY")</f>
        <v>2025</v>
      </c>
      <c r="K1205" s="7" t="str">
        <f>TEXT(multilingual_mobile_app_reviews_2025[[#This Row],[Review_date]],"MMMM")</f>
        <v>May</v>
      </c>
      <c r="L1205" s="4" t="b">
        <v>1</v>
      </c>
      <c r="M1205" s="4" t="s">
        <v>10</v>
      </c>
      <c r="N1205" s="5">
        <v>1005</v>
      </c>
      <c r="O1205" s="5">
        <v>29</v>
      </c>
      <c r="P1205" s="4" t="s">
        <v>80</v>
      </c>
      <c r="Q1205" s="8" t="s">
        <v>5</v>
      </c>
      <c r="R1205" s="4" t="s">
        <v>1507</v>
      </c>
      <c r="S1205" s="4"/>
      <c r="T1205"/>
      <c r="U1205" s="23"/>
    </row>
    <row r="1206" spans="1:21" ht="15.6" x14ac:dyDescent="0.3">
      <c r="A1206" s="4">
        <v>1205</v>
      </c>
      <c r="B1206" s="5">
        <v>9536728</v>
      </c>
      <c r="C1206" s="4" t="s">
        <v>159</v>
      </c>
      <c r="D1206" s="4" t="s">
        <v>1</v>
      </c>
      <c r="E1206" s="4" t="s">
        <v>76</v>
      </c>
      <c r="F1206" s="4" t="s">
        <v>2941</v>
      </c>
      <c r="G1206" s="6">
        <v>3</v>
      </c>
      <c r="H1206" s="7">
        <v>45171.476898148147</v>
      </c>
      <c r="I1206" s="7" t="str">
        <f>TEXT(multilingual_mobile_app_reviews_2025[[#This Row],[Review_date]],"dd-mm-yyyy")</f>
        <v>02-09-2023</v>
      </c>
      <c r="J1206" s="7" t="str">
        <f>TEXT(multilingual_mobile_app_reviews_2025[[#This Row],[Review_date]],"YYYY")</f>
        <v>2023</v>
      </c>
      <c r="K1206" s="7" t="str">
        <f>TEXT(multilingual_mobile_app_reviews_2025[[#This Row],[Review_date]],"MMMM")</f>
        <v>September</v>
      </c>
      <c r="L1206" s="4" t="b">
        <v>1</v>
      </c>
      <c r="M1206" s="4" t="s">
        <v>10</v>
      </c>
      <c r="N1206" s="5">
        <v>127</v>
      </c>
      <c r="O1206" s="5">
        <v>27</v>
      </c>
      <c r="P1206" s="4" t="s">
        <v>90</v>
      </c>
      <c r="Q1206" s="8" t="s">
        <v>12</v>
      </c>
      <c r="R1206" s="4" t="s">
        <v>1508</v>
      </c>
      <c r="S1206" s="4"/>
      <c r="T1206"/>
      <c r="U1206" s="23"/>
    </row>
    <row r="1207" spans="1:21" ht="15.6" x14ac:dyDescent="0.3">
      <c r="A1207" s="4">
        <v>1206</v>
      </c>
      <c r="B1207" s="5">
        <v>1868504</v>
      </c>
      <c r="C1207" s="4" t="s">
        <v>147</v>
      </c>
      <c r="D1207" s="4" t="s">
        <v>20</v>
      </c>
      <c r="E1207" s="4" t="s">
        <v>109</v>
      </c>
      <c r="F1207" s="4" t="s">
        <v>2959</v>
      </c>
      <c r="G1207" s="6">
        <v>2.2000000000000002</v>
      </c>
      <c r="H1207" s="7">
        <v>45268.626967592594</v>
      </c>
      <c r="I1207" s="7" t="str">
        <f>TEXT(multilingual_mobile_app_reviews_2025[[#This Row],[Review_date]],"dd-mm-yyyy")</f>
        <v>08-12-2023</v>
      </c>
      <c r="J1207" s="7" t="str">
        <f>TEXT(multilingual_mobile_app_reviews_2025[[#This Row],[Review_date]],"YYYY")</f>
        <v>2023</v>
      </c>
      <c r="K1207" s="7" t="str">
        <f>TEXT(multilingual_mobile_app_reviews_2025[[#This Row],[Review_date]],"MMMM")</f>
        <v>December</v>
      </c>
      <c r="L1207" s="4" t="b">
        <v>0</v>
      </c>
      <c r="M1207" s="4" t="s">
        <v>22</v>
      </c>
      <c r="N1207" s="5">
        <v>601</v>
      </c>
      <c r="O1207" s="5">
        <v>67</v>
      </c>
      <c r="P1207" s="4" t="s">
        <v>114</v>
      </c>
      <c r="Q1207" s="8" t="s">
        <v>39</v>
      </c>
      <c r="R1207" s="4" t="s">
        <v>517</v>
      </c>
      <c r="S1207" s="4"/>
      <c r="T1207"/>
      <c r="U1207" s="23"/>
    </row>
    <row r="1208" spans="1:21" ht="15.6" x14ac:dyDescent="0.3">
      <c r="A1208" s="4">
        <v>1207</v>
      </c>
      <c r="B1208" s="5">
        <v>2080707</v>
      </c>
      <c r="C1208" s="4" t="s">
        <v>132</v>
      </c>
      <c r="D1208" s="4" t="s">
        <v>57</v>
      </c>
      <c r="E1208" s="4" t="s">
        <v>16</v>
      </c>
      <c r="F1208" s="4" t="s">
        <v>2939</v>
      </c>
      <c r="G1208" s="6">
        <v>3.8</v>
      </c>
      <c r="H1208" s="7">
        <v>45815.30259259259</v>
      </c>
      <c r="I1208" s="7" t="str">
        <f>TEXT(multilingual_mobile_app_reviews_2025[[#This Row],[Review_date]],"dd-mm-yyyy")</f>
        <v>07-06-2025</v>
      </c>
      <c r="J1208" s="7" t="str">
        <f>TEXT(multilingual_mobile_app_reviews_2025[[#This Row],[Review_date]],"YYYY")</f>
        <v>2025</v>
      </c>
      <c r="K1208" s="7" t="str">
        <f>TEXT(multilingual_mobile_app_reviews_2025[[#This Row],[Review_date]],"MMMM")</f>
        <v>June</v>
      </c>
      <c r="L1208" s="4" t="b">
        <v>1</v>
      </c>
      <c r="M1208" s="4" t="s">
        <v>3</v>
      </c>
      <c r="N1208" s="5">
        <v>846</v>
      </c>
      <c r="O1208" s="5">
        <v>33</v>
      </c>
      <c r="P1208" s="4" t="s">
        <v>4</v>
      </c>
      <c r="Q1208" s="8" t="s">
        <v>2963</v>
      </c>
      <c r="R1208" s="4" t="s">
        <v>1509</v>
      </c>
      <c r="S1208" s="4"/>
      <c r="T1208"/>
      <c r="U1208" s="23"/>
    </row>
    <row r="1209" spans="1:21" ht="15.6" x14ac:dyDescent="0.3">
      <c r="A1209" s="4">
        <v>1208</v>
      </c>
      <c r="B1209" s="5">
        <v>6167286</v>
      </c>
      <c r="C1209" s="4" t="s">
        <v>84</v>
      </c>
      <c r="D1209" s="4" t="s">
        <v>20</v>
      </c>
      <c r="E1209" s="4" t="s">
        <v>16</v>
      </c>
      <c r="F1209" s="4" t="s">
        <v>2944</v>
      </c>
      <c r="G1209" s="6">
        <v>2.4</v>
      </c>
      <c r="H1209" s="7">
        <v>45260.849050925928</v>
      </c>
      <c r="I1209" s="7" t="str">
        <f>TEXT(multilingual_mobile_app_reviews_2025[[#This Row],[Review_date]],"dd-mm-yyyy")</f>
        <v>30-11-2023</v>
      </c>
      <c r="J1209" s="7" t="str">
        <f>TEXT(multilingual_mobile_app_reviews_2025[[#This Row],[Review_date]],"YYYY")</f>
        <v>2023</v>
      </c>
      <c r="K1209" s="7" t="str">
        <f>TEXT(multilingual_mobile_app_reviews_2025[[#This Row],[Review_date]],"MMMM")</f>
        <v>November</v>
      </c>
      <c r="L1209" s="4" t="b">
        <v>0</v>
      </c>
      <c r="M1209" s="4" t="s">
        <v>22</v>
      </c>
      <c r="N1209" s="5">
        <v>523</v>
      </c>
      <c r="O1209" s="5">
        <v>15</v>
      </c>
      <c r="P1209" s="4" t="s">
        <v>2963</v>
      </c>
      <c r="Q1209" s="8" t="s">
        <v>12</v>
      </c>
      <c r="R1209" s="4" t="s">
        <v>1510</v>
      </c>
      <c r="S1209" s="4"/>
      <c r="T1209"/>
      <c r="U1209" s="23"/>
    </row>
    <row r="1210" spans="1:21" ht="15.6" x14ac:dyDescent="0.3">
      <c r="A1210" s="4">
        <v>1209</v>
      </c>
      <c r="B1210" s="5">
        <v>5001010</v>
      </c>
      <c r="C1210" s="4" t="s">
        <v>134</v>
      </c>
      <c r="D1210" s="4" t="s">
        <v>26</v>
      </c>
      <c r="E1210" s="4" t="s">
        <v>9</v>
      </c>
      <c r="F1210" s="4" t="s">
        <v>2953</v>
      </c>
      <c r="G1210" s="6">
        <v>3</v>
      </c>
      <c r="H1210" s="7">
        <v>45688.925011574072</v>
      </c>
      <c r="I1210" s="7" t="str">
        <f>TEXT(multilingual_mobile_app_reviews_2025[[#This Row],[Review_date]],"dd-mm-yyyy")</f>
        <v>31-01-2025</v>
      </c>
      <c r="J1210" s="7" t="str">
        <f>TEXT(multilingual_mobile_app_reviews_2025[[#This Row],[Review_date]],"YYYY")</f>
        <v>2025</v>
      </c>
      <c r="K1210" s="7" t="str">
        <f>TEXT(multilingual_mobile_app_reviews_2025[[#This Row],[Review_date]],"MMMM")</f>
        <v>January</v>
      </c>
      <c r="L1210" s="4" t="b">
        <v>1</v>
      </c>
      <c r="M1210" s="4" t="s">
        <v>98</v>
      </c>
      <c r="N1210" s="5">
        <v>815</v>
      </c>
      <c r="O1210" s="5">
        <v>16</v>
      </c>
      <c r="P1210" s="4" t="s">
        <v>38</v>
      </c>
      <c r="Q1210" s="8" t="s">
        <v>29</v>
      </c>
      <c r="R1210" s="4" t="s">
        <v>1511</v>
      </c>
      <c r="S1210" s="4"/>
      <c r="T1210"/>
      <c r="U1210" s="23"/>
    </row>
    <row r="1211" spans="1:21" ht="15.6" x14ac:dyDescent="0.3">
      <c r="A1211" s="4">
        <v>1210</v>
      </c>
      <c r="B1211" s="5">
        <v>8587536</v>
      </c>
      <c r="C1211" s="4" t="s">
        <v>244</v>
      </c>
      <c r="D1211" s="4" t="s">
        <v>71</v>
      </c>
      <c r="E1211" s="4" t="s">
        <v>2938</v>
      </c>
      <c r="F1211" s="4" t="s">
        <v>2955</v>
      </c>
      <c r="G1211" s="6">
        <v>4.7</v>
      </c>
      <c r="H1211" s="7">
        <v>45461.800717592596</v>
      </c>
      <c r="I1211" s="7" t="str">
        <f>TEXT(multilingual_mobile_app_reviews_2025[[#This Row],[Review_date]],"dd-mm-yyyy")</f>
        <v>18-06-2024</v>
      </c>
      <c r="J1211" s="7" t="str">
        <f>TEXT(multilingual_mobile_app_reviews_2025[[#This Row],[Review_date]],"YYYY")</f>
        <v>2024</v>
      </c>
      <c r="K1211" s="7" t="str">
        <f>TEXT(multilingual_mobile_app_reviews_2025[[#This Row],[Review_date]],"MMMM")</f>
        <v>June</v>
      </c>
      <c r="L1211" s="4" t="b">
        <v>0</v>
      </c>
      <c r="M1211" s="4" t="s">
        <v>33</v>
      </c>
      <c r="N1211" s="5">
        <v>306</v>
      </c>
      <c r="O1211" s="5">
        <v>24</v>
      </c>
      <c r="P1211" s="4" t="s">
        <v>4</v>
      </c>
      <c r="Q1211" s="8" t="s">
        <v>2963</v>
      </c>
      <c r="R1211" s="4" t="s">
        <v>1512</v>
      </c>
      <c r="S1211" s="4"/>
      <c r="T1211"/>
      <c r="U1211" s="23"/>
    </row>
    <row r="1212" spans="1:21" ht="15.6" x14ac:dyDescent="0.3">
      <c r="A1212" s="4">
        <v>1211</v>
      </c>
      <c r="B1212" s="5">
        <v>210521</v>
      </c>
      <c r="C1212" s="4" t="s">
        <v>78</v>
      </c>
      <c r="D1212" s="4" t="s">
        <v>8</v>
      </c>
      <c r="E1212" s="4" t="s">
        <v>21</v>
      </c>
      <c r="F1212" s="4" t="s">
        <v>2956</v>
      </c>
      <c r="G1212" s="6">
        <v>4.9000000000000004</v>
      </c>
      <c r="H1212" s="7">
        <v>45329.420891203707</v>
      </c>
      <c r="I1212" s="7" t="str">
        <f>TEXT(multilingual_mobile_app_reviews_2025[[#This Row],[Review_date]],"dd-mm-yyyy")</f>
        <v>07-02-2024</v>
      </c>
      <c r="J1212" s="7" t="str">
        <f>TEXT(multilingual_mobile_app_reviews_2025[[#This Row],[Review_date]],"YYYY")</f>
        <v>2024</v>
      </c>
      <c r="K1212" s="7" t="str">
        <f>TEXT(multilingual_mobile_app_reviews_2025[[#This Row],[Review_date]],"MMMM")</f>
        <v>February</v>
      </c>
      <c r="L1212" s="4" t="b">
        <v>1</v>
      </c>
      <c r="M1212" s="4" t="s">
        <v>98</v>
      </c>
      <c r="N1212" s="5">
        <v>910</v>
      </c>
      <c r="O1212" s="5">
        <v>47</v>
      </c>
      <c r="P1212" s="4" t="s">
        <v>34</v>
      </c>
      <c r="Q1212" s="8" t="s">
        <v>12</v>
      </c>
      <c r="R1212" s="4" t="s">
        <v>1513</v>
      </c>
      <c r="S1212" s="4"/>
      <c r="T1212"/>
      <c r="U1212" s="23"/>
    </row>
    <row r="1213" spans="1:21" ht="15.6" x14ac:dyDescent="0.3">
      <c r="A1213" s="4">
        <v>1212</v>
      </c>
      <c r="B1213" s="5">
        <v>5826400</v>
      </c>
      <c r="C1213" s="4" t="s">
        <v>101</v>
      </c>
      <c r="D1213" s="4" t="s">
        <v>71</v>
      </c>
      <c r="E1213" s="4" t="s">
        <v>1514</v>
      </c>
      <c r="F1213" s="4" t="s">
        <v>2954</v>
      </c>
      <c r="G1213" s="6">
        <v>3.9</v>
      </c>
      <c r="H1213" s="7">
        <v>45655.395358796297</v>
      </c>
      <c r="I1213" s="7" t="str">
        <f>TEXT(multilingual_mobile_app_reviews_2025[[#This Row],[Review_date]],"dd-mm-yyyy")</f>
        <v>29-12-2024</v>
      </c>
      <c r="J1213" s="7" t="str">
        <f>TEXT(multilingual_mobile_app_reviews_2025[[#This Row],[Review_date]],"YYYY")</f>
        <v>2024</v>
      </c>
      <c r="K1213" s="7" t="str">
        <f>TEXT(multilingual_mobile_app_reviews_2025[[#This Row],[Review_date]],"MMMM")</f>
        <v>December</v>
      </c>
      <c r="L1213" s="4" t="b">
        <v>1</v>
      </c>
      <c r="M1213" s="4" t="s">
        <v>22</v>
      </c>
      <c r="N1213" s="5">
        <v>409</v>
      </c>
      <c r="O1213" s="5">
        <v>16</v>
      </c>
      <c r="P1213" s="4" t="s">
        <v>127</v>
      </c>
      <c r="Q1213" s="8" t="s">
        <v>2963</v>
      </c>
      <c r="R1213" s="4" t="s">
        <v>153</v>
      </c>
      <c r="S1213" s="4"/>
      <c r="T1213"/>
      <c r="U1213" s="23"/>
    </row>
    <row r="1214" spans="1:21" ht="15.6" x14ac:dyDescent="0.3">
      <c r="A1214" s="4">
        <v>1213</v>
      </c>
      <c r="B1214" s="5">
        <v>2643614</v>
      </c>
      <c r="C1214" s="4" t="s">
        <v>75</v>
      </c>
      <c r="D1214" s="4" t="s">
        <v>157</v>
      </c>
      <c r="E1214" s="4" t="s">
        <v>109</v>
      </c>
      <c r="F1214" s="4" t="s">
        <v>2955</v>
      </c>
      <c r="G1214" s="6">
        <v>1.7</v>
      </c>
      <c r="H1214" s="7">
        <v>45723.910868055558</v>
      </c>
      <c r="I1214" s="7" t="str">
        <f>TEXT(multilingual_mobile_app_reviews_2025[[#This Row],[Review_date]],"dd-mm-yyyy")</f>
        <v>07-03-2025</v>
      </c>
      <c r="J1214" s="7" t="str">
        <f>TEXT(multilingual_mobile_app_reviews_2025[[#This Row],[Review_date]],"YYYY")</f>
        <v>2025</v>
      </c>
      <c r="K1214" s="7" t="str">
        <f>TEXT(multilingual_mobile_app_reviews_2025[[#This Row],[Review_date]],"MMMM")</f>
        <v>March</v>
      </c>
      <c r="L1214" s="4" t="b">
        <v>0</v>
      </c>
      <c r="M1214" s="4" t="s">
        <v>98</v>
      </c>
      <c r="N1214" s="5">
        <v>1227</v>
      </c>
      <c r="O1214" s="5">
        <v>57</v>
      </c>
      <c r="P1214" s="4" t="s">
        <v>144</v>
      </c>
      <c r="Q1214" s="8" t="s">
        <v>12</v>
      </c>
      <c r="R1214" s="4" t="s">
        <v>1515</v>
      </c>
      <c r="S1214" s="4"/>
      <c r="T1214"/>
      <c r="U1214" s="23"/>
    </row>
    <row r="1215" spans="1:21" ht="15.6" x14ac:dyDescent="0.3">
      <c r="A1215" s="4">
        <v>1214</v>
      </c>
      <c r="B1215" s="5">
        <v>8986057</v>
      </c>
      <c r="C1215" s="4" t="s">
        <v>154</v>
      </c>
      <c r="D1215" s="4" t="s">
        <v>20</v>
      </c>
      <c r="E1215" s="4" t="s">
        <v>16</v>
      </c>
      <c r="F1215" s="4" t="s">
        <v>2954</v>
      </c>
      <c r="G1215" s="6">
        <v>3.1</v>
      </c>
      <c r="H1215" s="7">
        <v>45466.43959490741</v>
      </c>
      <c r="I1215" s="7" t="str">
        <f>TEXT(multilingual_mobile_app_reviews_2025[[#This Row],[Review_date]],"dd-mm-yyyy")</f>
        <v>23-06-2024</v>
      </c>
      <c r="J1215" s="7" t="str">
        <f>TEXT(multilingual_mobile_app_reviews_2025[[#This Row],[Review_date]],"YYYY")</f>
        <v>2024</v>
      </c>
      <c r="K1215" s="7" t="str">
        <f>TEXT(multilingual_mobile_app_reviews_2025[[#This Row],[Review_date]],"MMMM")</f>
        <v>June</v>
      </c>
      <c r="L1215" s="4" t="b">
        <v>1</v>
      </c>
      <c r="M1215" s="4" t="s">
        <v>33</v>
      </c>
      <c r="N1215" s="5">
        <v>693</v>
      </c>
      <c r="O1215" s="5">
        <v>48</v>
      </c>
      <c r="P1215" s="4" t="s">
        <v>23</v>
      </c>
      <c r="Q1215" s="8" t="s">
        <v>39</v>
      </c>
      <c r="R1215" s="4" t="s">
        <v>1516</v>
      </c>
      <c r="S1215" s="4"/>
      <c r="T1215"/>
      <c r="U1215" s="23"/>
    </row>
    <row r="1216" spans="1:21" ht="15.6" x14ac:dyDescent="0.3">
      <c r="A1216" s="4">
        <v>1215</v>
      </c>
      <c r="B1216" s="5">
        <v>2415160</v>
      </c>
      <c r="C1216" s="4" t="s">
        <v>159</v>
      </c>
      <c r="D1216" s="4" t="s">
        <v>63</v>
      </c>
      <c r="E1216" s="4" t="s">
        <v>27</v>
      </c>
      <c r="F1216" s="4" t="s">
        <v>2955</v>
      </c>
      <c r="G1216" s="6">
        <v>4.5999999999999996</v>
      </c>
      <c r="H1216" s="7">
        <v>45761.630416666667</v>
      </c>
      <c r="I1216" s="7" t="str">
        <f>TEXT(multilingual_mobile_app_reviews_2025[[#This Row],[Review_date]],"dd-mm-yyyy")</f>
        <v>14-04-2025</v>
      </c>
      <c r="J1216" s="7" t="str">
        <f>TEXT(multilingual_mobile_app_reviews_2025[[#This Row],[Review_date]],"YYYY")</f>
        <v>2025</v>
      </c>
      <c r="K1216" s="7" t="str">
        <f>TEXT(multilingual_mobile_app_reviews_2025[[#This Row],[Review_date]],"MMMM")</f>
        <v>April</v>
      </c>
      <c r="L1216" s="4" t="b">
        <v>1</v>
      </c>
      <c r="M1216" s="4" t="s">
        <v>98</v>
      </c>
      <c r="N1216" s="5">
        <v>974</v>
      </c>
      <c r="O1216" s="5">
        <v>43</v>
      </c>
      <c r="P1216" s="4" t="s">
        <v>230</v>
      </c>
      <c r="Q1216" s="8" t="s">
        <v>39</v>
      </c>
      <c r="R1216" s="4" t="s">
        <v>730</v>
      </c>
      <c r="S1216" s="4"/>
      <c r="T1216"/>
      <c r="U1216" s="23"/>
    </row>
    <row r="1217" spans="1:21" ht="15.6" x14ac:dyDescent="0.3">
      <c r="A1217" s="4">
        <v>1216</v>
      </c>
      <c r="B1217" s="5">
        <v>7035859</v>
      </c>
      <c r="C1217" s="4" t="s">
        <v>56</v>
      </c>
      <c r="D1217" s="4" t="s">
        <v>31</v>
      </c>
      <c r="E1217" s="4" t="s">
        <v>16</v>
      </c>
      <c r="F1217" s="4" t="s">
        <v>2955</v>
      </c>
      <c r="G1217" s="6">
        <v>3.3</v>
      </c>
      <c r="H1217" s="7">
        <v>45851.925532407404</v>
      </c>
      <c r="I1217" s="7" t="str">
        <f>TEXT(multilingual_mobile_app_reviews_2025[[#This Row],[Review_date]],"dd-mm-yyyy")</f>
        <v>13-07-2025</v>
      </c>
      <c r="J1217" s="7" t="str">
        <f>TEXT(multilingual_mobile_app_reviews_2025[[#This Row],[Review_date]],"YYYY")</f>
        <v>2025</v>
      </c>
      <c r="K1217" s="7" t="str">
        <f>TEXT(multilingual_mobile_app_reviews_2025[[#This Row],[Review_date]],"MMMM")</f>
        <v>July</v>
      </c>
      <c r="L1217" s="4" t="b">
        <v>1</v>
      </c>
      <c r="M1217" s="4" t="s">
        <v>22</v>
      </c>
      <c r="N1217" s="5">
        <v>1180</v>
      </c>
      <c r="O1217" s="5">
        <v>30</v>
      </c>
      <c r="P1217" s="4" t="s">
        <v>90</v>
      </c>
      <c r="Q1217" s="8" t="s">
        <v>29</v>
      </c>
      <c r="R1217" s="4" t="s">
        <v>1517</v>
      </c>
      <c r="S1217" s="4"/>
      <c r="T1217"/>
      <c r="U1217" s="23"/>
    </row>
    <row r="1218" spans="1:21" ht="15.6" x14ac:dyDescent="0.3">
      <c r="A1218" s="4">
        <v>1217</v>
      </c>
      <c r="B1218" s="5">
        <v>7796599</v>
      </c>
      <c r="C1218" s="4" t="s">
        <v>25</v>
      </c>
      <c r="D1218" s="4" t="s">
        <v>15</v>
      </c>
      <c r="E1218" s="4" t="s">
        <v>32</v>
      </c>
      <c r="F1218" s="4" t="s">
        <v>2941</v>
      </c>
      <c r="G1218" s="6">
        <v>4</v>
      </c>
      <c r="H1218" s="7">
        <v>45800.949525462966</v>
      </c>
      <c r="I1218" s="7" t="str">
        <f>TEXT(multilingual_mobile_app_reviews_2025[[#This Row],[Review_date]],"dd-mm-yyyy")</f>
        <v>23-05-2025</v>
      </c>
      <c r="J1218" s="7" t="str">
        <f>TEXT(multilingual_mobile_app_reviews_2025[[#This Row],[Review_date]],"YYYY")</f>
        <v>2025</v>
      </c>
      <c r="K1218" s="7" t="str">
        <f>TEXT(multilingual_mobile_app_reviews_2025[[#This Row],[Review_date]],"MMMM")</f>
        <v>May</v>
      </c>
      <c r="L1218" s="4" t="b">
        <v>1</v>
      </c>
      <c r="M1218" s="4" t="s">
        <v>10</v>
      </c>
      <c r="N1218" s="5">
        <v>33</v>
      </c>
      <c r="O1218" s="5">
        <v>21</v>
      </c>
      <c r="P1218" s="4" t="s">
        <v>2963</v>
      </c>
      <c r="Q1218" s="8" t="s">
        <v>29</v>
      </c>
      <c r="R1218" s="4" t="s">
        <v>1518</v>
      </c>
      <c r="S1218" s="4"/>
      <c r="T1218"/>
      <c r="U1218" s="23"/>
    </row>
    <row r="1219" spans="1:21" ht="15.6" x14ac:dyDescent="0.3">
      <c r="A1219" s="4">
        <v>1218</v>
      </c>
      <c r="B1219" s="5">
        <v>6169566</v>
      </c>
      <c r="C1219" s="4" t="s">
        <v>75</v>
      </c>
      <c r="D1219" s="4" t="s">
        <v>26</v>
      </c>
      <c r="E1219" s="4" t="s">
        <v>27</v>
      </c>
      <c r="F1219" s="4" t="s">
        <v>2945</v>
      </c>
      <c r="G1219" s="6">
        <v>4.3</v>
      </c>
      <c r="H1219" s="7">
        <v>45161.995821759258</v>
      </c>
      <c r="I1219" s="7" t="str">
        <f>TEXT(multilingual_mobile_app_reviews_2025[[#This Row],[Review_date]],"dd-mm-yyyy")</f>
        <v>23-08-2023</v>
      </c>
      <c r="J1219" s="7" t="str">
        <f>TEXT(multilingual_mobile_app_reviews_2025[[#This Row],[Review_date]],"YYYY")</f>
        <v>2023</v>
      </c>
      <c r="K1219" s="7" t="str">
        <f>TEXT(multilingual_mobile_app_reviews_2025[[#This Row],[Review_date]],"MMMM")</f>
        <v>August</v>
      </c>
      <c r="L1219" s="4" t="b">
        <v>1</v>
      </c>
      <c r="M1219" s="4" t="s">
        <v>10</v>
      </c>
      <c r="N1219" s="5">
        <v>90</v>
      </c>
      <c r="O1219" s="5">
        <v>21</v>
      </c>
      <c r="P1219" s="4" t="s">
        <v>44</v>
      </c>
      <c r="Q1219" s="8" t="s">
        <v>2963</v>
      </c>
      <c r="R1219" s="4" t="s">
        <v>2963</v>
      </c>
      <c r="S1219" s="4"/>
      <c r="T1219"/>
      <c r="U1219" s="23"/>
    </row>
    <row r="1220" spans="1:21" ht="15.6" x14ac:dyDescent="0.3">
      <c r="A1220" s="4">
        <v>1219</v>
      </c>
      <c r="B1220" s="5">
        <v>2542499</v>
      </c>
      <c r="C1220" s="4" t="s">
        <v>56</v>
      </c>
      <c r="D1220" s="4" t="s">
        <v>1</v>
      </c>
      <c r="E1220" s="4" t="s">
        <v>2938</v>
      </c>
      <c r="F1220" s="4" t="s">
        <v>2940</v>
      </c>
      <c r="G1220" s="6">
        <v>4.2</v>
      </c>
      <c r="H1220" s="7">
        <v>45737.072905092595</v>
      </c>
      <c r="I1220" s="7" t="str">
        <f>TEXT(multilingual_mobile_app_reviews_2025[[#This Row],[Review_date]],"dd-mm-yyyy")</f>
        <v>21-03-2025</v>
      </c>
      <c r="J1220" s="7" t="str">
        <f>TEXT(multilingual_mobile_app_reviews_2025[[#This Row],[Review_date]],"YYYY")</f>
        <v>2025</v>
      </c>
      <c r="K1220" s="7" t="str">
        <f>TEXT(multilingual_mobile_app_reviews_2025[[#This Row],[Review_date]],"MMMM")</f>
        <v>March</v>
      </c>
      <c r="L1220" s="4" t="b">
        <v>1</v>
      </c>
      <c r="M1220" s="4" t="s">
        <v>22</v>
      </c>
      <c r="N1220" s="5">
        <v>59</v>
      </c>
      <c r="O1220" s="5">
        <v>22</v>
      </c>
      <c r="P1220" s="4" t="s">
        <v>162</v>
      </c>
      <c r="Q1220" s="8" t="s">
        <v>5</v>
      </c>
      <c r="R1220" s="4" t="s">
        <v>1519</v>
      </c>
      <c r="S1220" s="4"/>
      <c r="T1220"/>
      <c r="U1220" s="23"/>
    </row>
    <row r="1221" spans="1:21" ht="15.6" x14ac:dyDescent="0.3">
      <c r="A1221" s="4">
        <v>1220</v>
      </c>
      <c r="B1221" s="5">
        <v>8779670</v>
      </c>
      <c r="C1221" s="4" t="s">
        <v>258</v>
      </c>
      <c r="D1221" s="4" t="s">
        <v>57</v>
      </c>
      <c r="E1221" s="4" t="s">
        <v>76</v>
      </c>
      <c r="F1221" s="4" t="s">
        <v>2960</v>
      </c>
      <c r="G1221" s="6">
        <v>1.2</v>
      </c>
      <c r="H1221" s="7">
        <v>45192.923576388886</v>
      </c>
      <c r="I1221" s="7" t="str">
        <f>TEXT(multilingual_mobile_app_reviews_2025[[#This Row],[Review_date]],"dd-mm-yyyy")</f>
        <v>23-09-2023</v>
      </c>
      <c r="J1221" s="7" t="str">
        <f>TEXT(multilingual_mobile_app_reviews_2025[[#This Row],[Review_date]],"YYYY")</f>
        <v>2023</v>
      </c>
      <c r="K1221" s="7" t="str">
        <f>TEXT(multilingual_mobile_app_reviews_2025[[#This Row],[Review_date]],"MMMM")</f>
        <v>September</v>
      </c>
      <c r="L1221" s="4" t="b">
        <v>1</v>
      </c>
      <c r="M1221" s="4" t="s">
        <v>33</v>
      </c>
      <c r="N1221" s="5">
        <v>1092</v>
      </c>
      <c r="O1221" s="5">
        <v>40</v>
      </c>
      <c r="P1221" s="4" t="s">
        <v>23</v>
      </c>
      <c r="Q1221" s="8" t="s">
        <v>5</v>
      </c>
      <c r="R1221" s="4" t="s">
        <v>1520</v>
      </c>
      <c r="S1221" s="4"/>
      <c r="T1221"/>
      <c r="U1221" s="23"/>
    </row>
    <row r="1222" spans="1:21" ht="15.6" x14ac:dyDescent="0.3">
      <c r="A1222" s="4">
        <v>1221</v>
      </c>
      <c r="B1222" s="5">
        <v>5775793</v>
      </c>
      <c r="C1222" s="4" t="s">
        <v>208</v>
      </c>
      <c r="D1222" s="4" t="s">
        <v>111</v>
      </c>
      <c r="E1222" s="4" t="s">
        <v>21</v>
      </c>
      <c r="F1222" s="4" t="s">
        <v>2961</v>
      </c>
      <c r="G1222" s="6">
        <v>3.2</v>
      </c>
      <c r="H1222" s="7">
        <v>45383.394212962965</v>
      </c>
      <c r="I1222" s="7" t="str">
        <f>TEXT(multilingual_mobile_app_reviews_2025[[#This Row],[Review_date]],"dd-mm-yyyy")</f>
        <v>01-04-2024</v>
      </c>
      <c r="J1222" s="7" t="str">
        <f>TEXT(multilingual_mobile_app_reviews_2025[[#This Row],[Review_date]],"YYYY")</f>
        <v>2024</v>
      </c>
      <c r="K1222" s="7" t="str">
        <f>TEXT(multilingual_mobile_app_reviews_2025[[#This Row],[Review_date]],"MMMM")</f>
        <v>April</v>
      </c>
      <c r="L1222" s="4" t="b">
        <v>1</v>
      </c>
      <c r="M1222" s="4" t="s">
        <v>33</v>
      </c>
      <c r="N1222" s="5">
        <v>576</v>
      </c>
      <c r="O1222" s="5">
        <v>57</v>
      </c>
      <c r="P1222" s="4" t="s">
        <v>114</v>
      </c>
      <c r="Q1222" s="8" t="s">
        <v>39</v>
      </c>
      <c r="R1222" s="4" t="s">
        <v>1114</v>
      </c>
      <c r="S1222" s="4"/>
      <c r="T1222"/>
      <c r="U1222" s="23"/>
    </row>
    <row r="1223" spans="1:21" ht="15.6" x14ac:dyDescent="0.3">
      <c r="A1223" s="4">
        <v>1222</v>
      </c>
      <c r="B1223" s="5">
        <v>2856910</v>
      </c>
      <c r="C1223" s="4" t="s">
        <v>46</v>
      </c>
      <c r="D1223" s="4" t="s">
        <v>15</v>
      </c>
      <c r="E1223" s="4" t="s">
        <v>1521</v>
      </c>
      <c r="F1223" s="4" t="s">
        <v>2954</v>
      </c>
      <c r="G1223" s="6">
        <v>2.6</v>
      </c>
      <c r="H1223" s="7">
        <v>45699.323530092595</v>
      </c>
      <c r="I1223" s="7" t="str">
        <f>TEXT(multilingual_mobile_app_reviews_2025[[#This Row],[Review_date]],"dd-mm-yyyy")</f>
        <v>11-02-2025</v>
      </c>
      <c r="J1223" s="7" t="str">
        <f>TEXT(multilingual_mobile_app_reviews_2025[[#This Row],[Review_date]],"YYYY")</f>
        <v>2025</v>
      </c>
      <c r="K1223" s="7" t="str">
        <f>TEXT(multilingual_mobile_app_reviews_2025[[#This Row],[Review_date]],"MMMM")</f>
        <v>February</v>
      </c>
      <c r="L1223" s="4" t="b">
        <v>0</v>
      </c>
      <c r="M1223" s="4" t="s">
        <v>3</v>
      </c>
      <c r="N1223" s="5">
        <v>321</v>
      </c>
      <c r="O1223" s="5">
        <v>68</v>
      </c>
      <c r="P1223" s="4" t="s">
        <v>65</v>
      </c>
      <c r="Q1223" s="8" t="s">
        <v>2963</v>
      </c>
      <c r="R1223" s="4" t="s">
        <v>1522</v>
      </c>
      <c r="S1223" s="4"/>
      <c r="T1223"/>
      <c r="U1223" s="23"/>
    </row>
    <row r="1224" spans="1:21" ht="15.6" x14ac:dyDescent="0.3">
      <c r="A1224" s="4">
        <v>1223</v>
      </c>
      <c r="B1224" s="5">
        <v>5362932</v>
      </c>
      <c r="C1224" s="4" t="s">
        <v>7</v>
      </c>
      <c r="D1224" s="4" t="s">
        <v>15</v>
      </c>
      <c r="E1224" s="4" t="s">
        <v>1523</v>
      </c>
      <c r="F1224" s="4" t="s">
        <v>2945</v>
      </c>
      <c r="G1224" s="6">
        <v>1.1000000000000001</v>
      </c>
      <c r="H1224" s="7">
        <v>45822.29787037037</v>
      </c>
      <c r="I1224" s="7" t="str">
        <f>TEXT(multilingual_mobile_app_reviews_2025[[#This Row],[Review_date]],"dd-mm-yyyy")</f>
        <v>14-06-2025</v>
      </c>
      <c r="J1224" s="7" t="str">
        <f>TEXT(multilingual_mobile_app_reviews_2025[[#This Row],[Review_date]],"YYYY")</f>
        <v>2025</v>
      </c>
      <c r="K1224" s="7" t="str">
        <f>TEXT(multilingual_mobile_app_reviews_2025[[#This Row],[Review_date]],"MMMM")</f>
        <v>June</v>
      </c>
      <c r="L1224" s="4" t="b">
        <v>1</v>
      </c>
      <c r="M1224" s="4" t="s">
        <v>98</v>
      </c>
      <c r="N1224" s="5">
        <v>606</v>
      </c>
      <c r="O1224" s="5">
        <v>41</v>
      </c>
      <c r="P1224" s="4" t="s">
        <v>38</v>
      </c>
      <c r="Q1224" s="8" t="s">
        <v>5</v>
      </c>
      <c r="R1224" s="4" t="s">
        <v>1524</v>
      </c>
      <c r="S1224" s="4"/>
      <c r="T1224"/>
      <c r="U1224" s="23"/>
    </row>
    <row r="1225" spans="1:21" ht="15.6" x14ac:dyDescent="0.3">
      <c r="A1225" s="4">
        <v>1224</v>
      </c>
      <c r="B1225" s="5">
        <v>8832032</v>
      </c>
      <c r="C1225" s="4" t="s">
        <v>264</v>
      </c>
      <c r="D1225" s="4" t="s">
        <v>79</v>
      </c>
      <c r="E1225" s="4" t="s">
        <v>1525</v>
      </c>
      <c r="F1225" s="4" t="s">
        <v>2941</v>
      </c>
      <c r="G1225" s="6">
        <v>2.8</v>
      </c>
      <c r="H1225" s="7">
        <v>45757.614768518521</v>
      </c>
      <c r="I1225" s="7" t="str">
        <f>TEXT(multilingual_mobile_app_reviews_2025[[#This Row],[Review_date]],"dd-mm-yyyy")</f>
        <v>10-04-2025</v>
      </c>
      <c r="J1225" s="7" t="str">
        <f>TEXT(multilingual_mobile_app_reviews_2025[[#This Row],[Review_date]],"YYYY")</f>
        <v>2025</v>
      </c>
      <c r="K1225" s="7" t="str">
        <f>TEXT(multilingual_mobile_app_reviews_2025[[#This Row],[Review_date]],"MMMM")</f>
        <v>April</v>
      </c>
      <c r="L1225" s="4" t="b">
        <v>1</v>
      </c>
      <c r="M1225" s="4" t="s">
        <v>98</v>
      </c>
      <c r="N1225" s="5">
        <v>866</v>
      </c>
      <c r="O1225" s="5">
        <v>44</v>
      </c>
      <c r="P1225" s="4" t="s">
        <v>80</v>
      </c>
      <c r="Q1225" s="8" t="s">
        <v>39</v>
      </c>
      <c r="R1225" s="4" t="s">
        <v>1526</v>
      </c>
      <c r="S1225" s="4"/>
      <c r="T1225"/>
      <c r="U1225" s="23"/>
    </row>
    <row r="1226" spans="1:21" ht="15.6" x14ac:dyDescent="0.3">
      <c r="A1226" s="4">
        <v>1225</v>
      </c>
      <c r="B1226" s="5">
        <v>4440101</v>
      </c>
      <c r="C1226" s="4" t="s">
        <v>87</v>
      </c>
      <c r="D1226" s="4" t="s">
        <v>71</v>
      </c>
      <c r="E1226" s="4" t="s">
        <v>93</v>
      </c>
      <c r="F1226" s="4" t="s">
        <v>2944</v>
      </c>
      <c r="G1226" s="6">
        <v>1.2</v>
      </c>
      <c r="H1226" s="7">
        <v>45326.332418981481</v>
      </c>
      <c r="I1226" s="7" t="str">
        <f>TEXT(multilingual_mobile_app_reviews_2025[[#This Row],[Review_date]],"dd-mm-yyyy")</f>
        <v>04-02-2024</v>
      </c>
      <c r="J1226" s="7" t="str">
        <f>TEXT(multilingual_mobile_app_reviews_2025[[#This Row],[Review_date]],"YYYY")</f>
        <v>2024</v>
      </c>
      <c r="K1226" s="7" t="str">
        <f>TEXT(multilingual_mobile_app_reviews_2025[[#This Row],[Review_date]],"MMMM")</f>
        <v>February</v>
      </c>
      <c r="L1226" s="4" t="b">
        <v>0</v>
      </c>
      <c r="M1226" s="4" t="s">
        <v>3</v>
      </c>
      <c r="N1226" s="5">
        <v>541</v>
      </c>
      <c r="O1226" s="5">
        <v>59</v>
      </c>
      <c r="P1226" s="4" t="s">
        <v>44</v>
      </c>
      <c r="Q1226" s="8" t="s">
        <v>39</v>
      </c>
      <c r="R1226" s="4" t="s">
        <v>1527</v>
      </c>
      <c r="S1226" s="4"/>
      <c r="T1226"/>
      <c r="U1226" s="23"/>
    </row>
    <row r="1227" spans="1:21" ht="15.6" x14ac:dyDescent="0.3">
      <c r="A1227" s="4">
        <v>1226</v>
      </c>
      <c r="B1227" s="5">
        <v>5199302</v>
      </c>
      <c r="C1227" s="4" t="s">
        <v>50</v>
      </c>
      <c r="D1227" s="4" t="s">
        <v>63</v>
      </c>
      <c r="E1227" s="4" t="s">
        <v>1528</v>
      </c>
      <c r="F1227" s="4" t="s">
        <v>2950</v>
      </c>
      <c r="G1227" s="6">
        <v>3.1</v>
      </c>
      <c r="H1227" s="7">
        <v>45626.461724537039</v>
      </c>
      <c r="I1227" s="7" t="str">
        <f>TEXT(multilingual_mobile_app_reviews_2025[[#This Row],[Review_date]],"dd-mm-yyyy")</f>
        <v>30-11-2024</v>
      </c>
      <c r="J1227" s="7" t="str">
        <f>TEXT(multilingual_mobile_app_reviews_2025[[#This Row],[Review_date]],"YYYY")</f>
        <v>2024</v>
      </c>
      <c r="K1227" s="7" t="str">
        <f>TEXT(multilingual_mobile_app_reviews_2025[[#This Row],[Review_date]],"MMMM")</f>
        <v>November</v>
      </c>
      <c r="L1227" s="4" t="b">
        <v>0</v>
      </c>
      <c r="M1227" s="4" t="s">
        <v>3</v>
      </c>
      <c r="N1227" s="5">
        <v>615</v>
      </c>
      <c r="O1227" s="5">
        <v>67</v>
      </c>
      <c r="P1227" s="4" t="s">
        <v>61</v>
      </c>
      <c r="Q1227" s="8" t="s">
        <v>29</v>
      </c>
      <c r="R1227" s="4" t="s">
        <v>1529</v>
      </c>
      <c r="S1227" s="4"/>
      <c r="T1227"/>
      <c r="U1227" s="23"/>
    </row>
    <row r="1228" spans="1:21" ht="15.6" x14ac:dyDescent="0.3">
      <c r="A1228" s="4">
        <v>1227</v>
      </c>
      <c r="B1228" s="5">
        <v>9047098</v>
      </c>
      <c r="C1228" s="4" t="s">
        <v>208</v>
      </c>
      <c r="D1228" s="4" t="s">
        <v>60</v>
      </c>
      <c r="E1228" s="4" t="s">
        <v>1530</v>
      </c>
      <c r="F1228" s="4" t="s">
        <v>2946</v>
      </c>
      <c r="G1228" s="6">
        <v>1.2</v>
      </c>
      <c r="H1228" s="7">
        <v>45468.897546296299</v>
      </c>
      <c r="I1228" s="7" t="str">
        <f>TEXT(multilingual_mobile_app_reviews_2025[[#This Row],[Review_date]],"dd-mm-yyyy")</f>
        <v>25-06-2024</v>
      </c>
      <c r="J1228" s="7" t="str">
        <f>TEXT(multilingual_mobile_app_reviews_2025[[#This Row],[Review_date]],"YYYY")</f>
        <v>2024</v>
      </c>
      <c r="K1228" s="7" t="str">
        <f>TEXT(multilingual_mobile_app_reviews_2025[[#This Row],[Review_date]],"MMMM")</f>
        <v>June</v>
      </c>
      <c r="L1228" s="4" t="b">
        <v>1</v>
      </c>
      <c r="M1228" s="4" t="s">
        <v>22</v>
      </c>
      <c r="N1228" s="5">
        <v>497</v>
      </c>
      <c r="O1228" s="5">
        <v>60</v>
      </c>
      <c r="P1228" s="4" t="s">
        <v>61</v>
      </c>
      <c r="Q1228" s="8" t="s">
        <v>29</v>
      </c>
      <c r="R1228" s="4" t="s">
        <v>1531</v>
      </c>
      <c r="S1228" s="4"/>
      <c r="T1228"/>
      <c r="U1228" s="23"/>
    </row>
    <row r="1229" spans="1:21" ht="15.6" x14ac:dyDescent="0.3">
      <c r="A1229" s="4">
        <v>1228</v>
      </c>
      <c r="B1229" s="5">
        <v>8090200</v>
      </c>
      <c r="C1229" s="4" t="s">
        <v>134</v>
      </c>
      <c r="D1229" s="4" t="s">
        <v>47</v>
      </c>
      <c r="E1229" s="4" t="s">
        <v>27</v>
      </c>
      <c r="F1229" s="4" t="s">
        <v>2959</v>
      </c>
      <c r="G1229" s="6">
        <v>4.4000000000000004</v>
      </c>
      <c r="H1229" s="7">
        <v>45305.706250000003</v>
      </c>
      <c r="I1229" s="7" t="str">
        <f>TEXT(multilingual_mobile_app_reviews_2025[[#This Row],[Review_date]],"dd-mm-yyyy")</f>
        <v>14-01-2024</v>
      </c>
      <c r="J1229" s="7" t="str">
        <f>TEXT(multilingual_mobile_app_reviews_2025[[#This Row],[Review_date]],"YYYY")</f>
        <v>2024</v>
      </c>
      <c r="K1229" s="7" t="str">
        <f>TEXT(multilingual_mobile_app_reviews_2025[[#This Row],[Review_date]],"MMMM")</f>
        <v>January</v>
      </c>
      <c r="L1229" s="4" t="b">
        <v>1</v>
      </c>
      <c r="M1229" s="4" t="s">
        <v>22</v>
      </c>
      <c r="N1229" s="5">
        <v>1236</v>
      </c>
      <c r="O1229" s="5">
        <v>57</v>
      </c>
      <c r="P1229" s="4" t="s">
        <v>99</v>
      </c>
      <c r="Q1229" s="8" t="s">
        <v>5</v>
      </c>
      <c r="R1229" s="4" t="s">
        <v>1532</v>
      </c>
      <c r="S1229" s="4"/>
      <c r="T1229"/>
      <c r="U1229" s="23"/>
    </row>
    <row r="1230" spans="1:21" ht="15.6" x14ac:dyDescent="0.3">
      <c r="A1230" s="4">
        <v>1229</v>
      </c>
      <c r="B1230" s="5">
        <v>1409842</v>
      </c>
      <c r="C1230" s="4" t="s">
        <v>78</v>
      </c>
      <c r="D1230" s="4" t="s">
        <v>47</v>
      </c>
      <c r="E1230" s="4" t="s">
        <v>1533</v>
      </c>
      <c r="F1230" s="4" t="s">
        <v>2946</v>
      </c>
      <c r="G1230" s="6">
        <v>2.5</v>
      </c>
      <c r="H1230" s="7">
        <v>45531.733784722222</v>
      </c>
      <c r="I1230" s="7" t="str">
        <f>TEXT(multilingual_mobile_app_reviews_2025[[#This Row],[Review_date]],"dd-mm-yyyy")</f>
        <v>27-08-2024</v>
      </c>
      <c r="J1230" s="7" t="str">
        <f>TEXT(multilingual_mobile_app_reviews_2025[[#This Row],[Review_date]],"YYYY")</f>
        <v>2024</v>
      </c>
      <c r="K1230" s="7" t="str">
        <f>TEXT(multilingual_mobile_app_reviews_2025[[#This Row],[Review_date]],"MMMM")</f>
        <v>August</v>
      </c>
      <c r="L1230" s="4" t="b">
        <v>1</v>
      </c>
      <c r="M1230" s="4" t="s">
        <v>33</v>
      </c>
      <c r="N1230" s="5">
        <v>382</v>
      </c>
      <c r="O1230" s="5">
        <v>29</v>
      </c>
      <c r="P1230" s="4" t="s">
        <v>65</v>
      </c>
      <c r="Q1230" s="8" t="s">
        <v>29</v>
      </c>
      <c r="R1230" s="4" t="s">
        <v>272</v>
      </c>
      <c r="S1230" s="4"/>
      <c r="T1230"/>
      <c r="U1230" s="23"/>
    </row>
    <row r="1231" spans="1:21" ht="15.6" x14ac:dyDescent="0.3">
      <c r="A1231" s="4">
        <v>1230</v>
      </c>
      <c r="B1231" s="5">
        <v>8232997</v>
      </c>
      <c r="C1231" s="4" t="s">
        <v>36</v>
      </c>
      <c r="D1231" s="4" t="s">
        <v>31</v>
      </c>
      <c r="E1231" s="4" t="s">
        <v>21</v>
      </c>
      <c r="F1231" s="4" t="s">
        <v>2958</v>
      </c>
      <c r="G1231" s="6">
        <v>5</v>
      </c>
      <c r="H1231" s="7">
        <v>45691.245243055557</v>
      </c>
      <c r="I1231" s="7" t="str">
        <f>TEXT(multilingual_mobile_app_reviews_2025[[#This Row],[Review_date]],"dd-mm-yyyy")</f>
        <v>03-02-2025</v>
      </c>
      <c r="J1231" s="7" t="str">
        <f>TEXT(multilingual_mobile_app_reviews_2025[[#This Row],[Review_date]],"YYYY")</f>
        <v>2025</v>
      </c>
      <c r="K1231" s="7" t="str">
        <f>TEXT(multilingual_mobile_app_reviews_2025[[#This Row],[Review_date]],"MMMM")</f>
        <v>February</v>
      </c>
      <c r="L1231" s="4" t="b">
        <v>1</v>
      </c>
      <c r="M1231" s="4" t="s">
        <v>98</v>
      </c>
      <c r="N1231" s="5">
        <v>866</v>
      </c>
      <c r="O1231" s="5">
        <v>52</v>
      </c>
      <c r="P1231" s="4" t="s">
        <v>127</v>
      </c>
      <c r="Q1231" s="8" t="s">
        <v>5</v>
      </c>
      <c r="R1231" s="4" t="s">
        <v>1534</v>
      </c>
      <c r="S1231" s="4"/>
      <c r="T1231"/>
      <c r="U1231" s="23"/>
    </row>
    <row r="1232" spans="1:21" ht="15.6" x14ac:dyDescent="0.3">
      <c r="A1232" s="4">
        <v>1231</v>
      </c>
      <c r="B1232" s="5">
        <v>2270723</v>
      </c>
      <c r="C1232" s="4" t="s">
        <v>59</v>
      </c>
      <c r="D1232" s="4" t="s">
        <v>20</v>
      </c>
      <c r="E1232" s="4" t="s">
        <v>130</v>
      </c>
      <c r="F1232" s="4" t="s">
        <v>2954</v>
      </c>
      <c r="G1232" s="6">
        <v>4.3</v>
      </c>
      <c r="H1232" s="7">
        <v>45686.098773148151</v>
      </c>
      <c r="I1232" s="7" t="str">
        <f>TEXT(multilingual_mobile_app_reviews_2025[[#This Row],[Review_date]],"dd-mm-yyyy")</f>
        <v>29-01-2025</v>
      </c>
      <c r="J1232" s="7" t="str">
        <f>TEXT(multilingual_mobile_app_reviews_2025[[#This Row],[Review_date]],"YYYY")</f>
        <v>2025</v>
      </c>
      <c r="K1232" s="7" t="str">
        <f>TEXT(multilingual_mobile_app_reviews_2025[[#This Row],[Review_date]],"MMMM")</f>
        <v>January</v>
      </c>
      <c r="L1232" s="4" t="b">
        <v>1</v>
      </c>
      <c r="M1232" s="4" t="s">
        <v>98</v>
      </c>
      <c r="N1232" s="5">
        <v>672</v>
      </c>
      <c r="O1232" s="5">
        <v>66</v>
      </c>
      <c r="P1232" s="4" t="s">
        <v>230</v>
      </c>
      <c r="Q1232" s="8" t="s">
        <v>39</v>
      </c>
      <c r="R1232" s="4" t="s">
        <v>1535</v>
      </c>
      <c r="S1232" s="4"/>
      <c r="T1232"/>
      <c r="U1232" s="23"/>
    </row>
    <row r="1233" spans="1:21" ht="15.6" x14ac:dyDescent="0.3">
      <c r="A1233" s="4">
        <v>1232</v>
      </c>
      <c r="B1233" s="5">
        <v>8977514</v>
      </c>
      <c r="C1233" s="4" t="s">
        <v>137</v>
      </c>
      <c r="D1233" s="4" t="s">
        <v>20</v>
      </c>
      <c r="E1233" s="4" t="s">
        <v>32</v>
      </c>
      <c r="F1233" s="4" t="s">
        <v>2962</v>
      </c>
      <c r="G1233" s="6">
        <v>4.9000000000000004</v>
      </c>
      <c r="H1233" s="7">
        <v>45230.576747685183</v>
      </c>
      <c r="I1233" s="7" t="str">
        <f>TEXT(multilingual_mobile_app_reviews_2025[[#This Row],[Review_date]],"dd-mm-yyyy")</f>
        <v>31-10-2023</v>
      </c>
      <c r="J1233" s="7" t="str">
        <f>TEXT(multilingual_mobile_app_reviews_2025[[#This Row],[Review_date]],"YYYY")</f>
        <v>2023</v>
      </c>
      <c r="K1233" s="7" t="str">
        <f>TEXT(multilingual_mobile_app_reviews_2025[[#This Row],[Review_date]],"MMMM")</f>
        <v>October</v>
      </c>
      <c r="L1233" s="4" t="b">
        <v>0</v>
      </c>
      <c r="M1233" s="4" t="s">
        <v>22</v>
      </c>
      <c r="N1233" s="5">
        <v>316</v>
      </c>
      <c r="O1233" s="5">
        <v>24</v>
      </c>
      <c r="P1233" s="4" t="s">
        <v>90</v>
      </c>
      <c r="Q1233" s="8" t="s">
        <v>5</v>
      </c>
      <c r="R1233" s="4" t="s">
        <v>1536</v>
      </c>
      <c r="S1233" s="4"/>
      <c r="T1233"/>
      <c r="U1233" s="23"/>
    </row>
    <row r="1234" spans="1:21" ht="15.6" x14ac:dyDescent="0.3">
      <c r="A1234" s="4">
        <v>1233</v>
      </c>
      <c r="B1234" s="5">
        <v>3667549</v>
      </c>
      <c r="C1234" s="4" t="s">
        <v>7</v>
      </c>
      <c r="D1234" s="4" t="s">
        <v>97</v>
      </c>
      <c r="E1234" s="4" t="s">
        <v>1537</v>
      </c>
      <c r="F1234" s="4" t="s">
        <v>2939</v>
      </c>
      <c r="G1234" s="6">
        <v>1.8</v>
      </c>
      <c r="H1234" s="7">
        <v>45375.720196759263</v>
      </c>
      <c r="I1234" s="7" t="str">
        <f>TEXT(multilingual_mobile_app_reviews_2025[[#This Row],[Review_date]],"dd-mm-yyyy")</f>
        <v>24-03-2024</v>
      </c>
      <c r="J1234" s="7" t="str">
        <f>TEXT(multilingual_mobile_app_reviews_2025[[#This Row],[Review_date]],"YYYY")</f>
        <v>2024</v>
      </c>
      <c r="K1234" s="7" t="str">
        <f>TEXT(multilingual_mobile_app_reviews_2025[[#This Row],[Review_date]],"MMMM")</f>
        <v>March</v>
      </c>
      <c r="L1234" s="4" t="b">
        <v>1</v>
      </c>
      <c r="M1234" s="4" t="s">
        <v>10</v>
      </c>
      <c r="N1234" s="5">
        <v>107</v>
      </c>
      <c r="O1234" s="5">
        <v>28</v>
      </c>
      <c r="P1234" s="4" t="s">
        <v>11</v>
      </c>
      <c r="Q1234" s="8" t="s">
        <v>12</v>
      </c>
      <c r="R1234" s="4" t="s">
        <v>1538</v>
      </c>
      <c r="S1234" s="4"/>
      <c r="T1234"/>
      <c r="U1234" s="23"/>
    </row>
    <row r="1235" spans="1:21" ht="15.6" x14ac:dyDescent="0.3">
      <c r="A1235" s="4">
        <v>1234</v>
      </c>
      <c r="B1235" s="5">
        <v>5187859</v>
      </c>
      <c r="C1235" s="4" t="s">
        <v>96</v>
      </c>
      <c r="D1235" s="4" t="s">
        <v>20</v>
      </c>
      <c r="E1235" s="4" t="s">
        <v>1539</v>
      </c>
      <c r="F1235" s="4" t="s">
        <v>2944</v>
      </c>
      <c r="G1235" s="6">
        <v>1.1000000000000001</v>
      </c>
      <c r="H1235" s="7">
        <v>45409.681909722225</v>
      </c>
      <c r="I1235" s="7" t="str">
        <f>TEXT(multilingual_mobile_app_reviews_2025[[#This Row],[Review_date]],"dd-mm-yyyy")</f>
        <v>27-04-2024</v>
      </c>
      <c r="J1235" s="7" t="str">
        <f>TEXT(multilingual_mobile_app_reviews_2025[[#This Row],[Review_date]],"YYYY")</f>
        <v>2024</v>
      </c>
      <c r="K1235" s="7" t="str">
        <f>TEXT(multilingual_mobile_app_reviews_2025[[#This Row],[Review_date]],"MMMM")</f>
        <v>April</v>
      </c>
      <c r="L1235" s="4" t="b">
        <v>1</v>
      </c>
      <c r="M1235" s="4" t="s">
        <v>3</v>
      </c>
      <c r="N1235" s="5">
        <v>969</v>
      </c>
      <c r="O1235" s="5">
        <v>63</v>
      </c>
      <c r="P1235" s="4" t="s">
        <v>162</v>
      </c>
      <c r="Q1235" s="8" t="s">
        <v>2963</v>
      </c>
      <c r="R1235" s="4" t="s">
        <v>2963</v>
      </c>
      <c r="S1235" s="4"/>
      <c r="T1235"/>
      <c r="U1235" s="23"/>
    </row>
    <row r="1236" spans="1:21" ht="15.6" x14ac:dyDescent="0.3">
      <c r="A1236" s="4">
        <v>1235</v>
      </c>
      <c r="B1236" s="5">
        <v>849647</v>
      </c>
      <c r="C1236" s="4" t="s">
        <v>165</v>
      </c>
      <c r="D1236" s="4" t="s">
        <v>47</v>
      </c>
      <c r="E1236" s="4" t="s">
        <v>1540</v>
      </c>
      <c r="F1236" s="4" t="s">
        <v>2956</v>
      </c>
      <c r="G1236" s="6">
        <v>4.4000000000000004</v>
      </c>
      <c r="H1236" s="7">
        <v>45624.151805555557</v>
      </c>
      <c r="I1236" s="7" t="str">
        <f>TEXT(multilingual_mobile_app_reviews_2025[[#This Row],[Review_date]],"dd-mm-yyyy")</f>
        <v>28-11-2024</v>
      </c>
      <c r="J1236" s="7" t="str">
        <f>TEXT(multilingual_mobile_app_reviews_2025[[#This Row],[Review_date]],"YYYY")</f>
        <v>2024</v>
      </c>
      <c r="K1236" s="7" t="str">
        <f>TEXT(multilingual_mobile_app_reviews_2025[[#This Row],[Review_date]],"MMMM")</f>
        <v>November</v>
      </c>
      <c r="L1236" s="4" t="b">
        <v>0</v>
      </c>
      <c r="M1236" s="4" t="s">
        <v>3</v>
      </c>
      <c r="N1236" s="5">
        <v>537</v>
      </c>
      <c r="O1236" s="5">
        <v>73</v>
      </c>
      <c r="P1236" s="4" t="s">
        <v>90</v>
      </c>
      <c r="Q1236" s="8" t="s">
        <v>12</v>
      </c>
      <c r="R1236" s="4" t="s">
        <v>781</v>
      </c>
      <c r="S1236" s="4"/>
      <c r="T1236"/>
      <c r="U1236" s="23"/>
    </row>
    <row r="1237" spans="1:21" ht="15.6" x14ac:dyDescent="0.3">
      <c r="A1237" s="4">
        <v>1236</v>
      </c>
      <c r="B1237" s="5">
        <v>6972422</v>
      </c>
      <c r="C1237" s="4" t="s">
        <v>134</v>
      </c>
      <c r="D1237" s="4" t="s">
        <v>97</v>
      </c>
      <c r="E1237" s="4" t="s">
        <v>1541</v>
      </c>
      <c r="F1237" s="4" t="s">
        <v>2958</v>
      </c>
      <c r="G1237" s="6">
        <v>2.1</v>
      </c>
      <c r="H1237" s="7">
        <v>45586.935243055559</v>
      </c>
      <c r="I1237" s="7" t="str">
        <f>TEXT(multilingual_mobile_app_reviews_2025[[#This Row],[Review_date]],"dd-mm-yyyy")</f>
        <v>21-10-2024</v>
      </c>
      <c r="J1237" s="7" t="str">
        <f>TEXT(multilingual_mobile_app_reviews_2025[[#This Row],[Review_date]],"YYYY")</f>
        <v>2024</v>
      </c>
      <c r="K1237" s="7" t="str">
        <f>TEXT(multilingual_mobile_app_reviews_2025[[#This Row],[Review_date]],"MMMM")</f>
        <v>October</v>
      </c>
      <c r="L1237" s="4" t="b">
        <v>0</v>
      </c>
      <c r="M1237" s="4" t="s">
        <v>33</v>
      </c>
      <c r="N1237" s="5">
        <v>158</v>
      </c>
      <c r="O1237" s="5">
        <v>29</v>
      </c>
      <c r="P1237" s="4" t="s">
        <v>144</v>
      </c>
      <c r="Q1237" s="8" t="s">
        <v>2963</v>
      </c>
      <c r="R1237" s="4" t="s">
        <v>1542</v>
      </c>
      <c r="S1237" s="4"/>
      <c r="T1237"/>
      <c r="U1237" s="23"/>
    </row>
    <row r="1238" spans="1:21" ht="15.6" x14ac:dyDescent="0.3">
      <c r="A1238" s="4">
        <v>1237</v>
      </c>
      <c r="B1238" s="5">
        <v>987084</v>
      </c>
      <c r="C1238" s="4" t="s">
        <v>96</v>
      </c>
      <c r="D1238" s="4" t="s">
        <v>220</v>
      </c>
      <c r="E1238" s="4" t="s">
        <v>76</v>
      </c>
      <c r="F1238" s="4" t="s">
        <v>2961</v>
      </c>
      <c r="G1238" s="6">
        <v>1.9</v>
      </c>
      <c r="H1238" s="7">
        <v>45581.800173611111</v>
      </c>
      <c r="I1238" s="7" t="str">
        <f>TEXT(multilingual_mobile_app_reviews_2025[[#This Row],[Review_date]],"dd-mm-yyyy")</f>
        <v>16-10-2024</v>
      </c>
      <c r="J1238" s="7" t="str">
        <f>TEXT(multilingual_mobile_app_reviews_2025[[#This Row],[Review_date]],"YYYY")</f>
        <v>2024</v>
      </c>
      <c r="K1238" s="7" t="str">
        <f>TEXT(multilingual_mobile_app_reviews_2025[[#This Row],[Review_date]],"MMMM")</f>
        <v>October</v>
      </c>
      <c r="L1238" s="4" t="b">
        <v>1</v>
      </c>
      <c r="M1238" s="4" t="s">
        <v>33</v>
      </c>
      <c r="N1238" s="5">
        <v>526</v>
      </c>
      <c r="O1238" s="5">
        <v>70</v>
      </c>
      <c r="P1238" s="4" t="s">
        <v>11</v>
      </c>
      <c r="Q1238" s="8" t="s">
        <v>12</v>
      </c>
      <c r="R1238" s="4" t="s">
        <v>1543</v>
      </c>
      <c r="S1238" s="4"/>
      <c r="T1238"/>
      <c r="U1238" s="23"/>
    </row>
    <row r="1239" spans="1:21" ht="15.6" x14ac:dyDescent="0.3">
      <c r="A1239" s="4">
        <v>1238</v>
      </c>
      <c r="B1239" s="5">
        <v>3277535</v>
      </c>
      <c r="C1239" s="4" t="s">
        <v>264</v>
      </c>
      <c r="D1239" s="4" t="s">
        <v>1</v>
      </c>
      <c r="E1239" s="4" t="s">
        <v>109</v>
      </c>
      <c r="F1239" s="4" t="s">
        <v>2939</v>
      </c>
      <c r="G1239" s="6">
        <v>3.8</v>
      </c>
      <c r="H1239" s="7">
        <v>45721.854351851849</v>
      </c>
      <c r="I1239" s="7" t="str">
        <f>TEXT(multilingual_mobile_app_reviews_2025[[#This Row],[Review_date]],"dd-mm-yyyy")</f>
        <v>05-03-2025</v>
      </c>
      <c r="J1239" s="7" t="str">
        <f>TEXT(multilingual_mobile_app_reviews_2025[[#This Row],[Review_date]],"YYYY")</f>
        <v>2025</v>
      </c>
      <c r="K1239" s="7" t="str">
        <f>TEXT(multilingual_mobile_app_reviews_2025[[#This Row],[Review_date]],"MMMM")</f>
        <v>March</v>
      </c>
      <c r="L1239" s="4" t="b">
        <v>1</v>
      </c>
      <c r="M1239" s="4" t="s">
        <v>22</v>
      </c>
      <c r="N1239" s="5">
        <v>922</v>
      </c>
      <c r="O1239" s="5">
        <v>40</v>
      </c>
      <c r="P1239" s="4" t="s">
        <v>44</v>
      </c>
      <c r="Q1239" s="8" t="s">
        <v>5</v>
      </c>
      <c r="R1239" s="4" t="s">
        <v>1544</v>
      </c>
      <c r="S1239" s="4"/>
      <c r="T1239"/>
      <c r="U1239" s="23"/>
    </row>
    <row r="1240" spans="1:21" ht="15.6" x14ac:dyDescent="0.3">
      <c r="A1240" s="4">
        <v>1239</v>
      </c>
      <c r="B1240" s="5">
        <v>8532879</v>
      </c>
      <c r="C1240" s="4" t="s">
        <v>59</v>
      </c>
      <c r="D1240" s="4" t="s">
        <v>71</v>
      </c>
      <c r="E1240" s="4" t="s">
        <v>1545</v>
      </c>
      <c r="F1240" s="4" t="s">
        <v>2941</v>
      </c>
      <c r="G1240" s="6">
        <v>4.4000000000000004</v>
      </c>
      <c r="H1240" s="7">
        <v>45790.484710648147</v>
      </c>
      <c r="I1240" s="7" t="str">
        <f>TEXT(multilingual_mobile_app_reviews_2025[[#This Row],[Review_date]],"dd-mm-yyyy")</f>
        <v>13-05-2025</v>
      </c>
      <c r="J1240" s="7" t="str">
        <f>TEXT(multilingual_mobile_app_reviews_2025[[#This Row],[Review_date]],"YYYY")</f>
        <v>2025</v>
      </c>
      <c r="K1240" s="7" t="str">
        <f>TEXT(multilingual_mobile_app_reviews_2025[[#This Row],[Review_date]],"MMMM")</f>
        <v>May</v>
      </c>
      <c r="L1240" s="4" t="b">
        <v>1</v>
      </c>
      <c r="M1240" s="4" t="s">
        <v>33</v>
      </c>
      <c r="N1240" s="5">
        <v>1077</v>
      </c>
      <c r="O1240" s="5">
        <v>22</v>
      </c>
      <c r="P1240" s="4" t="s">
        <v>180</v>
      </c>
      <c r="Q1240" s="8" t="s">
        <v>5</v>
      </c>
      <c r="R1240" s="4" t="s">
        <v>1546</v>
      </c>
      <c r="S1240" s="4"/>
      <c r="T1240"/>
      <c r="U1240" s="23"/>
    </row>
    <row r="1241" spans="1:21" ht="15.6" x14ac:dyDescent="0.3">
      <c r="A1241" s="4">
        <v>1240</v>
      </c>
      <c r="B1241" s="5">
        <v>7552933</v>
      </c>
      <c r="C1241" s="4" t="s">
        <v>96</v>
      </c>
      <c r="D1241" s="4" t="s">
        <v>20</v>
      </c>
      <c r="E1241" s="4" t="s">
        <v>1547</v>
      </c>
      <c r="F1241" s="4" t="s">
        <v>2961</v>
      </c>
      <c r="G1241" s="6">
        <v>2</v>
      </c>
      <c r="H1241" s="7">
        <v>45208.494837962964</v>
      </c>
      <c r="I1241" s="7" t="str">
        <f>TEXT(multilingual_mobile_app_reviews_2025[[#This Row],[Review_date]],"dd-mm-yyyy")</f>
        <v>09-10-2023</v>
      </c>
      <c r="J1241" s="7" t="str">
        <f>TEXT(multilingual_mobile_app_reviews_2025[[#This Row],[Review_date]],"YYYY")</f>
        <v>2023</v>
      </c>
      <c r="K1241" s="7" t="str">
        <f>TEXT(multilingual_mobile_app_reviews_2025[[#This Row],[Review_date]],"MMMM")</f>
        <v>October</v>
      </c>
      <c r="L1241" s="4" t="b">
        <v>1</v>
      </c>
      <c r="M1241" s="4" t="s">
        <v>10</v>
      </c>
      <c r="N1241" s="5">
        <v>820</v>
      </c>
      <c r="O1241" s="5">
        <v>32</v>
      </c>
      <c r="P1241" s="4" t="s">
        <v>70</v>
      </c>
      <c r="Q1241" s="8" t="s">
        <v>2963</v>
      </c>
      <c r="R1241" s="4" t="s">
        <v>1548</v>
      </c>
      <c r="S1241" s="4"/>
      <c r="T1241"/>
      <c r="U1241" s="23"/>
    </row>
    <row r="1242" spans="1:21" ht="15.6" x14ac:dyDescent="0.3">
      <c r="A1242" s="4">
        <v>1241</v>
      </c>
      <c r="B1242" s="5">
        <v>5247152</v>
      </c>
      <c r="C1242" s="4" t="s">
        <v>208</v>
      </c>
      <c r="D1242" s="4" t="s">
        <v>97</v>
      </c>
      <c r="E1242" s="4" t="s">
        <v>1549</v>
      </c>
      <c r="F1242" s="4" t="s">
        <v>2957</v>
      </c>
      <c r="G1242" s="6">
        <v>3.2</v>
      </c>
      <c r="H1242" s="7">
        <v>45215.575173611112</v>
      </c>
      <c r="I1242" s="7" t="str">
        <f>TEXT(multilingual_mobile_app_reviews_2025[[#This Row],[Review_date]],"dd-mm-yyyy")</f>
        <v>16-10-2023</v>
      </c>
      <c r="J1242" s="7" t="str">
        <f>TEXT(multilingual_mobile_app_reviews_2025[[#This Row],[Review_date]],"YYYY")</f>
        <v>2023</v>
      </c>
      <c r="K1242" s="7" t="str">
        <f>TEXT(multilingual_mobile_app_reviews_2025[[#This Row],[Review_date]],"MMMM")</f>
        <v>October</v>
      </c>
      <c r="L1242" s="4" t="b">
        <v>1</v>
      </c>
      <c r="M1242" s="4" t="s">
        <v>98</v>
      </c>
      <c r="N1242" s="5">
        <v>910</v>
      </c>
      <c r="O1242" s="5">
        <v>22</v>
      </c>
      <c r="P1242" s="4" t="s">
        <v>127</v>
      </c>
      <c r="Q1242" s="8" t="s">
        <v>29</v>
      </c>
      <c r="R1242" s="4" t="s">
        <v>1550</v>
      </c>
      <c r="S1242" s="4"/>
      <c r="T1242"/>
      <c r="U1242" s="23"/>
    </row>
    <row r="1243" spans="1:21" ht="15.6" x14ac:dyDescent="0.3">
      <c r="A1243" s="4">
        <v>1242</v>
      </c>
      <c r="B1243" s="5">
        <v>2490091</v>
      </c>
      <c r="C1243" s="4" t="s">
        <v>106</v>
      </c>
      <c r="D1243" s="4" t="s">
        <v>15</v>
      </c>
      <c r="E1243" s="4" t="s">
        <v>9</v>
      </c>
      <c r="F1243" s="4" t="s">
        <v>2961</v>
      </c>
      <c r="G1243" s="6">
        <v>2.8</v>
      </c>
      <c r="H1243" s="7">
        <v>45459.527222222219</v>
      </c>
      <c r="I1243" s="7" t="str">
        <f>TEXT(multilingual_mobile_app_reviews_2025[[#This Row],[Review_date]],"dd-mm-yyyy")</f>
        <v>16-06-2024</v>
      </c>
      <c r="J1243" s="7" t="str">
        <f>TEXT(multilingual_mobile_app_reviews_2025[[#This Row],[Review_date]],"YYYY")</f>
        <v>2024</v>
      </c>
      <c r="K1243" s="7" t="str">
        <f>TEXT(multilingual_mobile_app_reviews_2025[[#This Row],[Review_date]],"MMMM")</f>
        <v>June</v>
      </c>
      <c r="L1243" s="4" t="b">
        <v>1</v>
      </c>
      <c r="M1243" s="4" t="s">
        <v>33</v>
      </c>
      <c r="N1243" s="5">
        <v>832</v>
      </c>
      <c r="O1243" s="5">
        <v>73</v>
      </c>
      <c r="P1243" s="4" t="s">
        <v>230</v>
      </c>
      <c r="Q1243" s="8" t="s">
        <v>39</v>
      </c>
      <c r="R1243" s="4" t="s">
        <v>1551</v>
      </c>
      <c r="S1243" s="4"/>
      <c r="T1243"/>
      <c r="U1243" s="23"/>
    </row>
    <row r="1244" spans="1:21" ht="15.6" x14ac:dyDescent="0.3">
      <c r="A1244" s="4">
        <v>1243</v>
      </c>
      <c r="B1244" s="5">
        <v>4427419</v>
      </c>
      <c r="C1244" s="4" t="s">
        <v>84</v>
      </c>
      <c r="D1244" s="4" t="s">
        <v>60</v>
      </c>
      <c r="E1244" s="4" t="s">
        <v>109</v>
      </c>
      <c r="F1244" s="4" t="s">
        <v>2939</v>
      </c>
      <c r="G1244" s="6">
        <v>1.2</v>
      </c>
      <c r="H1244" s="7">
        <v>45430.547962962963</v>
      </c>
      <c r="I1244" s="7" t="str">
        <f>TEXT(multilingual_mobile_app_reviews_2025[[#This Row],[Review_date]],"dd-mm-yyyy")</f>
        <v>18-05-2024</v>
      </c>
      <c r="J1244" s="7" t="str">
        <f>TEXT(multilingual_mobile_app_reviews_2025[[#This Row],[Review_date]],"YYYY")</f>
        <v>2024</v>
      </c>
      <c r="K1244" s="7" t="str">
        <f>TEXT(multilingual_mobile_app_reviews_2025[[#This Row],[Review_date]],"MMMM")</f>
        <v>May</v>
      </c>
      <c r="L1244" s="4" t="b">
        <v>1</v>
      </c>
      <c r="M1244" s="4" t="s">
        <v>33</v>
      </c>
      <c r="N1244" s="5">
        <v>914</v>
      </c>
      <c r="O1244" s="5">
        <v>34</v>
      </c>
      <c r="P1244" s="4" t="s">
        <v>85</v>
      </c>
      <c r="Q1244" s="8" t="s">
        <v>29</v>
      </c>
      <c r="R1244" s="4" t="s">
        <v>1552</v>
      </c>
      <c r="S1244" s="4"/>
      <c r="T1244"/>
      <c r="U1244" s="23"/>
    </row>
    <row r="1245" spans="1:21" ht="15.6" x14ac:dyDescent="0.3">
      <c r="A1245" s="4">
        <v>1244</v>
      </c>
      <c r="B1245" s="5">
        <v>970370</v>
      </c>
      <c r="C1245" s="4" t="s">
        <v>101</v>
      </c>
      <c r="D1245" s="4" t="s">
        <v>79</v>
      </c>
      <c r="E1245" s="4" t="s">
        <v>2938</v>
      </c>
      <c r="F1245" s="4" t="s">
        <v>2944</v>
      </c>
      <c r="G1245" s="6">
        <v>1.3</v>
      </c>
      <c r="H1245" s="7">
        <v>45161.330567129633</v>
      </c>
      <c r="I1245" s="7" t="str">
        <f>TEXT(multilingual_mobile_app_reviews_2025[[#This Row],[Review_date]],"dd-mm-yyyy")</f>
        <v>23-08-2023</v>
      </c>
      <c r="J1245" s="7" t="str">
        <f>TEXT(multilingual_mobile_app_reviews_2025[[#This Row],[Review_date]],"YYYY")</f>
        <v>2023</v>
      </c>
      <c r="K1245" s="7" t="str">
        <f>TEXT(multilingual_mobile_app_reviews_2025[[#This Row],[Review_date]],"MMMM")</f>
        <v>August</v>
      </c>
      <c r="L1245" s="4" t="b">
        <v>1</v>
      </c>
      <c r="M1245" s="4" t="s">
        <v>33</v>
      </c>
      <c r="N1245" s="5">
        <v>1205</v>
      </c>
      <c r="O1245" s="5">
        <v>52</v>
      </c>
      <c r="P1245" s="4" t="s">
        <v>99</v>
      </c>
      <c r="Q1245" s="8" t="s">
        <v>39</v>
      </c>
      <c r="R1245" s="4" t="s">
        <v>1089</v>
      </c>
      <c r="S1245" s="4"/>
      <c r="T1245"/>
      <c r="U1245" s="23"/>
    </row>
    <row r="1246" spans="1:21" ht="15.6" x14ac:dyDescent="0.3">
      <c r="A1246" s="4">
        <v>1245</v>
      </c>
      <c r="B1246" s="5">
        <v>4021514</v>
      </c>
      <c r="C1246" s="4" t="s">
        <v>56</v>
      </c>
      <c r="D1246" s="4" t="s">
        <v>157</v>
      </c>
      <c r="E1246" s="4" t="s">
        <v>1553</v>
      </c>
      <c r="F1246" s="4" t="s">
        <v>2961</v>
      </c>
      <c r="G1246" s="6">
        <v>1.3</v>
      </c>
      <c r="H1246" s="7">
        <v>45330.197638888887</v>
      </c>
      <c r="I1246" s="7" t="str">
        <f>TEXT(multilingual_mobile_app_reviews_2025[[#This Row],[Review_date]],"dd-mm-yyyy")</f>
        <v>08-02-2024</v>
      </c>
      <c r="J1246" s="7" t="str">
        <f>TEXT(multilingual_mobile_app_reviews_2025[[#This Row],[Review_date]],"YYYY")</f>
        <v>2024</v>
      </c>
      <c r="K1246" s="7" t="str">
        <f>TEXT(multilingual_mobile_app_reviews_2025[[#This Row],[Review_date]],"MMMM")</f>
        <v>February</v>
      </c>
      <c r="L1246" s="4" t="b">
        <v>0</v>
      </c>
      <c r="M1246" s="4" t="s">
        <v>98</v>
      </c>
      <c r="N1246" s="5">
        <v>502</v>
      </c>
      <c r="O1246" s="5">
        <v>39</v>
      </c>
      <c r="P1246" s="4" t="s">
        <v>127</v>
      </c>
      <c r="Q1246" s="8" t="s">
        <v>12</v>
      </c>
      <c r="R1246" s="4" t="s">
        <v>1554</v>
      </c>
      <c r="S1246" s="4"/>
      <c r="T1246"/>
      <c r="U1246" s="23"/>
    </row>
    <row r="1247" spans="1:21" ht="15.6" x14ac:dyDescent="0.3">
      <c r="A1247" s="4">
        <v>1246</v>
      </c>
      <c r="B1247" s="5">
        <v>9406446</v>
      </c>
      <c r="C1247" s="4" t="s">
        <v>7</v>
      </c>
      <c r="D1247" s="4" t="s">
        <v>63</v>
      </c>
      <c r="E1247" s="4" t="s">
        <v>64</v>
      </c>
      <c r="F1247" s="4" t="s">
        <v>2953</v>
      </c>
      <c r="G1247" s="6">
        <v>1.1000000000000001</v>
      </c>
      <c r="H1247" s="7">
        <v>45644.952824074076</v>
      </c>
      <c r="I1247" s="7" t="str">
        <f>TEXT(multilingual_mobile_app_reviews_2025[[#This Row],[Review_date]],"dd-mm-yyyy")</f>
        <v>18-12-2024</v>
      </c>
      <c r="J1247" s="7" t="str">
        <f>TEXT(multilingual_mobile_app_reviews_2025[[#This Row],[Review_date]],"YYYY")</f>
        <v>2024</v>
      </c>
      <c r="K1247" s="7" t="str">
        <f>TEXT(multilingual_mobile_app_reviews_2025[[#This Row],[Review_date]],"MMMM")</f>
        <v>December</v>
      </c>
      <c r="L1247" s="4" t="b">
        <v>1</v>
      </c>
      <c r="M1247" s="4" t="s">
        <v>33</v>
      </c>
      <c r="N1247" s="5">
        <v>569</v>
      </c>
      <c r="O1247" s="5">
        <v>60</v>
      </c>
      <c r="P1247" s="4" t="s">
        <v>4</v>
      </c>
      <c r="Q1247" s="8" t="s">
        <v>5</v>
      </c>
      <c r="R1247" s="4" t="s">
        <v>1555</v>
      </c>
      <c r="S1247" s="4"/>
      <c r="T1247"/>
      <c r="U1247" s="23"/>
    </row>
    <row r="1248" spans="1:21" ht="15.6" x14ac:dyDescent="0.3">
      <c r="A1248" s="4">
        <v>1247</v>
      </c>
      <c r="B1248" s="5">
        <v>5210555</v>
      </c>
      <c r="C1248" s="4" t="s">
        <v>137</v>
      </c>
      <c r="D1248" s="4" t="s">
        <v>60</v>
      </c>
      <c r="E1248" s="4" t="s">
        <v>1556</v>
      </c>
      <c r="F1248" s="4" t="s">
        <v>2949</v>
      </c>
      <c r="G1248" s="6">
        <v>2.1</v>
      </c>
      <c r="H1248" s="7">
        <v>45746.294004629628</v>
      </c>
      <c r="I1248" s="7" t="str">
        <f>TEXT(multilingual_mobile_app_reviews_2025[[#This Row],[Review_date]],"dd-mm-yyyy")</f>
        <v>30-03-2025</v>
      </c>
      <c r="J1248" s="7" t="str">
        <f>TEXT(multilingual_mobile_app_reviews_2025[[#This Row],[Review_date]],"YYYY")</f>
        <v>2025</v>
      </c>
      <c r="K1248" s="7" t="str">
        <f>TEXT(multilingual_mobile_app_reviews_2025[[#This Row],[Review_date]],"MMMM")</f>
        <v>March</v>
      </c>
      <c r="L1248" s="4" t="b">
        <v>1</v>
      </c>
      <c r="M1248" s="4" t="s">
        <v>22</v>
      </c>
      <c r="N1248" s="5">
        <v>742</v>
      </c>
      <c r="O1248" s="5">
        <v>37</v>
      </c>
      <c r="P1248" s="4" t="s">
        <v>144</v>
      </c>
      <c r="Q1248" s="8" t="s">
        <v>39</v>
      </c>
      <c r="R1248" s="4" t="s">
        <v>478</v>
      </c>
      <c r="S1248" s="4"/>
      <c r="T1248"/>
      <c r="U1248" s="23"/>
    </row>
    <row r="1249" spans="1:21" ht="15.6" x14ac:dyDescent="0.3">
      <c r="A1249" s="4">
        <v>1248</v>
      </c>
      <c r="B1249" s="5">
        <v>9118351</v>
      </c>
      <c r="C1249" s="4" t="s">
        <v>101</v>
      </c>
      <c r="D1249" s="4" t="s">
        <v>60</v>
      </c>
      <c r="E1249" s="4" t="s">
        <v>27</v>
      </c>
      <c r="F1249" s="4" t="s">
        <v>2950</v>
      </c>
      <c r="G1249" s="6">
        <v>2</v>
      </c>
      <c r="H1249" s="7">
        <v>45468.016527777778</v>
      </c>
      <c r="I1249" s="7" t="str">
        <f>TEXT(multilingual_mobile_app_reviews_2025[[#This Row],[Review_date]],"dd-mm-yyyy")</f>
        <v>25-06-2024</v>
      </c>
      <c r="J1249" s="7" t="str">
        <f>TEXT(multilingual_mobile_app_reviews_2025[[#This Row],[Review_date]],"YYYY")</f>
        <v>2024</v>
      </c>
      <c r="K1249" s="7" t="str">
        <f>TEXT(multilingual_mobile_app_reviews_2025[[#This Row],[Review_date]],"MMMM")</f>
        <v>June</v>
      </c>
      <c r="L1249" s="4" t="b">
        <v>1</v>
      </c>
      <c r="M1249" s="4" t="s">
        <v>98</v>
      </c>
      <c r="N1249" s="5">
        <v>689</v>
      </c>
      <c r="O1249" s="5">
        <v>50</v>
      </c>
      <c r="P1249" s="4" t="s">
        <v>38</v>
      </c>
      <c r="Q1249" s="8" t="s">
        <v>2963</v>
      </c>
      <c r="R1249" s="4" t="s">
        <v>1557</v>
      </c>
      <c r="S1249" s="4"/>
      <c r="T1249"/>
      <c r="U1249" s="23"/>
    </row>
    <row r="1250" spans="1:21" ht="15.6" x14ac:dyDescent="0.3">
      <c r="A1250" s="4">
        <v>1249</v>
      </c>
      <c r="B1250" s="5">
        <v>7678973</v>
      </c>
      <c r="C1250" s="4" t="s">
        <v>19</v>
      </c>
      <c r="D1250" s="4" t="s">
        <v>31</v>
      </c>
      <c r="E1250" s="4" t="s">
        <v>1558</v>
      </c>
      <c r="F1250" s="4" t="s">
        <v>2954</v>
      </c>
      <c r="G1250" s="6">
        <v>3.1</v>
      </c>
      <c r="H1250" s="7">
        <v>45363.544965277775</v>
      </c>
      <c r="I1250" s="7" t="str">
        <f>TEXT(multilingual_mobile_app_reviews_2025[[#This Row],[Review_date]],"dd-mm-yyyy")</f>
        <v>12-03-2024</v>
      </c>
      <c r="J1250" s="7" t="str">
        <f>TEXT(multilingual_mobile_app_reviews_2025[[#This Row],[Review_date]],"YYYY")</f>
        <v>2024</v>
      </c>
      <c r="K1250" s="7" t="str">
        <f>TEXT(multilingual_mobile_app_reviews_2025[[#This Row],[Review_date]],"MMMM")</f>
        <v>March</v>
      </c>
      <c r="L1250" s="4" t="b">
        <v>0</v>
      </c>
      <c r="M1250" s="4" t="s">
        <v>33</v>
      </c>
      <c r="N1250" s="5">
        <v>35</v>
      </c>
      <c r="O1250" s="5">
        <v>42</v>
      </c>
      <c r="P1250" s="4" t="s">
        <v>127</v>
      </c>
      <c r="Q1250" s="8" t="s">
        <v>39</v>
      </c>
      <c r="R1250" s="4" t="s">
        <v>1559</v>
      </c>
      <c r="S1250" s="4"/>
      <c r="T1250"/>
      <c r="U1250" s="23"/>
    </row>
    <row r="1251" spans="1:21" ht="15.6" x14ac:dyDescent="0.3">
      <c r="A1251" s="4">
        <v>1250</v>
      </c>
      <c r="B1251" s="5">
        <v>2908198</v>
      </c>
      <c r="C1251" s="4" t="s">
        <v>96</v>
      </c>
      <c r="D1251" s="4" t="s">
        <v>51</v>
      </c>
      <c r="E1251" s="4" t="s">
        <v>1560</v>
      </c>
      <c r="F1251" s="4" t="s">
        <v>2962</v>
      </c>
      <c r="G1251" s="6">
        <v>1.3</v>
      </c>
      <c r="H1251" s="7">
        <v>45702.05972222222</v>
      </c>
      <c r="I1251" s="7" t="str">
        <f>TEXT(multilingual_mobile_app_reviews_2025[[#This Row],[Review_date]],"dd-mm-yyyy")</f>
        <v>14-02-2025</v>
      </c>
      <c r="J1251" s="7" t="str">
        <f>TEXT(multilingual_mobile_app_reviews_2025[[#This Row],[Review_date]],"YYYY")</f>
        <v>2025</v>
      </c>
      <c r="K1251" s="7" t="str">
        <f>TEXT(multilingual_mobile_app_reviews_2025[[#This Row],[Review_date]],"MMMM")</f>
        <v>February</v>
      </c>
      <c r="L1251" s="4" t="b">
        <v>1</v>
      </c>
      <c r="M1251" s="4" t="s">
        <v>3</v>
      </c>
      <c r="N1251" s="5">
        <v>547</v>
      </c>
      <c r="O1251" s="5">
        <v>71</v>
      </c>
      <c r="P1251" s="4" t="s">
        <v>94</v>
      </c>
      <c r="Q1251" s="8" t="s">
        <v>2963</v>
      </c>
      <c r="R1251" s="4" t="s">
        <v>1561</v>
      </c>
      <c r="S1251" s="4"/>
      <c r="T1251"/>
      <c r="U1251" s="23"/>
    </row>
    <row r="1252" spans="1:21" ht="15.6" x14ac:dyDescent="0.3">
      <c r="A1252" s="4">
        <v>1251</v>
      </c>
      <c r="B1252" s="5">
        <v>4788532</v>
      </c>
      <c r="C1252" s="4" t="s">
        <v>137</v>
      </c>
      <c r="D1252" s="4" t="s">
        <v>26</v>
      </c>
      <c r="E1252" s="4" t="s">
        <v>32</v>
      </c>
      <c r="F1252" s="4" t="s">
        <v>2952</v>
      </c>
      <c r="G1252" s="6">
        <v>2</v>
      </c>
      <c r="H1252" s="7">
        <v>45821.057962962965</v>
      </c>
      <c r="I1252" s="7" t="str">
        <f>TEXT(multilingual_mobile_app_reviews_2025[[#This Row],[Review_date]],"dd-mm-yyyy")</f>
        <v>13-06-2025</v>
      </c>
      <c r="J1252" s="7" t="str">
        <f>TEXT(multilingual_mobile_app_reviews_2025[[#This Row],[Review_date]],"YYYY")</f>
        <v>2025</v>
      </c>
      <c r="K1252" s="7" t="str">
        <f>TEXT(multilingual_mobile_app_reviews_2025[[#This Row],[Review_date]],"MMMM")</f>
        <v>June</v>
      </c>
      <c r="L1252" s="4" t="b">
        <v>1</v>
      </c>
      <c r="M1252" s="4" t="s">
        <v>22</v>
      </c>
      <c r="N1252" s="5">
        <v>344</v>
      </c>
      <c r="O1252" s="5">
        <v>75</v>
      </c>
      <c r="P1252" s="4" t="s">
        <v>90</v>
      </c>
      <c r="Q1252" s="8" t="s">
        <v>12</v>
      </c>
      <c r="R1252" s="4" t="s">
        <v>1562</v>
      </c>
      <c r="S1252" s="4"/>
      <c r="T1252"/>
      <c r="U1252" s="23"/>
    </row>
    <row r="1253" spans="1:21" ht="15.6" x14ac:dyDescent="0.3">
      <c r="A1253" s="4">
        <v>1252</v>
      </c>
      <c r="B1253" s="5">
        <v>3637478</v>
      </c>
      <c r="C1253" s="4" t="s">
        <v>176</v>
      </c>
      <c r="D1253" s="4" t="s">
        <v>57</v>
      </c>
      <c r="E1253" s="4" t="s">
        <v>130</v>
      </c>
      <c r="F1253" s="4" t="s">
        <v>2959</v>
      </c>
      <c r="G1253" s="6">
        <v>3.8</v>
      </c>
      <c r="H1253" s="7">
        <v>45613.02516203704</v>
      </c>
      <c r="I1253" s="7" t="str">
        <f>TEXT(multilingual_mobile_app_reviews_2025[[#This Row],[Review_date]],"dd-mm-yyyy")</f>
        <v>17-11-2024</v>
      </c>
      <c r="J1253" s="7" t="str">
        <f>TEXT(multilingual_mobile_app_reviews_2025[[#This Row],[Review_date]],"YYYY")</f>
        <v>2024</v>
      </c>
      <c r="K1253" s="7" t="str">
        <f>TEXT(multilingual_mobile_app_reviews_2025[[#This Row],[Review_date]],"MMMM")</f>
        <v>November</v>
      </c>
      <c r="L1253" s="4" t="b">
        <v>1</v>
      </c>
      <c r="M1253" s="4" t="s">
        <v>3</v>
      </c>
      <c r="N1253" s="5">
        <v>825</v>
      </c>
      <c r="O1253" s="5">
        <v>24</v>
      </c>
      <c r="P1253" s="4" t="s">
        <v>28</v>
      </c>
      <c r="Q1253" s="8" t="s">
        <v>5</v>
      </c>
      <c r="R1253" s="4" t="s">
        <v>1082</v>
      </c>
      <c r="S1253" s="4"/>
      <c r="T1253"/>
      <c r="U1253" s="23"/>
    </row>
    <row r="1254" spans="1:21" ht="15.6" x14ac:dyDescent="0.3">
      <c r="A1254" s="4">
        <v>1253</v>
      </c>
      <c r="B1254" s="5">
        <v>5440253</v>
      </c>
      <c r="C1254" s="4" t="s">
        <v>41</v>
      </c>
      <c r="D1254" s="4" t="s">
        <v>20</v>
      </c>
      <c r="E1254" s="4" t="s">
        <v>1563</v>
      </c>
      <c r="F1254" s="4" t="s">
        <v>2954</v>
      </c>
      <c r="G1254" s="6">
        <v>3.3</v>
      </c>
      <c r="H1254" s="7">
        <v>45140.468622685185</v>
      </c>
      <c r="I1254" s="7" t="str">
        <f>TEXT(multilingual_mobile_app_reviews_2025[[#This Row],[Review_date]],"dd-mm-yyyy")</f>
        <v>02-08-2023</v>
      </c>
      <c r="J1254" s="7" t="str">
        <f>TEXT(multilingual_mobile_app_reviews_2025[[#This Row],[Review_date]],"YYYY")</f>
        <v>2023</v>
      </c>
      <c r="K1254" s="7" t="str">
        <f>TEXT(multilingual_mobile_app_reviews_2025[[#This Row],[Review_date]],"MMMM")</f>
        <v>August</v>
      </c>
      <c r="L1254" s="4" t="b">
        <v>1</v>
      </c>
      <c r="M1254" s="4" t="s">
        <v>3</v>
      </c>
      <c r="N1254" s="5">
        <v>1123</v>
      </c>
      <c r="O1254" s="5">
        <v>50</v>
      </c>
      <c r="P1254" s="4" t="s">
        <v>118</v>
      </c>
      <c r="Q1254" s="8" t="s">
        <v>29</v>
      </c>
      <c r="R1254" s="4" t="s">
        <v>1564</v>
      </c>
      <c r="S1254" s="4"/>
      <c r="T1254"/>
      <c r="U1254" s="23"/>
    </row>
    <row r="1255" spans="1:21" ht="15.6" x14ac:dyDescent="0.3">
      <c r="A1255" s="4">
        <v>1254</v>
      </c>
      <c r="B1255" s="5">
        <v>8094829</v>
      </c>
      <c r="C1255" s="4" t="s">
        <v>14</v>
      </c>
      <c r="D1255" s="4" t="s">
        <v>57</v>
      </c>
      <c r="E1255" s="4" t="s">
        <v>1565</v>
      </c>
      <c r="F1255" s="4" t="s">
        <v>2957</v>
      </c>
      <c r="G1255" s="6">
        <v>4.3</v>
      </c>
      <c r="H1255" s="7">
        <v>45660.535567129627</v>
      </c>
      <c r="I1255" s="7" t="str">
        <f>TEXT(multilingual_mobile_app_reviews_2025[[#This Row],[Review_date]],"dd-mm-yyyy")</f>
        <v>03-01-2025</v>
      </c>
      <c r="J1255" s="7" t="str">
        <f>TEXT(multilingual_mobile_app_reviews_2025[[#This Row],[Review_date]],"YYYY")</f>
        <v>2025</v>
      </c>
      <c r="K1255" s="7" t="str">
        <f>TEXT(multilingual_mobile_app_reviews_2025[[#This Row],[Review_date]],"MMMM")</f>
        <v>January</v>
      </c>
      <c r="L1255" s="4" t="b">
        <v>1</v>
      </c>
      <c r="M1255" s="4" t="s">
        <v>98</v>
      </c>
      <c r="N1255" s="5">
        <v>73</v>
      </c>
      <c r="O1255" s="5">
        <v>58</v>
      </c>
      <c r="P1255" s="4" t="s">
        <v>90</v>
      </c>
      <c r="Q1255" s="8" t="s">
        <v>39</v>
      </c>
      <c r="R1255" s="4" t="s">
        <v>81</v>
      </c>
      <c r="S1255" s="4"/>
      <c r="T1255"/>
      <c r="U1255" s="23"/>
    </row>
    <row r="1256" spans="1:21" ht="15.6" x14ac:dyDescent="0.3">
      <c r="A1256" s="4">
        <v>1255</v>
      </c>
      <c r="B1256" s="5">
        <v>2170570</v>
      </c>
      <c r="C1256" s="4" t="s">
        <v>46</v>
      </c>
      <c r="D1256" s="4" t="s">
        <v>111</v>
      </c>
      <c r="E1256" s="4" t="s">
        <v>1566</v>
      </c>
      <c r="F1256" s="4" t="s">
        <v>2946</v>
      </c>
      <c r="G1256" s="6">
        <v>2.7</v>
      </c>
      <c r="H1256" s="7">
        <v>45854.549791666665</v>
      </c>
      <c r="I1256" s="7" t="str">
        <f>TEXT(multilingual_mobile_app_reviews_2025[[#This Row],[Review_date]],"dd-mm-yyyy")</f>
        <v>16-07-2025</v>
      </c>
      <c r="J1256" s="7" t="str">
        <f>TEXT(multilingual_mobile_app_reviews_2025[[#This Row],[Review_date]],"YYYY")</f>
        <v>2025</v>
      </c>
      <c r="K1256" s="7" t="str">
        <f>TEXT(multilingual_mobile_app_reviews_2025[[#This Row],[Review_date]],"MMMM")</f>
        <v>July</v>
      </c>
      <c r="L1256" s="4" t="b">
        <v>0</v>
      </c>
      <c r="M1256" s="4" t="s">
        <v>10</v>
      </c>
      <c r="N1256" s="5">
        <v>642</v>
      </c>
      <c r="O1256" s="5">
        <v>25</v>
      </c>
      <c r="P1256" s="4" t="s">
        <v>28</v>
      </c>
      <c r="Q1256" s="8" t="s">
        <v>2963</v>
      </c>
      <c r="R1256" s="4" t="s">
        <v>1567</v>
      </c>
      <c r="S1256" s="4"/>
      <c r="T1256"/>
      <c r="U1256" s="23"/>
    </row>
    <row r="1257" spans="1:21" ht="15.6" x14ac:dyDescent="0.3">
      <c r="A1257" s="4">
        <v>1256</v>
      </c>
      <c r="B1257" s="5">
        <v>6103240</v>
      </c>
      <c r="C1257" s="4" t="s">
        <v>104</v>
      </c>
      <c r="D1257" s="4" t="s">
        <v>220</v>
      </c>
      <c r="E1257" s="4" t="s">
        <v>130</v>
      </c>
      <c r="F1257" s="4" t="s">
        <v>2955</v>
      </c>
      <c r="G1257" s="6">
        <v>1.2</v>
      </c>
      <c r="H1257" s="7">
        <v>45287.629791666666</v>
      </c>
      <c r="I1257" s="7" t="str">
        <f>TEXT(multilingual_mobile_app_reviews_2025[[#This Row],[Review_date]],"dd-mm-yyyy")</f>
        <v>27-12-2023</v>
      </c>
      <c r="J1257" s="7" t="str">
        <f>TEXT(multilingual_mobile_app_reviews_2025[[#This Row],[Review_date]],"YYYY")</f>
        <v>2023</v>
      </c>
      <c r="K1257" s="7" t="str">
        <f>TEXT(multilingual_mobile_app_reviews_2025[[#This Row],[Review_date]],"MMMM")</f>
        <v>December</v>
      </c>
      <c r="L1257" s="4" t="b">
        <v>1</v>
      </c>
      <c r="M1257" s="4" t="s">
        <v>33</v>
      </c>
      <c r="N1257" s="5">
        <v>619</v>
      </c>
      <c r="O1257" s="5">
        <v>36</v>
      </c>
      <c r="P1257" s="4" t="s">
        <v>85</v>
      </c>
      <c r="Q1257" s="8" t="s">
        <v>2963</v>
      </c>
      <c r="R1257" s="4" t="s">
        <v>1568</v>
      </c>
      <c r="S1257" s="4"/>
      <c r="T1257"/>
      <c r="U1257" s="23"/>
    </row>
    <row r="1258" spans="1:21" ht="15.6" x14ac:dyDescent="0.3">
      <c r="A1258" s="4">
        <v>1257</v>
      </c>
      <c r="B1258" s="5">
        <v>5186491</v>
      </c>
      <c r="C1258" s="4" t="s">
        <v>87</v>
      </c>
      <c r="D1258" s="4" t="s">
        <v>51</v>
      </c>
      <c r="E1258" s="4" t="s">
        <v>76</v>
      </c>
      <c r="F1258" s="4" t="s">
        <v>2939</v>
      </c>
      <c r="G1258" s="6">
        <v>3.7</v>
      </c>
      <c r="H1258" s="7">
        <v>45766.792372685188</v>
      </c>
      <c r="I1258" s="7" t="str">
        <f>TEXT(multilingual_mobile_app_reviews_2025[[#This Row],[Review_date]],"dd-mm-yyyy")</f>
        <v>19-04-2025</v>
      </c>
      <c r="J1258" s="7" t="str">
        <f>TEXT(multilingual_mobile_app_reviews_2025[[#This Row],[Review_date]],"YYYY")</f>
        <v>2025</v>
      </c>
      <c r="K1258" s="7" t="str">
        <f>TEXT(multilingual_mobile_app_reviews_2025[[#This Row],[Review_date]],"MMMM")</f>
        <v>April</v>
      </c>
      <c r="L1258" s="4" t="b">
        <v>0</v>
      </c>
      <c r="M1258" s="4" t="s">
        <v>3</v>
      </c>
      <c r="N1258" s="5">
        <v>162</v>
      </c>
      <c r="O1258" s="5">
        <v>22</v>
      </c>
      <c r="P1258" s="4" t="s">
        <v>17</v>
      </c>
      <c r="Q1258" s="8" t="s">
        <v>2963</v>
      </c>
      <c r="R1258" s="4" t="s">
        <v>1569</v>
      </c>
      <c r="S1258" s="4"/>
      <c r="T1258"/>
      <c r="U1258" s="23"/>
    </row>
    <row r="1259" spans="1:21" ht="15.6" x14ac:dyDescent="0.3">
      <c r="A1259" s="4">
        <v>1258</v>
      </c>
      <c r="B1259" s="5">
        <v>3810242</v>
      </c>
      <c r="C1259" s="4" t="s">
        <v>132</v>
      </c>
      <c r="D1259" s="4" t="s">
        <v>26</v>
      </c>
      <c r="E1259" s="4" t="s">
        <v>93</v>
      </c>
      <c r="F1259" s="4" t="s">
        <v>2956</v>
      </c>
      <c r="G1259" s="6">
        <v>4.2</v>
      </c>
      <c r="H1259" s="7">
        <v>45320.831793981481</v>
      </c>
      <c r="I1259" s="7" t="str">
        <f>TEXT(multilingual_mobile_app_reviews_2025[[#This Row],[Review_date]],"dd-mm-yyyy")</f>
        <v>29-01-2024</v>
      </c>
      <c r="J1259" s="7" t="str">
        <f>TEXT(multilingual_mobile_app_reviews_2025[[#This Row],[Review_date]],"YYYY")</f>
        <v>2024</v>
      </c>
      <c r="K1259" s="7" t="str">
        <f>TEXT(multilingual_mobile_app_reviews_2025[[#This Row],[Review_date]],"MMMM")</f>
        <v>January</v>
      </c>
      <c r="L1259" s="4" t="b">
        <v>1</v>
      </c>
      <c r="M1259" s="4" t="s">
        <v>33</v>
      </c>
      <c r="N1259" s="5">
        <v>792</v>
      </c>
      <c r="O1259" s="5">
        <v>67</v>
      </c>
      <c r="P1259" s="4" t="s">
        <v>38</v>
      </c>
      <c r="Q1259" s="8" t="s">
        <v>12</v>
      </c>
      <c r="R1259" s="4" t="s">
        <v>1570</v>
      </c>
      <c r="S1259" s="4"/>
      <c r="T1259"/>
      <c r="U1259" s="23"/>
    </row>
    <row r="1260" spans="1:21" ht="15.6" x14ac:dyDescent="0.3">
      <c r="A1260" s="4">
        <v>1259</v>
      </c>
      <c r="B1260" s="5">
        <v>6190115</v>
      </c>
      <c r="C1260" s="4" t="s">
        <v>159</v>
      </c>
      <c r="D1260" s="4" t="s">
        <v>15</v>
      </c>
      <c r="E1260" s="4" t="s">
        <v>76</v>
      </c>
      <c r="F1260" s="4" t="s">
        <v>2953</v>
      </c>
      <c r="G1260" s="6">
        <v>2.9</v>
      </c>
      <c r="H1260" s="7">
        <v>45167.458599537036</v>
      </c>
      <c r="I1260" s="7" t="str">
        <f>TEXT(multilingual_mobile_app_reviews_2025[[#This Row],[Review_date]],"dd-mm-yyyy")</f>
        <v>29-08-2023</v>
      </c>
      <c r="J1260" s="7" t="str">
        <f>TEXT(multilingual_mobile_app_reviews_2025[[#This Row],[Review_date]],"YYYY")</f>
        <v>2023</v>
      </c>
      <c r="K1260" s="7" t="str">
        <f>TEXT(multilingual_mobile_app_reviews_2025[[#This Row],[Review_date]],"MMMM")</f>
        <v>August</v>
      </c>
      <c r="L1260" s="4" t="b">
        <v>1</v>
      </c>
      <c r="M1260" s="4" t="s">
        <v>22</v>
      </c>
      <c r="N1260" s="5">
        <v>1207</v>
      </c>
      <c r="O1260" s="5">
        <v>48</v>
      </c>
      <c r="P1260" s="4" t="s">
        <v>180</v>
      </c>
      <c r="Q1260" s="8" t="s">
        <v>29</v>
      </c>
      <c r="R1260" s="4" t="s">
        <v>1571</v>
      </c>
      <c r="S1260" s="4"/>
      <c r="T1260"/>
      <c r="U1260" s="23"/>
    </row>
    <row r="1261" spans="1:21" ht="15.6" x14ac:dyDescent="0.3">
      <c r="A1261" s="4">
        <v>1260</v>
      </c>
      <c r="B1261" s="5">
        <v>8368447</v>
      </c>
      <c r="C1261" s="4" t="s">
        <v>165</v>
      </c>
      <c r="D1261" s="4" t="s">
        <v>71</v>
      </c>
      <c r="E1261" s="4" t="s">
        <v>130</v>
      </c>
      <c r="F1261" s="4" t="s">
        <v>2954</v>
      </c>
      <c r="G1261" s="6">
        <v>2.8</v>
      </c>
      <c r="H1261" s="7">
        <v>45841.430081018516</v>
      </c>
      <c r="I1261" s="7" t="str">
        <f>TEXT(multilingual_mobile_app_reviews_2025[[#This Row],[Review_date]],"dd-mm-yyyy")</f>
        <v>03-07-2025</v>
      </c>
      <c r="J1261" s="7" t="str">
        <f>TEXT(multilingual_mobile_app_reviews_2025[[#This Row],[Review_date]],"YYYY")</f>
        <v>2025</v>
      </c>
      <c r="K1261" s="7" t="str">
        <f>TEXT(multilingual_mobile_app_reviews_2025[[#This Row],[Review_date]],"MMMM")</f>
        <v>July</v>
      </c>
      <c r="L1261" s="4" t="b">
        <v>0</v>
      </c>
      <c r="M1261" s="4" t="s">
        <v>33</v>
      </c>
      <c r="N1261" s="5">
        <v>847</v>
      </c>
      <c r="O1261" s="5">
        <v>68</v>
      </c>
      <c r="P1261" s="4" t="s">
        <v>85</v>
      </c>
      <c r="Q1261" s="8" t="s">
        <v>5</v>
      </c>
      <c r="R1261" s="4" t="s">
        <v>1572</v>
      </c>
      <c r="S1261" s="4"/>
      <c r="T1261"/>
      <c r="U1261" s="23"/>
    </row>
    <row r="1262" spans="1:21" ht="15.6" x14ac:dyDescent="0.3">
      <c r="A1262" s="4">
        <v>1261</v>
      </c>
      <c r="B1262" s="5">
        <v>3607886</v>
      </c>
      <c r="C1262" s="4" t="s">
        <v>104</v>
      </c>
      <c r="D1262" s="4" t="s">
        <v>8</v>
      </c>
      <c r="E1262" s="4" t="s">
        <v>9</v>
      </c>
      <c r="F1262" s="4" t="s">
        <v>2954</v>
      </c>
      <c r="G1262" s="6">
        <v>3.5</v>
      </c>
      <c r="H1262" s="7">
        <v>45144.420497685183</v>
      </c>
      <c r="I1262" s="7" t="str">
        <f>TEXT(multilingual_mobile_app_reviews_2025[[#This Row],[Review_date]],"dd-mm-yyyy")</f>
        <v>06-08-2023</v>
      </c>
      <c r="J1262" s="7" t="str">
        <f>TEXT(multilingual_mobile_app_reviews_2025[[#This Row],[Review_date]],"YYYY")</f>
        <v>2023</v>
      </c>
      <c r="K1262" s="7" t="str">
        <f>TEXT(multilingual_mobile_app_reviews_2025[[#This Row],[Review_date]],"MMMM")</f>
        <v>August</v>
      </c>
      <c r="L1262" s="4" t="b">
        <v>1</v>
      </c>
      <c r="M1262" s="4" t="s">
        <v>10</v>
      </c>
      <c r="N1262" s="5">
        <v>901</v>
      </c>
      <c r="O1262" s="5">
        <v>56</v>
      </c>
      <c r="P1262" s="4" t="s">
        <v>23</v>
      </c>
      <c r="Q1262" s="8" t="s">
        <v>39</v>
      </c>
      <c r="R1262" s="4" t="s">
        <v>1573</v>
      </c>
      <c r="S1262" s="4"/>
      <c r="T1262"/>
      <c r="U1262" s="23"/>
    </row>
    <row r="1263" spans="1:21" ht="15.6" x14ac:dyDescent="0.3">
      <c r="A1263" s="4">
        <v>1262</v>
      </c>
      <c r="B1263" s="5">
        <v>6745223</v>
      </c>
      <c r="C1263" s="4" t="s">
        <v>154</v>
      </c>
      <c r="D1263" s="4" t="s">
        <v>97</v>
      </c>
      <c r="E1263" s="4" t="s">
        <v>64</v>
      </c>
      <c r="F1263" s="4" t="s">
        <v>2949</v>
      </c>
      <c r="G1263" s="6">
        <v>1.8</v>
      </c>
      <c r="H1263" s="7">
        <v>45225.052986111114</v>
      </c>
      <c r="I1263" s="7" t="str">
        <f>TEXT(multilingual_mobile_app_reviews_2025[[#This Row],[Review_date]],"dd-mm-yyyy")</f>
        <v>26-10-2023</v>
      </c>
      <c r="J1263" s="7" t="str">
        <f>TEXT(multilingual_mobile_app_reviews_2025[[#This Row],[Review_date]],"YYYY")</f>
        <v>2023</v>
      </c>
      <c r="K1263" s="7" t="str">
        <f>TEXT(multilingual_mobile_app_reviews_2025[[#This Row],[Review_date]],"MMMM")</f>
        <v>October</v>
      </c>
      <c r="L1263" s="4" t="b">
        <v>1</v>
      </c>
      <c r="M1263" s="4" t="s">
        <v>98</v>
      </c>
      <c r="N1263" s="5">
        <v>637</v>
      </c>
      <c r="O1263" s="5">
        <v>17</v>
      </c>
      <c r="P1263" s="4" t="s">
        <v>114</v>
      </c>
      <c r="Q1263" s="8" t="s">
        <v>29</v>
      </c>
      <c r="R1263" s="4" t="s">
        <v>1574</v>
      </c>
      <c r="S1263" s="4"/>
      <c r="T1263"/>
      <c r="U1263" s="23"/>
    </row>
    <row r="1264" spans="1:21" ht="15.6" x14ac:dyDescent="0.3">
      <c r="A1264" s="4">
        <v>1263</v>
      </c>
      <c r="B1264" s="5">
        <v>9647951</v>
      </c>
      <c r="C1264" s="4" t="s">
        <v>208</v>
      </c>
      <c r="D1264" s="4" t="s">
        <v>63</v>
      </c>
      <c r="E1264" s="4" t="s">
        <v>32</v>
      </c>
      <c r="F1264" s="4" t="s">
        <v>2949</v>
      </c>
      <c r="G1264" s="6">
        <v>3.4</v>
      </c>
      <c r="H1264" s="7">
        <v>45527.492685185185</v>
      </c>
      <c r="I1264" s="7" t="str">
        <f>TEXT(multilingual_mobile_app_reviews_2025[[#This Row],[Review_date]],"dd-mm-yyyy")</f>
        <v>23-08-2024</v>
      </c>
      <c r="J1264" s="7" t="str">
        <f>TEXT(multilingual_mobile_app_reviews_2025[[#This Row],[Review_date]],"YYYY")</f>
        <v>2024</v>
      </c>
      <c r="K1264" s="7" t="str">
        <f>TEXT(multilingual_mobile_app_reviews_2025[[#This Row],[Review_date]],"MMMM")</f>
        <v>August</v>
      </c>
      <c r="L1264" s="4" t="b">
        <v>1</v>
      </c>
      <c r="M1264" s="4" t="s">
        <v>98</v>
      </c>
      <c r="N1264" s="5">
        <v>1193</v>
      </c>
      <c r="O1264" s="5">
        <v>53</v>
      </c>
      <c r="P1264" s="4" t="s">
        <v>70</v>
      </c>
      <c r="Q1264" s="8" t="s">
        <v>29</v>
      </c>
      <c r="R1264" s="4" t="s">
        <v>1575</v>
      </c>
      <c r="S1264" s="4"/>
      <c r="T1264"/>
      <c r="U1264" s="23"/>
    </row>
    <row r="1265" spans="1:21" ht="15.6" x14ac:dyDescent="0.3">
      <c r="A1265" s="4">
        <v>1264</v>
      </c>
      <c r="B1265" s="5">
        <v>2960131</v>
      </c>
      <c r="C1265" s="4" t="s">
        <v>123</v>
      </c>
      <c r="D1265" s="4" t="s">
        <v>111</v>
      </c>
      <c r="E1265" s="4" t="s">
        <v>130</v>
      </c>
      <c r="F1265" s="4" t="s">
        <v>2950</v>
      </c>
      <c r="G1265" s="6">
        <v>4.2</v>
      </c>
      <c r="H1265" s="7">
        <v>45567.462500000001</v>
      </c>
      <c r="I1265" s="7" t="str">
        <f>TEXT(multilingual_mobile_app_reviews_2025[[#This Row],[Review_date]],"dd-mm-yyyy")</f>
        <v>02-10-2024</v>
      </c>
      <c r="J1265" s="7" t="str">
        <f>TEXT(multilingual_mobile_app_reviews_2025[[#This Row],[Review_date]],"YYYY")</f>
        <v>2024</v>
      </c>
      <c r="K1265" s="7" t="str">
        <f>TEXT(multilingual_mobile_app_reviews_2025[[#This Row],[Review_date]],"MMMM")</f>
        <v>October</v>
      </c>
      <c r="L1265" s="4" t="b">
        <v>1</v>
      </c>
      <c r="M1265" s="4" t="s">
        <v>98</v>
      </c>
      <c r="N1265" s="5">
        <v>474</v>
      </c>
      <c r="O1265" s="5">
        <v>65</v>
      </c>
      <c r="P1265" s="4" t="s">
        <v>90</v>
      </c>
      <c r="Q1265" s="8" t="s">
        <v>29</v>
      </c>
      <c r="R1265" s="4" t="s">
        <v>1576</v>
      </c>
      <c r="S1265" s="4"/>
      <c r="T1265"/>
      <c r="U1265" s="23"/>
    </row>
    <row r="1266" spans="1:21" ht="15.6" x14ac:dyDescent="0.3">
      <c r="A1266" s="4">
        <v>1265</v>
      </c>
      <c r="B1266" s="5">
        <v>9590989</v>
      </c>
      <c r="C1266" s="4" t="s">
        <v>208</v>
      </c>
      <c r="D1266" s="4" t="s">
        <v>60</v>
      </c>
      <c r="E1266" s="4" t="s">
        <v>130</v>
      </c>
      <c r="F1266" s="4" t="s">
        <v>2943</v>
      </c>
      <c r="G1266" s="6">
        <v>2.8</v>
      </c>
      <c r="H1266" s="7">
        <v>45660.972453703704</v>
      </c>
      <c r="I1266" s="7" t="str">
        <f>TEXT(multilingual_mobile_app_reviews_2025[[#This Row],[Review_date]],"dd-mm-yyyy")</f>
        <v>03-01-2025</v>
      </c>
      <c r="J1266" s="7" t="str">
        <f>TEXT(multilingual_mobile_app_reviews_2025[[#This Row],[Review_date]],"YYYY")</f>
        <v>2025</v>
      </c>
      <c r="K1266" s="7" t="str">
        <f>TEXT(multilingual_mobile_app_reviews_2025[[#This Row],[Review_date]],"MMMM")</f>
        <v>January</v>
      </c>
      <c r="L1266" s="4" t="b">
        <v>0</v>
      </c>
      <c r="M1266" s="4" t="s">
        <v>22</v>
      </c>
      <c r="N1266" s="5">
        <v>1231</v>
      </c>
      <c r="O1266" s="5">
        <v>71</v>
      </c>
      <c r="P1266" s="4" t="s">
        <v>61</v>
      </c>
      <c r="Q1266" s="8" t="s">
        <v>5</v>
      </c>
      <c r="R1266" s="4" t="s">
        <v>1577</v>
      </c>
      <c r="S1266" s="4"/>
      <c r="T1266"/>
      <c r="U1266" s="23"/>
    </row>
    <row r="1267" spans="1:21" ht="15.6" x14ac:dyDescent="0.3">
      <c r="A1267" s="4">
        <v>1266</v>
      </c>
      <c r="B1267" s="5">
        <v>9581479</v>
      </c>
      <c r="C1267" s="4" t="s">
        <v>113</v>
      </c>
      <c r="D1267" s="4" t="s">
        <v>63</v>
      </c>
      <c r="E1267" s="4" t="s">
        <v>21</v>
      </c>
      <c r="F1267" s="4" t="s">
        <v>2956</v>
      </c>
      <c r="G1267" s="6">
        <v>1.7</v>
      </c>
      <c r="H1267" s="7">
        <v>45275.215555555558</v>
      </c>
      <c r="I1267" s="7" t="str">
        <f>TEXT(multilingual_mobile_app_reviews_2025[[#This Row],[Review_date]],"dd-mm-yyyy")</f>
        <v>15-12-2023</v>
      </c>
      <c r="J1267" s="7" t="str">
        <f>TEXT(multilingual_mobile_app_reviews_2025[[#This Row],[Review_date]],"YYYY")</f>
        <v>2023</v>
      </c>
      <c r="K1267" s="7" t="str">
        <f>TEXT(multilingual_mobile_app_reviews_2025[[#This Row],[Review_date]],"MMMM")</f>
        <v>December</v>
      </c>
      <c r="L1267" s="4" t="b">
        <v>1</v>
      </c>
      <c r="M1267" s="4" t="s">
        <v>22</v>
      </c>
      <c r="N1267" s="5">
        <v>464</v>
      </c>
      <c r="O1267" s="5">
        <v>24</v>
      </c>
      <c r="P1267" s="4" t="s">
        <v>114</v>
      </c>
      <c r="Q1267" s="8" t="s">
        <v>12</v>
      </c>
      <c r="R1267" s="4" t="s">
        <v>1578</v>
      </c>
      <c r="S1267" s="4"/>
      <c r="T1267"/>
      <c r="U1267" s="23"/>
    </row>
    <row r="1268" spans="1:21" ht="15.6" x14ac:dyDescent="0.3">
      <c r="A1268" s="4">
        <v>1267</v>
      </c>
      <c r="B1268" s="5">
        <v>9967764</v>
      </c>
      <c r="C1268" s="4" t="s">
        <v>87</v>
      </c>
      <c r="D1268" s="4" t="s">
        <v>51</v>
      </c>
      <c r="E1268" s="4" t="s">
        <v>1579</v>
      </c>
      <c r="F1268" s="4" t="s">
        <v>2962</v>
      </c>
      <c r="G1268" s="6">
        <v>4.2</v>
      </c>
      <c r="H1268" s="7">
        <v>45667.578333333331</v>
      </c>
      <c r="I1268" s="7" t="str">
        <f>TEXT(multilingual_mobile_app_reviews_2025[[#This Row],[Review_date]],"dd-mm-yyyy")</f>
        <v>10-01-2025</v>
      </c>
      <c r="J1268" s="7" t="str">
        <f>TEXT(multilingual_mobile_app_reviews_2025[[#This Row],[Review_date]],"YYYY")</f>
        <v>2025</v>
      </c>
      <c r="K1268" s="7" t="str">
        <f>TEXT(multilingual_mobile_app_reviews_2025[[#This Row],[Review_date]],"MMMM")</f>
        <v>January</v>
      </c>
      <c r="L1268" s="4" t="b">
        <v>1</v>
      </c>
      <c r="M1268" s="4" t="s">
        <v>3</v>
      </c>
      <c r="N1268" s="5">
        <v>521</v>
      </c>
      <c r="O1268" s="5">
        <v>37</v>
      </c>
      <c r="P1268" s="4" t="s">
        <v>65</v>
      </c>
      <c r="Q1268" s="8" t="s">
        <v>12</v>
      </c>
      <c r="R1268" s="4" t="s">
        <v>1580</v>
      </c>
      <c r="S1268" s="4"/>
      <c r="T1268"/>
      <c r="U1268" s="23"/>
    </row>
    <row r="1269" spans="1:21" ht="15.6" x14ac:dyDescent="0.3">
      <c r="A1269" s="4">
        <v>1268</v>
      </c>
      <c r="B1269" s="5">
        <v>7715616</v>
      </c>
      <c r="C1269" s="4" t="s">
        <v>0</v>
      </c>
      <c r="D1269" s="4" t="s">
        <v>60</v>
      </c>
      <c r="E1269" s="4" t="s">
        <v>9</v>
      </c>
      <c r="F1269" s="4" t="s">
        <v>2939</v>
      </c>
      <c r="G1269" s="6">
        <v>4.8</v>
      </c>
      <c r="H1269" s="7">
        <v>45140.396736111114</v>
      </c>
      <c r="I1269" s="7" t="str">
        <f>TEXT(multilingual_mobile_app_reviews_2025[[#This Row],[Review_date]],"dd-mm-yyyy")</f>
        <v>02-08-2023</v>
      </c>
      <c r="J1269" s="7" t="str">
        <f>TEXT(multilingual_mobile_app_reviews_2025[[#This Row],[Review_date]],"YYYY")</f>
        <v>2023</v>
      </c>
      <c r="K1269" s="7" t="str">
        <f>TEXT(multilingual_mobile_app_reviews_2025[[#This Row],[Review_date]],"MMMM")</f>
        <v>August</v>
      </c>
      <c r="L1269" s="4" t="b">
        <v>1</v>
      </c>
      <c r="M1269" s="4" t="s">
        <v>22</v>
      </c>
      <c r="N1269" s="5">
        <v>157</v>
      </c>
      <c r="O1269" s="5">
        <v>45</v>
      </c>
      <c r="P1269" s="4" t="s">
        <v>94</v>
      </c>
      <c r="Q1269" s="8" t="s">
        <v>12</v>
      </c>
      <c r="R1269" s="4" t="s">
        <v>1581</v>
      </c>
      <c r="S1269" s="4"/>
      <c r="T1269"/>
      <c r="U1269" s="23"/>
    </row>
    <row r="1270" spans="1:21" ht="15.6" x14ac:dyDescent="0.3">
      <c r="A1270" s="4">
        <v>1269</v>
      </c>
      <c r="B1270" s="5">
        <v>970113</v>
      </c>
      <c r="C1270" s="4" t="s">
        <v>134</v>
      </c>
      <c r="D1270" s="4" t="s">
        <v>8</v>
      </c>
      <c r="E1270" s="4" t="s">
        <v>109</v>
      </c>
      <c r="F1270" s="4" t="s">
        <v>2958</v>
      </c>
      <c r="G1270" s="6">
        <v>3.4</v>
      </c>
      <c r="H1270" s="7">
        <v>45802.090787037036</v>
      </c>
      <c r="I1270" s="7" t="str">
        <f>TEXT(multilingual_mobile_app_reviews_2025[[#This Row],[Review_date]],"dd-mm-yyyy")</f>
        <v>25-05-2025</v>
      </c>
      <c r="J1270" s="7" t="str">
        <f>TEXT(multilingual_mobile_app_reviews_2025[[#This Row],[Review_date]],"YYYY")</f>
        <v>2025</v>
      </c>
      <c r="K1270" s="7" t="str">
        <f>TEXT(multilingual_mobile_app_reviews_2025[[#This Row],[Review_date]],"MMMM")</f>
        <v>May</v>
      </c>
      <c r="L1270" s="4" t="b">
        <v>1</v>
      </c>
      <c r="M1270" s="4" t="s">
        <v>33</v>
      </c>
      <c r="N1270" s="5">
        <v>416</v>
      </c>
      <c r="O1270" s="5">
        <v>57</v>
      </c>
      <c r="P1270" s="4" t="s">
        <v>99</v>
      </c>
      <c r="Q1270" s="8" t="s">
        <v>29</v>
      </c>
      <c r="R1270" s="4" t="s">
        <v>1582</v>
      </c>
      <c r="S1270" s="4"/>
      <c r="T1270"/>
      <c r="U1270" s="23"/>
    </row>
    <row r="1271" spans="1:21" ht="15.6" x14ac:dyDescent="0.3">
      <c r="A1271" s="4">
        <v>1270</v>
      </c>
      <c r="B1271" s="5">
        <v>7356954</v>
      </c>
      <c r="C1271" s="4" t="s">
        <v>56</v>
      </c>
      <c r="D1271" s="4" t="s">
        <v>15</v>
      </c>
      <c r="E1271" s="4" t="s">
        <v>9</v>
      </c>
      <c r="F1271" s="4" t="s">
        <v>2961</v>
      </c>
      <c r="G1271" s="6">
        <v>1.1000000000000001</v>
      </c>
      <c r="H1271" s="7">
        <v>45794.697743055556</v>
      </c>
      <c r="I1271" s="7" t="str">
        <f>TEXT(multilingual_mobile_app_reviews_2025[[#This Row],[Review_date]],"dd-mm-yyyy")</f>
        <v>17-05-2025</v>
      </c>
      <c r="J1271" s="7" t="str">
        <f>TEXT(multilingual_mobile_app_reviews_2025[[#This Row],[Review_date]],"YYYY")</f>
        <v>2025</v>
      </c>
      <c r="K1271" s="7" t="str">
        <f>TEXT(multilingual_mobile_app_reviews_2025[[#This Row],[Review_date]],"MMMM")</f>
        <v>May</v>
      </c>
      <c r="L1271" s="4" t="b">
        <v>1</v>
      </c>
      <c r="M1271" s="4" t="s">
        <v>33</v>
      </c>
      <c r="N1271" s="5">
        <v>787</v>
      </c>
      <c r="O1271" s="5">
        <v>58</v>
      </c>
      <c r="P1271" s="4" t="s">
        <v>65</v>
      </c>
      <c r="Q1271" s="8" t="s">
        <v>12</v>
      </c>
      <c r="R1271" s="4" t="s">
        <v>806</v>
      </c>
      <c r="S1271" s="4"/>
      <c r="T1271"/>
      <c r="U1271" s="23"/>
    </row>
    <row r="1272" spans="1:21" ht="15.6" x14ac:dyDescent="0.3">
      <c r="A1272" s="4">
        <v>1271</v>
      </c>
      <c r="B1272" s="5">
        <v>4697554</v>
      </c>
      <c r="C1272" s="4" t="s">
        <v>101</v>
      </c>
      <c r="D1272" s="4" t="s">
        <v>157</v>
      </c>
      <c r="E1272" s="4" t="s">
        <v>1583</v>
      </c>
      <c r="F1272" s="4" t="s">
        <v>2953</v>
      </c>
      <c r="G1272" s="6">
        <v>2.1</v>
      </c>
      <c r="H1272" s="7">
        <v>45398.851967592593</v>
      </c>
      <c r="I1272" s="7" t="str">
        <f>TEXT(multilingual_mobile_app_reviews_2025[[#This Row],[Review_date]],"dd-mm-yyyy")</f>
        <v>16-04-2024</v>
      </c>
      <c r="J1272" s="7" t="str">
        <f>TEXT(multilingual_mobile_app_reviews_2025[[#This Row],[Review_date]],"YYYY")</f>
        <v>2024</v>
      </c>
      <c r="K1272" s="7" t="str">
        <f>TEXT(multilingual_mobile_app_reviews_2025[[#This Row],[Review_date]],"MMMM")</f>
        <v>April</v>
      </c>
      <c r="L1272" s="4" t="b">
        <v>1</v>
      </c>
      <c r="M1272" s="4" t="s">
        <v>98</v>
      </c>
      <c r="N1272" s="5">
        <v>275</v>
      </c>
      <c r="O1272" s="5">
        <v>63</v>
      </c>
      <c r="P1272" s="4" t="s">
        <v>180</v>
      </c>
      <c r="Q1272" s="8" t="s">
        <v>5</v>
      </c>
      <c r="R1272" s="4" t="s">
        <v>239</v>
      </c>
      <c r="S1272" s="4"/>
      <c r="T1272"/>
      <c r="U1272" s="23"/>
    </row>
    <row r="1273" spans="1:21" ht="15.6" x14ac:dyDescent="0.3">
      <c r="A1273" s="4">
        <v>1272</v>
      </c>
      <c r="B1273" s="5">
        <v>9693541</v>
      </c>
      <c r="C1273" s="4" t="s">
        <v>113</v>
      </c>
      <c r="D1273" s="4" t="s">
        <v>57</v>
      </c>
      <c r="E1273" s="4" t="s">
        <v>109</v>
      </c>
      <c r="F1273" s="4" t="s">
        <v>2942</v>
      </c>
      <c r="G1273" s="6">
        <v>2.9</v>
      </c>
      <c r="H1273" s="7">
        <v>45766.216365740744</v>
      </c>
      <c r="I1273" s="7" t="str">
        <f>TEXT(multilingual_mobile_app_reviews_2025[[#This Row],[Review_date]],"dd-mm-yyyy")</f>
        <v>19-04-2025</v>
      </c>
      <c r="J1273" s="7" t="str">
        <f>TEXT(multilingual_mobile_app_reviews_2025[[#This Row],[Review_date]],"YYYY")</f>
        <v>2025</v>
      </c>
      <c r="K1273" s="7" t="str">
        <f>TEXT(multilingual_mobile_app_reviews_2025[[#This Row],[Review_date]],"MMMM")</f>
        <v>April</v>
      </c>
      <c r="L1273" s="4" t="b">
        <v>1</v>
      </c>
      <c r="M1273" s="4" t="s">
        <v>3</v>
      </c>
      <c r="N1273" s="5">
        <v>147</v>
      </c>
      <c r="O1273" s="5">
        <v>33</v>
      </c>
      <c r="P1273" s="4" t="s">
        <v>180</v>
      </c>
      <c r="Q1273" s="8" t="s">
        <v>2963</v>
      </c>
      <c r="R1273" s="4" t="s">
        <v>1584</v>
      </c>
      <c r="S1273" s="4"/>
      <c r="T1273"/>
      <c r="U1273" s="23"/>
    </row>
    <row r="1274" spans="1:21" ht="15.6" x14ac:dyDescent="0.3">
      <c r="A1274" s="4">
        <v>1273</v>
      </c>
      <c r="B1274" s="5">
        <v>3885409</v>
      </c>
      <c r="C1274" s="4" t="s">
        <v>67</v>
      </c>
      <c r="D1274" s="4" t="s">
        <v>79</v>
      </c>
      <c r="E1274" s="4" t="s">
        <v>21</v>
      </c>
      <c r="F1274" s="4" t="s">
        <v>2951</v>
      </c>
      <c r="G1274" s="6">
        <v>4.5</v>
      </c>
      <c r="H1274" s="7">
        <v>45674.466782407406</v>
      </c>
      <c r="I1274" s="7" t="str">
        <f>TEXT(multilingual_mobile_app_reviews_2025[[#This Row],[Review_date]],"dd-mm-yyyy")</f>
        <v>17-01-2025</v>
      </c>
      <c r="J1274" s="7" t="str">
        <f>TEXT(multilingual_mobile_app_reviews_2025[[#This Row],[Review_date]],"YYYY")</f>
        <v>2025</v>
      </c>
      <c r="K1274" s="7" t="str">
        <f>TEXT(multilingual_mobile_app_reviews_2025[[#This Row],[Review_date]],"MMMM")</f>
        <v>January</v>
      </c>
      <c r="L1274" s="4" t="b">
        <v>1</v>
      </c>
      <c r="M1274" s="4" t="s">
        <v>3</v>
      </c>
      <c r="N1274" s="5">
        <v>107</v>
      </c>
      <c r="O1274" s="5">
        <v>20</v>
      </c>
      <c r="P1274" s="4" t="s">
        <v>34</v>
      </c>
      <c r="Q1274" s="8" t="s">
        <v>29</v>
      </c>
      <c r="R1274" s="4" t="s">
        <v>1585</v>
      </c>
      <c r="S1274" s="4"/>
      <c r="T1274"/>
      <c r="U1274" s="23"/>
    </row>
    <row r="1275" spans="1:21" ht="15.6" x14ac:dyDescent="0.3">
      <c r="A1275" s="4">
        <v>1274</v>
      </c>
      <c r="B1275" s="5">
        <v>1348902</v>
      </c>
      <c r="C1275" s="4" t="s">
        <v>84</v>
      </c>
      <c r="D1275" s="4" t="s">
        <v>15</v>
      </c>
      <c r="E1275" s="4" t="s">
        <v>76</v>
      </c>
      <c r="F1275" s="4" t="s">
        <v>2956</v>
      </c>
      <c r="G1275" s="6">
        <v>1.7</v>
      </c>
      <c r="H1275" s="7">
        <v>45851.129513888889</v>
      </c>
      <c r="I1275" s="7" t="str">
        <f>TEXT(multilingual_mobile_app_reviews_2025[[#This Row],[Review_date]],"dd-mm-yyyy")</f>
        <v>13-07-2025</v>
      </c>
      <c r="J1275" s="7" t="str">
        <f>TEXT(multilingual_mobile_app_reviews_2025[[#This Row],[Review_date]],"YYYY")</f>
        <v>2025</v>
      </c>
      <c r="K1275" s="7" t="str">
        <f>TEXT(multilingual_mobile_app_reviews_2025[[#This Row],[Review_date]],"MMMM")</f>
        <v>July</v>
      </c>
      <c r="L1275" s="4" t="b">
        <v>1</v>
      </c>
      <c r="M1275" s="4" t="s">
        <v>3</v>
      </c>
      <c r="N1275" s="5">
        <v>769</v>
      </c>
      <c r="O1275" s="5">
        <v>67</v>
      </c>
      <c r="P1275" s="4" t="s">
        <v>230</v>
      </c>
      <c r="Q1275" s="8" t="s">
        <v>12</v>
      </c>
      <c r="R1275" s="4" t="s">
        <v>1586</v>
      </c>
      <c r="S1275" s="4"/>
      <c r="T1275"/>
      <c r="U1275" s="23"/>
    </row>
    <row r="1276" spans="1:21" ht="15.6" x14ac:dyDescent="0.3">
      <c r="A1276" s="4">
        <v>1275</v>
      </c>
      <c r="B1276" s="5">
        <v>3403044</v>
      </c>
      <c r="C1276" s="4" t="s">
        <v>46</v>
      </c>
      <c r="D1276" s="4" t="s">
        <v>26</v>
      </c>
      <c r="E1276" s="4" t="s">
        <v>27</v>
      </c>
      <c r="F1276" s="4" t="s">
        <v>2944</v>
      </c>
      <c r="G1276" s="6">
        <v>4.0999999999999996</v>
      </c>
      <c r="H1276" s="7">
        <v>45266.634884259256</v>
      </c>
      <c r="I1276" s="7" t="str">
        <f>TEXT(multilingual_mobile_app_reviews_2025[[#This Row],[Review_date]],"dd-mm-yyyy")</f>
        <v>06-12-2023</v>
      </c>
      <c r="J1276" s="7" t="str">
        <f>TEXT(multilingual_mobile_app_reviews_2025[[#This Row],[Review_date]],"YYYY")</f>
        <v>2023</v>
      </c>
      <c r="K1276" s="7" t="str">
        <f>TEXT(multilingual_mobile_app_reviews_2025[[#This Row],[Review_date]],"MMMM")</f>
        <v>December</v>
      </c>
      <c r="L1276" s="4" t="b">
        <v>1</v>
      </c>
      <c r="M1276" s="4" t="s">
        <v>10</v>
      </c>
      <c r="N1276" s="5">
        <v>1125</v>
      </c>
      <c r="O1276" s="5">
        <v>38</v>
      </c>
      <c r="P1276" s="4" t="s">
        <v>99</v>
      </c>
      <c r="Q1276" s="8" t="s">
        <v>2963</v>
      </c>
      <c r="R1276" s="4" t="s">
        <v>1587</v>
      </c>
      <c r="S1276" s="4"/>
      <c r="T1276"/>
      <c r="U1276" s="23"/>
    </row>
    <row r="1277" spans="1:21" ht="15.6" x14ac:dyDescent="0.3">
      <c r="A1277" s="4">
        <v>1276</v>
      </c>
      <c r="B1277" s="5">
        <v>5314457</v>
      </c>
      <c r="C1277" s="4" t="s">
        <v>67</v>
      </c>
      <c r="D1277" s="4" t="s">
        <v>8</v>
      </c>
      <c r="E1277" s="4" t="s">
        <v>1588</v>
      </c>
      <c r="F1277" s="4" t="s">
        <v>2943</v>
      </c>
      <c r="G1277" s="6">
        <v>3.7</v>
      </c>
      <c r="H1277" s="7">
        <v>45599.110520833332</v>
      </c>
      <c r="I1277" s="7" t="str">
        <f>TEXT(multilingual_mobile_app_reviews_2025[[#This Row],[Review_date]],"dd-mm-yyyy")</f>
        <v>03-11-2024</v>
      </c>
      <c r="J1277" s="7" t="str">
        <f>TEXT(multilingual_mobile_app_reviews_2025[[#This Row],[Review_date]],"YYYY")</f>
        <v>2024</v>
      </c>
      <c r="K1277" s="7" t="str">
        <f>TEXT(multilingual_mobile_app_reviews_2025[[#This Row],[Review_date]],"MMMM")</f>
        <v>November</v>
      </c>
      <c r="L1277" s="4" t="b">
        <v>0</v>
      </c>
      <c r="M1277" s="4" t="s">
        <v>10</v>
      </c>
      <c r="N1277" s="5">
        <v>1188</v>
      </c>
      <c r="O1277" s="5">
        <v>66</v>
      </c>
      <c r="P1277" s="4" t="s">
        <v>127</v>
      </c>
      <c r="Q1277" s="8" t="s">
        <v>5</v>
      </c>
      <c r="R1277" s="4" t="s">
        <v>1589</v>
      </c>
      <c r="S1277" s="4"/>
      <c r="T1277"/>
      <c r="U1277" s="23"/>
    </row>
    <row r="1278" spans="1:21" ht="15.6" x14ac:dyDescent="0.3">
      <c r="A1278" s="4">
        <v>1277</v>
      </c>
      <c r="B1278" s="5">
        <v>5708665</v>
      </c>
      <c r="C1278" s="4" t="s">
        <v>69</v>
      </c>
      <c r="D1278" s="4" t="s">
        <v>26</v>
      </c>
      <c r="E1278" s="4" t="s">
        <v>9</v>
      </c>
      <c r="F1278" s="4" t="s">
        <v>2962</v>
      </c>
      <c r="G1278" s="6">
        <v>2</v>
      </c>
      <c r="H1278" s="7">
        <v>45791.719814814816</v>
      </c>
      <c r="I1278" s="7" t="str">
        <f>TEXT(multilingual_mobile_app_reviews_2025[[#This Row],[Review_date]],"dd-mm-yyyy")</f>
        <v>14-05-2025</v>
      </c>
      <c r="J1278" s="7" t="str">
        <f>TEXT(multilingual_mobile_app_reviews_2025[[#This Row],[Review_date]],"YYYY")</f>
        <v>2025</v>
      </c>
      <c r="K1278" s="7" t="str">
        <f>TEXT(multilingual_mobile_app_reviews_2025[[#This Row],[Review_date]],"MMMM")</f>
        <v>May</v>
      </c>
      <c r="L1278" s="4" t="b">
        <v>1</v>
      </c>
      <c r="M1278" s="4" t="s">
        <v>3</v>
      </c>
      <c r="N1278" s="5">
        <v>891</v>
      </c>
      <c r="O1278" s="5">
        <v>40</v>
      </c>
      <c r="P1278" s="4" t="s">
        <v>80</v>
      </c>
      <c r="Q1278" s="8" t="s">
        <v>2963</v>
      </c>
      <c r="R1278" s="4" t="s">
        <v>1590</v>
      </c>
      <c r="S1278" s="4"/>
      <c r="T1278"/>
      <c r="U1278" s="23"/>
    </row>
    <row r="1279" spans="1:21" ht="15.6" x14ac:dyDescent="0.3">
      <c r="A1279" s="4">
        <v>1278</v>
      </c>
      <c r="B1279" s="5">
        <v>4246548</v>
      </c>
      <c r="C1279" s="4" t="s">
        <v>56</v>
      </c>
      <c r="D1279" s="4" t="s">
        <v>60</v>
      </c>
      <c r="E1279" s="4" t="s">
        <v>16</v>
      </c>
      <c r="F1279" s="4" t="s">
        <v>2941</v>
      </c>
      <c r="G1279" s="6">
        <v>2</v>
      </c>
      <c r="H1279" s="7">
        <v>45222.6405787037</v>
      </c>
      <c r="I1279" s="7" t="str">
        <f>TEXT(multilingual_mobile_app_reviews_2025[[#This Row],[Review_date]],"dd-mm-yyyy")</f>
        <v>23-10-2023</v>
      </c>
      <c r="J1279" s="7" t="str">
        <f>TEXT(multilingual_mobile_app_reviews_2025[[#This Row],[Review_date]],"YYYY")</f>
        <v>2023</v>
      </c>
      <c r="K1279" s="7" t="str">
        <f>TEXT(multilingual_mobile_app_reviews_2025[[#This Row],[Review_date]],"MMMM")</f>
        <v>October</v>
      </c>
      <c r="L1279" s="4" t="b">
        <v>1</v>
      </c>
      <c r="M1279" s="4" t="s">
        <v>3</v>
      </c>
      <c r="N1279" s="5">
        <v>985</v>
      </c>
      <c r="O1279" s="5">
        <v>47</v>
      </c>
      <c r="P1279" s="4" t="s">
        <v>2963</v>
      </c>
      <c r="Q1279" s="8" t="s">
        <v>5</v>
      </c>
      <c r="R1279" s="4" t="s">
        <v>1591</v>
      </c>
      <c r="S1279" s="4"/>
      <c r="T1279"/>
      <c r="U1279" s="23"/>
    </row>
    <row r="1280" spans="1:21" ht="15.6" x14ac:dyDescent="0.3">
      <c r="A1280" s="4">
        <v>1279</v>
      </c>
      <c r="B1280" s="5">
        <v>4099003</v>
      </c>
      <c r="C1280" s="4" t="s">
        <v>69</v>
      </c>
      <c r="D1280" s="4" t="s">
        <v>1</v>
      </c>
      <c r="E1280" s="4" t="s">
        <v>21</v>
      </c>
      <c r="F1280" s="4" t="s">
        <v>2951</v>
      </c>
      <c r="G1280" s="6">
        <v>3</v>
      </c>
      <c r="H1280" s="7">
        <v>45403.58697916667</v>
      </c>
      <c r="I1280" s="7" t="str">
        <f>TEXT(multilingual_mobile_app_reviews_2025[[#This Row],[Review_date]],"dd-mm-yyyy")</f>
        <v>21-04-2024</v>
      </c>
      <c r="J1280" s="7" t="str">
        <f>TEXT(multilingual_mobile_app_reviews_2025[[#This Row],[Review_date]],"YYYY")</f>
        <v>2024</v>
      </c>
      <c r="K1280" s="7" t="str">
        <f>TEXT(multilingual_mobile_app_reviews_2025[[#This Row],[Review_date]],"MMMM")</f>
        <v>April</v>
      </c>
      <c r="L1280" s="4" t="b">
        <v>1</v>
      </c>
      <c r="M1280" s="4" t="s">
        <v>3</v>
      </c>
      <c r="N1280" s="5">
        <v>108</v>
      </c>
      <c r="O1280" s="5">
        <v>39</v>
      </c>
      <c r="P1280" s="4" t="s">
        <v>38</v>
      </c>
      <c r="Q1280" s="8" t="s">
        <v>2963</v>
      </c>
      <c r="R1280" s="4" t="s">
        <v>1592</v>
      </c>
      <c r="S1280" s="4"/>
      <c r="T1280"/>
      <c r="U1280" s="23"/>
    </row>
    <row r="1281" spans="1:21" ht="15.6" x14ac:dyDescent="0.3">
      <c r="A1281" s="4">
        <v>1280</v>
      </c>
      <c r="B1281" s="5">
        <v>5696685</v>
      </c>
      <c r="C1281" s="4" t="s">
        <v>67</v>
      </c>
      <c r="D1281" s="4" t="s">
        <v>20</v>
      </c>
      <c r="E1281" s="4" t="s">
        <v>109</v>
      </c>
      <c r="F1281" s="4" t="s">
        <v>2952</v>
      </c>
      <c r="G1281" s="6">
        <v>1.8</v>
      </c>
      <c r="H1281" s="7">
        <v>45542.521805555552</v>
      </c>
      <c r="I1281" s="7" t="str">
        <f>TEXT(multilingual_mobile_app_reviews_2025[[#This Row],[Review_date]],"dd-mm-yyyy")</f>
        <v>07-09-2024</v>
      </c>
      <c r="J1281" s="7" t="str">
        <f>TEXT(multilingual_mobile_app_reviews_2025[[#This Row],[Review_date]],"YYYY")</f>
        <v>2024</v>
      </c>
      <c r="K1281" s="7" t="str">
        <f>TEXT(multilingual_mobile_app_reviews_2025[[#This Row],[Review_date]],"MMMM")</f>
        <v>September</v>
      </c>
      <c r="L1281" s="4" t="b">
        <v>1</v>
      </c>
      <c r="M1281" s="4" t="s">
        <v>22</v>
      </c>
      <c r="N1281" s="5">
        <v>1028</v>
      </c>
      <c r="O1281" s="5">
        <v>40</v>
      </c>
      <c r="P1281" s="4" t="s">
        <v>73</v>
      </c>
      <c r="Q1281" s="8" t="s">
        <v>39</v>
      </c>
      <c r="R1281" s="4" t="s">
        <v>1593</v>
      </c>
      <c r="S1281" s="4"/>
      <c r="T1281"/>
      <c r="U1281" s="23"/>
    </row>
    <row r="1282" spans="1:21" ht="15.6" x14ac:dyDescent="0.3">
      <c r="A1282" s="4">
        <v>1281</v>
      </c>
      <c r="B1282" s="5">
        <v>1323240</v>
      </c>
      <c r="C1282" s="4" t="s">
        <v>134</v>
      </c>
      <c r="D1282" s="4" t="s">
        <v>1</v>
      </c>
      <c r="E1282" s="4" t="s">
        <v>16</v>
      </c>
      <c r="F1282" s="4" t="s">
        <v>2954</v>
      </c>
      <c r="G1282" s="6">
        <v>1.3</v>
      </c>
      <c r="H1282" s="7">
        <v>45741.420694444445</v>
      </c>
      <c r="I1282" s="7" t="str">
        <f>TEXT(multilingual_mobile_app_reviews_2025[[#This Row],[Review_date]],"dd-mm-yyyy")</f>
        <v>25-03-2025</v>
      </c>
      <c r="J1282" s="7" t="str">
        <f>TEXT(multilingual_mobile_app_reviews_2025[[#This Row],[Review_date]],"YYYY")</f>
        <v>2025</v>
      </c>
      <c r="K1282" s="7" t="str">
        <f>TEXT(multilingual_mobile_app_reviews_2025[[#This Row],[Review_date]],"MMMM")</f>
        <v>March</v>
      </c>
      <c r="L1282" s="4" t="b">
        <v>1</v>
      </c>
      <c r="M1282" s="4" t="s">
        <v>10</v>
      </c>
      <c r="N1282" s="5">
        <v>1205</v>
      </c>
      <c r="O1282" s="5">
        <v>49</v>
      </c>
      <c r="P1282" s="4" t="s">
        <v>180</v>
      </c>
      <c r="Q1282" s="8" t="s">
        <v>12</v>
      </c>
      <c r="R1282" s="4" t="s">
        <v>1594</v>
      </c>
      <c r="S1282" s="4"/>
      <c r="T1282"/>
      <c r="U1282" s="23"/>
    </row>
    <row r="1283" spans="1:21" ht="15.6" x14ac:dyDescent="0.3">
      <c r="A1283" s="4">
        <v>1282</v>
      </c>
      <c r="B1283" s="5">
        <v>7457303</v>
      </c>
      <c r="C1283" s="4" t="s">
        <v>41</v>
      </c>
      <c r="D1283" s="4" t="s">
        <v>31</v>
      </c>
      <c r="E1283" s="4" t="s">
        <v>9</v>
      </c>
      <c r="F1283" s="4" t="s">
        <v>2953</v>
      </c>
      <c r="G1283" s="6">
        <v>4.5</v>
      </c>
      <c r="H1283" s="7">
        <v>45732.371180555558</v>
      </c>
      <c r="I1283" s="7" t="str">
        <f>TEXT(multilingual_mobile_app_reviews_2025[[#This Row],[Review_date]],"dd-mm-yyyy")</f>
        <v>16-03-2025</v>
      </c>
      <c r="J1283" s="7" t="str">
        <f>TEXT(multilingual_mobile_app_reviews_2025[[#This Row],[Review_date]],"YYYY")</f>
        <v>2025</v>
      </c>
      <c r="K1283" s="7" t="str">
        <f>TEXT(multilingual_mobile_app_reviews_2025[[#This Row],[Review_date]],"MMMM")</f>
        <v>March</v>
      </c>
      <c r="L1283" s="4" t="b">
        <v>1</v>
      </c>
      <c r="M1283" s="4" t="s">
        <v>33</v>
      </c>
      <c r="N1283" s="5">
        <v>267</v>
      </c>
      <c r="O1283" s="5">
        <v>24</v>
      </c>
      <c r="P1283" s="4" t="s">
        <v>94</v>
      </c>
      <c r="Q1283" s="8" t="s">
        <v>5</v>
      </c>
      <c r="R1283" s="4" t="s">
        <v>1595</v>
      </c>
      <c r="S1283" s="4"/>
      <c r="T1283"/>
      <c r="U1283" s="23"/>
    </row>
    <row r="1284" spans="1:21" ht="15.6" x14ac:dyDescent="0.3">
      <c r="A1284" s="4">
        <v>1283</v>
      </c>
      <c r="B1284" s="5">
        <v>7590291</v>
      </c>
      <c r="C1284" s="4" t="s">
        <v>147</v>
      </c>
      <c r="D1284" s="4" t="s">
        <v>63</v>
      </c>
      <c r="E1284" s="4" t="s">
        <v>27</v>
      </c>
      <c r="F1284" s="4" t="s">
        <v>2953</v>
      </c>
      <c r="G1284" s="6">
        <v>3.3</v>
      </c>
      <c r="H1284" s="7">
        <v>45588.54996527778</v>
      </c>
      <c r="I1284" s="7" t="str">
        <f>TEXT(multilingual_mobile_app_reviews_2025[[#This Row],[Review_date]],"dd-mm-yyyy")</f>
        <v>23-10-2024</v>
      </c>
      <c r="J1284" s="7" t="str">
        <f>TEXT(multilingual_mobile_app_reviews_2025[[#This Row],[Review_date]],"YYYY")</f>
        <v>2024</v>
      </c>
      <c r="K1284" s="7" t="str">
        <f>TEXT(multilingual_mobile_app_reviews_2025[[#This Row],[Review_date]],"MMMM")</f>
        <v>October</v>
      </c>
      <c r="L1284" s="4" t="b">
        <v>1</v>
      </c>
      <c r="M1284" s="4" t="s">
        <v>22</v>
      </c>
      <c r="N1284" s="5">
        <v>466</v>
      </c>
      <c r="O1284" s="5">
        <v>54</v>
      </c>
      <c r="P1284" s="4" t="s">
        <v>65</v>
      </c>
      <c r="Q1284" s="8" t="s">
        <v>39</v>
      </c>
      <c r="R1284" s="4" t="s">
        <v>1596</v>
      </c>
      <c r="S1284" s="4"/>
      <c r="T1284"/>
      <c r="U1284" s="23"/>
    </row>
    <row r="1285" spans="1:21" ht="15.6" x14ac:dyDescent="0.3">
      <c r="A1285" s="4">
        <v>1284</v>
      </c>
      <c r="B1285" s="5">
        <v>1535034</v>
      </c>
      <c r="C1285" s="4" t="s">
        <v>137</v>
      </c>
      <c r="D1285" s="4" t="s">
        <v>111</v>
      </c>
      <c r="E1285" s="4" t="s">
        <v>21</v>
      </c>
      <c r="F1285" s="4" t="s">
        <v>2952</v>
      </c>
      <c r="G1285" s="6">
        <v>3</v>
      </c>
      <c r="H1285" s="7">
        <v>45186.015208333331</v>
      </c>
      <c r="I1285" s="7" t="str">
        <f>TEXT(multilingual_mobile_app_reviews_2025[[#This Row],[Review_date]],"dd-mm-yyyy")</f>
        <v>17-09-2023</v>
      </c>
      <c r="J1285" s="7" t="str">
        <f>TEXT(multilingual_mobile_app_reviews_2025[[#This Row],[Review_date]],"YYYY")</f>
        <v>2023</v>
      </c>
      <c r="K1285" s="7" t="str">
        <f>TEXT(multilingual_mobile_app_reviews_2025[[#This Row],[Review_date]],"MMMM")</f>
        <v>September</v>
      </c>
      <c r="L1285" s="4" t="b">
        <v>1</v>
      </c>
      <c r="M1285" s="4" t="s">
        <v>10</v>
      </c>
      <c r="N1285" s="5">
        <v>610</v>
      </c>
      <c r="O1285" s="5">
        <v>52</v>
      </c>
      <c r="P1285" s="4" t="s">
        <v>70</v>
      </c>
      <c r="Q1285" s="8" t="s">
        <v>29</v>
      </c>
      <c r="R1285" s="4" t="s">
        <v>1597</v>
      </c>
      <c r="S1285" s="4"/>
      <c r="T1285"/>
      <c r="U1285" s="23"/>
    </row>
    <row r="1286" spans="1:21" ht="15.6" x14ac:dyDescent="0.3">
      <c r="A1286" s="4">
        <v>1285</v>
      </c>
      <c r="B1286" s="5">
        <v>6431639</v>
      </c>
      <c r="C1286" s="4" t="s">
        <v>92</v>
      </c>
      <c r="D1286" s="4" t="s">
        <v>63</v>
      </c>
      <c r="E1286" s="4" t="s">
        <v>1598</v>
      </c>
      <c r="F1286" s="4" t="s">
        <v>2947</v>
      </c>
      <c r="G1286" s="6">
        <v>3.5</v>
      </c>
      <c r="H1286" s="7">
        <v>45471.397824074076</v>
      </c>
      <c r="I1286" s="7" t="str">
        <f>TEXT(multilingual_mobile_app_reviews_2025[[#This Row],[Review_date]],"dd-mm-yyyy")</f>
        <v>28-06-2024</v>
      </c>
      <c r="J1286" s="7" t="str">
        <f>TEXT(multilingual_mobile_app_reviews_2025[[#This Row],[Review_date]],"YYYY")</f>
        <v>2024</v>
      </c>
      <c r="K1286" s="7" t="str">
        <f>TEXT(multilingual_mobile_app_reviews_2025[[#This Row],[Review_date]],"MMMM")</f>
        <v>June</v>
      </c>
      <c r="L1286" s="4" t="b">
        <v>0</v>
      </c>
      <c r="M1286" s="4" t="s">
        <v>22</v>
      </c>
      <c r="N1286" s="5">
        <v>566</v>
      </c>
      <c r="O1286" s="5">
        <v>55</v>
      </c>
      <c r="P1286" s="4" t="s">
        <v>28</v>
      </c>
      <c r="Q1286" s="8" t="s">
        <v>2963</v>
      </c>
      <c r="R1286" s="4" t="s">
        <v>1599</v>
      </c>
      <c r="S1286" s="4"/>
      <c r="T1286"/>
      <c r="U1286" s="23"/>
    </row>
    <row r="1287" spans="1:21" ht="15.6" x14ac:dyDescent="0.3">
      <c r="A1287" s="4">
        <v>1286</v>
      </c>
      <c r="B1287" s="5">
        <v>1799161</v>
      </c>
      <c r="C1287" s="4" t="s">
        <v>106</v>
      </c>
      <c r="D1287" s="4" t="s">
        <v>26</v>
      </c>
      <c r="E1287" s="4" t="s">
        <v>1600</v>
      </c>
      <c r="F1287" s="4" t="s">
        <v>2944</v>
      </c>
      <c r="G1287" s="6">
        <v>3</v>
      </c>
      <c r="H1287" s="7">
        <v>45148.423090277778</v>
      </c>
      <c r="I1287" s="7" t="str">
        <f>TEXT(multilingual_mobile_app_reviews_2025[[#This Row],[Review_date]],"dd-mm-yyyy")</f>
        <v>10-08-2023</v>
      </c>
      <c r="J1287" s="7" t="str">
        <f>TEXT(multilingual_mobile_app_reviews_2025[[#This Row],[Review_date]],"YYYY")</f>
        <v>2023</v>
      </c>
      <c r="K1287" s="7" t="str">
        <f>TEXT(multilingual_mobile_app_reviews_2025[[#This Row],[Review_date]],"MMMM")</f>
        <v>August</v>
      </c>
      <c r="L1287" s="4" t="b">
        <v>1</v>
      </c>
      <c r="M1287" s="4" t="s">
        <v>3</v>
      </c>
      <c r="N1287" s="5">
        <v>322</v>
      </c>
      <c r="O1287" s="5">
        <v>36</v>
      </c>
      <c r="P1287" s="4" t="s">
        <v>17</v>
      </c>
      <c r="Q1287" s="8" t="s">
        <v>2963</v>
      </c>
      <c r="R1287" s="4" t="s">
        <v>1601</v>
      </c>
      <c r="S1287" s="4"/>
      <c r="T1287"/>
      <c r="U1287" s="23"/>
    </row>
    <row r="1288" spans="1:21" ht="15.6" x14ac:dyDescent="0.3">
      <c r="A1288" s="4">
        <v>1287</v>
      </c>
      <c r="B1288" s="5">
        <v>1233208</v>
      </c>
      <c r="C1288" s="4" t="s">
        <v>258</v>
      </c>
      <c r="D1288" s="4" t="s">
        <v>8</v>
      </c>
      <c r="E1288" s="4" t="s">
        <v>130</v>
      </c>
      <c r="F1288" s="4" t="s">
        <v>2944</v>
      </c>
      <c r="G1288" s="6">
        <v>4.7</v>
      </c>
      <c r="H1288" s="7">
        <v>45599.386828703704</v>
      </c>
      <c r="I1288" s="7" t="str">
        <f>TEXT(multilingual_mobile_app_reviews_2025[[#This Row],[Review_date]],"dd-mm-yyyy")</f>
        <v>03-11-2024</v>
      </c>
      <c r="J1288" s="7" t="str">
        <f>TEXT(multilingual_mobile_app_reviews_2025[[#This Row],[Review_date]],"YYYY")</f>
        <v>2024</v>
      </c>
      <c r="K1288" s="7" t="str">
        <f>TEXT(multilingual_mobile_app_reviews_2025[[#This Row],[Review_date]],"MMMM")</f>
        <v>November</v>
      </c>
      <c r="L1288" s="4" t="b">
        <v>1</v>
      </c>
      <c r="M1288" s="4" t="s">
        <v>3</v>
      </c>
      <c r="N1288" s="5">
        <v>889</v>
      </c>
      <c r="O1288" s="5">
        <v>59</v>
      </c>
      <c r="P1288" s="4" t="s">
        <v>73</v>
      </c>
      <c r="Q1288" s="8" t="s">
        <v>5</v>
      </c>
      <c r="R1288" s="4" t="s">
        <v>1076</v>
      </c>
      <c r="S1288" s="4"/>
      <c r="T1288"/>
      <c r="U1288" s="23"/>
    </row>
    <row r="1289" spans="1:21" ht="15.6" x14ac:dyDescent="0.3">
      <c r="A1289" s="4">
        <v>1288</v>
      </c>
      <c r="B1289" s="5">
        <v>9716903</v>
      </c>
      <c r="C1289" s="4" t="s">
        <v>0</v>
      </c>
      <c r="D1289" s="4" t="s">
        <v>51</v>
      </c>
      <c r="E1289" s="4" t="s">
        <v>32</v>
      </c>
      <c r="F1289" s="4" t="s">
        <v>2947</v>
      </c>
      <c r="G1289" s="6">
        <v>4.7</v>
      </c>
      <c r="H1289" s="7">
        <v>45236.731087962966</v>
      </c>
      <c r="I1289" s="7" t="str">
        <f>TEXT(multilingual_mobile_app_reviews_2025[[#This Row],[Review_date]],"dd-mm-yyyy")</f>
        <v>06-11-2023</v>
      </c>
      <c r="J1289" s="7" t="str">
        <f>TEXT(multilingual_mobile_app_reviews_2025[[#This Row],[Review_date]],"YYYY")</f>
        <v>2023</v>
      </c>
      <c r="K1289" s="7" t="str">
        <f>TEXT(multilingual_mobile_app_reviews_2025[[#This Row],[Review_date]],"MMMM")</f>
        <v>November</v>
      </c>
      <c r="L1289" s="4" t="b">
        <v>0</v>
      </c>
      <c r="M1289" s="4" t="s">
        <v>22</v>
      </c>
      <c r="N1289" s="5">
        <v>609</v>
      </c>
      <c r="O1289" s="5">
        <v>19</v>
      </c>
      <c r="P1289" s="4" t="s">
        <v>73</v>
      </c>
      <c r="Q1289" s="8" t="s">
        <v>29</v>
      </c>
      <c r="R1289" s="4" t="s">
        <v>331</v>
      </c>
      <c r="S1289" s="4"/>
      <c r="T1289"/>
      <c r="U1289" s="23"/>
    </row>
    <row r="1290" spans="1:21" ht="15.6" x14ac:dyDescent="0.3">
      <c r="A1290" s="4">
        <v>1289</v>
      </c>
      <c r="B1290" s="5">
        <v>8637891</v>
      </c>
      <c r="C1290" s="4" t="s">
        <v>89</v>
      </c>
      <c r="D1290" s="4" t="s">
        <v>51</v>
      </c>
      <c r="E1290" s="4" t="s">
        <v>1602</v>
      </c>
      <c r="F1290" s="4" t="s">
        <v>2949</v>
      </c>
      <c r="G1290" s="6">
        <v>2.2999999999999998</v>
      </c>
      <c r="H1290" s="7">
        <v>45645.072488425925</v>
      </c>
      <c r="I1290" s="7" t="str">
        <f>TEXT(multilingual_mobile_app_reviews_2025[[#This Row],[Review_date]],"dd-mm-yyyy")</f>
        <v>19-12-2024</v>
      </c>
      <c r="J1290" s="7" t="str">
        <f>TEXT(multilingual_mobile_app_reviews_2025[[#This Row],[Review_date]],"YYYY")</f>
        <v>2024</v>
      </c>
      <c r="K1290" s="7" t="str">
        <f>TEXT(multilingual_mobile_app_reviews_2025[[#This Row],[Review_date]],"MMMM")</f>
        <v>December</v>
      </c>
      <c r="L1290" s="4" t="b">
        <v>0</v>
      </c>
      <c r="M1290" s="4" t="s">
        <v>3</v>
      </c>
      <c r="N1290" s="5">
        <v>504</v>
      </c>
      <c r="O1290" s="5">
        <v>55</v>
      </c>
      <c r="P1290" s="4" t="s">
        <v>28</v>
      </c>
      <c r="Q1290" s="8" t="s">
        <v>12</v>
      </c>
      <c r="R1290" s="4" t="s">
        <v>619</v>
      </c>
      <c r="S1290" s="4"/>
      <c r="T1290"/>
      <c r="U1290" s="23"/>
    </row>
    <row r="1291" spans="1:21" ht="15.6" x14ac:dyDescent="0.3">
      <c r="A1291" s="4">
        <v>1290</v>
      </c>
      <c r="B1291" s="5">
        <v>6101942</v>
      </c>
      <c r="C1291" s="4" t="s">
        <v>50</v>
      </c>
      <c r="D1291" s="4" t="s">
        <v>8</v>
      </c>
      <c r="E1291" s="4" t="s">
        <v>9</v>
      </c>
      <c r="F1291" s="4" t="s">
        <v>2953</v>
      </c>
      <c r="G1291" s="6">
        <v>3.7</v>
      </c>
      <c r="H1291" s="7">
        <v>45380.585324074076</v>
      </c>
      <c r="I1291" s="7" t="str">
        <f>TEXT(multilingual_mobile_app_reviews_2025[[#This Row],[Review_date]],"dd-mm-yyyy")</f>
        <v>29-03-2024</v>
      </c>
      <c r="J1291" s="7" t="str">
        <f>TEXT(multilingual_mobile_app_reviews_2025[[#This Row],[Review_date]],"YYYY")</f>
        <v>2024</v>
      </c>
      <c r="K1291" s="7" t="str">
        <f>TEXT(multilingual_mobile_app_reviews_2025[[#This Row],[Review_date]],"MMMM")</f>
        <v>March</v>
      </c>
      <c r="L1291" s="4" t="b">
        <v>1</v>
      </c>
      <c r="M1291" s="4" t="s">
        <v>33</v>
      </c>
      <c r="N1291" s="5">
        <v>170</v>
      </c>
      <c r="O1291" s="5">
        <v>19</v>
      </c>
      <c r="P1291" s="4" t="s">
        <v>11</v>
      </c>
      <c r="Q1291" s="8" t="s">
        <v>2963</v>
      </c>
      <c r="R1291" s="4" t="s">
        <v>1603</v>
      </c>
      <c r="S1291" s="4"/>
      <c r="T1291"/>
      <c r="U1291" s="23"/>
    </row>
    <row r="1292" spans="1:21" ht="15.6" x14ac:dyDescent="0.3">
      <c r="A1292" s="4">
        <v>1291</v>
      </c>
      <c r="B1292" s="5">
        <v>9178884</v>
      </c>
      <c r="C1292" s="4" t="s">
        <v>113</v>
      </c>
      <c r="D1292" s="4" t="s">
        <v>60</v>
      </c>
      <c r="E1292" s="4" t="s">
        <v>1604</v>
      </c>
      <c r="F1292" s="4" t="s">
        <v>2942</v>
      </c>
      <c r="G1292" s="6">
        <v>2.1</v>
      </c>
      <c r="H1292" s="7">
        <v>45145.155624999999</v>
      </c>
      <c r="I1292" s="7" t="str">
        <f>TEXT(multilingual_mobile_app_reviews_2025[[#This Row],[Review_date]],"dd-mm-yyyy")</f>
        <v>07-08-2023</v>
      </c>
      <c r="J1292" s="7" t="str">
        <f>TEXT(multilingual_mobile_app_reviews_2025[[#This Row],[Review_date]],"YYYY")</f>
        <v>2023</v>
      </c>
      <c r="K1292" s="7" t="str">
        <f>TEXT(multilingual_mobile_app_reviews_2025[[#This Row],[Review_date]],"MMMM")</f>
        <v>August</v>
      </c>
      <c r="L1292" s="4" t="b">
        <v>1</v>
      </c>
      <c r="M1292" s="4" t="s">
        <v>33</v>
      </c>
      <c r="N1292" s="5">
        <v>867</v>
      </c>
      <c r="O1292" s="5">
        <v>65</v>
      </c>
      <c r="P1292" s="4" t="s">
        <v>99</v>
      </c>
      <c r="Q1292" s="8" t="s">
        <v>2963</v>
      </c>
      <c r="R1292" s="4" t="s">
        <v>899</v>
      </c>
      <c r="S1292" s="4"/>
      <c r="T1292"/>
      <c r="U1292" s="23"/>
    </row>
    <row r="1293" spans="1:21" ht="15.6" x14ac:dyDescent="0.3">
      <c r="A1293" s="4">
        <v>1292</v>
      </c>
      <c r="B1293" s="5">
        <v>9938829</v>
      </c>
      <c r="C1293" s="4" t="s">
        <v>113</v>
      </c>
      <c r="D1293" s="4" t="s">
        <v>1</v>
      </c>
      <c r="E1293" s="4" t="s">
        <v>21</v>
      </c>
      <c r="F1293" s="4" t="s">
        <v>2946</v>
      </c>
      <c r="G1293" s="6">
        <v>2.6</v>
      </c>
      <c r="H1293" s="7">
        <v>45649.710949074077</v>
      </c>
      <c r="I1293" s="7" t="str">
        <f>TEXT(multilingual_mobile_app_reviews_2025[[#This Row],[Review_date]],"dd-mm-yyyy")</f>
        <v>23-12-2024</v>
      </c>
      <c r="J1293" s="7" t="str">
        <f>TEXT(multilingual_mobile_app_reviews_2025[[#This Row],[Review_date]],"YYYY")</f>
        <v>2024</v>
      </c>
      <c r="K1293" s="7" t="str">
        <f>TEXT(multilingual_mobile_app_reviews_2025[[#This Row],[Review_date]],"MMMM")</f>
        <v>December</v>
      </c>
      <c r="L1293" s="4" t="b">
        <v>0</v>
      </c>
      <c r="M1293" s="4" t="s">
        <v>10</v>
      </c>
      <c r="N1293" s="5">
        <v>569</v>
      </c>
      <c r="O1293" s="5">
        <v>66</v>
      </c>
      <c r="P1293" s="4" t="s">
        <v>180</v>
      </c>
      <c r="Q1293" s="8" t="s">
        <v>2963</v>
      </c>
      <c r="R1293" s="4" t="s">
        <v>986</v>
      </c>
      <c r="S1293" s="4"/>
      <c r="T1293"/>
      <c r="U1293" s="23"/>
    </row>
    <row r="1294" spans="1:21" ht="15.6" x14ac:dyDescent="0.3">
      <c r="A1294" s="4">
        <v>1293</v>
      </c>
      <c r="B1294" s="5">
        <v>2525991</v>
      </c>
      <c r="C1294" s="4" t="s">
        <v>159</v>
      </c>
      <c r="D1294" s="4" t="s">
        <v>220</v>
      </c>
      <c r="E1294" s="4" t="s">
        <v>93</v>
      </c>
      <c r="F1294" s="4" t="s">
        <v>2950</v>
      </c>
      <c r="G1294" s="6">
        <v>3.5</v>
      </c>
      <c r="H1294" s="7">
        <v>45183.398206018515</v>
      </c>
      <c r="I1294" s="7" t="str">
        <f>TEXT(multilingual_mobile_app_reviews_2025[[#This Row],[Review_date]],"dd-mm-yyyy")</f>
        <v>14-09-2023</v>
      </c>
      <c r="J1294" s="7" t="str">
        <f>TEXT(multilingual_mobile_app_reviews_2025[[#This Row],[Review_date]],"YYYY")</f>
        <v>2023</v>
      </c>
      <c r="K1294" s="7" t="str">
        <f>TEXT(multilingual_mobile_app_reviews_2025[[#This Row],[Review_date]],"MMMM")</f>
        <v>September</v>
      </c>
      <c r="L1294" s="4" t="b">
        <v>1</v>
      </c>
      <c r="M1294" s="4" t="s">
        <v>10</v>
      </c>
      <c r="N1294" s="5">
        <v>23</v>
      </c>
      <c r="O1294" s="5">
        <v>26</v>
      </c>
      <c r="P1294" s="4" t="s">
        <v>11</v>
      </c>
      <c r="Q1294" s="8" t="s">
        <v>2963</v>
      </c>
      <c r="R1294" s="4" t="s">
        <v>1605</v>
      </c>
      <c r="S1294" s="4"/>
      <c r="T1294"/>
      <c r="U1294" s="23"/>
    </row>
    <row r="1295" spans="1:21" ht="15.6" x14ac:dyDescent="0.3">
      <c r="A1295" s="4">
        <v>1294</v>
      </c>
      <c r="B1295" s="5">
        <v>8607858</v>
      </c>
      <c r="C1295" s="4" t="s">
        <v>7</v>
      </c>
      <c r="D1295" s="4" t="s">
        <v>15</v>
      </c>
      <c r="E1295" s="4" t="s">
        <v>130</v>
      </c>
      <c r="F1295" s="4" t="s">
        <v>2957</v>
      </c>
      <c r="G1295" s="6">
        <v>1.1000000000000001</v>
      </c>
      <c r="H1295" s="7">
        <v>45775.157129629632</v>
      </c>
      <c r="I1295" s="7" t="str">
        <f>TEXT(multilingual_mobile_app_reviews_2025[[#This Row],[Review_date]],"dd-mm-yyyy")</f>
        <v>28-04-2025</v>
      </c>
      <c r="J1295" s="7" t="str">
        <f>TEXT(multilingual_mobile_app_reviews_2025[[#This Row],[Review_date]],"YYYY")</f>
        <v>2025</v>
      </c>
      <c r="K1295" s="7" t="str">
        <f>TEXT(multilingual_mobile_app_reviews_2025[[#This Row],[Review_date]],"MMMM")</f>
        <v>April</v>
      </c>
      <c r="L1295" s="4" t="b">
        <v>1</v>
      </c>
      <c r="M1295" s="4" t="s">
        <v>33</v>
      </c>
      <c r="N1295" s="5">
        <v>459</v>
      </c>
      <c r="O1295" s="5">
        <v>26</v>
      </c>
      <c r="P1295" s="4" t="s">
        <v>73</v>
      </c>
      <c r="Q1295" s="8" t="s">
        <v>5</v>
      </c>
      <c r="R1295" s="4" t="s">
        <v>1606</v>
      </c>
      <c r="S1295" s="4"/>
      <c r="T1295"/>
      <c r="U1295" s="23"/>
    </row>
    <row r="1296" spans="1:21" ht="15.6" x14ac:dyDescent="0.3">
      <c r="A1296" s="4">
        <v>1295</v>
      </c>
      <c r="B1296" s="5">
        <v>1016158</v>
      </c>
      <c r="C1296" s="4" t="s">
        <v>25</v>
      </c>
      <c r="D1296" s="4" t="s">
        <v>42</v>
      </c>
      <c r="E1296" s="4" t="s">
        <v>93</v>
      </c>
      <c r="F1296" s="4" t="s">
        <v>2940</v>
      </c>
      <c r="G1296" s="6">
        <v>4</v>
      </c>
      <c r="H1296" s="7">
        <v>45466.702847222223</v>
      </c>
      <c r="I1296" s="7" t="str">
        <f>TEXT(multilingual_mobile_app_reviews_2025[[#This Row],[Review_date]],"dd-mm-yyyy")</f>
        <v>23-06-2024</v>
      </c>
      <c r="J1296" s="7" t="str">
        <f>TEXT(multilingual_mobile_app_reviews_2025[[#This Row],[Review_date]],"YYYY")</f>
        <v>2024</v>
      </c>
      <c r="K1296" s="7" t="str">
        <f>TEXT(multilingual_mobile_app_reviews_2025[[#This Row],[Review_date]],"MMMM")</f>
        <v>June</v>
      </c>
      <c r="L1296" s="4" t="b">
        <v>1</v>
      </c>
      <c r="M1296" s="4" t="s">
        <v>98</v>
      </c>
      <c r="N1296" s="5">
        <v>398</v>
      </c>
      <c r="O1296" s="5">
        <v>27</v>
      </c>
      <c r="P1296" s="4" t="s">
        <v>17</v>
      </c>
      <c r="Q1296" s="8" t="s">
        <v>39</v>
      </c>
      <c r="R1296" s="4" t="s">
        <v>1607</v>
      </c>
      <c r="S1296" s="4"/>
      <c r="T1296"/>
      <c r="U1296" s="23"/>
    </row>
    <row r="1297" spans="1:21" ht="15.6" x14ac:dyDescent="0.3">
      <c r="A1297" s="4">
        <v>1296</v>
      </c>
      <c r="B1297" s="5">
        <v>3378387</v>
      </c>
      <c r="C1297" s="4" t="s">
        <v>113</v>
      </c>
      <c r="D1297" s="4" t="s">
        <v>111</v>
      </c>
      <c r="E1297" s="4" t="s">
        <v>21</v>
      </c>
      <c r="F1297" s="4" t="s">
        <v>2941</v>
      </c>
      <c r="G1297" s="6">
        <v>3.9</v>
      </c>
      <c r="H1297" s="7">
        <v>45294.511724537035</v>
      </c>
      <c r="I1297" s="7" t="str">
        <f>TEXT(multilingual_mobile_app_reviews_2025[[#This Row],[Review_date]],"dd-mm-yyyy")</f>
        <v>03-01-2024</v>
      </c>
      <c r="J1297" s="7" t="str">
        <f>TEXT(multilingual_mobile_app_reviews_2025[[#This Row],[Review_date]],"YYYY")</f>
        <v>2024</v>
      </c>
      <c r="K1297" s="7" t="str">
        <f>TEXT(multilingual_mobile_app_reviews_2025[[#This Row],[Review_date]],"MMMM")</f>
        <v>January</v>
      </c>
      <c r="L1297" s="4" t="b">
        <v>0</v>
      </c>
      <c r="M1297" s="4" t="s">
        <v>98</v>
      </c>
      <c r="N1297" s="5">
        <v>889</v>
      </c>
      <c r="O1297" s="5">
        <v>44</v>
      </c>
      <c r="P1297" s="4" t="s">
        <v>144</v>
      </c>
      <c r="Q1297" s="8" t="s">
        <v>5</v>
      </c>
      <c r="R1297" s="4" t="s">
        <v>1608</v>
      </c>
      <c r="S1297" s="4"/>
      <c r="T1297"/>
      <c r="U1297" s="23"/>
    </row>
    <row r="1298" spans="1:21" ht="15.6" x14ac:dyDescent="0.3">
      <c r="A1298" s="4">
        <v>1297</v>
      </c>
      <c r="B1298" s="5">
        <v>3476603</v>
      </c>
      <c r="C1298" s="4" t="s">
        <v>96</v>
      </c>
      <c r="D1298" s="4" t="s">
        <v>20</v>
      </c>
      <c r="E1298" s="4" t="s">
        <v>1609</v>
      </c>
      <c r="F1298" s="4" t="s">
        <v>2948</v>
      </c>
      <c r="G1298" s="6">
        <v>3.2</v>
      </c>
      <c r="H1298" s="7">
        <v>45604.727418981478</v>
      </c>
      <c r="I1298" s="7" t="str">
        <f>TEXT(multilingual_mobile_app_reviews_2025[[#This Row],[Review_date]],"dd-mm-yyyy")</f>
        <v>08-11-2024</v>
      </c>
      <c r="J1298" s="7" t="str">
        <f>TEXT(multilingual_mobile_app_reviews_2025[[#This Row],[Review_date]],"YYYY")</f>
        <v>2024</v>
      </c>
      <c r="K1298" s="7" t="str">
        <f>TEXT(multilingual_mobile_app_reviews_2025[[#This Row],[Review_date]],"MMMM")</f>
        <v>November</v>
      </c>
      <c r="L1298" s="4" t="b">
        <v>0</v>
      </c>
      <c r="M1298" s="4" t="s">
        <v>3</v>
      </c>
      <c r="N1298" s="5">
        <v>854</v>
      </c>
      <c r="O1298" s="5">
        <v>72</v>
      </c>
      <c r="P1298" s="4" t="s">
        <v>80</v>
      </c>
      <c r="Q1298" s="8" t="s">
        <v>29</v>
      </c>
      <c r="R1298" s="4" t="s">
        <v>1610</v>
      </c>
      <c r="S1298" s="4"/>
      <c r="T1298"/>
      <c r="U1298" s="23"/>
    </row>
    <row r="1299" spans="1:21" ht="15.6" x14ac:dyDescent="0.3">
      <c r="A1299" s="4">
        <v>1298</v>
      </c>
      <c r="B1299" s="5">
        <v>5655698</v>
      </c>
      <c r="C1299" s="4" t="s">
        <v>78</v>
      </c>
      <c r="D1299" s="4" t="s">
        <v>8</v>
      </c>
      <c r="E1299" s="4" t="s">
        <v>9</v>
      </c>
      <c r="F1299" s="4" t="s">
        <v>2962</v>
      </c>
      <c r="G1299" s="6">
        <v>3.2</v>
      </c>
      <c r="H1299" s="7">
        <v>45800.652974537035</v>
      </c>
      <c r="I1299" s="7" t="str">
        <f>TEXT(multilingual_mobile_app_reviews_2025[[#This Row],[Review_date]],"dd-mm-yyyy")</f>
        <v>23-05-2025</v>
      </c>
      <c r="J1299" s="7" t="str">
        <f>TEXT(multilingual_mobile_app_reviews_2025[[#This Row],[Review_date]],"YYYY")</f>
        <v>2025</v>
      </c>
      <c r="K1299" s="7" t="str">
        <f>TEXT(multilingual_mobile_app_reviews_2025[[#This Row],[Review_date]],"MMMM")</f>
        <v>May</v>
      </c>
      <c r="L1299" s="4" t="b">
        <v>1</v>
      </c>
      <c r="M1299" s="4" t="s">
        <v>22</v>
      </c>
      <c r="N1299" s="5">
        <v>122</v>
      </c>
      <c r="O1299" s="5">
        <v>26</v>
      </c>
      <c r="P1299" s="4" t="s">
        <v>73</v>
      </c>
      <c r="Q1299" s="8" t="s">
        <v>5</v>
      </c>
      <c r="R1299" s="4" t="s">
        <v>1611</v>
      </c>
      <c r="S1299" s="4"/>
      <c r="T1299"/>
      <c r="U1299" s="23"/>
    </row>
    <row r="1300" spans="1:21" ht="15.6" x14ac:dyDescent="0.3">
      <c r="A1300" s="4">
        <v>1299</v>
      </c>
      <c r="B1300" s="5">
        <v>9597530</v>
      </c>
      <c r="C1300" s="4" t="s">
        <v>50</v>
      </c>
      <c r="D1300" s="4" t="s">
        <v>1</v>
      </c>
      <c r="E1300" s="4" t="s">
        <v>130</v>
      </c>
      <c r="F1300" s="4" t="s">
        <v>2942</v>
      </c>
      <c r="G1300" s="6">
        <v>4.4000000000000004</v>
      </c>
      <c r="H1300" s="7">
        <v>45399.593472222223</v>
      </c>
      <c r="I1300" s="7" t="str">
        <f>TEXT(multilingual_mobile_app_reviews_2025[[#This Row],[Review_date]],"dd-mm-yyyy")</f>
        <v>17-04-2024</v>
      </c>
      <c r="J1300" s="7" t="str">
        <f>TEXT(multilingual_mobile_app_reviews_2025[[#This Row],[Review_date]],"YYYY")</f>
        <v>2024</v>
      </c>
      <c r="K1300" s="7" t="str">
        <f>TEXT(multilingual_mobile_app_reviews_2025[[#This Row],[Review_date]],"MMMM")</f>
        <v>April</v>
      </c>
      <c r="L1300" s="4" t="b">
        <v>0</v>
      </c>
      <c r="M1300" s="4" t="s">
        <v>98</v>
      </c>
      <c r="N1300" s="5">
        <v>1014</v>
      </c>
      <c r="O1300" s="5">
        <v>20</v>
      </c>
      <c r="P1300" s="4" t="s">
        <v>127</v>
      </c>
      <c r="Q1300" s="8" t="s">
        <v>5</v>
      </c>
      <c r="R1300" s="4" t="s">
        <v>1612</v>
      </c>
      <c r="S1300" s="4"/>
      <c r="T1300"/>
      <c r="U1300" s="23"/>
    </row>
    <row r="1301" spans="1:21" ht="15.6" x14ac:dyDescent="0.3">
      <c r="A1301" s="4">
        <v>1300</v>
      </c>
      <c r="B1301" s="5">
        <v>5126983</v>
      </c>
      <c r="C1301" s="4" t="s">
        <v>174</v>
      </c>
      <c r="D1301" s="4" t="s">
        <v>71</v>
      </c>
      <c r="E1301" s="4" t="s">
        <v>1613</v>
      </c>
      <c r="F1301" s="4" t="s">
        <v>2956</v>
      </c>
      <c r="G1301" s="6">
        <v>1.4</v>
      </c>
      <c r="H1301" s="7">
        <v>45416.857060185182</v>
      </c>
      <c r="I1301" s="7" t="str">
        <f>TEXT(multilingual_mobile_app_reviews_2025[[#This Row],[Review_date]],"dd-mm-yyyy")</f>
        <v>04-05-2024</v>
      </c>
      <c r="J1301" s="7" t="str">
        <f>TEXT(multilingual_mobile_app_reviews_2025[[#This Row],[Review_date]],"YYYY")</f>
        <v>2024</v>
      </c>
      <c r="K1301" s="7" t="str">
        <f>TEXT(multilingual_mobile_app_reviews_2025[[#This Row],[Review_date]],"MMMM")</f>
        <v>May</v>
      </c>
      <c r="L1301" s="4" t="b">
        <v>1</v>
      </c>
      <c r="M1301" s="4" t="s">
        <v>98</v>
      </c>
      <c r="N1301" s="5">
        <v>244</v>
      </c>
      <c r="O1301" s="5">
        <v>21</v>
      </c>
      <c r="P1301" s="4" t="s">
        <v>34</v>
      </c>
      <c r="Q1301" s="8" t="s">
        <v>29</v>
      </c>
      <c r="R1301" s="4" t="s">
        <v>892</v>
      </c>
      <c r="S1301" s="4"/>
      <c r="T1301"/>
      <c r="U1301" s="23"/>
    </row>
    <row r="1302" spans="1:21" ht="15.6" x14ac:dyDescent="0.3">
      <c r="A1302" s="4">
        <v>1301</v>
      </c>
      <c r="B1302" s="5">
        <v>9406180</v>
      </c>
      <c r="C1302" s="4" t="s">
        <v>137</v>
      </c>
      <c r="D1302" s="4" t="s">
        <v>220</v>
      </c>
      <c r="E1302" s="4" t="s">
        <v>32</v>
      </c>
      <c r="F1302" s="4" t="s">
        <v>2959</v>
      </c>
      <c r="G1302" s="6">
        <v>3.4</v>
      </c>
      <c r="H1302" s="7">
        <v>45228.348437499997</v>
      </c>
      <c r="I1302" s="7" t="str">
        <f>TEXT(multilingual_mobile_app_reviews_2025[[#This Row],[Review_date]],"dd-mm-yyyy")</f>
        <v>29-10-2023</v>
      </c>
      <c r="J1302" s="7" t="str">
        <f>TEXT(multilingual_mobile_app_reviews_2025[[#This Row],[Review_date]],"YYYY")</f>
        <v>2023</v>
      </c>
      <c r="K1302" s="7" t="str">
        <f>TEXT(multilingual_mobile_app_reviews_2025[[#This Row],[Review_date]],"MMMM")</f>
        <v>October</v>
      </c>
      <c r="L1302" s="4" t="b">
        <v>1</v>
      </c>
      <c r="M1302" s="4" t="s">
        <v>22</v>
      </c>
      <c r="N1302" s="5">
        <v>1134</v>
      </c>
      <c r="O1302" s="5">
        <v>63</v>
      </c>
      <c r="P1302" s="4" t="s">
        <v>4</v>
      </c>
      <c r="Q1302" s="8" t="s">
        <v>12</v>
      </c>
      <c r="R1302" s="4" t="s">
        <v>1614</v>
      </c>
      <c r="S1302" s="4"/>
      <c r="T1302"/>
      <c r="U1302" s="23"/>
    </row>
    <row r="1303" spans="1:21" ht="15.6" x14ac:dyDescent="0.3">
      <c r="A1303" s="4">
        <v>1302</v>
      </c>
      <c r="B1303" s="5">
        <v>4975059</v>
      </c>
      <c r="C1303" s="4" t="s">
        <v>14</v>
      </c>
      <c r="D1303" s="4" t="s">
        <v>71</v>
      </c>
      <c r="E1303" s="4" t="s">
        <v>109</v>
      </c>
      <c r="F1303" s="4" t="s">
        <v>2941</v>
      </c>
      <c r="G1303" s="6">
        <v>3.8</v>
      </c>
      <c r="H1303" s="7">
        <v>45480.953368055554</v>
      </c>
      <c r="I1303" s="7" t="str">
        <f>TEXT(multilingual_mobile_app_reviews_2025[[#This Row],[Review_date]],"dd-mm-yyyy")</f>
        <v>07-07-2024</v>
      </c>
      <c r="J1303" s="7" t="str">
        <f>TEXT(multilingual_mobile_app_reviews_2025[[#This Row],[Review_date]],"YYYY")</f>
        <v>2024</v>
      </c>
      <c r="K1303" s="7" t="str">
        <f>TEXT(multilingual_mobile_app_reviews_2025[[#This Row],[Review_date]],"MMMM")</f>
        <v>July</v>
      </c>
      <c r="L1303" s="4" t="b">
        <v>1</v>
      </c>
      <c r="M1303" s="4" t="s">
        <v>98</v>
      </c>
      <c r="N1303" s="5">
        <v>687</v>
      </c>
      <c r="O1303" s="5">
        <v>26</v>
      </c>
      <c r="P1303" s="4" t="s">
        <v>73</v>
      </c>
      <c r="Q1303" s="8" t="s">
        <v>12</v>
      </c>
      <c r="R1303" s="4" t="s">
        <v>1615</v>
      </c>
      <c r="S1303" s="4"/>
      <c r="T1303"/>
      <c r="U1303" s="23"/>
    </row>
    <row r="1304" spans="1:21" ht="15.6" x14ac:dyDescent="0.3">
      <c r="A1304" s="4">
        <v>1303</v>
      </c>
      <c r="B1304" s="5">
        <v>9926187</v>
      </c>
      <c r="C1304" s="4" t="s">
        <v>46</v>
      </c>
      <c r="D1304" s="4" t="s">
        <v>111</v>
      </c>
      <c r="E1304" s="4" t="s">
        <v>130</v>
      </c>
      <c r="F1304" s="4" t="s">
        <v>2961</v>
      </c>
      <c r="G1304" s="6">
        <v>2.2000000000000002</v>
      </c>
      <c r="H1304" s="7">
        <v>45847.800127314818</v>
      </c>
      <c r="I1304" s="7" t="str">
        <f>TEXT(multilingual_mobile_app_reviews_2025[[#This Row],[Review_date]],"dd-mm-yyyy")</f>
        <v>09-07-2025</v>
      </c>
      <c r="J1304" s="7" t="str">
        <f>TEXT(multilingual_mobile_app_reviews_2025[[#This Row],[Review_date]],"YYYY")</f>
        <v>2025</v>
      </c>
      <c r="K1304" s="7" t="str">
        <f>TEXT(multilingual_mobile_app_reviews_2025[[#This Row],[Review_date]],"MMMM")</f>
        <v>July</v>
      </c>
      <c r="L1304" s="4" t="b">
        <v>0</v>
      </c>
      <c r="M1304" s="4" t="s">
        <v>98</v>
      </c>
      <c r="N1304" s="5">
        <v>4</v>
      </c>
      <c r="O1304" s="5">
        <v>21</v>
      </c>
      <c r="P1304" s="4" t="s">
        <v>38</v>
      </c>
      <c r="Q1304" s="8" t="s">
        <v>39</v>
      </c>
      <c r="R1304" s="4" t="s">
        <v>1616</v>
      </c>
      <c r="S1304" s="4"/>
      <c r="T1304"/>
      <c r="U1304" s="23"/>
    </row>
    <row r="1305" spans="1:21" ht="15.6" x14ac:dyDescent="0.3">
      <c r="A1305" s="4">
        <v>1304</v>
      </c>
      <c r="B1305" s="5">
        <v>6138275</v>
      </c>
      <c r="C1305" s="4" t="s">
        <v>137</v>
      </c>
      <c r="D1305" s="4" t="s">
        <v>111</v>
      </c>
      <c r="E1305" s="4" t="s">
        <v>64</v>
      </c>
      <c r="F1305" s="4" t="s">
        <v>2950</v>
      </c>
      <c r="G1305" s="6">
        <v>4.9000000000000004</v>
      </c>
      <c r="H1305" s="7">
        <v>45172.980150462965</v>
      </c>
      <c r="I1305" s="7" t="str">
        <f>TEXT(multilingual_mobile_app_reviews_2025[[#This Row],[Review_date]],"dd-mm-yyyy")</f>
        <v>03-09-2023</v>
      </c>
      <c r="J1305" s="7" t="str">
        <f>TEXT(multilingual_mobile_app_reviews_2025[[#This Row],[Review_date]],"YYYY")</f>
        <v>2023</v>
      </c>
      <c r="K1305" s="7" t="str">
        <f>TEXT(multilingual_mobile_app_reviews_2025[[#This Row],[Review_date]],"MMMM")</f>
        <v>September</v>
      </c>
      <c r="L1305" s="4" t="b">
        <v>1</v>
      </c>
      <c r="M1305" s="4" t="s">
        <v>33</v>
      </c>
      <c r="N1305" s="5">
        <v>452</v>
      </c>
      <c r="O1305" s="5">
        <v>75</v>
      </c>
      <c r="P1305" s="4" t="s">
        <v>23</v>
      </c>
      <c r="Q1305" s="8" t="s">
        <v>12</v>
      </c>
      <c r="R1305" s="4" t="s">
        <v>1617</v>
      </c>
      <c r="S1305" s="4"/>
      <c r="T1305"/>
      <c r="U1305" s="23"/>
    </row>
    <row r="1306" spans="1:21" ht="15.6" x14ac:dyDescent="0.3">
      <c r="A1306" s="4">
        <v>1305</v>
      </c>
      <c r="B1306" s="5">
        <v>3440727</v>
      </c>
      <c r="C1306" s="4" t="s">
        <v>84</v>
      </c>
      <c r="D1306" s="4" t="s">
        <v>15</v>
      </c>
      <c r="E1306" s="4" t="s">
        <v>1618</v>
      </c>
      <c r="F1306" s="4" t="s">
        <v>2946</v>
      </c>
      <c r="G1306" s="6">
        <v>3.6</v>
      </c>
      <c r="H1306" s="7">
        <v>45329.924363425926</v>
      </c>
      <c r="I1306" s="7" t="str">
        <f>TEXT(multilingual_mobile_app_reviews_2025[[#This Row],[Review_date]],"dd-mm-yyyy")</f>
        <v>07-02-2024</v>
      </c>
      <c r="J1306" s="7" t="str">
        <f>TEXT(multilingual_mobile_app_reviews_2025[[#This Row],[Review_date]],"YYYY")</f>
        <v>2024</v>
      </c>
      <c r="K1306" s="7" t="str">
        <f>TEXT(multilingual_mobile_app_reviews_2025[[#This Row],[Review_date]],"MMMM")</f>
        <v>February</v>
      </c>
      <c r="L1306" s="4" t="b">
        <v>1</v>
      </c>
      <c r="M1306" s="4" t="s">
        <v>98</v>
      </c>
      <c r="N1306" s="5">
        <v>933</v>
      </c>
      <c r="O1306" s="5">
        <v>22</v>
      </c>
      <c r="P1306" s="4" t="s">
        <v>11</v>
      </c>
      <c r="Q1306" s="8" t="s">
        <v>2963</v>
      </c>
      <c r="R1306" s="4" t="s">
        <v>1619</v>
      </c>
      <c r="S1306" s="4"/>
      <c r="T1306"/>
      <c r="U1306" s="23"/>
    </row>
    <row r="1307" spans="1:21" ht="15.6" x14ac:dyDescent="0.3">
      <c r="A1307" s="4">
        <v>1306</v>
      </c>
      <c r="B1307" s="5">
        <v>3388125</v>
      </c>
      <c r="C1307" s="4" t="s">
        <v>244</v>
      </c>
      <c r="D1307" s="4" t="s">
        <v>60</v>
      </c>
      <c r="E1307" s="4" t="s">
        <v>27</v>
      </c>
      <c r="F1307" s="4" t="s">
        <v>2939</v>
      </c>
      <c r="G1307" s="6">
        <v>4.9000000000000004</v>
      </c>
      <c r="H1307" s="7">
        <v>45155.571620370371</v>
      </c>
      <c r="I1307" s="7" t="str">
        <f>TEXT(multilingual_mobile_app_reviews_2025[[#This Row],[Review_date]],"dd-mm-yyyy")</f>
        <v>17-08-2023</v>
      </c>
      <c r="J1307" s="7" t="str">
        <f>TEXT(multilingual_mobile_app_reviews_2025[[#This Row],[Review_date]],"YYYY")</f>
        <v>2023</v>
      </c>
      <c r="K1307" s="7" t="str">
        <f>TEXT(multilingual_mobile_app_reviews_2025[[#This Row],[Review_date]],"MMMM")</f>
        <v>August</v>
      </c>
      <c r="L1307" s="4" t="b">
        <v>1</v>
      </c>
      <c r="M1307" s="4" t="s">
        <v>3</v>
      </c>
      <c r="N1307" s="5">
        <v>1042</v>
      </c>
      <c r="O1307" s="5">
        <v>54</v>
      </c>
      <c r="P1307" s="4" t="s">
        <v>90</v>
      </c>
      <c r="Q1307" s="8" t="s">
        <v>5</v>
      </c>
      <c r="R1307" s="4" t="s">
        <v>1620</v>
      </c>
      <c r="S1307" s="4"/>
      <c r="T1307"/>
      <c r="U1307" s="23"/>
    </row>
    <row r="1308" spans="1:21" ht="15.6" x14ac:dyDescent="0.3">
      <c r="A1308" s="4">
        <v>1307</v>
      </c>
      <c r="B1308" s="5">
        <v>4492083</v>
      </c>
      <c r="C1308" s="4" t="s">
        <v>244</v>
      </c>
      <c r="D1308" s="4" t="s">
        <v>42</v>
      </c>
      <c r="E1308" s="4" t="s">
        <v>21</v>
      </c>
      <c r="F1308" s="4" t="s">
        <v>2942</v>
      </c>
      <c r="G1308" s="6">
        <v>2.9</v>
      </c>
      <c r="H1308" s="7">
        <v>45846.200219907405</v>
      </c>
      <c r="I1308" s="7" t="str">
        <f>TEXT(multilingual_mobile_app_reviews_2025[[#This Row],[Review_date]],"dd-mm-yyyy")</f>
        <v>08-07-2025</v>
      </c>
      <c r="J1308" s="7" t="str">
        <f>TEXT(multilingual_mobile_app_reviews_2025[[#This Row],[Review_date]],"YYYY")</f>
        <v>2025</v>
      </c>
      <c r="K1308" s="7" t="str">
        <f>TEXT(multilingual_mobile_app_reviews_2025[[#This Row],[Review_date]],"MMMM")</f>
        <v>July</v>
      </c>
      <c r="L1308" s="4" t="b">
        <v>1</v>
      </c>
      <c r="M1308" s="4" t="s">
        <v>33</v>
      </c>
      <c r="N1308" s="5">
        <v>288</v>
      </c>
      <c r="O1308" s="5">
        <v>13</v>
      </c>
      <c r="P1308" s="4" t="s">
        <v>99</v>
      </c>
      <c r="Q1308" s="8" t="s">
        <v>29</v>
      </c>
      <c r="R1308" s="4" t="s">
        <v>1621</v>
      </c>
      <c r="S1308" s="4"/>
      <c r="T1308"/>
      <c r="U1308" s="23"/>
    </row>
    <row r="1309" spans="1:21" ht="15.6" x14ac:dyDescent="0.3">
      <c r="A1309" s="4">
        <v>1308</v>
      </c>
      <c r="B1309" s="5">
        <v>452216</v>
      </c>
      <c r="C1309" s="4" t="s">
        <v>176</v>
      </c>
      <c r="D1309" s="4" t="s">
        <v>31</v>
      </c>
      <c r="E1309" s="4" t="s">
        <v>76</v>
      </c>
      <c r="F1309" s="4" t="s">
        <v>2962</v>
      </c>
      <c r="G1309" s="6">
        <v>1.1000000000000001</v>
      </c>
      <c r="H1309" s="7">
        <v>45784.681261574071</v>
      </c>
      <c r="I1309" s="7" t="str">
        <f>TEXT(multilingual_mobile_app_reviews_2025[[#This Row],[Review_date]],"dd-mm-yyyy")</f>
        <v>07-05-2025</v>
      </c>
      <c r="J1309" s="7" t="str">
        <f>TEXT(multilingual_mobile_app_reviews_2025[[#This Row],[Review_date]],"YYYY")</f>
        <v>2025</v>
      </c>
      <c r="K1309" s="7" t="str">
        <f>TEXT(multilingual_mobile_app_reviews_2025[[#This Row],[Review_date]],"MMMM")</f>
        <v>May</v>
      </c>
      <c r="L1309" s="4" t="b">
        <v>0</v>
      </c>
      <c r="M1309" s="4" t="s">
        <v>10</v>
      </c>
      <c r="N1309" s="5">
        <v>964</v>
      </c>
      <c r="O1309" s="5">
        <v>33</v>
      </c>
      <c r="P1309" s="4" t="s">
        <v>180</v>
      </c>
      <c r="Q1309" s="8" t="s">
        <v>2963</v>
      </c>
      <c r="R1309" s="4" t="s">
        <v>2963</v>
      </c>
      <c r="S1309" s="4"/>
      <c r="T1309"/>
      <c r="U1309" s="23"/>
    </row>
    <row r="1310" spans="1:21" ht="15.6" x14ac:dyDescent="0.3">
      <c r="A1310" s="4">
        <v>1309</v>
      </c>
      <c r="B1310" s="5">
        <v>2402564</v>
      </c>
      <c r="C1310" s="4" t="s">
        <v>106</v>
      </c>
      <c r="D1310" s="4" t="s">
        <v>63</v>
      </c>
      <c r="E1310" s="4" t="s">
        <v>1622</v>
      </c>
      <c r="F1310" s="4" t="s">
        <v>2942</v>
      </c>
      <c r="G1310" s="6">
        <v>3.8</v>
      </c>
      <c r="H1310" s="7">
        <v>45189.658495370371</v>
      </c>
      <c r="I1310" s="7" t="str">
        <f>TEXT(multilingual_mobile_app_reviews_2025[[#This Row],[Review_date]],"dd-mm-yyyy")</f>
        <v>20-09-2023</v>
      </c>
      <c r="J1310" s="7" t="str">
        <f>TEXT(multilingual_mobile_app_reviews_2025[[#This Row],[Review_date]],"YYYY")</f>
        <v>2023</v>
      </c>
      <c r="K1310" s="7" t="str">
        <f>TEXT(multilingual_mobile_app_reviews_2025[[#This Row],[Review_date]],"MMMM")</f>
        <v>September</v>
      </c>
      <c r="L1310" s="4" t="b">
        <v>1</v>
      </c>
      <c r="M1310" s="4" t="s">
        <v>22</v>
      </c>
      <c r="N1310" s="5">
        <v>710</v>
      </c>
      <c r="O1310" s="5">
        <v>55</v>
      </c>
      <c r="P1310" s="4" t="s">
        <v>118</v>
      </c>
      <c r="Q1310" s="8" t="s">
        <v>39</v>
      </c>
      <c r="R1310" s="4" t="s">
        <v>1623</v>
      </c>
      <c r="S1310" s="4"/>
      <c r="T1310"/>
      <c r="U1310" s="23"/>
    </row>
    <row r="1311" spans="1:21" ht="15.6" x14ac:dyDescent="0.3">
      <c r="A1311" s="4">
        <v>1310</v>
      </c>
      <c r="B1311" s="5">
        <v>2523170</v>
      </c>
      <c r="C1311" s="4" t="s">
        <v>41</v>
      </c>
      <c r="D1311" s="4" t="s">
        <v>31</v>
      </c>
      <c r="E1311" s="4" t="s">
        <v>9</v>
      </c>
      <c r="F1311" s="4" t="s">
        <v>2947</v>
      </c>
      <c r="G1311" s="6">
        <v>3.2</v>
      </c>
      <c r="H1311" s="7">
        <v>45824.509583333333</v>
      </c>
      <c r="I1311" s="7" t="str">
        <f>TEXT(multilingual_mobile_app_reviews_2025[[#This Row],[Review_date]],"dd-mm-yyyy")</f>
        <v>16-06-2025</v>
      </c>
      <c r="J1311" s="7" t="str">
        <f>TEXT(multilingual_mobile_app_reviews_2025[[#This Row],[Review_date]],"YYYY")</f>
        <v>2025</v>
      </c>
      <c r="K1311" s="7" t="str">
        <f>TEXT(multilingual_mobile_app_reviews_2025[[#This Row],[Review_date]],"MMMM")</f>
        <v>June</v>
      </c>
      <c r="L1311" s="4" t="b">
        <v>1</v>
      </c>
      <c r="M1311" s="4" t="s">
        <v>98</v>
      </c>
      <c r="N1311" s="5">
        <v>1226</v>
      </c>
      <c r="O1311" s="5">
        <v>61</v>
      </c>
      <c r="P1311" s="4" t="s">
        <v>70</v>
      </c>
      <c r="Q1311" s="8" t="s">
        <v>2963</v>
      </c>
      <c r="R1311" s="4" t="s">
        <v>1624</v>
      </c>
      <c r="S1311" s="4"/>
      <c r="T1311"/>
      <c r="U1311" s="23"/>
    </row>
    <row r="1312" spans="1:21" ht="15.6" x14ac:dyDescent="0.3">
      <c r="A1312" s="4">
        <v>1311</v>
      </c>
      <c r="B1312" s="5">
        <v>3281650</v>
      </c>
      <c r="C1312" s="4" t="s">
        <v>123</v>
      </c>
      <c r="D1312" s="4" t="s">
        <v>1</v>
      </c>
      <c r="E1312" s="4" t="s">
        <v>93</v>
      </c>
      <c r="F1312" s="4" t="s">
        <v>2954</v>
      </c>
      <c r="G1312" s="6">
        <v>4.5</v>
      </c>
      <c r="H1312" s="7">
        <v>45287.76152777778</v>
      </c>
      <c r="I1312" s="7" t="str">
        <f>TEXT(multilingual_mobile_app_reviews_2025[[#This Row],[Review_date]],"dd-mm-yyyy")</f>
        <v>27-12-2023</v>
      </c>
      <c r="J1312" s="7" t="str">
        <f>TEXT(multilingual_mobile_app_reviews_2025[[#This Row],[Review_date]],"YYYY")</f>
        <v>2023</v>
      </c>
      <c r="K1312" s="7" t="str">
        <f>TEXT(multilingual_mobile_app_reviews_2025[[#This Row],[Review_date]],"MMMM")</f>
        <v>December</v>
      </c>
      <c r="L1312" s="4" t="b">
        <v>1</v>
      </c>
      <c r="M1312" s="4" t="s">
        <v>22</v>
      </c>
      <c r="N1312" s="5">
        <v>1045</v>
      </c>
      <c r="O1312" s="5">
        <v>61</v>
      </c>
      <c r="P1312" s="4" t="s">
        <v>80</v>
      </c>
      <c r="Q1312" s="8" t="s">
        <v>39</v>
      </c>
      <c r="R1312" s="4" t="s">
        <v>1625</v>
      </c>
      <c r="S1312" s="4"/>
      <c r="T1312"/>
      <c r="U1312" s="23"/>
    </row>
    <row r="1313" spans="1:21" ht="15.6" x14ac:dyDescent="0.3">
      <c r="A1313" s="4">
        <v>1312</v>
      </c>
      <c r="B1313" s="5">
        <v>6445068</v>
      </c>
      <c r="C1313" s="4" t="s">
        <v>174</v>
      </c>
      <c r="D1313" s="4" t="s">
        <v>51</v>
      </c>
      <c r="E1313" s="4" t="s">
        <v>1626</v>
      </c>
      <c r="F1313" s="4" t="s">
        <v>2960</v>
      </c>
      <c r="G1313" s="6">
        <v>1.9</v>
      </c>
      <c r="H1313" s="7">
        <v>45802.537893518522</v>
      </c>
      <c r="I1313" s="7" t="str">
        <f>TEXT(multilingual_mobile_app_reviews_2025[[#This Row],[Review_date]],"dd-mm-yyyy")</f>
        <v>25-05-2025</v>
      </c>
      <c r="J1313" s="7" t="str">
        <f>TEXT(multilingual_mobile_app_reviews_2025[[#This Row],[Review_date]],"YYYY")</f>
        <v>2025</v>
      </c>
      <c r="K1313" s="7" t="str">
        <f>TEXT(multilingual_mobile_app_reviews_2025[[#This Row],[Review_date]],"MMMM")</f>
        <v>May</v>
      </c>
      <c r="L1313" s="4" t="b">
        <v>1</v>
      </c>
      <c r="M1313" s="4" t="s">
        <v>10</v>
      </c>
      <c r="N1313" s="5">
        <v>1019</v>
      </c>
      <c r="O1313" s="5">
        <v>75</v>
      </c>
      <c r="P1313" s="4" t="s">
        <v>34</v>
      </c>
      <c r="Q1313" s="8" t="s">
        <v>12</v>
      </c>
      <c r="R1313" s="4" t="s">
        <v>1627</v>
      </c>
      <c r="S1313" s="4"/>
      <c r="T1313"/>
      <c r="U1313" s="23"/>
    </row>
    <row r="1314" spans="1:21" ht="15.6" x14ac:dyDescent="0.3">
      <c r="A1314" s="4">
        <v>1313</v>
      </c>
      <c r="B1314" s="5">
        <v>5035567</v>
      </c>
      <c r="C1314" s="4" t="s">
        <v>134</v>
      </c>
      <c r="D1314" s="4" t="s">
        <v>8</v>
      </c>
      <c r="E1314" s="4" t="s">
        <v>1628</v>
      </c>
      <c r="F1314" s="4" t="s">
        <v>2960</v>
      </c>
      <c r="G1314" s="6">
        <v>3.4</v>
      </c>
      <c r="H1314" s="7">
        <v>45547.027291666665</v>
      </c>
      <c r="I1314" s="7" t="str">
        <f>TEXT(multilingual_mobile_app_reviews_2025[[#This Row],[Review_date]],"dd-mm-yyyy")</f>
        <v>12-09-2024</v>
      </c>
      <c r="J1314" s="7" t="str">
        <f>TEXT(multilingual_mobile_app_reviews_2025[[#This Row],[Review_date]],"YYYY")</f>
        <v>2024</v>
      </c>
      <c r="K1314" s="7" t="str">
        <f>TEXT(multilingual_mobile_app_reviews_2025[[#This Row],[Review_date]],"MMMM")</f>
        <v>September</v>
      </c>
      <c r="L1314" s="4" t="b">
        <v>0</v>
      </c>
      <c r="M1314" s="4" t="s">
        <v>98</v>
      </c>
      <c r="N1314" s="5">
        <v>653</v>
      </c>
      <c r="O1314" s="5">
        <v>65</v>
      </c>
      <c r="P1314" s="4" t="s">
        <v>73</v>
      </c>
      <c r="Q1314" s="8" t="s">
        <v>2963</v>
      </c>
      <c r="R1314" s="4" t="s">
        <v>1629</v>
      </c>
      <c r="S1314" s="4"/>
      <c r="T1314"/>
      <c r="U1314" s="23"/>
    </row>
    <row r="1315" spans="1:21" ht="15.6" x14ac:dyDescent="0.3">
      <c r="A1315" s="4">
        <v>1314</v>
      </c>
      <c r="B1315" s="5">
        <v>8208379</v>
      </c>
      <c r="C1315" s="4" t="s">
        <v>132</v>
      </c>
      <c r="D1315" s="4" t="s">
        <v>51</v>
      </c>
      <c r="E1315" s="4" t="s">
        <v>1630</v>
      </c>
      <c r="F1315" s="4" t="s">
        <v>2950</v>
      </c>
      <c r="G1315" s="6">
        <v>3.6</v>
      </c>
      <c r="H1315" s="7">
        <v>45566.504629629628</v>
      </c>
      <c r="I1315" s="7" t="str">
        <f>TEXT(multilingual_mobile_app_reviews_2025[[#This Row],[Review_date]],"dd-mm-yyyy")</f>
        <v>01-10-2024</v>
      </c>
      <c r="J1315" s="7" t="str">
        <f>TEXT(multilingual_mobile_app_reviews_2025[[#This Row],[Review_date]],"YYYY")</f>
        <v>2024</v>
      </c>
      <c r="K1315" s="7" t="str">
        <f>TEXT(multilingual_mobile_app_reviews_2025[[#This Row],[Review_date]],"MMMM")</f>
        <v>October</v>
      </c>
      <c r="L1315" s="4" t="b">
        <v>1</v>
      </c>
      <c r="M1315" s="4" t="s">
        <v>10</v>
      </c>
      <c r="N1315" s="5">
        <v>735</v>
      </c>
      <c r="O1315" s="5">
        <v>70</v>
      </c>
      <c r="P1315" s="4" t="s">
        <v>2963</v>
      </c>
      <c r="Q1315" s="8" t="s">
        <v>2963</v>
      </c>
      <c r="R1315" s="4" t="s">
        <v>1631</v>
      </c>
      <c r="S1315" s="4"/>
      <c r="T1315"/>
      <c r="U1315" s="23"/>
    </row>
    <row r="1316" spans="1:21" ht="15.6" x14ac:dyDescent="0.3">
      <c r="A1316" s="4">
        <v>1315</v>
      </c>
      <c r="B1316" s="5">
        <v>2353688</v>
      </c>
      <c r="C1316" s="4" t="s">
        <v>36</v>
      </c>
      <c r="D1316" s="4" t="s">
        <v>157</v>
      </c>
      <c r="E1316" s="4" t="s">
        <v>109</v>
      </c>
      <c r="F1316" s="4" t="s">
        <v>2941</v>
      </c>
      <c r="G1316" s="6">
        <v>2.6</v>
      </c>
      <c r="H1316" s="7">
        <v>45722.680925925924</v>
      </c>
      <c r="I1316" s="7" t="str">
        <f>TEXT(multilingual_mobile_app_reviews_2025[[#This Row],[Review_date]],"dd-mm-yyyy")</f>
        <v>06-03-2025</v>
      </c>
      <c r="J1316" s="7" t="str">
        <f>TEXT(multilingual_mobile_app_reviews_2025[[#This Row],[Review_date]],"YYYY")</f>
        <v>2025</v>
      </c>
      <c r="K1316" s="7" t="str">
        <f>TEXT(multilingual_mobile_app_reviews_2025[[#This Row],[Review_date]],"MMMM")</f>
        <v>March</v>
      </c>
      <c r="L1316" s="4" t="b">
        <v>1</v>
      </c>
      <c r="M1316" s="4" t="s">
        <v>22</v>
      </c>
      <c r="N1316" s="5">
        <v>909</v>
      </c>
      <c r="O1316" s="5">
        <v>39</v>
      </c>
      <c r="P1316" s="4" t="s">
        <v>4</v>
      </c>
      <c r="Q1316" s="8" t="s">
        <v>5</v>
      </c>
      <c r="R1316" s="4" t="s">
        <v>1632</v>
      </c>
      <c r="S1316" s="4"/>
      <c r="T1316"/>
      <c r="U1316" s="23"/>
    </row>
    <row r="1317" spans="1:21" ht="15.6" x14ac:dyDescent="0.3">
      <c r="A1317" s="4">
        <v>1316</v>
      </c>
      <c r="B1317" s="5">
        <v>5050084</v>
      </c>
      <c r="C1317" s="4" t="s">
        <v>84</v>
      </c>
      <c r="D1317" s="4" t="s">
        <v>8</v>
      </c>
      <c r="E1317" s="4" t="s">
        <v>32</v>
      </c>
      <c r="F1317" s="4" t="s">
        <v>2955</v>
      </c>
      <c r="G1317" s="6">
        <v>3.5</v>
      </c>
      <c r="H1317" s="7">
        <v>45484.135752314818</v>
      </c>
      <c r="I1317" s="7" t="str">
        <f>TEXT(multilingual_mobile_app_reviews_2025[[#This Row],[Review_date]],"dd-mm-yyyy")</f>
        <v>11-07-2024</v>
      </c>
      <c r="J1317" s="7" t="str">
        <f>TEXT(multilingual_mobile_app_reviews_2025[[#This Row],[Review_date]],"YYYY")</f>
        <v>2024</v>
      </c>
      <c r="K1317" s="7" t="str">
        <f>TEXT(multilingual_mobile_app_reviews_2025[[#This Row],[Review_date]],"MMMM")</f>
        <v>July</v>
      </c>
      <c r="L1317" s="4" t="b">
        <v>1</v>
      </c>
      <c r="M1317" s="4" t="s">
        <v>33</v>
      </c>
      <c r="N1317" s="5">
        <v>814</v>
      </c>
      <c r="O1317" s="5">
        <v>31</v>
      </c>
      <c r="P1317" s="4" t="s">
        <v>230</v>
      </c>
      <c r="Q1317" s="8" t="s">
        <v>39</v>
      </c>
      <c r="R1317" s="4" t="s">
        <v>1633</v>
      </c>
      <c r="S1317" s="4"/>
      <c r="T1317"/>
      <c r="U1317" s="23"/>
    </row>
    <row r="1318" spans="1:21" ht="15.6" x14ac:dyDescent="0.3">
      <c r="A1318" s="4">
        <v>1317</v>
      </c>
      <c r="B1318" s="5">
        <v>5998448</v>
      </c>
      <c r="C1318" s="4" t="s">
        <v>244</v>
      </c>
      <c r="D1318" s="4" t="s">
        <v>51</v>
      </c>
      <c r="E1318" s="4" t="s">
        <v>21</v>
      </c>
      <c r="F1318" s="4" t="s">
        <v>2948</v>
      </c>
      <c r="G1318" s="6">
        <v>1</v>
      </c>
      <c r="H1318" s="7">
        <v>45317.662476851852</v>
      </c>
      <c r="I1318" s="7" t="str">
        <f>TEXT(multilingual_mobile_app_reviews_2025[[#This Row],[Review_date]],"dd-mm-yyyy")</f>
        <v>26-01-2024</v>
      </c>
      <c r="J1318" s="7" t="str">
        <f>TEXT(multilingual_mobile_app_reviews_2025[[#This Row],[Review_date]],"YYYY")</f>
        <v>2024</v>
      </c>
      <c r="K1318" s="7" t="str">
        <f>TEXT(multilingual_mobile_app_reviews_2025[[#This Row],[Review_date]],"MMMM")</f>
        <v>January</v>
      </c>
      <c r="L1318" s="4" t="b">
        <v>1</v>
      </c>
      <c r="M1318" s="4" t="s">
        <v>98</v>
      </c>
      <c r="N1318" s="5">
        <v>560</v>
      </c>
      <c r="O1318" s="5">
        <v>18</v>
      </c>
      <c r="P1318" s="4" t="s">
        <v>70</v>
      </c>
      <c r="Q1318" s="8" t="s">
        <v>5</v>
      </c>
      <c r="R1318" s="4" t="s">
        <v>1634</v>
      </c>
      <c r="S1318" s="4"/>
      <c r="T1318"/>
      <c r="U1318" s="23"/>
    </row>
    <row r="1319" spans="1:21" ht="15.6" x14ac:dyDescent="0.3">
      <c r="A1319" s="4">
        <v>1318</v>
      </c>
      <c r="B1319" s="5">
        <v>790263</v>
      </c>
      <c r="C1319" s="4" t="s">
        <v>134</v>
      </c>
      <c r="D1319" s="4" t="s">
        <v>26</v>
      </c>
      <c r="E1319" s="4" t="s">
        <v>1635</v>
      </c>
      <c r="F1319" s="4" t="s">
        <v>2960</v>
      </c>
      <c r="G1319" s="6">
        <v>1.7</v>
      </c>
      <c r="H1319" s="7">
        <v>45158.077465277776</v>
      </c>
      <c r="I1319" s="7" t="str">
        <f>TEXT(multilingual_mobile_app_reviews_2025[[#This Row],[Review_date]],"dd-mm-yyyy")</f>
        <v>20-08-2023</v>
      </c>
      <c r="J1319" s="7" t="str">
        <f>TEXT(multilingual_mobile_app_reviews_2025[[#This Row],[Review_date]],"YYYY")</f>
        <v>2023</v>
      </c>
      <c r="K1319" s="7" t="str">
        <f>TEXT(multilingual_mobile_app_reviews_2025[[#This Row],[Review_date]],"MMMM")</f>
        <v>August</v>
      </c>
      <c r="L1319" s="4" t="b">
        <v>1</v>
      </c>
      <c r="M1319" s="4" t="s">
        <v>3</v>
      </c>
      <c r="N1319" s="5">
        <v>1153</v>
      </c>
      <c r="O1319" s="5">
        <v>64</v>
      </c>
      <c r="P1319" s="4" t="s">
        <v>11</v>
      </c>
      <c r="Q1319" s="8" t="s">
        <v>12</v>
      </c>
      <c r="R1319" s="4" t="s">
        <v>1636</v>
      </c>
      <c r="S1319" s="4"/>
      <c r="T1319"/>
      <c r="U1319" s="23"/>
    </row>
    <row r="1320" spans="1:21" ht="15.6" x14ac:dyDescent="0.3">
      <c r="A1320" s="4">
        <v>1319</v>
      </c>
      <c r="B1320" s="5">
        <v>7510303</v>
      </c>
      <c r="C1320" s="4" t="s">
        <v>154</v>
      </c>
      <c r="D1320" s="4" t="s">
        <v>31</v>
      </c>
      <c r="E1320" s="4" t="s">
        <v>27</v>
      </c>
      <c r="F1320" s="4" t="s">
        <v>2941</v>
      </c>
      <c r="G1320" s="6">
        <v>2.2999999999999998</v>
      </c>
      <c r="H1320" s="7">
        <v>45320.468645833331</v>
      </c>
      <c r="I1320" s="7" t="str">
        <f>TEXT(multilingual_mobile_app_reviews_2025[[#This Row],[Review_date]],"dd-mm-yyyy")</f>
        <v>29-01-2024</v>
      </c>
      <c r="J1320" s="7" t="str">
        <f>TEXT(multilingual_mobile_app_reviews_2025[[#This Row],[Review_date]],"YYYY")</f>
        <v>2024</v>
      </c>
      <c r="K1320" s="7" t="str">
        <f>TEXT(multilingual_mobile_app_reviews_2025[[#This Row],[Review_date]],"MMMM")</f>
        <v>January</v>
      </c>
      <c r="L1320" s="4" t="b">
        <v>1</v>
      </c>
      <c r="M1320" s="4" t="s">
        <v>33</v>
      </c>
      <c r="N1320" s="5">
        <v>285</v>
      </c>
      <c r="O1320" s="5">
        <v>46</v>
      </c>
      <c r="P1320" s="4" t="s">
        <v>11</v>
      </c>
      <c r="Q1320" s="8" t="s">
        <v>5</v>
      </c>
      <c r="R1320" s="4" t="s">
        <v>1637</v>
      </c>
      <c r="S1320" s="4"/>
      <c r="T1320"/>
      <c r="U1320" s="23"/>
    </row>
    <row r="1321" spans="1:21" ht="15.6" x14ac:dyDescent="0.3">
      <c r="A1321" s="4">
        <v>1320</v>
      </c>
      <c r="B1321" s="5">
        <v>1373196</v>
      </c>
      <c r="C1321" s="4" t="s">
        <v>147</v>
      </c>
      <c r="D1321" s="4" t="s">
        <v>20</v>
      </c>
      <c r="E1321" s="4" t="s">
        <v>1638</v>
      </c>
      <c r="F1321" s="4" t="s">
        <v>2951</v>
      </c>
      <c r="G1321" s="6">
        <v>1.1000000000000001</v>
      </c>
      <c r="H1321" s="7">
        <v>45315.77039351852</v>
      </c>
      <c r="I1321" s="7" t="str">
        <f>TEXT(multilingual_mobile_app_reviews_2025[[#This Row],[Review_date]],"dd-mm-yyyy")</f>
        <v>24-01-2024</v>
      </c>
      <c r="J1321" s="7" t="str">
        <f>TEXT(multilingual_mobile_app_reviews_2025[[#This Row],[Review_date]],"YYYY")</f>
        <v>2024</v>
      </c>
      <c r="K1321" s="7" t="str">
        <f>TEXT(multilingual_mobile_app_reviews_2025[[#This Row],[Review_date]],"MMMM")</f>
        <v>January</v>
      </c>
      <c r="L1321" s="4" t="b">
        <v>1</v>
      </c>
      <c r="M1321" s="4" t="s">
        <v>98</v>
      </c>
      <c r="N1321" s="5">
        <v>834</v>
      </c>
      <c r="O1321" s="5">
        <v>42</v>
      </c>
      <c r="P1321" s="4" t="s">
        <v>34</v>
      </c>
      <c r="Q1321" s="8" t="s">
        <v>5</v>
      </c>
      <c r="R1321" s="4" t="s">
        <v>1639</v>
      </c>
      <c r="S1321" s="4"/>
      <c r="T1321"/>
      <c r="U1321" s="23"/>
    </row>
    <row r="1322" spans="1:21" ht="15.6" x14ac:dyDescent="0.3">
      <c r="A1322" s="4">
        <v>1321</v>
      </c>
      <c r="B1322" s="5">
        <v>2089574</v>
      </c>
      <c r="C1322" s="4" t="s">
        <v>137</v>
      </c>
      <c r="D1322" s="4" t="s">
        <v>220</v>
      </c>
      <c r="E1322" s="4" t="s">
        <v>1640</v>
      </c>
      <c r="F1322" s="4" t="s">
        <v>2959</v>
      </c>
      <c r="G1322" s="6">
        <v>1.5</v>
      </c>
      <c r="H1322" s="7">
        <v>45333.077372685184</v>
      </c>
      <c r="I1322" s="7" t="str">
        <f>TEXT(multilingual_mobile_app_reviews_2025[[#This Row],[Review_date]],"dd-mm-yyyy")</f>
        <v>11-02-2024</v>
      </c>
      <c r="J1322" s="7" t="str">
        <f>TEXT(multilingual_mobile_app_reviews_2025[[#This Row],[Review_date]],"YYYY")</f>
        <v>2024</v>
      </c>
      <c r="K1322" s="7" t="str">
        <f>TEXT(multilingual_mobile_app_reviews_2025[[#This Row],[Review_date]],"MMMM")</f>
        <v>February</v>
      </c>
      <c r="L1322" s="4" t="b">
        <v>1</v>
      </c>
      <c r="M1322" s="4" t="s">
        <v>22</v>
      </c>
      <c r="N1322" s="5">
        <v>1200</v>
      </c>
      <c r="O1322" s="5">
        <v>23</v>
      </c>
      <c r="P1322" s="4" t="s">
        <v>85</v>
      </c>
      <c r="Q1322" s="8" t="s">
        <v>2963</v>
      </c>
      <c r="R1322" s="4" t="s">
        <v>120</v>
      </c>
      <c r="S1322" s="4"/>
      <c r="T1322"/>
      <c r="U1322" s="23"/>
    </row>
    <row r="1323" spans="1:21" ht="15.6" x14ac:dyDescent="0.3">
      <c r="A1323" s="4">
        <v>1322</v>
      </c>
      <c r="B1323" s="5">
        <v>4704751</v>
      </c>
      <c r="C1323" s="4" t="s">
        <v>7</v>
      </c>
      <c r="D1323" s="4" t="s">
        <v>1</v>
      </c>
      <c r="E1323" s="4" t="s">
        <v>27</v>
      </c>
      <c r="F1323" s="4" t="s">
        <v>2959</v>
      </c>
      <c r="G1323" s="6">
        <v>3</v>
      </c>
      <c r="H1323" s="7">
        <v>45286.954629629632</v>
      </c>
      <c r="I1323" s="7" t="str">
        <f>TEXT(multilingual_mobile_app_reviews_2025[[#This Row],[Review_date]],"dd-mm-yyyy")</f>
        <v>26-12-2023</v>
      </c>
      <c r="J1323" s="7" t="str">
        <f>TEXT(multilingual_mobile_app_reviews_2025[[#This Row],[Review_date]],"YYYY")</f>
        <v>2023</v>
      </c>
      <c r="K1323" s="7" t="str">
        <f>TEXT(multilingual_mobile_app_reviews_2025[[#This Row],[Review_date]],"MMMM")</f>
        <v>December</v>
      </c>
      <c r="L1323" s="4" t="b">
        <v>0</v>
      </c>
      <c r="M1323" s="4" t="s">
        <v>22</v>
      </c>
      <c r="N1323" s="5">
        <v>1002</v>
      </c>
      <c r="O1323" s="5">
        <v>51</v>
      </c>
      <c r="P1323" s="4" t="s">
        <v>99</v>
      </c>
      <c r="Q1323" s="8" t="s">
        <v>12</v>
      </c>
      <c r="R1323" s="4" t="s">
        <v>1641</v>
      </c>
      <c r="S1323" s="4"/>
      <c r="T1323"/>
      <c r="U1323" s="23"/>
    </row>
    <row r="1324" spans="1:21" ht="15.6" x14ac:dyDescent="0.3">
      <c r="A1324" s="4">
        <v>1323</v>
      </c>
      <c r="B1324" s="5">
        <v>2412992</v>
      </c>
      <c r="C1324" s="4" t="s">
        <v>36</v>
      </c>
      <c r="D1324" s="4" t="s">
        <v>157</v>
      </c>
      <c r="E1324" s="4" t="s">
        <v>2938</v>
      </c>
      <c r="F1324" s="4" t="s">
        <v>2958</v>
      </c>
      <c r="G1324" s="6">
        <v>3</v>
      </c>
      <c r="H1324" s="7">
        <v>45802.975787037038</v>
      </c>
      <c r="I1324" s="7" t="str">
        <f>TEXT(multilingual_mobile_app_reviews_2025[[#This Row],[Review_date]],"dd-mm-yyyy")</f>
        <v>25-05-2025</v>
      </c>
      <c r="J1324" s="7" t="str">
        <f>TEXT(multilingual_mobile_app_reviews_2025[[#This Row],[Review_date]],"YYYY")</f>
        <v>2025</v>
      </c>
      <c r="K1324" s="7" t="str">
        <f>TEXT(multilingual_mobile_app_reviews_2025[[#This Row],[Review_date]],"MMMM")</f>
        <v>May</v>
      </c>
      <c r="L1324" s="4" t="b">
        <v>0</v>
      </c>
      <c r="M1324" s="4" t="s">
        <v>33</v>
      </c>
      <c r="N1324" s="5">
        <v>754</v>
      </c>
      <c r="O1324" s="5">
        <v>35</v>
      </c>
      <c r="P1324" s="4" t="s">
        <v>144</v>
      </c>
      <c r="Q1324" s="8" t="s">
        <v>39</v>
      </c>
      <c r="R1324" s="4" t="s">
        <v>1642</v>
      </c>
      <c r="S1324" s="4"/>
      <c r="T1324"/>
      <c r="U1324" s="23"/>
    </row>
    <row r="1325" spans="1:21" ht="15.6" x14ac:dyDescent="0.3">
      <c r="A1325" s="4">
        <v>1324</v>
      </c>
      <c r="B1325" s="5">
        <v>9212136</v>
      </c>
      <c r="C1325" s="4" t="s">
        <v>244</v>
      </c>
      <c r="D1325" s="4" t="s">
        <v>71</v>
      </c>
      <c r="E1325" s="4" t="s">
        <v>1643</v>
      </c>
      <c r="F1325" s="4" t="s">
        <v>2956</v>
      </c>
      <c r="G1325" s="6">
        <v>3.5</v>
      </c>
      <c r="H1325" s="7">
        <v>45811.105682870373</v>
      </c>
      <c r="I1325" s="7" t="str">
        <f>TEXT(multilingual_mobile_app_reviews_2025[[#This Row],[Review_date]],"dd-mm-yyyy")</f>
        <v>03-06-2025</v>
      </c>
      <c r="J1325" s="7" t="str">
        <f>TEXT(multilingual_mobile_app_reviews_2025[[#This Row],[Review_date]],"YYYY")</f>
        <v>2025</v>
      </c>
      <c r="K1325" s="7" t="str">
        <f>TEXT(multilingual_mobile_app_reviews_2025[[#This Row],[Review_date]],"MMMM")</f>
        <v>June</v>
      </c>
      <c r="L1325" s="4" t="b">
        <v>1</v>
      </c>
      <c r="M1325" s="4" t="s">
        <v>3</v>
      </c>
      <c r="N1325" s="5">
        <v>1094</v>
      </c>
      <c r="O1325" s="5">
        <v>62</v>
      </c>
      <c r="P1325" s="4" t="s">
        <v>4</v>
      </c>
      <c r="Q1325" s="8" t="s">
        <v>39</v>
      </c>
      <c r="R1325" s="4" t="s">
        <v>551</v>
      </c>
      <c r="S1325" s="4"/>
      <c r="T1325"/>
      <c r="U1325" s="23"/>
    </row>
    <row r="1326" spans="1:21" ht="15.6" x14ac:dyDescent="0.3">
      <c r="A1326" s="4">
        <v>1325</v>
      </c>
      <c r="B1326" s="5">
        <v>3918133</v>
      </c>
      <c r="C1326" s="4" t="s">
        <v>14</v>
      </c>
      <c r="D1326" s="4" t="s">
        <v>71</v>
      </c>
      <c r="E1326" s="4" t="s">
        <v>130</v>
      </c>
      <c r="F1326" s="4" t="s">
        <v>2945</v>
      </c>
      <c r="G1326" s="6">
        <v>4.9000000000000004</v>
      </c>
      <c r="H1326" s="7">
        <v>45315.137141203704</v>
      </c>
      <c r="I1326" s="7" t="str">
        <f>TEXT(multilingual_mobile_app_reviews_2025[[#This Row],[Review_date]],"dd-mm-yyyy")</f>
        <v>24-01-2024</v>
      </c>
      <c r="J1326" s="7" t="str">
        <f>TEXT(multilingual_mobile_app_reviews_2025[[#This Row],[Review_date]],"YYYY")</f>
        <v>2024</v>
      </c>
      <c r="K1326" s="7" t="str">
        <f>TEXT(multilingual_mobile_app_reviews_2025[[#This Row],[Review_date]],"MMMM")</f>
        <v>January</v>
      </c>
      <c r="L1326" s="4" t="b">
        <v>0</v>
      </c>
      <c r="M1326" s="4" t="s">
        <v>3</v>
      </c>
      <c r="N1326" s="5">
        <v>696</v>
      </c>
      <c r="O1326" s="5">
        <v>16</v>
      </c>
      <c r="P1326" s="4" t="s">
        <v>162</v>
      </c>
      <c r="Q1326" s="8" t="s">
        <v>5</v>
      </c>
      <c r="R1326" s="4" t="s">
        <v>1644</v>
      </c>
      <c r="S1326" s="4"/>
      <c r="T1326"/>
      <c r="U1326" s="23"/>
    </row>
    <row r="1327" spans="1:21" ht="15.6" x14ac:dyDescent="0.3">
      <c r="A1327" s="4">
        <v>1326</v>
      </c>
      <c r="B1327" s="5">
        <v>3621118</v>
      </c>
      <c r="C1327" s="4" t="s">
        <v>25</v>
      </c>
      <c r="D1327" s="4" t="s">
        <v>47</v>
      </c>
      <c r="E1327" s="4" t="s">
        <v>32</v>
      </c>
      <c r="F1327" s="4" t="s">
        <v>2957</v>
      </c>
      <c r="G1327" s="6">
        <v>1.3</v>
      </c>
      <c r="H1327" s="7">
        <v>45507.385358796295</v>
      </c>
      <c r="I1327" s="7" t="str">
        <f>TEXT(multilingual_mobile_app_reviews_2025[[#This Row],[Review_date]],"dd-mm-yyyy")</f>
        <v>03-08-2024</v>
      </c>
      <c r="J1327" s="7" t="str">
        <f>TEXT(multilingual_mobile_app_reviews_2025[[#This Row],[Review_date]],"YYYY")</f>
        <v>2024</v>
      </c>
      <c r="K1327" s="7" t="str">
        <f>TEXT(multilingual_mobile_app_reviews_2025[[#This Row],[Review_date]],"MMMM")</f>
        <v>August</v>
      </c>
      <c r="L1327" s="4" t="b">
        <v>1</v>
      </c>
      <c r="M1327" s="4" t="s">
        <v>33</v>
      </c>
      <c r="N1327" s="5">
        <v>122</v>
      </c>
      <c r="O1327" s="5">
        <v>22</v>
      </c>
      <c r="P1327" s="4" t="s">
        <v>180</v>
      </c>
      <c r="Q1327" s="8" t="s">
        <v>5</v>
      </c>
      <c r="R1327" s="4" t="s">
        <v>1645</v>
      </c>
      <c r="S1327" s="4"/>
      <c r="T1327"/>
      <c r="U1327" s="23"/>
    </row>
    <row r="1328" spans="1:21" ht="15.6" x14ac:dyDescent="0.3">
      <c r="A1328" s="4">
        <v>1327</v>
      </c>
      <c r="B1328" s="5">
        <v>8754113</v>
      </c>
      <c r="C1328" s="4" t="s">
        <v>132</v>
      </c>
      <c r="D1328" s="4" t="s">
        <v>15</v>
      </c>
      <c r="E1328" s="4" t="s">
        <v>76</v>
      </c>
      <c r="F1328" s="4" t="s">
        <v>2951</v>
      </c>
      <c r="G1328" s="6">
        <v>1.8</v>
      </c>
      <c r="H1328" s="7">
        <v>45594.817476851851</v>
      </c>
      <c r="I1328" s="7" t="str">
        <f>TEXT(multilingual_mobile_app_reviews_2025[[#This Row],[Review_date]],"dd-mm-yyyy")</f>
        <v>29-10-2024</v>
      </c>
      <c r="J1328" s="7" t="str">
        <f>TEXT(multilingual_mobile_app_reviews_2025[[#This Row],[Review_date]],"YYYY")</f>
        <v>2024</v>
      </c>
      <c r="K1328" s="7" t="str">
        <f>TEXT(multilingual_mobile_app_reviews_2025[[#This Row],[Review_date]],"MMMM")</f>
        <v>October</v>
      </c>
      <c r="L1328" s="4" t="b">
        <v>1</v>
      </c>
      <c r="M1328" s="4" t="s">
        <v>3</v>
      </c>
      <c r="N1328" s="5">
        <v>252</v>
      </c>
      <c r="O1328" s="5">
        <v>47</v>
      </c>
      <c r="P1328" s="4" t="s">
        <v>162</v>
      </c>
      <c r="Q1328" s="8" t="s">
        <v>2963</v>
      </c>
      <c r="R1328" s="4" t="s">
        <v>498</v>
      </c>
      <c r="S1328" s="4"/>
      <c r="T1328"/>
      <c r="U1328" s="23"/>
    </row>
    <row r="1329" spans="1:21" ht="15.6" x14ac:dyDescent="0.3">
      <c r="A1329" s="4">
        <v>1328</v>
      </c>
      <c r="B1329" s="5">
        <v>7964124</v>
      </c>
      <c r="C1329" s="4" t="s">
        <v>192</v>
      </c>
      <c r="D1329" s="4" t="s">
        <v>79</v>
      </c>
      <c r="E1329" s="4" t="s">
        <v>76</v>
      </c>
      <c r="F1329" s="4" t="s">
        <v>2955</v>
      </c>
      <c r="G1329" s="6">
        <v>2.2000000000000002</v>
      </c>
      <c r="H1329" s="7">
        <v>45700.068645833337</v>
      </c>
      <c r="I1329" s="7" t="str">
        <f>TEXT(multilingual_mobile_app_reviews_2025[[#This Row],[Review_date]],"dd-mm-yyyy")</f>
        <v>12-02-2025</v>
      </c>
      <c r="J1329" s="7" t="str">
        <f>TEXT(multilingual_mobile_app_reviews_2025[[#This Row],[Review_date]],"YYYY")</f>
        <v>2025</v>
      </c>
      <c r="K1329" s="7" t="str">
        <f>TEXT(multilingual_mobile_app_reviews_2025[[#This Row],[Review_date]],"MMMM")</f>
        <v>February</v>
      </c>
      <c r="L1329" s="4" t="b">
        <v>1</v>
      </c>
      <c r="M1329" s="4" t="s">
        <v>98</v>
      </c>
      <c r="N1329" s="5">
        <v>82</v>
      </c>
      <c r="O1329" s="5">
        <v>14</v>
      </c>
      <c r="P1329" s="4" t="s">
        <v>44</v>
      </c>
      <c r="Q1329" s="8" t="s">
        <v>5</v>
      </c>
      <c r="R1329" s="4" t="s">
        <v>1646</v>
      </c>
      <c r="S1329" s="4"/>
      <c r="T1329"/>
      <c r="U1329" s="23"/>
    </row>
    <row r="1330" spans="1:21" ht="15.6" x14ac:dyDescent="0.3">
      <c r="A1330" s="4">
        <v>1329</v>
      </c>
      <c r="B1330" s="5">
        <v>5815319</v>
      </c>
      <c r="C1330" s="4" t="s">
        <v>199</v>
      </c>
      <c r="D1330" s="4" t="s">
        <v>8</v>
      </c>
      <c r="E1330" s="4" t="s">
        <v>93</v>
      </c>
      <c r="F1330" s="4" t="s">
        <v>2957</v>
      </c>
      <c r="G1330" s="6">
        <v>3.5</v>
      </c>
      <c r="H1330" s="7">
        <v>45753.976747685185</v>
      </c>
      <c r="I1330" s="7" t="str">
        <f>TEXT(multilingual_mobile_app_reviews_2025[[#This Row],[Review_date]],"dd-mm-yyyy")</f>
        <v>06-04-2025</v>
      </c>
      <c r="J1330" s="7" t="str">
        <f>TEXT(multilingual_mobile_app_reviews_2025[[#This Row],[Review_date]],"YYYY")</f>
        <v>2025</v>
      </c>
      <c r="K1330" s="7" t="str">
        <f>TEXT(multilingual_mobile_app_reviews_2025[[#This Row],[Review_date]],"MMMM")</f>
        <v>April</v>
      </c>
      <c r="L1330" s="4" t="b">
        <v>1</v>
      </c>
      <c r="M1330" s="4" t="s">
        <v>3</v>
      </c>
      <c r="N1330" s="5">
        <v>778</v>
      </c>
      <c r="O1330" s="5">
        <v>52</v>
      </c>
      <c r="P1330" s="4" t="s">
        <v>127</v>
      </c>
      <c r="Q1330" s="8" t="s">
        <v>5</v>
      </c>
      <c r="R1330" s="4" t="s">
        <v>1647</v>
      </c>
      <c r="S1330" s="4"/>
      <c r="T1330"/>
      <c r="U1330" s="23"/>
    </row>
    <row r="1331" spans="1:21" ht="15.6" x14ac:dyDescent="0.3">
      <c r="A1331" s="4">
        <v>1330</v>
      </c>
      <c r="B1331" s="5">
        <v>5352524</v>
      </c>
      <c r="C1331" s="4" t="s">
        <v>46</v>
      </c>
      <c r="D1331" s="4" t="s">
        <v>220</v>
      </c>
      <c r="E1331" s="4" t="s">
        <v>9</v>
      </c>
      <c r="F1331" s="4" t="s">
        <v>2959</v>
      </c>
      <c r="G1331" s="6">
        <v>4.7</v>
      </c>
      <c r="H1331" s="7">
        <v>45795.83185185185</v>
      </c>
      <c r="I1331" s="7" t="str">
        <f>TEXT(multilingual_mobile_app_reviews_2025[[#This Row],[Review_date]],"dd-mm-yyyy")</f>
        <v>18-05-2025</v>
      </c>
      <c r="J1331" s="7" t="str">
        <f>TEXT(multilingual_mobile_app_reviews_2025[[#This Row],[Review_date]],"YYYY")</f>
        <v>2025</v>
      </c>
      <c r="K1331" s="7" t="str">
        <f>TEXT(multilingual_mobile_app_reviews_2025[[#This Row],[Review_date]],"MMMM")</f>
        <v>May</v>
      </c>
      <c r="L1331" s="4" t="b">
        <v>1</v>
      </c>
      <c r="M1331" s="4" t="s">
        <v>22</v>
      </c>
      <c r="N1331" s="5">
        <v>84</v>
      </c>
      <c r="O1331" s="5">
        <v>19</v>
      </c>
      <c r="P1331" s="4" t="s">
        <v>80</v>
      </c>
      <c r="Q1331" s="8" t="s">
        <v>39</v>
      </c>
      <c r="R1331" s="4" t="s">
        <v>1648</v>
      </c>
      <c r="S1331" s="4"/>
      <c r="T1331"/>
      <c r="U1331" s="23"/>
    </row>
    <row r="1332" spans="1:21" ht="15.6" x14ac:dyDescent="0.3">
      <c r="A1332" s="4">
        <v>1331</v>
      </c>
      <c r="B1332" s="5">
        <v>7293952</v>
      </c>
      <c r="C1332" s="4" t="s">
        <v>159</v>
      </c>
      <c r="D1332" s="4" t="s">
        <v>71</v>
      </c>
      <c r="E1332" s="4" t="s">
        <v>76</v>
      </c>
      <c r="F1332" s="4" t="s">
        <v>2947</v>
      </c>
      <c r="G1332" s="6">
        <v>1.7</v>
      </c>
      <c r="H1332" s="7">
        <v>45737.056747685187</v>
      </c>
      <c r="I1332" s="7" t="str">
        <f>TEXT(multilingual_mobile_app_reviews_2025[[#This Row],[Review_date]],"dd-mm-yyyy")</f>
        <v>21-03-2025</v>
      </c>
      <c r="J1332" s="7" t="str">
        <f>TEXT(multilingual_mobile_app_reviews_2025[[#This Row],[Review_date]],"YYYY")</f>
        <v>2025</v>
      </c>
      <c r="K1332" s="7" t="str">
        <f>TEXT(multilingual_mobile_app_reviews_2025[[#This Row],[Review_date]],"MMMM")</f>
        <v>March</v>
      </c>
      <c r="L1332" s="4" t="b">
        <v>0</v>
      </c>
      <c r="M1332" s="4" t="s">
        <v>10</v>
      </c>
      <c r="N1332" s="5">
        <v>647</v>
      </c>
      <c r="O1332" s="5">
        <v>73</v>
      </c>
      <c r="P1332" s="4" t="s">
        <v>162</v>
      </c>
      <c r="Q1332" s="8" t="s">
        <v>5</v>
      </c>
      <c r="R1332" s="4" t="s">
        <v>1649</v>
      </c>
      <c r="S1332" s="4"/>
      <c r="T1332"/>
      <c r="U1332" s="23"/>
    </row>
    <row r="1333" spans="1:21" ht="15.6" x14ac:dyDescent="0.3">
      <c r="A1333" s="4">
        <v>1332</v>
      </c>
      <c r="B1333" s="5">
        <v>7107639</v>
      </c>
      <c r="C1333" s="4" t="s">
        <v>208</v>
      </c>
      <c r="D1333" s="4" t="s">
        <v>15</v>
      </c>
      <c r="E1333" s="4" t="s">
        <v>21</v>
      </c>
      <c r="F1333" s="4" t="s">
        <v>2950</v>
      </c>
      <c r="G1333" s="6">
        <v>2.7</v>
      </c>
      <c r="H1333" s="7">
        <v>45301.667557870373</v>
      </c>
      <c r="I1333" s="7" t="str">
        <f>TEXT(multilingual_mobile_app_reviews_2025[[#This Row],[Review_date]],"dd-mm-yyyy")</f>
        <v>10-01-2024</v>
      </c>
      <c r="J1333" s="7" t="str">
        <f>TEXT(multilingual_mobile_app_reviews_2025[[#This Row],[Review_date]],"YYYY")</f>
        <v>2024</v>
      </c>
      <c r="K1333" s="7" t="str">
        <f>TEXT(multilingual_mobile_app_reviews_2025[[#This Row],[Review_date]],"MMMM")</f>
        <v>January</v>
      </c>
      <c r="L1333" s="4" t="b">
        <v>1</v>
      </c>
      <c r="M1333" s="4" t="s">
        <v>22</v>
      </c>
      <c r="N1333" s="5">
        <v>570</v>
      </c>
      <c r="O1333" s="5">
        <v>65</v>
      </c>
      <c r="P1333" s="4" t="s">
        <v>28</v>
      </c>
      <c r="Q1333" s="8" t="s">
        <v>39</v>
      </c>
      <c r="R1333" s="4" t="s">
        <v>1650</v>
      </c>
      <c r="S1333" s="4"/>
      <c r="T1333"/>
      <c r="U1333" s="23"/>
    </row>
    <row r="1334" spans="1:21" ht="15.6" x14ac:dyDescent="0.3">
      <c r="A1334" s="4">
        <v>1333</v>
      </c>
      <c r="B1334" s="5">
        <v>7649276</v>
      </c>
      <c r="C1334" s="4" t="s">
        <v>244</v>
      </c>
      <c r="D1334" s="4" t="s">
        <v>157</v>
      </c>
      <c r="E1334" s="4" t="s">
        <v>9</v>
      </c>
      <c r="F1334" s="4" t="s">
        <v>2942</v>
      </c>
      <c r="G1334" s="6">
        <v>1.6</v>
      </c>
      <c r="H1334" s="7">
        <v>45801.379560185182</v>
      </c>
      <c r="I1334" s="7" t="str">
        <f>TEXT(multilingual_mobile_app_reviews_2025[[#This Row],[Review_date]],"dd-mm-yyyy")</f>
        <v>24-05-2025</v>
      </c>
      <c r="J1334" s="7" t="str">
        <f>TEXT(multilingual_mobile_app_reviews_2025[[#This Row],[Review_date]],"YYYY")</f>
        <v>2025</v>
      </c>
      <c r="K1334" s="7" t="str">
        <f>TEXT(multilingual_mobile_app_reviews_2025[[#This Row],[Review_date]],"MMMM")</f>
        <v>May</v>
      </c>
      <c r="L1334" s="4" t="b">
        <v>1</v>
      </c>
      <c r="M1334" s="4" t="s">
        <v>98</v>
      </c>
      <c r="N1334" s="5">
        <v>863</v>
      </c>
      <c r="O1334" s="5">
        <v>62</v>
      </c>
      <c r="P1334" s="4" t="s">
        <v>180</v>
      </c>
      <c r="Q1334" s="8" t="s">
        <v>29</v>
      </c>
      <c r="R1334" s="4" t="s">
        <v>1651</v>
      </c>
      <c r="S1334" s="4"/>
      <c r="T1334"/>
      <c r="U1334" s="23"/>
    </row>
    <row r="1335" spans="1:21" ht="15.6" x14ac:dyDescent="0.3">
      <c r="A1335" s="4">
        <v>1334</v>
      </c>
      <c r="B1335" s="5">
        <v>605062</v>
      </c>
      <c r="C1335" s="4" t="s">
        <v>132</v>
      </c>
      <c r="D1335" s="4" t="s">
        <v>57</v>
      </c>
      <c r="E1335" s="4" t="s">
        <v>93</v>
      </c>
      <c r="F1335" s="4" t="s">
        <v>2942</v>
      </c>
      <c r="G1335" s="6">
        <v>2.2000000000000002</v>
      </c>
      <c r="H1335" s="7">
        <v>45429.916493055556</v>
      </c>
      <c r="I1335" s="7" t="str">
        <f>TEXT(multilingual_mobile_app_reviews_2025[[#This Row],[Review_date]],"dd-mm-yyyy")</f>
        <v>17-05-2024</v>
      </c>
      <c r="J1335" s="7" t="str">
        <f>TEXT(multilingual_mobile_app_reviews_2025[[#This Row],[Review_date]],"YYYY")</f>
        <v>2024</v>
      </c>
      <c r="K1335" s="7" t="str">
        <f>TEXT(multilingual_mobile_app_reviews_2025[[#This Row],[Review_date]],"MMMM")</f>
        <v>May</v>
      </c>
      <c r="L1335" s="4" t="b">
        <v>1</v>
      </c>
      <c r="M1335" s="4" t="s">
        <v>10</v>
      </c>
      <c r="N1335" s="5">
        <v>8</v>
      </c>
      <c r="O1335" s="5">
        <v>24</v>
      </c>
      <c r="P1335" s="4" t="s">
        <v>180</v>
      </c>
      <c r="Q1335" s="8" t="s">
        <v>5</v>
      </c>
      <c r="R1335" s="4" t="s">
        <v>517</v>
      </c>
      <c r="S1335" s="4"/>
      <c r="T1335"/>
      <c r="U1335" s="23"/>
    </row>
    <row r="1336" spans="1:21" ht="15.6" x14ac:dyDescent="0.3">
      <c r="A1336" s="4">
        <v>1335</v>
      </c>
      <c r="B1336" s="5">
        <v>9788983</v>
      </c>
      <c r="C1336" s="4" t="s">
        <v>244</v>
      </c>
      <c r="D1336" s="4" t="s">
        <v>71</v>
      </c>
      <c r="E1336" s="4" t="s">
        <v>1652</v>
      </c>
      <c r="F1336" s="4" t="s">
        <v>2942</v>
      </c>
      <c r="G1336" s="6">
        <v>4.5</v>
      </c>
      <c r="H1336" s="7">
        <v>45392.151712962965</v>
      </c>
      <c r="I1336" s="7" t="str">
        <f>TEXT(multilingual_mobile_app_reviews_2025[[#This Row],[Review_date]],"dd-mm-yyyy")</f>
        <v>10-04-2024</v>
      </c>
      <c r="J1336" s="7" t="str">
        <f>TEXT(multilingual_mobile_app_reviews_2025[[#This Row],[Review_date]],"YYYY")</f>
        <v>2024</v>
      </c>
      <c r="K1336" s="7" t="str">
        <f>TEXT(multilingual_mobile_app_reviews_2025[[#This Row],[Review_date]],"MMMM")</f>
        <v>April</v>
      </c>
      <c r="L1336" s="4" t="b">
        <v>1</v>
      </c>
      <c r="M1336" s="4" t="s">
        <v>10</v>
      </c>
      <c r="N1336" s="5">
        <v>106</v>
      </c>
      <c r="O1336" s="5">
        <v>42</v>
      </c>
      <c r="P1336" s="4" t="s">
        <v>118</v>
      </c>
      <c r="Q1336" s="8" t="s">
        <v>5</v>
      </c>
      <c r="R1336" s="4" t="s">
        <v>1653</v>
      </c>
      <c r="S1336" s="4"/>
      <c r="T1336"/>
      <c r="U1336" s="23"/>
    </row>
    <row r="1337" spans="1:21" ht="15.6" x14ac:dyDescent="0.3">
      <c r="A1337" s="4">
        <v>1336</v>
      </c>
      <c r="B1337" s="5">
        <v>489899</v>
      </c>
      <c r="C1337" s="4" t="s">
        <v>199</v>
      </c>
      <c r="D1337" s="4" t="s">
        <v>8</v>
      </c>
      <c r="E1337" s="4" t="s">
        <v>2938</v>
      </c>
      <c r="F1337" s="4" t="s">
        <v>2944</v>
      </c>
      <c r="G1337" s="6">
        <v>2.2999999999999998</v>
      </c>
      <c r="H1337" s="7">
        <v>45159.724351851852</v>
      </c>
      <c r="I1337" s="7" t="str">
        <f>TEXT(multilingual_mobile_app_reviews_2025[[#This Row],[Review_date]],"dd-mm-yyyy")</f>
        <v>21-08-2023</v>
      </c>
      <c r="J1337" s="7" t="str">
        <f>TEXT(multilingual_mobile_app_reviews_2025[[#This Row],[Review_date]],"YYYY")</f>
        <v>2023</v>
      </c>
      <c r="K1337" s="7" t="str">
        <f>TEXT(multilingual_mobile_app_reviews_2025[[#This Row],[Review_date]],"MMMM")</f>
        <v>August</v>
      </c>
      <c r="L1337" s="4" t="b">
        <v>1</v>
      </c>
      <c r="M1337" s="4" t="s">
        <v>3</v>
      </c>
      <c r="N1337" s="5">
        <v>999</v>
      </c>
      <c r="O1337" s="5">
        <v>38</v>
      </c>
      <c r="P1337" s="4" t="s">
        <v>44</v>
      </c>
      <c r="Q1337" s="8" t="s">
        <v>29</v>
      </c>
      <c r="R1337" s="4" t="s">
        <v>1654</v>
      </c>
      <c r="S1337" s="4"/>
      <c r="T1337"/>
      <c r="U1337" s="23"/>
    </row>
    <row r="1338" spans="1:21" ht="15.6" x14ac:dyDescent="0.3">
      <c r="A1338" s="4">
        <v>1337</v>
      </c>
      <c r="B1338" s="5">
        <v>3438644</v>
      </c>
      <c r="C1338" s="4" t="s">
        <v>41</v>
      </c>
      <c r="D1338" s="4" t="s">
        <v>157</v>
      </c>
      <c r="E1338" s="4" t="s">
        <v>1655</v>
      </c>
      <c r="F1338" s="4" t="s">
        <v>2939</v>
      </c>
      <c r="G1338" s="6">
        <v>4.3</v>
      </c>
      <c r="H1338" s="7">
        <v>45546.188449074078</v>
      </c>
      <c r="I1338" s="7" t="str">
        <f>TEXT(multilingual_mobile_app_reviews_2025[[#This Row],[Review_date]],"dd-mm-yyyy")</f>
        <v>11-09-2024</v>
      </c>
      <c r="J1338" s="7" t="str">
        <f>TEXT(multilingual_mobile_app_reviews_2025[[#This Row],[Review_date]],"YYYY")</f>
        <v>2024</v>
      </c>
      <c r="K1338" s="7" t="str">
        <f>TEXT(multilingual_mobile_app_reviews_2025[[#This Row],[Review_date]],"MMMM")</f>
        <v>September</v>
      </c>
      <c r="L1338" s="4" t="b">
        <v>1</v>
      </c>
      <c r="M1338" s="4" t="s">
        <v>98</v>
      </c>
      <c r="N1338" s="5">
        <v>1060</v>
      </c>
      <c r="O1338" s="5">
        <v>31</v>
      </c>
      <c r="P1338" s="4" t="s">
        <v>85</v>
      </c>
      <c r="Q1338" s="8" t="s">
        <v>39</v>
      </c>
      <c r="R1338" s="4" t="s">
        <v>1201</v>
      </c>
      <c r="S1338" s="4"/>
      <c r="T1338"/>
      <c r="U1338" s="23"/>
    </row>
    <row r="1339" spans="1:21" ht="15.6" x14ac:dyDescent="0.3">
      <c r="A1339" s="4">
        <v>1338</v>
      </c>
      <c r="B1339" s="5">
        <v>7727990</v>
      </c>
      <c r="C1339" s="4" t="s">
        <v>113</v>
      </c>
      <c r="D1339" s="4" t="s">
        <v>157</v>
      </c>
      <c r="E1339" s="4" t="s">
        <v>64</v>
      </c>
      <c r="F1339" s="4" t="s">
        <v>2952</v>
      </c>
      <c r="G1339" s="6">
        <v>4.8</v>
      </c>
      <c r="H1339" s="7">
        <v>45183.503472222219</v>
      </c>
      <c r="I1339" s="7" t="str">
        <f>TEXT(multilingual_mobile_app_reviews_2025[[#This Row],[Review_date]],"dd-mm-yyyy")</f>
        <v>14-09-2023</v>
      </c>
      <c r="J1339" s="7" t="str">
        <f>TEXT(multilingual_mobile_app_reviews_2025[[#This Row],[Review_date]],"YYYY")</f>
        <v>2023</v>
      </c>
      <c r="K1339" s="7" t="str">
        <f>TEXT(multilingual_mobile_app_reviews_2025[[#This Row],[Review_date]],"MMMM")</f>
        <v>September</v>
      </c>
      <c r="L1339" s="4" t="b">
        <v>1</v>
      </c>
      <c r="M1339" s="4" t="s">
        <v>33</v>
      </c>
      <c r="N1339" s="5">
        <v>1239</v>
      </c>
      <c r="O1339" s="5">
        <v>38</v>
      </c>
      <c r="P1339" s="4" t="s">
        <v>99</v>
      </c>
      <c r="Q1339" s="8" t="s">
        <v>12</v>
      </c>
      <c r="R1339" s="4" t="s">
        <v>1656</v>
      </c>
      <c r="S1339" s="4"/>
      <c r="T1339"/>
      <c r="U1339" s="23"/>
    </row>
    <row r="1340" spans="1:21" ht="15.6" x14ac:dyDescent="0.3">
      <c r="A1340" s="4">
        <v>1339</v>
      </c>
      <c r="B1340" s="5">
        <v>8799518</v>
      </c>
      <c r="C1340" s="4" t="s">
        <v>96</v>
      </c>
      <c r="D1340" s="4" t="s">
        <v>157</v>
      </c>
      <c r="E1340" s="4" t="s">
        <v>1657</v>
      </c>
      <c r="F1340" s="4" t="s">
        <v>2950</v>
      </c>
      <c r="G1340" s="6">
        <v>3.9</v>
      </c>
      <c r="H1340" s="7">
        <v>45441.01798611111</v>
      </c>
      <c r="I1340" s="7" t="str">
        <f>TEXT(multilingual_mobile_app_reviews_2025[[#This Row],[Review_date]],"dd-mm-yyyy")</f>
        <v>29-05-2024</v>
      </c>
      <c r="J1340" s="7" t="str">
        <f>TEXT(multilingual_mobile_app_reviews_2025[[#This Row],[Review_date]],"YYYY")</f>
        <v>2024</v>
      </c>
      <c r="K1340" s="7" t="str">
        <f>TEXT(multilingual_mobile_app_reviews_2025[[#This Row],[Review_date]],"MMMM")</f>
        <v>May</v>
      </c>
      <c r="L1340" s="4" t="b">
        <v>1</v>
      </c>
      <c r="M1340" s="4" t="s">
        <v>98</v>
      </c>
      <c r="N1340" s="5">
        <v>232</v>
      </c>
      <c r="O1340" s="5">
        <v>68</v>
      </c>
      <c r="P1340" s="4" t="s">
        <v>127</v>
      </c>
      <c r="Q1340" s="8" t="s">
        <v>5</v>
      </c>
      <c r="R1340" s="4" t="s">
        <v>1658</v>
      </c>
      <c r="S1340" s="4"/>
      <c r="T1340"/>
      <c r="U1340" s="23"/>
    </row>
    <row r="1341" spans="1:21" ht="15.6" x14ac:dyDescent="0.3">
      <c r="A1341" s="4">
        <v>1340</v>
      </c>
      <c r="B1341" s="5">
        <v>2279901</v>
      </c>
      <c r="C1341" s="4" t="s">
        <v>258</v>
      </c>
      <c r="D1341" s="4" t="s">
        <v>63</v>
      </c>
      <c r="E1341" s="4" t="s">
        <v>16</v>
      </c>
      <c r="F1341" s="4" t="s">
        <v>2947</v>
      </c>
      <c r="G1341" s="6">
        <v>2.4</v>
      </c>
      <c r="H1341" s="7">
        <v>45814.976053240738</v>
      </c>
      <c r="I1341" s="7" t="str">
        <f>TEXT(multilingual_mobile_app_reviews_2025[[#This Row],[Review_date]],"dd-mm-yyyy")</f>
        <v>06-06-2025</v>
      </c>
      <c r="J1341" s="7" t="str">
        <f>TEXT(multilingual_mobile_app_reviews_2025[[#This Row],[Review_date]],"YYYY")</f>
        <v>2025</v>
      </c>
      <c r="K1341" s="7" t="str">
        <f>TEXT(multilingual_mobile_app_reviews_2025[[#This Row],[Review_date]],"MMMM")</f>
        <v>June</v>
      </c>
      <c r="L1341" s="4" t="b">
        <v>1</v>
      </c>
      <c r="M1341" s="4" t="s">
        <v>33</v>
      </c>
      <c r="N1341" s="5">
        <v>122</v>
      </c>
      <c r="O1341" s="5">
        <v>47</v>
      </c>
      <c r="P1341" s="4" t="s">
        <v>23</v>
      </c>
      <c r="Q1341" s="8" t="s">
        <v>5</v>
      </c>
      <c r="R1341" s="4" t="s">
        <v>1659</v>
      </c>
      <c r="S1341" s="4"/>
      <c r="T1341"/>
      <c r="U1341" s="23"/>
    </row>
    <row r="1342" spans="1:21" ht="15.6" x14ac:dyDescent="0.3">
      <c r="A1342" s="4">
        <v>1341</v>
      </c>
      <c r="B1342" s="5">
        <v>5296863</v>
      </c>
      <c r="C1342" s="4" t="s">
        <v>96</v>
      </c>
      <c r="D1342" s="4" t="s">
        <v>111</v>
      </c>
      <c r="E1342" s="4" t="s">
        <v>16</v>
      </c>
      <c r="F1342" s="4" t="s">
        <v>2943</v>
      </c>
      <c r="G1342" s="6">
        <v>2.6</v>
      </c>
      <c r="H1342" s="7">
        <v>45474.578460648147</v>
      </c>
      <c r="I1342" s="7" t="str">
        <f>TEXT(multilingual_mobile_app_reviews_2025[[#This Row],[Review_date]],"dd-mm-yyyy")</f>
        <v>01-07-2024</v>
      </c>
      <c r="J1342" s="7" t="str">
        <f>TEXT(multilingual_mobile_app_reviews_2025[[#This Row],[Review_date]],"YYYY")</f>
        <v>2024</v>
      </c>
      <c r="K1342" s="7" t="str">
        <f>TEXT(multilingual_mobile_app_reviews_2025[[#This Row],[Review_date]],"MMMM")</f>
        <v>July</v>
      </c>
      <c r="L1342" s="4" t="b">
        <v>0</v>
      </c>
      <c r="M1342" s="4" t="s">
        <v>33</v>
      </c>
      <c r="N1342" s="5">
        <v>696</v>
      </c>
      <c r="O1342" s="5">
        <v>17</v>
      </c>
      <c r="P1342" s="4" t="s">
        <v>94</v>
      </c>
      <c r="Q1342" s="8" t="s">
        <v>5</v>
      </c>
      <c r="R1342" s="4" t="s">
        <v>1660</v>
      </c>
      <c r="S1342" s="4"/>
      <c r="T1342"/>
      <c r="U1342" s="23"/>
    </row>
    <row r="1343" spans="1:21" ht="15.6" x14ac:dyDescent="0.3">
      <c r="A1343" s="4">
        <v>1342</v>
      </c>
      <c r="B1343" s="5">
        <v>8065487</v>
      </c>
      <c r="C1343" s="4" t="s">
        <v>113</v>
      </c>
      <c r="D1343" s="4" t="s">
        <v>60</v>
      </c>
      <c r="E1343" s="4" t="s">
        <v>109</v>
      </c>
      <c r="F1343" s="4" t="s">
        <v>2955</v>
      </c>
      <c r="G1343" s="6">
        <v>3.6</v>
      </c>
      <c r="H1343" s="7">
        <v>45262.207314814812</v>
      </c>
      <c r="I1343" s="7" t="str">
        <f>TEXT(multilingual_mobile_app_reviews_2025[[#This Row],[Review_date]],"dd-mm-yyyy")</f>
        <v>02-12-2023</v>
      </c>
      <c r="J1343" s="7" t="str">
        <f>TEXT(multilingual_mobile_app_reviews_2025[[#This Row],[Review_date]],"YYYY")</f>
        <v>2023</v>
      </c>
      <c r="K1343" s="7" t="str">
        <f>TEXT(multilingual_mobile_app_reviews_2025[[#This Row],[Review_date]],"MMMM")</f>
        <v>December</v>
      </c>
      <c r="L1343" s="4" t="b">
        <v>1</v>
      </c>
      <c r="M1343" s="4" t="s">
        <v>98</v>
      </c>
      <c r="N1343" s="5">
        <v>825</v>
      </c>
      <c r="O1343" s="5">
        <v>46</v>
      </c>
      <c r="P1343" s="4" t="s">
        <v>73</v>
      </c>
      <c r="Q1343" s="8" t="s">
        <v>29</v>
      </c>
      <c r="R1343" s="4" t="s">
        <v>1661</v>
      </c>
      <c r="S1343" s="4"/>
      <c r="T1343"/>
      <c r="U1343" s="23"/>
    </row>
    <row r="1344" spans="1:21" ht="15.6" x14ac:dyDescent="0.3">
      <c r="A1344" s="4">
        <v>1343</v>
      </c>
      <c r="B1344" s="5">
        <v>9748432</v>
      </c>
      <c r="C1344" s="4" t="s">
        <v>106</v>
      </c>
      <c r="D1344" s="4" t="s">
        <v>63</v>
      </c>
      <c r="E1344" s="4" t="s">
        <v>1662</v>
      </c>
      <c r="F1344" s="4" t="s">
        <v>2949</v>
      </c>
      <c r="G1344" s="6">
        <v>3.6</v>
      </c>
      <c r="H1344" s="7">
        <v>45823.166597222225</v>
      </c>
      <c r="I1344" s="7" t="str">
        <f>TEXT(multilingual_mobile_app_reviews_2025[[#This Row],[Review_date]],"dd-mm-yyyy")</f>
        <v>15-06-2025</v>
      </c>
      <c r="J1344" s="7" t="str">
        <f>TEXT(multilingual_mobile_app_reviews_2025[[#This Row],[Review_date]],"YYYY")</f>
        <v>2025</v>
      </c>
      <c r="K1344" s="7" t="str">
        <f>TEXT(multilingual_mobile_app_reviews_2025[[#This Row],[Review_date]],"MMMM")</f>
        <v>June</v>
      </c>
      <c r="L1344" s="4" t="b">
        <v>1</v>
      </c>
      <c r="M1344" s="4" t="s">
        <v>22</v>
      </c>
      <c r="N1344" s="5">
        <v>990</v>
      </c>
      <c r="O1344" s="5">
        <v>57</v>
      </c>
      <c r="P1344" s="4" t="s">
        <v>80</v>
      </c>
      <c r="Q1344" s="8" t="s">
        <v>29</v>
      </c>
      <c r="R1344" s="4" t="s">
        <v>1663</v>
      </c>
      <c r="S1344" s="4"/>
      <c r="T1344"/>
      <c r="U1344" s="23"/>
    </row>
    <row r="1345" spans="1:21" ht="15.6" x14ac:dyDescent="0.3">
      <c r="A1345" s="4">
        <v>1344</v>
      </c>
      <c r="B1345" s="5">
        <v>5918033</v>
      </c>
      <c r="C1345" s="4" t="s">
        <v>165</v>
      </c>
      <c r="D1345" s="4" t="s">
        <v>1</v>
      </c>
      <c r="E1345" s="4" t="s">
        <v>93</v>
      </c>
      <c r="F1345" s="4" t="s">
        <v>2961</v>
      </c>
      <c r="G1345" s="6">
        <v>3.9</v>
      </c>
      <c r="H1345" s="7">
        <v>45682.830208333333</v>
      </c>
      <c r="I1345" s="7" t="str">
        <f>TEXT(multilingual_mobile_app_reviews_2025[[#This Row],[Review_date]],"dd-mm-yyyy")</f>
        <v>25-01-2025</v>
      </c>
      <c r="J1345" s="7" t="str">
        <f>TEXT(multilingual_mobile_app_reviews_2025[[#This Row],[Review_date]],"YYYY")</f>
        <v>2025</v>
      </c>
      <c r="K1345" s="7" t="str">
        <f>TEXT(multilingual_mobile_app_reviews_2025[[#This Row],[Review_date]],"MMMM")</f>
        <v>January</v>
      </c>
      <c r="L1345" s="4" t="b">
        <v>0</v>
      </c>
      <c r="M1345" s="4" t="s">
        <v>22</v>
      </c>
      <c r="N1345" s="5">
        <v>407</v>
      </c>
      <c r="O1345" s="5">
        <v>23</v>
      </c>
      <c r="P1345" s="4" t="s">
        <v>90</v>
      </c>
      <c r="Q1345" s="8" t="s">
        <v>2963</v>
      </c>
      <c r="R1345" s="4" t="s">
        <v>1664</v>
      </c>
      <c r="S1345" s="4"/>
      <c r="T1345"/>
      <c r="U1345" s="23"/>
    </row>
    <row r="1346" spans="1:21" ht="15.6" x14ac:dyDescent="0.3">
      <c r="A1346" s="4">
        <v>1345</v>
      </c>
      <c r="B1346" s="5">
        <v>5090361</v>
      </c>
      <c r="C1346" s="4" t="s">
        <v>56</v>
      </c>
      <c r="D1346" s="4" t="s">
        <v>220</v>
      </c>
      <c r="E1346" s="4" t="s">
        <v>9</v>
      </c>
      <c r="F1346" s="4" t="s">
        <v>2945</v>
      </c>
      <c r="G1346" s="6">
        <v>2.2999999999999998</v>
      </c>
      <c r="H1346" s="7">
        <v>45442.647141203706</v>
      </c>
      <c r="I1346" s="7" t="str">
        <f>TEXT(multilingual_mobile_app_reviews_2025[[#This Row],[Review_date]],"dd-mm-yyyy")</f>
        <v>30-05-2024</v>
      </c>
      <c r="J1346" s="7" t="str">
        <f>TEXT(multilingual_mobile_app_reviews_2025[[#This Row],[Review_date]],"YYYY")</f>
        <v>2024</v>
      </c>
      <c r="K1346" s="7" t="str">
        <f>TEXT(multilingual_mobile_app_reviews_2025[[#This Row],[Review_date]],"MMMM")</f>
        <v>May</v>
      </c>
      <c r="L1346" s="4" t="b">
        <v>0</v>
      </c>
      <c r="M1346" s="4" t="s">
        <v>22</v>
      </c>
      <c r="N1346" s="5">
        <v>1117</v>
      </c>
      <c r="O1346" s="5">
        <v>36</v>
      </c>
      <c r="P1346" s="4" t="s">
        <v>17</v>
      </c>
      <c r="Q1346" s="8" t="s">
        <v>39</v>
      </c>
      <c r="R1346" s="4" t="s">
        <v>1665</v>
      </c>
      <c r="S1346" s="4"/>
      <c r="T1346"/>
      <c r="U1346" s="23"/>
    </row>
    <row r="1347" spans="1:21" ht="15.6" x14ac:dyDescent="0.3">
      <c r="A1347" s="4">
        <v>1346</v>
      </c>
      <c r="B1347" s="5">
        <v>3038131</v>
      </c>
      <c r="C1347" s="4" t="s">
        <v>176</v>
      </c>
      <c r="D1347" s="4" t="s">
        <v>71</v>
      </c>
      <c r="E1347" s="4" t="s">
        <v>130</v>
      </c>
      <c r="F1347" s="4" t="s">
        <v>2954</v>
      </c>
      <c r="G1347" s="6">
        <v>3.2</v>
      </c>
      <c r="H1347" s="7">
        <v>45461.259282407409</v>
      </c>
      <c r="I1347" s="7" t="str">
        <f>TEXT(multilingual_mobile_app_reviews_2025[[#This Row],[Review_date]],"dd-mm-yyyy")</f>
        <v>18-06-2024</v>
      </c>
      <c r="J1347" s="7" t="str">
        <f>TEXT(multilingual_mobile_app_reviews_2025[[#This Row],[Review_date]],"YYYY")</f>
        <v>2024</v>
      </c>
      <c r="K1347" s="7" t="str">
        <f>TEXT(multilingual_mobile_app_reviews_2025[[#This Row],[Review_date]],"MMMM")</f>
        <v>June</v>
      </c>
      <c r="L1347" s="4" t="b">
        <v>1</v>
      </c>
      <c r="M1347" s="4" t="s">
        <v>98</v>
      </c>
      <c r="N1347" s="5">
        <v>676</v>
      </c>
      <c r="O1347" s="5">
        <v>47</v>
      </c>
      <c r="P1347" s="4" t="s">
        <v>230</v>
      </c>
      <c r="Q1347" s="8" t="s">
        <v>2963</v>
      </c>
      <c r="R1347" s="4" t="s">
        <v>1666</v>
      </c>
      <c r="S1347" s="4"/>
      <c r="T1347"/>
      <c r="U1347" s="23"/>
    </row>
    <row r="1348" spans="1:21" ht="15.6" x14ac:dyDescent="0.3">
      <c r="A1348" s="4">
        <v>1347</v>
      </c>
      <c r="B1348" s="5">
        <v>3112820</v>
      </c>
      <c r="C1348" s="4" t="s">
        <v>89</v>
      </c>
      <c r="D1348" s="4" t="s">
        <v>42</v>
      </c>
      <c r="E1348" s="4" t="s">
        <v>1667</v>
      </c>
      <c r="F1348" s="4" t="s">
        <v>2947</v>
      </c>
      <c r="G1348" s="6">
        <v>4</v>
      </c>
      <c r="H1348" s="7">
        <v>45815.046365740738</v>
      </c>
      <c r="I1348" s="7" t="str">
        <f>TEXT(multilingual_mobile_app_reviews_2025[[#This Row],[Review_date]],"dd-mm-yyyy")</f>
        <v>07-06-2025</v>
      </c>
      <c r="J1348" s="7" t="str">
        <f>TEXT(multilingual_mobile_app_reviews_2025[[#This Row],[Review_date]],"YYYY")</f>
        <v>2025</v>
      </c>
      <c r="K1348" s="7" t="str">
        <f>TEXT(multilingual_mobile_app_reviews_2025[[#This Row],[Review_date]],"MMMM")</f>
        <v>June</v>
      </c>
      <c r="L1348" s="4" t="b">
        <v>1</v>
      </c>
      <c r="M1348" s="4" t="s">
        <v>3</v>
      </c>
      <c r="N1348" s="5">
        <v>1213</v>
      </c>
      <c r="O1348" s="5">
        <v>48</v>
      </c>
      <c r="P1348" s="4" t="s">
        <v>38</v>
      </c>
      <c r="Q1348" s="8" t="s">
        <v>5</v>
      </c>
      <c r="R1348" s="4" t="s">
        <v>1339</v>
      </c>
      <c r="S1348" s="4"/>
      <c r="T1348"/>
      <c r="U1348" s="23"/>
    </row>
    <row r="1349" spans="1:21" ht="15.6" x14ac:dyDescent="0.3">
      <c r="A1349" s="4">
        <v>1348</v>
      </c>
      <c r="B1349" s="5">
        <v>4693203</v>
      </c>
      <c r="C1349" s="4" t="s">
        <v>208</v>
      </c>
      <c r="D1349" s="4" t="s">
        <v>31</v>
      </c>
      <c r="E1349" s="4" t="s">
        <v>27</v>
      </c>
      <c r="F1349" s="4" t="s">
        <v>2939</v>
      </c>
      <c r="G1349" s="6">
        <v>4.2</v>
      </c>
      <c r="H1349" s="7">
        <v>45824.379652777781</v>
      </c>
      <c r="I1349" s="7" t="str">
        <f>TEXT(multilingual_mobile_app_reviews_2025[[#This Row],[Review_date]],"dd-mm-yyyy")</f>
        <v>16-06-2025</v>
      </c>
      <c r="J1349" s="7" t="str">
        <f>TEXT(multilingual_mobile_app_reviews_2025[[#This Row],[Review_date]],"YYYY")</f>
        <v>2025</v>
      </c>
      <c r="K1349" s="7" t="str">
        <f>TEXT(multilingual_mobile_app_reviews_2025[[#This Row],[Review_date]],"MMMM")</f>
        <v>June</v>
      </c>
      <c r="L1349" s="4" t="b">
        <v>0</v>
      </c>
      <c r="M1349" s="4" t="s">
        <v>3</v>
      </c>
      <c r="N1349" s="5">
        <v>390</v>
      </c>
      <c r="O1349" s="5">
        <v>73</v>
      </c>
      <c r="P1349" s="4" t="s">
        <v>118</v>
      </c>
      <c r="Q1349" s="8" t="s">
        <v>2963</v>
      </c>
      <c r="R1349" s="4" t="s">
        <v>2963</v>
      </c>
      <c r="S1349" s="4"/>
      <c r="T1349"/>
      <c r="U1349" s="23"/>
    </row>
    <row r="1350" spans="1:21" ht="15.6" x14ac:dyDescent="0.3">
      <c r="A1350" s="4">
        <v>1349</v>
      </c>
      <c r="B1350" s="5">
        <v>9121738</v>
      </c>
      <c r="C1350" s="4" t="s">
        <v>69</v>
      </c>
      <c r="D1350" s="4" t="s">
        <v>8</v>
      </c>
      <c r="E1350" s="4" t="s">
        <v>16</v>
      </c>
      <c r="F1350" s="4" t="s">
        <v>2942</v>
      </c>
      <c r="G1350" s="6">
        <v>4.5</v>
      </c>
      <c r="H1350" s="7">
        <v>45365.595613425925</v>
      </c>
      <c r="I1350" s="7" t="str">
        <f>TEXT(multilingual_mobile_app_reviews_2025[[#This Row],[Review_date]],"dd-mm-yyyy")</f>
        <v>14-03-2024</v>
      </c>
      <c r="J1350" s="7" t="str">
        <f>TEXT(multilingual_mobile_app_reviews_2025[[#This Row],[Review_date]],"YYYY")</f>
        <v>2024</v>
      </c>
      <c r="K1350" s="7" t="str">
        <f>TEXT(multilingual_mobile_app_reviews_2025[[#This Row],[Review_date]],"MMMM")</f>
        <v>March</v>
      </c>
      <c r="L1350" s="4" t="b">
        <v>0</v>
      </c>
      <c r="M1350" s="4" t="s">
        <v>33</v>
      </c>
      <c r="N1350" s="5">
        <v>599</v>
      </c>
      <c r="O1350" s="5">
        <v>21</v>
      </c>
      <c r="P1350" s="4" t="s">
        <v>73</v>
      </c>
      <c r="Q1350" s="8" t="s">
        <v>5</v>
      </c>
      <c r="R1350" s="4" t="s">
        <v>2963</v>
      </c>
      <c r="S1350" s="4"/>
      <c r="T1350"/>
      <c r="U1350" s="23"/>
    </row>
    <row r="1351" spans="1:21" ht="15.6" x14ac:dyDescent="0.3">
      <c r="A1351" s="4">
        <v>1350</v>
      </c>
      <c r="B1351" s="5">
        <v>1219776</v>
      </c>
      <c r="C1351" s="4" t="s">
        <v>137</v>
      </c>
      <c r="D1351" s="4" t="s">
        <v>63</v>
      </c>
      <c r="E1351" s="4" t="s">
        <v>76</v>
      </c>
      <c r="F1351" s="4" t="s">
        <v>2958</v>
      </c>
      <c r="G1351" s="6">
        <v>4.4000000000000004</v>
      </c>
      <c r="H1351" s="7">
        <v>45681.065069444441</v>
      </c>
      <c r="I1351" s="7" t="str">
        <f>TEXT(multilingual_mobile_app_reviews_2025[[#This Row],[Review_date]],"dd-mm-yyyy")</f>
        <v>24-01-2025</v>
      </c>
      <c r="J1351" s="7" t="str">
        <f>TEXT(multilingual_mobile_app_reviews_2025[[#This Row],[Review_date]],"YYYY")</f>
        <v>2025</v>
      </c>
      <c r="K1351" s="7" t="str">
        <f>TEXT(multilingual_mobile_app_reviews_2025[[#This Row],[Review_date]],"MMMM")</f>
        <v>January</v>
      </c>
      <c r="L1351" s="4" t="b">
        <v>0</v>
      </c>
      <c r="M1351" s="4" t="s">
        <v>22</v>
      </c>
      <c r="N1351" s="5">
        <v>396</v>
      </c>
      <c r="O1351" s="5">
        <v>31</v>
      </c>
      <c r="P1351" s="4" t="s">
        <v>94</v>
      </c>
      <c r="Q1351" s="8" t="s">
        <v>39</v>
      </c>
      <c r="R1351" s="4" t="s">
        <v>1668</v>
      </c>
      <c r="S1351" s="4"/>
      <c r="T1351"/>
      <c r="U1351" s="23"/>
    </row>
    <row r="1352" spans="1:21" ht="15.6" x14ac:dyDescent="0.3">
      <c r="A1352" s="4">
        <v>1351</v>
      </c>
      <c r="B1352" s="5">
        <v>3744931</v>
      </c>
      <c r="C1352" s="4" t="s">
        <v>104</v>
      </c>
      <c r="D1352" s="4" t="s">
        <v>60</v>
      </c>
      <c r="E1352" s="4" t="s">
        <v>93</v>
      </c>
      <c r="F1352" s="4" t="s">
        <v>2956</v>
      </c>
      <c r="G1352" s="6">
        <v>2.9</v>
      </c>
      <c r="H1352" s="7">
        <v>45844.714756944442</v>
      </c>
      <c r="I1352" s="7" t="str">
        <f>TEXT(multilingual_mobile_app_reviews_2025[[#This Row],[Review_date]],"dd-mm-yyyy")</f>
        <v>06-07-2025</v>
      </c>
      <c r="J1352" s="7" t="str">
        <f>TEXT(multilingual_mobile_app_reviews_2025[[#This Row],[Review_date]],"YYYY")</f>
        <v>2025</v>
      </c>
      <c r="K1352" s="7" t="str">
        <f>TEXT(multilingual_mobile_app_reviews_2025[[#This Row],[Review_date]],"MMMM")</f>
        <v>July</v>
      </c>
      <c r="L1352" s="4" t="b">
        <v>1</v>
      </c>
      <c r="M1352" s="4" t="s">
        <v>3</v>
      </c>
      <c r="N1352" s="5">
        <v>747</v>
      </c>
      <c r="O1352" s="5">
        <v>58</v>
      </c>
      <c r="P1352" s="4" t="s">
        <v>144</v>
      </c>
      <c r="Q1352" s="8" t="s">
        <v>29</v>
      </c>
      <c r="R1352" s="4" t="s">
        <v>1669</v>
      </c>
      <c r="S1352" s="4"/>
      <c r="T1352"/>
      <c r="U1352" s="23"/>
    </row>
    <row r="1353" spans="1:21" ht="15.6" x14ac:dyDescent="0.3">
      <c r="A1353" s="4">
        <v>1352</v>
      </c>
      <c r="B1353" s="5">
        <v>7000102</v>
      </c>
      <c r="C1353" s="4" t="s">
        <v>147</v>
      </c>
      <c r="D1353" s="4" t="s">
        <v>15</v>
      </c>
      <c r="E1353" s="4" t="s">
        <v>93</v>
      </c>
      <c r="F1353" s="4" t="s">
        <v>2958</v>
      </c>
      <c r="G1353" s="6">
        <v>2.5</v>
      </c>
      <c r="H1353" s="7">
        <v>45730.633043981485</v>
      </c>
      <c r="I1353" s="7" t="str">
        <f>TEXT(multilingual_mobile_app_reviews_2025[[#This Row],[Review_date]],"dd-mm-yyyy")</f>
        <v>14-03-2025</v>
      </c>
      <c r="J1353" s="7" t="str">
        <f>TEXT(multilingual_mobile_app_reviews_2025[[#This Row],[Review_date]],"YYYY")</f>
        <v>2025</v>
      </c>
      <c r="K1353" s="7" t="str">
        <f>TEXT(multilingual_mobile_app_reviews_2025[[#This Row],[Review_date]],"MMMM")</f>
        <v>March</v>
      </c>
      <c r="L1353" s="4" t="b">
        <v>1</v>
      </c>
      <c r="M1353" s="4" t="s">
        <v>22</v>
      </c>
      <c r="N1353" s="5">
        <v>576</v>
      </c>
      <c r="O1353" s="5">
        <v>73</v>
      </c>
      <c r="P1353" s="4" t="s">
        <v>180</v>
      </c>
      <c r="Q1353" s="8" t="s">
        <v>29</v>
      </c>
      <c r="R1353" s="4" t="s">
        <v>1670</v>
      </c>
      <c r="S1353" s="4"/>
      <c r="T1353"/>
      <c r="U1353" s="23"/>
    </row>
    <row r="1354" spans="1:21" ht="15.6" x14ac:dyDescent="0.3">
      <c r="A1354" s="4">
        <v>1353</v>
      </c>
      <c r="B1354" s="5">
        <v>2133912</v>
      </c>
      <c r="C1354" s="4" t="s">
        <v>92</v>
      </c>
      <c r="D1354" s="4" t="s">
        <v>31</v>
      </c>
      <c r="E1354" s="4" t="s">
        <v>93</v>
      </c>
      <c r="F1354" s="4" t="s">
        <v>2958</v>
      </c>
      <c r="G1354" s="6">
        <v>1.1000000000000001</v>
      </c>
      <c r="H1354" s="7">
        <v>45425.2809375</v>
      </c>
      <c r="I1354" s="7" t="str">
        <f>TEXT(multilingual_mobile_app_reviews_2025[[#This Row],[Review_date]],"dd-mm-yyyy")</f>
        <v>13-05-2024</v>
      </c>
      <c r="J1354" s="7" t="str">
        <f>TEXT(multilingual_mobile_app_reviews_2025[[#This Row],[Review_date]],"YYYY")</f>
        <v>2024</v>
      </c>
      <c r="K1354" s="7" t="str">
        <f>TEXT(multilingual_mobile_app_reviews_2025[[#This Row],[Review_date]],"MMMM")</f>
        <v>May</v>
      </c>
      <c r="L1354" s="4" t="b">
        <v>1</v>
      </c>
      <c r="M1354" s="4" t="s">
        <v>98</v>
      </c>
      <c r="N1354" s="5">
        <v>741</v>
      </c>
      <c r="O1354" s="5">
        <v>57</v>
      </c>
      <c r="P1354" s="4" t="s">
        <v>114</v>
      </c>
      <c r="Q1354" s="8" t="s">
        <v>29</v>
      </c>
      <c r="R1354" s="4" t="s">
        <v>1671</v>
      </c>
      <c r="S1354" s="4"/>
      <c r="T1354"/>
      <c r="U1354" s="23"/>
    </row>
    <row r="1355" spans="1:21" ht="15.6" x14ac:dyDescent="0.3">
      <c r="A1355" s="4">
        <v>1354</v>
      </c>
      <c r="B1355" s="5">
        <v>1865375</v>
      </c>
      <c r="C1355" s="4" t="s">
        <v>50</v>
      </c>
      <c r="D1355" s="4" t="s">
        <v>1</v>
      </c>
      <c r="E1355" s="4" t="s">
        <v>76</v>
      </c>
      <c r="F1355" s="4" t="s">
        <v>2945</v>
      </c>
      <c r="G1355" s="6">
        <v>1</v>
      </c>
      <c r="H1355" s="7">
        <v>45530.653321759259</v>
      </c>
      <c r="I1355" s="7" t="str">
        <f>TEXT(multilingual_mobile_app_reviews_2025[[#This Row],[Review_date]],"dd-mm-yyyy")</f>
        <v>26-08-2024</v>
      </c>
      <c r="J1355" s="7" t="str">
        <f>TEXT(multilingual_mobile_app_reviews_2025[[#This Row],[Review_date]],"YYYY")</f>
        <v>2024</v>
      </c>
      <c r="K1355" s="7" t="str">
        <f>TEXT(multilingual_mobile_app_reviews_2025[[#This Row],[Review_date]],"MMMM")</f>
        <v>August</v>
      </c>
      <c r="L1355" s="4" t="b">
        <v>0</v>
      </c>
      <c r="M1355" s="4" t="s">
        <v>33</v>
      </c>
      <c r="N1355" s="5">
        <v>66</v>
      </c>
      <c r="O1355" s="5">
        <v>21</v>
      </c>
      <c r="P1355" s="4" t="s">
        <v>11</v>
      </c>
      <c r="Q1355" s="8" t="s">
        <v>39</v>
      </c>
      <c r="R1355" s="4" t="s">
        <v>1672</v>
      </c>
      <c r="S1355" s="4"/>
      <c r="T1355"/>
      <c r="U1355" s="23"/>
    </row>
    <row r="1356" spans="1:21" ht="15.6" x14ac:dyDescent="0.3">
      <c r="A1356" s="4">
        <v>1355</v>
      </c>
      <c r="B1356" s="5">
        <v>5569592</v>
      </c>
      <c r="C1356" s="4" t="s">
        <v>137</v>
      </c>
      <c r="D1356" s="4" t="s">
        <v>57</v>
      </c>
      <c r="E1356" s="4" t="s">
        <v>64</v>
      </c>
      <c r="F1356" s="4" t="s">
        <v>2958</v>
      </c>
      <c r="G1356" s="6">
        <v>1.8</v>
      </c>
      <c r="H1356" s="7">
        <v>45457.409305555557</v>
      </c>
      <c r="I1356" s="7" t="str">
        <f>TEXT(multilingual_mobile_app_reviews_2025[[#This Row],[Review_date]],"dd-mm-yyyy")</f>
        <v>14-06-2024</v>
      </c>
      <c r="J1356" s="7" t="str">
        <f>TEXT(multilingual_mobile_app_reviews_2025[[#This Row],[Review_date]],"YYYY")</f>
        <v>2024</v>
      </c>
      <c r="K1356" s="7" t="str">
        <f>TEXT(multilingual_mobile_app_reviews_2025[[#This Row],[Review_date]],"MMMM")</f>
        <v>June</v>
      </c>
      <c r="L1356" s="4" t="b">
        <v>1</v>
      </c>
      <c r="M1356" s="4" t="s">
        <v>3</v>
      </c>
      <c r="N1356" s="5">
        <v>182</v>
      </c>
      <c r="O1356" s="5">
        <v>51</v>
      </c>
      <c r="P1356" s="4" t="s">
        <v>65</v>
      </c>
      <c r="Q1356" s="8" t="s">
        <v>12</v>
      </c>
      <c r="R1356" s="4" t="s">
        <v>1673</v>
      </c>
      <c r="S1356" s="4"/>
      <c r="T1356"/>
      <c r="U1356" s="23"/>
    </row>
    <row r="1357" spans="1:21" ht="15.6" x14ac:dyDescent="0.3">
      <c r="A1357" s="4">
        <v>1356</v>
      </c>
      <c r="B1357" s="5">
        <v>2865541</v>
      </c>
      <c r="C1357" s="4" t="s">
        <v>192</v>
      </c>
      <c r="D1357" s="4" t="s">
        <v>157</v>
      </c>
      <c r="E1357" s="4" t="s">
        <v>27</v>
      </c>
      <c r="F1357" s="4" t="s">
        <v>2941</v>
      </c>
      <c r="G1357" s="6">
        <v>4.8</v>
      </c>
      <c r="H1357" s="7">
        <v>45335.207905092589</v>
      </c>
      <c r="I1357" s="7" t="str">
        <f>TEXT(multilingual_mobile_app_reviews_2025[[#This Row],[Review_date]],"dd-mm-yyyy")</f>
        <v>13-02-2024</v>
      </c>
      <c r="J1357" s="7" t="str">
        <f>TEXT(multilingual_mobile_app_reviews_2025[[#This Row],[Review_date]],"YYYY")</f>
        <v>2024</v>
      </c>
      <c r="K1357" s="7" t="str">
        <f>TEXT(multilingual_mobile_app_reviews_2025[[#This Row],[Review_date]],"MMMM")</f>
        <v>February</v>
      </c>
      <c r="L1357" s="4" t="b">
        <v>1</v>
      </c>
      <c r="M1357" s="4" t="s">
        <v>3</v>
      </c>
      <c r="N1357" s="5">
        <v>284</v>
      </c>
      <c r="O1357" s="5">
        <v>65</v>
      </c>
      <c r="P1357" s="4" t="s">
        <v>94</v>
      </c>
      <c r="Q1357" s="8" t="s">
        <v>29</v>
      </c>
      <c r="R1357" s="4" t="s">
        <v>754</v>
      </c>
      <c r="S1357" s="4"/>
      <c r="T1357"/>
      <c r="U1357" s="23"/>
    </row>
    <row r="1358" spans="1:21" ht="15.6" x14ac:dyDescent="0.3">
      <c r="A1358" s="4">
        <v>1357</v>
      </c>
      <c r="B1358" s="5">
        <v>8590354</v>
      </c>
      <c r="C1358" s="4" t="s">
        <v>87</v>
      </c>
      <c r="D1358" s="4" t="s">
        <v>47</v>
      </c>
      <c r="E1358" s="4" t="s">
        <v>109</v>
      </c>
      <c r="F1358" s="4" t="s">
        <v>2958</v>
      </c>
      <c r="G1358" s="6">
        <v>4.5</v>
      </c>
      <c r="H1358" s="7">
        <v>45173.547430555554</v>
      </c>
      <c r="I1358" s="7" t="str">
        <f>TEXT(multilingual_mobile_app_reviews_2025[[#This Row],[Review_date]],"dd-mm-yyyy")</f>
        <v>04-09-2023</v>
      </c>
      <c r="J1358" s="7" t="str">
        <f>TEXT(multilingual_mobile_app_reviews_2025[[#This Row],[Review_date]],"YYYY")</f>
        <v>2023</v>
      </c>
      <c r="K1358" s="7" t="str">
        <f>TEXT(multilingual_mobile_app_reviews_2025[[#This Row],[Review_date]],"MMMM")</f>
        <v>September</v>
      </c>
      <c r="L1358" s="4" t="b">
        <v>1</v>
      </c>
      <c r="M1358" s="4" t="s">
        <v>22</v>
      </c>
      <c r="N1358" s="5">
        <v>42</v>
      </c>
      <c r="O1358" s="5">
        <v>47</v>
      </c>
      <c r="P1358" s="4" t="s">
        <v>11</v>
      </c>
      <c r="Q1358" s="8" t="s">
        <v>2963</v>
      </c>
      <c r="R1358" s="4" t="s">
        <v>1674</v>
      </c>
      <c r="S1358" s="4"/>
      <c r="T1358"/>
      <c r="U1358" s="23"/>
    </row>
    <row r="1359" spans="1:21" ht="15.6" x14ac:dyDescent="0.3">
      <c r="A1359" s="4">
        <v>1358</v>
      </c>
      <c r="B1359" s="5">
        <v>548251</v>
      </c>
      <c r="C1359" s="4" t="s">
        <v>132</v>
      </c>
      <c r="D1359" s="4" t="s">
        <v>51</v>
      </c>
      <c r="E1359" s="4" t="s">
        <v>16</v>
      </c>
      <c r="F1359" s="4" t="s">
        <v>2960</v>
      </c>
      <c r="G1359" s="6">
        <v>4.8</v>
      </c>
      <c r="H1359" s="7">
        <v>45195.730891203704</v>
      </c>
      <c r="I1359" s="7" t="str">
        <f>TEXT(multilingual_mobile_app_reviews_2025[[#This Row],[Review_date]],"dd-mm-yyyy")</f>
        <v>26-09-2023</v>
      </c>
      <c r="J1359" s="7" t="str">
        <f>TEXT(multilingual_mobile_app_reviews_2025[[#This Row],[Review_date]],"YYYY")</f>
        <v>2023</v>
      </c>
      <c r="K1359" s="7" t="str">
        <f>TEXT(multilingual_mobile_app_reviews_2025[[#This Row],[Review_date]],"MMMM")</f>
        <v>September</v>
      </c>
      <c r="L1359" s="4" t="b">
        <v>0</v>
      </c>
      <c r="M1359" s="4" t="s">
        <v>22</v>
      </c>
      <c r="N1359" s="5">
        <v>116</v>
      </c>
      <c r="O1359" s="5">
        <v>69</v>
      </c>
      <c r="P1359" s="4" t="s">
        <v>38</v>
      </c>
      <c r="Q1359" s="8" t="s">
        <v>5</v>
      </c>
      <c r="R1359" s="4" t="s">
        <v>551</v>
      </c>
      <c r="S1359" s="4"/>
      <c r="T1359"/>
      <c r="U1359" s="23"/>
    </row>
    <row r="1360" spans="1:21" ht="15.6" x14ac:dyDescent="0.3">
      <c r="A1360" s="4">
        <v>1359</v>
      </c>
      <c r="B1360" s="5">
        <v>7849462</v>
      </c>
      <c r="C1360" s="4" t="s">
        <v>137</v>
      </c>
      <c r="D1360" s="4" t="s">
        <v>220</v>
      </c>
      <c r="E1360" s="4" t="s">
        <v>1675</v>
      </c>
      <c r="F1360" s="4" t="s">
        <v>2948</v>
      </c>
      <c r="G1360" s="6">
        <v>4.3</v>
      </c>
      <c r="H1360" s="7">
        <v>45244.885868055557</v>
      </c>
      <c r="I1360" s="7" t="str">
        <f>TEXT(multilingual_mobile_app_reviews_2025[[#This Row],[Review_date]],"dd-mm-yyyy")</f>
        <v>14-11-2023</v>
      </c>
      <c r="J1360" s="7" t="str">
        <f>TEXT(multilingual_mobile_app_reviews_2025[[#This Row],[Review_date]],"YYYY")</f>
        <v>2023</v>
      </c>
      <c r="K1360" s="7" t="str">
        <f>TEXT(multilingual_mobile_app_reviews_2025[[#This Row],[Review_date]],"MMMM")</f>
        <v>November</v>
      </c>
      <c r="L1360" s="4" t="b">
        <v>1</v>
      </c>
      <c r="M1360" s="4" t="s">
        <v>33</v>
      </c>
      <c r="N1360" s="5">
        <v>480</v>
      </c>
      <c r="O1360" s="5">
        <v>17</v>
      </c>
      <c r="P1360" s="4" t="s">
        <v>34</v>
      </c>
      <c r="Q1360" s="8" t="s">
        <v>29</v>
      </c>
      <c r="R1360" s="4" t="s">
        <v>1676</v>
      </c>
      <c r="S1360" s="4"/>
      <c r="T1360"/>
      <c r="U1360" s="23"/>
    </row>
    <row r="1361" spans="1:21" ht="15.6" x14ac:dyDescent="0.3">
      <c r="A1361" s="4">
        <v>1360</v>
      </c>
      <c r="B1361" s="5">
        <v>7888747</v>
      </c>
      <c r="C1361" s="4" t="s">
        <v>78</v>
      </c>
      <c r="D1361" s="4" t="s">
        <v>47</v>
      </c>
      <c r="E1361" s="4" t="s">
        <v>93</v>
      </c>
      <c r="F1361" s="4" t="s">
        <v>2952</v>
      </c>
      <c r="G1361" s="6">
        <v>3.5</v>
      </c>
      <c r="H1361" s="7">
        <v>45515.401898148149</v>
      </c>
      <c r="I1361" s="7" t="str">
        <f>TEXT(multilingual_mobile_app_reviews_2025[[#This Row],[Review_date]],"dd-mm-yyyy")</f>
        <v>11-08-2024</v>
      </c>
      <c r="J1361" s="7" t="str">
        <f>TEXT(multilingual_mobile_app_reviews_2025[[#This Row],[Review_date]],"YYYY")</f>
        <v>2024</v>
      </c>
      <c r="K1361" s="7" t="str">
        <f>TEXT(multilingual_mobile_app_reviews_2025[[#This Row],[Review_date]],"MMMM")</f>
        <v>August</v>
      </c>
      <c r="L1361" s="4" t="b">
        <v>1</v>
      </c>
      <c r="M1361" s="4" t="s">
        <v>98</v>
      </c>
      <c r="N1361" s="5">
        <v>471</v>
      </c>
      <c r="O1361" s="5">
        <v>16</v>
      </c>
      <c r="P1361" s="4" t="s">
        <v>230</v>
      </c>
      <c r="Q1361" s="8" t="s">
        <v>5</v>
      </c>
      <c r="R1361" s="4" t="s">
        <v>1677</v>
      </c>
      <c r="S1361" s="4"/>
      <c r="T1361"/>
      <c r="U1361" s="23"/>
    </row>
    <row r="1362" spans="1:21" ht="15.6" x14ac:dyDescent="0.3">
      <c r="A1362" s="4">
        <v>1361</v>
      </c>
      <c r="B1362" s="5">
        <v>1244829</v>
      </c>
      <c r="C1362" s="4" t="s">
        <v>56</v>
      </c>
      <c r="D1362" s="4" t="s">
        <v>42</v>
      </c>
      <c r="E1362" s="4" t="s">
        <v>9</v>
      </c>
      <c r="F1362" s="4" t="s">
        <v>2950</v>
      </c>
      <c r="G1362" s="6">
        <v>2.2000000000000002</v>
      </c>
      <c r="H1362" s="7">
        <v>45202.995682870373</v>
      </c>
      <c r="I1362" s="7" t="str">
        <f>TEXT(multilingual_mobile_app_reviews_2025[[#This Row],[Review_date]],"dd-mm-yyyy")</f>
        <v>03-10-2023</v>
      </c>
      <c r="J1362" s="7" t="str">
        <f>TEXT(multilingual_mobile_app_reviews_2025[[#This Row],[Review_date]],"YYYY")</f>
        <v>2023</v>
      </c>
      <c r="K1362" s="7" t="str">
        <f>TEXT(multilingual_mobile_app_reviews_2025[[#This Row],[Review_date]],"MMMM")</f>
        <v>October</v>
      </c>
      <c r="L1362" s="4" t="b">
        <v>1</v>
      </c>
      <c r="M1362" s="4" t="s">
        <v>3</v>
      </c>
      <c r="N1362" s="5">
        <v>525</v>
      </c>
      <c r="O1362" s="5">
        <v>62</v>
      </c>
      <c r="P1362" s="4" t="s">
        <v>70</v>
      </c>
      <c r="Q1362" s="8" t="s">
        <v>12</v>
      </c>
      <c r="R1362" s="4" t="s">
        <v>1678</v>
      </c>
      <c r="S1362" s="4"/>
      <c r="T1362"/>
      <c r="U1362" s="23"/>
    </row>
    <row r="1363" spans="1:21" ht="15.6" x14ac:dyDescent="0.3">
      <c r="A1363" s="4">
        <v>1362</v>
      </c>
      <c r="B1363" s="5">
        <v>4165012</v>
      </c>
      <c r="C1363" s="4" t="s">
        <v>106</v>
      </c>
      <c r="D1363" s="4" t="s">
        <v>63</v>
      </c>
      <c r="E1363" s="4" t="s">
        <v>1679</v>
      </c>
      <c r="F1363" s="4" t="s">
        <v>2959</v>
      </c>
      <c r="G1363" s="6">
        <v>3.4</v>
      </c>
      <c r="H1363" s="7">
        <v>45351.119583333333</v>
      </c>
      <c r="I1363" s="7" t="str">
        <f>TEXT(multilingual_mobile_app_reviews_2025[[#This Row],[Review_date]],"dd-mm-yyyy")</f>
        <v>29-02-2024</v>
      </c>
      <c r="J1363" s="7" t="str">
        <f>TEXT(multilingual_mobile_app_reviews_2025[[#This Row],[Review_date]],"YYYY")</f>
        <v>2024</v>
      </c>
      <c r="K1363" s="7" t="str">
        <f>TEXT(multilingual_mobile_app_reviews_2025[[#This Row],[Review_date]],"MMMM")</f>
        <v>February</v>
      </c>
      <c r="L1363" s="4" t="b">
        <v>1</v>
      </c>
      <c r="M1363" s="4" t="s">
        <v>33</v>
      </c>
      <c r="N1363" s="5">
        <v>1031</v>
      </c>
      <c r="O1363" s="5">
        <v>31</v>
      </c>
      <c r="P1363" s="4" t="s">
        <v>180</v>
      </c>
      <c r="Q1363" s="8" t="s">
        <v>12</v>
      </c>
      <c r="R1363" s="4" t="s">
        <v>1680</v>
      </c>
      <c r="S1363" s="4"/>
      <c r="T1363"/>
      <c r="U1363" s="23"/>
    </row>
    <row r="1364" spans="1:21" ht="15.6" x14ac:dyDescent="0.3">
      <c r="A1364" s="4">
        <v>1363</v>
      </c>
      <c r="B1364" s="5">
        <v>7493014</v>
      </c>
      <c r="C1364" s="4" t="s">
        <v>154</v>
      </c>
      <c r="D1364" s="4" t="s">
        <v>60</v>
      </c>
      <c r="E1364" s="4" t="s">
        <v>130</v>
      </c>
      <c r="F1364" s="4" t="s">
        <v>2945</v>
      </c>
      <c r="G1364" s="6">
        <v>2.9</v>
      </c>
      <c r="H1364" s="7">
        <v>45417.012662037036</v>
      </c>
      <c r="I1364" s="7" t="str">
        <f>TEXT(multilingual_mobile_app_reviews_2025[[#This Row],[Review_date]],"dd-mm-yyyy")</f>
        <v>05-05-2024</v>
      </c>
      <c r="J1364" s="7" t="str">
        <f>TEXT(multilingual_mobile_app_reviews_2025[[#This Row],[Review_date]],"YYYY")</f>
        <v>2024</v>
      </c>
      <c r="K1364" s="7" t="str">
        <f>TEXT(multilingual_mobile_app_reviews_2025[[#This Row],[Review_date]],"MMMM")</f>
        <v>May</v>
      </c>
      <c r="L1364" s="4" t="b">
        <v>1</v>
      </c>
      <c r="M1364" s="4" t="s">
        <v>98</v>
      </c>
      <c r="N1364" s="5">
        <v>1042</v>
      </c>
      <c r="O1364" s="5">
        <v>44</v>
      </c>
      <c r="P1364" s="4" t="s">
        <v>99</v>
      </c>
      <c r="Q1364" s="8" t="s">
        <v>29</v>
      </c>
      <c r="R1364" s="4" t="s">
        <v>1681</v>
      </c>
      <c r="S1364" s="4"/>
      <c r="T1364"/>
      <c r="U1364" s="23"/>
    </row>
    <row r="1365" spans="1:21" ht="15.6" x14ac:dyDescent="0.3">
      <c r="A1365" s="4">
        <v>1364</v>
      </c>
      <c r="B1365" s="5">
        <v>3735160</v>
      </c>
      <c r="C1365" s="4" t="s">
        <v>67</v>
      </c>
      <c r="D1365" s="4" t="s">
        <v>157</v>
      </c>
      <c r="E1365" s="4" t="s">
        <v>32</v>
      </c>
      <c r="F1365" s="4" t="s">
        <v>2956</v>
      </c>
      <c r="G1365" s="6">
        <v>1.6</v>
      </c>
      <c r="H1365" s="7">
        <v>45693.778692129628</v>
      </c>
      <c r="I1365" s="7" t="str">
        <f>TEXT(multilingual_mobile_app_reviews_2025[[#This Row],[Review_date]],"dd-mm-yyyy")</f>
        <v>05-02-2025</v>
      </c>
      <c r="J1365" s="7" t="str">
        <f>TEXT(multilingual_mobile_app_reviews_2025[[#This Row],[Review_date]],"YYYY")</f>
        <v>2025</v>
      </c>
      <c r="K1365" s="7" t="str">
        <f>TEXT(multilingual_mobile_app_reviews_2025[[#This Row],[Review_date]],"MMMM")</f>
        <v>February</v>
      </c>
      <c r="L1365" s="4" t="b">
        <v>1</v>
      </c>
      <c r="M1365" s="4" t="s">
        <v>3</v>
      </c>
      <c r="N1365" s="5">
        <v>352</v>
      </c>
      <c r="O1365" s="5">
        <v>50</v>
      </c>
      <c r="P1365" s="4" t="s">
        <v>65</v>
      </c>
      <c r="Q1365" s="8" t="s">
        <v>5</v>
      </c>
      <c r="R1365" s="4" t="s">
        <v>1682</v>
      </c>
      <c r="S1365" s="4"/>
      <c r="T1365"/>
      <c r="U1365" s="23"/>
    </row>
    <row r="1366" spans="1:21" ht="15.6" x14ac:dyDescent="0.3">
      <c r="A1366" s="4">
        <v>1365</v>
      </c>
      <c r="B1366" s="5">
        <v>9030492</v>
      </c>
      <c r="C1366" s="4" t="s">
        <v>89</v>
      </c>
      <c r="D1366" s="4" t="s">
        <v>57</v>
      </c>
      <c r="E1366" s="4" t="s">
        <v>64</v>
      </c>
      <c r="F1366" s="4" t="s">
        <v>2956</v>
      </c>
      <c r="G1366" s="6">
        <v>3.4</v>
      </c>
      <c r="H1366" s="7">
        <v>45306.779756944445</v>
      </c>
      <c r="I1366" s="7" t="str">
        <f>TEXT(multilingual_mobile_app_reviews_2025[[#This Row],[Review_date]],"dd-mm-yyyy")</f>
        <v>15-01-2024</v>
      </c>
      <c r="J1366" s="7" t="str">
        <f>TEXT(multilingual_mobile_app_reviews_2025[[#This Row],[Review_date]],"YYYY")</f>
        <v>2024</v>
      </c>
      <c r="K1366" s="7" t="str">
        <f>TEXT(multilingual_mobile_app_reviews_2025[[#This Row],[Review_date]],"MMMM")</f>
        <v>January</v>
      </c>
      <c r="L1366" s="4" t="b">
        <v>1</v>
      </c>
      <c r="M1366" s="4" t="s">
        <v>33</v>
      </c>
      <c r="N1366" s="5">
        <v>1247</v>
      </c>
      <c r="O1366" s="5">
        <v>13</v>
      </c>
      <c r="P1366" s="4" t="s">
        <v>70</v>
      </c>
      <c r="Q1366" s="8" t="s">
        <v>39</v>
      </c>
      <c r="R1366" s="4" t="s">
        <v>1683</v>
      </c>
      <c r="S1366" s="4"/>
      <c r="T1366"/>
      <c r="U1366" s="23"/>
    </row>
    <row r="1367" spans="1:21" ht="15.6" x14ac:dyDescent="0.3">
      <c r="A1367" s="4">
        <v>1366</v>
      </c>
      <c r="B1367" s="5">
        <v>901213</v>
      </c>
      <c r="C1367" s="4" t="s">
        <v>36</v>
      </c>
      <c r="D1367" s="4" t="s">
        <v>60</v>
      </c>
      <c r="E1367" s="4" t="s">
        <v>1684</v>
      </c>
      <c r="F1367" s="4" t="s">
        <v>2960</v>
      </c>
      <c r="G1367" s="6">
        <v>2.2000000000000002</v>
      </c>
      <c r="H1367" s="7">
        <v>45150.187326388892</v>
      </c>
      <c r="I1367" s="7" t="str">
        <f>TEXT(multilingual_mobile_app_reviews_2025[[#This Row],[Review_date]],"dd-mm-yyyy")</f>
        <v>12-08-2023</v>
      </c>
      <c r="J1367" s="7" t="str">
        <f>TEXT(multilingual_mobile_app_reviews_2025[[#This Row],[Review_date]],"YYYY")</f>
        <v>2023</v>
      </c>
      <c r="K1367" s="7" t="str">
        <f>TEXT(multilingual_mobile_app_reviews_2025[[#This Row],[Review_date]],"MMMM")</f>
        <v>August</v>
      </c>
      <c r="L1367" s="4" t="b">
        <v>1</v>
      </c>
      <c r="M1367" s="4" t="s">
        <v>33</v>
      </c>
      <c r="N1367" s="5">
        <v>384</v>
      </c>
      <c r="O1367" s="5">
        <v>71</v>
      </c>
      <c r="P1367" s="4" t="s">
        <v>34</v>
      </c>
      <c r="Q1367" s="8" t="s">
        <v>39</v>
      </c>
      <c r="R1367" s="4" t="s">
        <v>1685</v>
      </c>
      <c r="S1367" s="4"/>
      <c r="T1367"/>
      <c r="U1367" s="23"/>
    </row>
    <row r="1368" spans="1:21" ht="15.6" x14ac:dyDescent="0.3">
      <c r="A1368" s="4">
        <v>1367</v>
      </c>
      <c r="B1368" s="5">
        <v>3323772</v>
      </c>
      <c r="C1368" s="4" t="s">
        <v>96</v>
      </c>
      <c r="D1368" s="4" t="s">
        <v>1</v>
      </c>
      <c r="E1368" s="4" t="s">
        <v>93</v>
      </c>
      <c r="F1368" s="4" t="s">
        <v>2959</v>
      </c>
      <c r="G1368" s="6">
        <v>3.3</v>
      </c>
      <c r="H1368" s="7">
        <v>45667.018449074072</v>
      </c>
      <c r="I1368" s="7" t="str">
        <f>TEXT(multilingual_mobile_app_reviews_2025[[#This Row],[Review_date]],"dd-mm-yyyy")</f>
        <v>10-01-2025</v>
      </c>
      <c r="J1368" s="7" t="str">
        <f>TEXT(multilingual_mobile_app_reviews_2025[[#This Row],[Review_date]],"YYYY")</f>
        <v>2025</v>
      </c>
      <c r="K1368" s="7" t="str">
        <f>TEXT(multilingual_mobile_app_reviews_2025[[#This Row],[Review_date]],"MMMM")</f>
        <v>January</v>
      </c>
      <c r="L1368" s="4" t="b">
        <v>0</v>
      </c>
      <c r="M1368" s="4" t="s">
        <v>22</v>
      </c>
      <c r="N1368" s="5">
        <v>1208</v>
      </c>
      <c r="O1368" s="5">
        <v>74</v>
      </c>
      <c r="P1368" s="4" t="s">
        <v>162</v>
      </c>
      <c r="Q1368" s="8" t="s">
        <v>29</v>
      </c>
      <c r="R1368" s="4" t="s">
        <v>1686</v>
      </c>
      <c r="S1368" s="4"/>
      <c r="T1368"/>
      <c r="U1368" s="23"/>
    </row>
    <row r="1369" spans="1:21" ht="15.6" x14ac:dyDescent="0.3">
      <c r="A1369" s="4">
        <v>1368</v>
      </c>
      <c r="B1369" s="5">
        <v>1159841</v>
      </c>
      <c r="C1369" s="4" t="s">
        <v>123</v>
      </c>
      <c r="D1369" s="4" t="s">
        <v>97</v>
      </c>
      <c r="E1369" s="4" t="s">
        <v>93</v>
      </c>
      <c r="F1369" s="4" t="s">
        <v>2952</v>
      </c>
      <c r="G1369" s="6">
        <v>2</v>
      </c>
      <c r="H1369" s="7">
        <v>45310.198379629626</v>
      </c>
      <c r="I1369" s="7" t="str">
        <f>TEXT(multilingual_mobile_app_reviews_2025[[#This Row],[Review_date]],"dd-mm-yyyy")</f>
        <v>19-01-2024</v>
      </c>
      <c r="J1369" s="7" t="str">
        <f>TEXT(multilingual_mobile_app_reviews_2025[[#This Row],[Review_date]],"YYYY")</f>
        <v>2024</v>
      </c>
      <c r="K1369" s="7" t="str">
        <f>TEXT(multilingual_mobile_app_reviews_2025[[#This Row],[Review_date]],"MMMM")</f>
        <v>January</v>
      </c>
      <c r="L1369" s="4" t="b">
        <v>1</v>
      </c>
      <c r="M1369" s="4" t="s">
        <v>33</v>
      </c>
      <c r="N1369" s="5">
        <v>370</v>
      </c>
      <c r="O1369" s="5">
        <v>46</v>
      </c>
      <c r="P1369" s="4" t="s">
        <v>70</v>
      </c>
      <c r="Q1369" s="8" t="s">
        <v>2963</v>
      </c>
      <c r="R1369" s="4" t="s">
        <v>1687</v>
      </c>
      <c r="S1369" s="4"/>
      <c r="T1369"/>
      <c r="U1369" s="23"/>
    </row>
    <row r="1370" spans="1:21" ht="15.6" x14ac:dyDescent="0.3">
      <c r="A1370" s="4">
        <v>1369</v>
      </c>
      <c r="B1370" s="5">
        <v>2916607</v>
      </c>
      <c r="C1370" s="4" t="s">
        <v>132</v>
      </c>
      <c r="D1370" s="4" t="s">
        <v>31</v>
      </c>
      <c r="E1370" s="4" t="s">
        <v>1688</v>
      </c>
      <c r="F1370" s="4" t="s">
        <v>2956</v>
      </c>
      <c r="G1370" s="6">
        <v>1.1000000000000001</v>
      </c>
      <c r="H1370" s="7">
        <v>45451.229247685187</v>
      </c>
      <c r="I1370" s="7" t="str">
        <f>TEXT(multilingual_mobile_app_reviews_2025[[#This Row],[Review_date]],"dd-mm-yyyy")</f>
        <v>08-06-2024</v>
      </c>
      <c r="J1370" s="7" t="str">
        <f>TEXT(multilingual_mobile_app_reviews_2025[[#This Row],[Review_date]],"YYYY")</f>
        <v>2024</v>
      </c>
      <c r="K1370" s="7" t="str">
        <f>TEXT(multilingual_mobile_app_reviews_2025[[#This Row],[Review_date]],"MMMM")</f>
        <v>June</v>
      </c>
      <c r="L1370" s="4" t="b">
        <v>0</v>
      </c>
      <c r="M1370" s="4" t="s">
        <v>33</v>
      </c>
      <c r="N1370" s="5">
        <v>801</v>
      </c>
      <c r="O1370" s="5">
        <v>66</v>
      </c>
      <c r="P1370" s="4" t="s">
        <v>38</v>
      </c>
      <c r="Q1370" s="8" t="s">
        <v>2963</v>
      </c>
      <c r="R1370" s="4" t="s">
        <v>1689</v>
      </c>
      <c r="S1370" s="4"/>
      <c r="T1370"/>
      <c r="U1370" s="23"/>
    </row>
    <row r="1371" spans="1:21" ht="15.6" x14ac:dyDescent="0.3">
      <c r="A1371" s="4">
        <v>1370</v>
      </c>
      <c r="B1371" s="5">
        <v>5405630</v>
      </c>
      <c r="C1371" s="4" t="s">
        <v>137</v>
      </c>
      <c r="D1371" s="4" t="s">
        <v>79</v>
      </c>
      <c r="E1371" s="4" t="s">
        <v>27</v>
      </c>
      <c r="F1371" s="4" t="s">
        <v>2942</v>
      </c>
      <c r="G1371" s="6">
        <v>3.5</v>
      </c>
      <c r="H1371" s="7">
        <v>45148.184479166666</v>
      </c>
      <c r="I1371" s="7" t="str">
        <f>TEXT(multilingual_mobile_app_reviews_2025[[#This Row],[Review_date]],"dd-mm-yyyy")</f>
        <v>10-08-2023</v>
      </c>
      <c r="J1371" s="7" t="str">
        <f>TEXT(multilingual_mobile_app_reviews_2025[[#This Row],[Review_date]],"YYYY")</f>
        <v>2023</v>
      </c>
      <c r="K1371" s="7" t="str">
        <f>TEXT(multilingual_mobile_app_reviews_2025[[#This Row],[Review_date]],"MMMM")</f>
        <v>August</v>
      </c>
      <c r="L1371" s="4" t="b">
        <v>1</v>
      </c>
      <c r="M1371" s="4" t="s">
        <v>98</v>
      </c>
      <c r="N1371" s="5">
        <v>787</v>
      </c>
      <c r="O1371" s="5">
        <v>23</v>
      </c>
      <c r="P1371" s="4" t="s">
        <v>23</v>
      </c>
      <c r="Q1371" s="8" t="s">
        <v>12</v>
      </c>
      <c r="R1371" s="4" t="s">
        <v>903</v>
      </c>
      <c r="S1371" s="4"/>
      <c r="T1371"/>
      <c r="U1371" s="23"/>
    </row>
    <row r="1372" spans="1:21" ht="15.6" x14ac:dyDescent="0.3">
      <c r="A1372" s="4">
        <v>1371</v>
      </c>
      <c r="B1372" s="5">
        <v>3669653</v>
      </c>
      <c r="C1372" s="4" t="s">
        <v>92</v>
      </c>
      <c r="D1372" s="4" t="s">
        <v>15</v>
      </c>
      <c r="E1372" s="4" t="s">
        <v>27</v>
      </c>
      <c r="F1372" s="4" t="s">
        <v>2947</v>
      </c>
      <c r="G1372" s="6">
        <v>4.8</v>
      </c>
      <c r="H1372" s="7">
        <v>45495.220069444447</v>
      </c>
      <c r="I1372" s="7" t="str">
        <f>TEXT(multilingual_mobile_app_reviews_2025[[#This Row],[Review_date]],"dd-mm-yyyy")</f>
        <v>22-07-2024</v>
      </c>
      <c r="J1372" s="7" t="str">
        <f>TEXT(multilingual_mobile_app_reviews_2025[[#This Row],[Review_date]],"YYYY")</f>
        <v>2024</v>
      </c>
      <c r="K1372" s="7" t="str">
        <f>TEXT(multilingual_mobile_app_reviews_2025[[#This Row],[Review_date]],"MMMM")</f>
        <v>July</v>
      </c>
      <c r="L1372" s="4" t="b">
        <v>1</v>
      </c>
      <c r="M1372" s="4" t="s">
        <v>10</v>
      </c>
      <c r="N1372" s="5">
        <v>50</v>
      </c>
      <c r="O1372" s="5">
        <v>57</v>
      </c>
      <c r="P1372" s="4" t="s">
        <v>73</v>
      </c>
      <c r="Q1372" s="8" t="s">
        <v>29</v>
      </c>
      <c r="R1372" s="4" t="s">
        <v>1690</v>
      </c>
      <c r="S1372" s="4"/>
      <c r="T1372"/>
      <c r="U1372" s="23"/>
    </row>
    <row r="1373" spans="1:21" ht="15.6" x14ac:dyDescent="0.3">
      <c r="A1373" s="4">
        <v>1372</v>
      </c>
      <c r="B1373" s="5">
        <v>1207569</v>
      </c>
      <c r="C1373" s="4" t="s">
        <v>137</v>
      </c>
      <c r="D1373" s="4" t="s">
        <v>79</v>
      </c>
      <c r="E1373" s="4" t="s">
        <v>32</v>
      </c>
      <c r="F1373" s="4" t="s">
        <v>2949</v>
      </c>
      <c r="G1373" s="6">
        <v>4.5999999999999996</v>
      </c>
      <c r="H1373" s="7">
        <v>45649.932233796295</v>
      </c>
      <c r="I1373" s="7" t="str">
        <f>TEXT(multilingual_mobile_app_reviews_2025[[#This Row],[Review_date]],"dd-mm-yyyy")</f>
        <v>23-12-2024</v>
      </c>
      <c r="J1373" s="7" t="str">
        <f>TEXT(multilingual_mobile_app_reviews_2025[[#This Row],[Review_date]],"YYYY")</f>
        <v>2024</v>
      </c>
      <c r="K1373" s="7" t="str">
        <f>TEXT(multilingual_mobile_app_reviews_2025[[#This Row],[Review_date]],"MMMM")</f>
        <v>December</v>
      </c>
      <c r="L1373" s="4" t="b">
        <v>1</v>
      </c>
      <c r="M1373" s="4" t="s">
        <v>22</v>
      </c>
      <c r="N1373" s="5">
        <v>741</v>
      </c>
      <c r="O1373" s="5">
        <v>54</v>
      </c>
      <c r="P1373" s="4" t="s">
        <v>114</v>
      </c>
      <c r="Q1373" s="8" t="s">
        <v>39</v>
      </c>
      <c r="R1373" s="4" t="s">
        <v>1691</v>
      </c>
      <c r="S1373" s="4"/>
      <c r="T1373"/>
      <c r="U1373" s="23"/>
    </row>
    <row r="1374" spans="1:21" ht="15.6" x14ac:dyDescent="0.3">
      <c r="A1374" s="4">
        <v>1373</v>
      </c>
      <c r="B1374" s="5">
        <v>6290456</v>
      </c>
      <c r="C1374" s="4" t="s">
        <v>165</v>
      </c>
      <c r="D1374" s="4" t="s">
        <v>51</v>
      </c>
      <c r="E1374" s="4" t="s">
        <v>21</v>
      </c>
      <c r="F1374" s="4" t="s">
        <v>2948</v>
      </c>
      <c r="G1374" s="6">
        <v>1.8</v>
      </c>
      <c r="H1374" s="7">
        <v>45173.006655092591</v>
      </c>
      <c r="I1374" s="7" t="str">
        <f>TEXT(multilingual_mobile_app_reviews_2025[[#This Row],[Review_date]],"dd-mm-yyyy")</f>
        <v>04-09-2023</v>
      </c>
      <c r="J1374" s="7" t="str">
        <f>TEXT(multilingual_mobile_app_reviews_2025[[#This Row],[Review_date]],"YYYY")</f>
        <v>2023</v>
      </c>
      <c r="K1374" s="7" t="str">
        <f>TEXT(multilingual_mobile_app_reviews_2025[[#This Row],[Review_date]],"MMMM")</f>
        <v>September</v>
      </c>
      <c r="L1374" s="4" t="b">
        <v>1</v>
      </c>
      <c r="M1374" s="4" t="s">
        <v>10</v>
      </c>
      <c r="N1374" s="5">
        <v>1150</v>
      </c>
      <c r="O1374" s="5">
        <v>60</v>
      </c>
      <c r="P1374" s="4" t="s">
        <v>17</v>
      </c>
      <c r="Q1374" s="8" t="s">
        <v>39</v>
      </c>
      <c r="R1374" s="4" t="s">
        <v>532</v>
      </c>
      <c r="S1374" s="4"/>
      <c r="T1374"/>
      <c r="U1374" s="23"/>
    </row>
    <row r="1375" spans="1:21" ht="15.6" x14ac:dyDescent="0.3">
      <c r="A1375" s="4">
        <v>1374</v>
      </c>
      <c r="B1375" s="5">
        <v>3766842</v>
      </c>
      <c r="C1375" s="4" t="s">
        <v>113</v>
      </c>
      <c r="D1375" s="4" t="s">
        <v>157</v>
      </c>
      <c r="E1375" s="4" t="s">
        <v>130</v>
      </c>
      <c r="F1375" s="4" t="s">
        <v>2947</v>
      </c>
      <c r="G1375" s="6">
        <v>2.5</v>
      </c>
      <c r="H1375" s="7">
        <v>45458.186620370368</v>
      </c>
      <c r="I1375" s="7" t="str">
        <f>TEXT(multilingual_mobile_app_reviews_2025[[#This Row],[Review_date]],"dd-mm-yyyy")</f>
        <v>15-06-2024</v>
      </c>
      <c r="J1375" s="7" t="str">
        <f>TEXT(multilingual_mobile_app_reviews_2025[[#This Row],[Review_date]],"YYYY")</f>
        <v>2024</v>
      </c>
      <c r="K1375" s="7" t="str">
        <f>TEXT(multilingual_mobile_app_reviews_2025[[#This Row],[Review_date]],"MMMM")</f>
        <v>June</v>
      </c>
      <c r="L1375" s="4" t="b">
        <v>1</v>
      </c>
      <c r="M1375" s="4" t="s">
        <v>3</v>
      </c>
      <c r="N1375" s="5">
        <v>9</v>
      </c>
      <c r="O1375" s="5">
        <v>72</v>
      </c>
      <c r="P1375" s="4" t="s">
        <v>85</v>
      </c>
      <c r="Q1375" s="8" t="s">
        <v>2963</v>
      </c>
      <c r="R1375" s="4" t="s">
        <v>438</v>
      </c>
      <c r="S1375" s="4"/>
      <c r="T1375"/>
      <c r="U1375" s="23"/>
    </row>
    <row r="1376" spans="1:21" ht="15.6" x14ac:dyDescent="0.3">
      <c r="A1376" s="4">
        <v>1375</v>
      </c>
      <c r="B1376" s="5">
        <v>8481494</v>
      </c>
      <c r="C1376" s="4" t="s">
        <v>46</v>
      </c>
      <c r="D1376" s="4" t="s">
        <v>220</v>
      </c>
      <c r="E1376" s="4" t="s">
        <v>1692</v>
      </c>
      <c r="F1376" s="4" t="s">
        <v>2949</v>
      </c>
      <c r="G1376" s="6">
        <v>1.1000000000000001</v>
      </c>
      <c r="H1376" s="7">
        <v>45738.047337962962</v>
      </c>
      <c r="I1376" s="7" t="str">
        <f>TEXT(multilingual_mobile_app_reviews_2025[[#This Row],[Review_date]],"dd-mm-yyyy")</f>
        <v>22-03-2025</v>
      </c>
      <c r="J1376" s="7" t="str">
        <f>TEXT(multilingual_mobile_app_reviews_2025[[#This Row],[Review_date]],"YYYY")</f>
        <v>2025</v>
      </c>
      <c r="K1376" s="7" t="str">
        <f>TEXT(multilingual_mobile_app_reviews_2025[[#This Row],[Review_date]],"MMMM")</f>
        <v>March</v>
      </c>
      <c r="L1376" s="4" t="b">
        <v>0</v>
      </c>
      <c r="M1376" s="4" t="s">
        <v>98</v>
      </c>
      <c r="N1376" s="5">
        <v>625</v>
      </c>
      <c r="O1376" s="5">
        <v>33</v>
      </c>
      <c r="P1376" s="4" t="s">
        <v>23</v>
      </c>
      <c r="Q1376" s="8" t="s">
        <v>39</v>
      </c>
      <c r="R1376" s="4" t="s">
        <v>1693</v>
      </c>
      <c r="S1376" s="4"/>
      <c r="T1376"/>
      <c r="U1376" s="23"/>
    </row>
    <row r="1377" spans="1:21" ht="15.6" x14ac:dyDescent="0.3">
      <c r="A1377" s="4">
        <v>1376</v>
      </c>
      <c r="B1377" s="5">
        <v>2330219</v>
      </c>
      <c r="C1377" s="4" t="s">
        <v>244</v>
      </c>
      <c r="D1377" s="4" t="s">
        <v>63</v>
      </c>
      <c r="E1377" s="4" t="s">
        <v>1694</v>
      </c>
      <c r="F1377" s="4" t="s">
        <v>2958</v>
      </c>
      <c r="G1377" s="6">
        <v>2.9</v>
      </c>
      <c r="H1377" s="7">
        <v>45152.586493055554</v>
      </c>
      <c r="I1377" s="7" t="str">
        <f>TEXT(multilingual_mobile_app_reviews_2025[[#This Row],[Review_date]],"dd-mm-yyyy")</f>
        <v>14-08-2023</v>
      </c>
      <c r="J1377" s="7" t="str">
        <f>TEXT(multilingual_mobile_app_reviews_2025[[#This Row],[Review_date]],"YYYY")</f>
        <v>2023</v>
      </c>
      <c r="K1377" s="7" t="str">
        <f>TEXT(multilingual_mobile_app_reviews_2025[[#This Row],[Review_date]],"MMMM")</f>
        <v>August</v>
      </c>
      <c r="L1377" s="4" t="b">
        <v>1</v>
      </c>
      <c r="M1377" s="4" t="s">
        <v>22</v>
      </c>
      <c r="N1377" s="5">
        <v>1003</v>
      </c>
      <c r="O1377" s="5">
        <v>71</v>
      </c>
      <c r="P1377" s="4" t="s">
        <v>180</v>
      </c>
      <c r="Q1377" s="8" t="s">
        <v>2963</v>
      </c>
      <c r="R1377" s="4" t="s">
        <v>1695</v>
      </c>
      <c r="S1377" s="4"/>
      <c r="T1377"/>
      <c r="U1377" s="23"/>
    </row>
    <row r="1378" spans="1:21" ht="15.6" x14ac:dyDescent="0.3">
      <c r="A1378" s="4">
        <v>1377</v>
      </c>
      <c r="B1378" s="5">
        <v>9915290</v>
      </c>
      <c r="C1378" s="4" t="s">
        <v>244</v>
      </c>
      <c r="D1378" s="4" t="s">
        <v>8</v>
      </c>
      <c r="E1378" s="4" t="s">
        <v>9</v>
      </c>
      <c r="F1378" s="4" t="s">
        <v>2942</v>
      </c>
      <c r="G1378" s="6">
        <v>2.4</v>
      </c>
      <c r="H1378" s="7">
        <v>45487.558194444442</v>
      </c>
      <c r="I1378" s="7" t="str">
        <f>TEXT(multilingual_mobile_app_reviews_2025[[#This Row],[Review_date]],"dd-mm-yyyy")</f>
        <v>14-07-2024</v>
      </c>
      <c r="J1378" s="7" t="str">
        <f>TEXT(multilingual_mobile_app_reviews_2025[[#This Row],[Review_date]],"YYYY")</f>
        <v>2024</v>
      </c>
      <c r="K1378" s="7" t="str">
        <f>TEXT(multilingual_mobile_app_reviews_2025[[#This Row],[Review_date]],"MMMM")</f>
        <v>July</v>
      </c>
      <c r="L1378" s="4" t="b">
        <v>1</v>
      </c>
      <c r="M1378" s="4" t="s">
        <v>22</v>
      </c>
      <c r="N1378" s="5">
        <v>9</v>
      </c>
      <c r="O1378" s="5">
        <v>32</v>
      </c>
      <c r="P1378" s="4" t="s">
        <v>73</v>
      </c>
      <c r="Q1378" s="8" t="s">
        <v>12</v>
      </c>
      <c r="R1378" s="4" t="s">
        <v>211</v>
      </c>
      <c r="S1378" s="4"/>
      <c r="T1378"/>
      <c r="U1378" s="23"/>
    </row>
    <row r="1379" spans="1:21" ht="15.6" x14ac:dyDescent="0.3">
      <c r="A1379" s="4">
        <v>1378</v>
      </c>
      <c r="B1379" s="5">
        <v>8673595</v>
      </c>
      <c r="C1379" s="4" t="s">
        <v>264</v>
      </c>
      <c r="D1379" s="4" t="s">
        <v>31</v>
      </c>
      <c r="E1379" s="4" t="s">
        <v>1696</v>
      </c>
      <c r="F1379" s="4" t="s">
        <v>2955</v>
      </c>
      <c r="G1379" s="6">
        <v>4.4000000000000004</v>
      </c>
      <c r="H1379" s="7">
        <v>45185.421851851854</v>
      </c>
      <c r="I1379" s="7" t="str">
        <f>TEXT(multilingual_mobile_app_reviews_2025[[#This Row],[Review_date]],"dd-mm-yyyy")</f>
        <v>16-09-2023</v>
      </c>
      <c r="J1379" s="7" t="str">
        <f>TEXT(multilingual_mobile_app_reviews_2025[[#This Row],[Review_date]],"YYYY")</f>
        <v>2023</v>
      </c>
      <c r="K1379" s="7" t="str">
        <f>TEXT(multilingual_mobile_app_reviews_2025[[#This Row],[Review_date]],"MMMM")</f>
        <v>September</v>
      </c>
      <c r="L1379" s="4" t="b">
        <v>1</v>
      </c>
      <c r="M1379" s="4" t="s">
        <v>10</v>
      </c>
      <c r="N1379" s="5">
        <v>385</v>
      </c>
      <c r="O1379" s="5">
        <v>18</v>
      </c>
      <c r="P1379" s="4" t="s">
        <v>44</v>
      </c>
      <c r="Q1379" s="8" t="s">
        <v>2963</v>
      </c>
      <c r="R1379" s="4" t="s">
        <v>892</v>
      </c>
      <c r="S1379" s="4"/>
      <c r="T1379"/>
      <c r="U1379" s="23"/>
    </row>
    <row r="1380" spans="1:21" ht="15.6" x14ac:dyDescent="0.3">
      <c r="A1380" s="4">
        <v>1379</v>
      </c>
      <c r="B1380" s="5">
        <v>6383463</v>
      </c>
      <c r="C1380" s="4" t="s">
        <v>176</v>
      </c>
      <c r="D1380" s="4" t="s">
        <v>15</v>
      </c>
      <c r="E1380" s="4" t="s">
        <v>32</v>
      </c>
      <c r="F1380" s="4" t="s">
        <v>2952</v>
      </c>
      <c r="G1380" s="6">
        <v>4.2</v>
      </c>
      <c r="H1380" s="7">
        <v>45526.250578703701</v>
      </c>
      <c r="I1380" s="7" t="str">
        <f>TEXT(multilingual_mobile_app_reviews_2025[[#This Row],[Review_date]],"dd-mm-yyyy")</f>
        <v>22-08-2024</v>
      </c>
      <c r="J1380" s="7" t="str">
        <f>TEXT(multilingual_mobile_app_reviews_2025[[#This Row],[Review_date]],"YYYY")</f>
        <v>2024</v>
      </c>
      <c r="K1380" s="7" t="str">
        <f>TEXT(multilingual_mobile_app_reviews_2025[[#This Row],[Review_date]],"MMMM")</f>
        <v>August</v>
      </c>
      <c r="L1380" s="4" t="b">
        <v>1</v>
      </c>
      <c r="M1380" s="4" t="s">
        <v>10</v>
      </c>
      <c r="N1380" s="5">
        <v>227</v>
      </c>
      <c r="O1380" s="5">
        <v>57</v>
      </c>
      <c r="P1380" s="4" t="s">
        <v>23</v>
      </c>
      <c r="Q1380" s="8" t="s">
        <v>2963</v>
      </c>
      <c r="R1380" s="4" t="s">
        <v>394</v>
      </c>
      <c r="S1380" s="4"/>
      <c r="T1380"/>
      <c r="U1380" s="23"/>
    </row>
    <row r="1381" spans="1:21" ht="15.6" x14ac:dyDescent="0.3">
      <c r="A1381" s="4">
        <v>1380</v>
      </c>
      <c r="B1381" s="5">
        <v>3489195</v>
      </c>
      <c r="C1381" s="4" t="s">
        <v>96</v>
      </c>
      <c r="D1381" s="4" t="s">
        <v>26</v>
      </c>
      <c r="E1381" s="4" t="s">
        <v>1697</v>
      </c>
      <c r="F1381" s="4" t="s">
        <v>2941</v>
      </c>
      <c r="G1381" s="6">
        <v>3.3</v>
      </c>
      <c r="H1381" s="7">
        <v>45557.774097222224</v>
      </c>
      <c r="I1381" s="7" t="str">
        <f>TEXT(multilingual_mobile_app_reviews_2025[[#This Row],[Review_date]],"dd-mm-yyyy")</f>
        <v>22-09-2024</v>
      </c>
      <c r="J1381" s="7" t="str">
        <f>TEXT(multilingual_mobile_app_reviews_2025[[#This Row],[Review_date]],"YYYY")</f>
        <v>2024</v>
      </c>
      <c r="K1381" s="7" t="str">
        <f>TEXT(multilingual_mobile_app_reviews_2025[[#This Row],[Review_date]],"MMMM")</f>
        <v>September</v>
      </c>
      <c r="L1381" s="4" t="b">
        <v>1</v>
      </c>
      <c r="M1381" s="4" t="s">
        <v>10</v>
      </c>
      <c r="N1381" s="5">
        <v>192</v>
      </c>
      <c r="O1381" s="5">
        <v>18</v>
      </c>
      <c r="P1381" s="4" t="s">
        <v>99</v>
      </c>
      <c r="Q1381" s="8" t="s">
        <v>39</v>
      </c>
      <c r="R1381" s="4" t="s">
        <v>1698</v>
      </c>
      <c r="S1381" s="4"/>
      <c r="T1381"/>
      <c r="U1381" s="23"/>
    </row>
    <row r="1382" spans="1:21" ht="15.6" x14ac:dyDescent="0.3">
      <c r="A1382" s="4">
        <v>1381</v>
      </c>
      <c r="B1382" s="5">
        <v>4266421</v>
      </c>
      <c r="C1382" s="4" t="s">
        <v>78</v>
      </c>
      <c r="D1382" s="4" t="s">
        <v>157</v>
      </c>
      <c r="E1382" s="4" t="s">
        <v>27</v>
      </c>
      <c r="F1382" s="4" t="s">
        <v>2953</v>
      </c>
      <c r="G1382" s="6">
        <v>2.8</v>
      </c>
      <c r="H1382" s="7">
        <v>45761.384293981479</v>
      </c>
      <c r="I1382" s="7" t="str">
        <f>TEXT(multilingual_mobile_app_reviews_2025[[#This Row],[Review_date]],"dd-mm-yyyy")</f>
        <v>14-04-2025</v>
      </c>
      <c r="J1382" s="7" t="str">
        <f>TEXT(multilingual_mobile_app_reviews_2025[[#This Row],[Review_date]],"YYYY")</f>
        <v>2025</v>
      </c>
      <c r="K1382" s="7" t="str">
        <f>TEXT(multilingual_mobile_app_reviews_2025[[#This Row],[Review_date]],"MMMM")</f>
        <v>April</v>
      </c>
      <c r="L1382" s="4" t="b">
        <v>0</v>
      </c>
      <c r="M1382" s="4" t="s">
        <v>3</v>
      </c>
      <c r="N1382" s="5">
        <v>195</v>
      </c>
      <c r="O1382" s="5">
        <v>66</v>
      </c>
      <c r="P1382" s="4" t="s">
        <v>180</v>
      </c>
      <c r="Q1382" s="8" t="s">
        <v>12</v>
      </c>
      <c r="R1382" s="4" t="s">
        <v>791</v>
      </c>
      <c r="S1382" s="4"/>
      <c r="T1382"/>
      <c r="U1382" s="23"/>
    </row>
    <row r="1383" spans="1:21" ht="15.6" x14ac:dyDescent="0.3">
      <c r="A1383" s="4">
        <v>1382</v>
      </c>
      <c r="B1383" s="5">
        <v>3831991</v>
      </c>
      <c r="C1383" s="4" t="s">
        <v>176</v>
      </c>
      <c r="D1383" s="4" t="s">
        <v>157</v>
      </c>
      <c r="E1383" s="4" t="s">
        <v>64</v>
      </c>
      <c r="F1383" s="4" t="s">
        <v>2942</v>
      </c>
      <c r="G1383" s="6">
        <v>3</v>
      </c>
      <c r="H1383" s="7">
        <v>45611.17491898148</v>
      </c>
      <c r="I1383" s="7" t="str">
        <f>TEXT(multilingual_mobile_app_reviews_2025[[#This Row],[Review_date]],"dd-mm-yyyy")</f>
        <v>15-11-2024</v>
      </c>
      <c r="J1383" s="7" t="str">
        <f>TEXT(multilingual_mobile_app_reviews_2025[[#This Row],[Review_date]],"YYYY")</f>
        <v>2024</v>
      </c>
      <c r="K1383" s="7" t="str">
        <f>TEXT(multilingual_mobile_app_reviews_2025[[#This Row],[Review_date]],"MMMM")</f>
        <v>November</v>
      </c>
      <c r="L1383" s="4" t="b">
        <v>1</v>
      </c>
      <c r="M1383" s="4" t="s">
        <v>3</v>
      </c>
      <c r="N1383" s="5">
        <v>803</v>
      </c>
      <c r="O1383" s="5">
        <v>23</v>
      </c>
      <c r="P1383" s="4" t="s">
        <v>118</v>
      </c>
      <c r="Q1383" s="8" t="s">
        <v>2963</v>
      </c>
      <c r="R1383" s="4" t="s">
        <v>1699</v>
      </c>
      <c r="S1383" s="4"/>
      <c r="T1383"/>
      <c r="U1383" s="23"/>
    </row>
    <row r="1384" spans="1:21" ht="15.6" x14ac:dyDescent="0.3">
      <c r="A1384" s="4">
        <v>1383</v>
      </c>
      <c r="B1384" s="5">
        <v>8848847</v>
      </c>
      <c r="C1384" s="4" t="s">
        <v>67</v>
      </c>
      <c r="D1384" s="4" t="s">
        <v>42</v>
      </c>
      <c r="E1384" s="4" t="s">
        <v>1700</v>
      </c>
      <c r="F1384" s="4" t="s">
        <v>2947</v>
      </c>
      <c r="G1384" s="6">
        <v>4.8</v>
      </c>
      <c r="H1384" s="7">
        <v>45329.117106481484</v>
      </c>
      <c r="I1384" s="7" t="str">
        <f>TEXT(multilingual_mobile_app_reviews_2025[[#This Row],[Review_date]],"dd-mm-yyyy")</f>
        <v>07-02-2024</v>
      </c>
      <c r="J1384" s="7" t="str">
        <f>TEXT(multilingual_mobile_app_reviews_2025[[#This Row],[Review_date]],"YYYY")</f>
        <v>2024</v>
      </c>
      <c r="K1384" s="7" t="str">
        <f>TEXT(multilingual_mobile_app_reviews_2025[[#This Row],[Review_date]],"MMMM")</f>
        <v>February</v>
      </c>
      <c r="L1384" s="4" t="b">
        <v>1</v>
      </c>
      <c r="M1384" s="4" t="s">
        <v>10</v>
      </c>
      <c r="N1384" s="5">
        <v>687</v>
      </c>
      <c r="O1384" s="5">
        <v>15</v>
      </c>
      <c r="P1384" s="4" t="s">
        <v>61</v>
      </c>
      <c r="Q1384" s="8" t="s">
        <v>39</v>
      </c>
      <c r="R1384" s="4" t="s">
        <v>1701</v>
      </c>
      <c r="S1384" s="4"/>
      <c r="T1384"/>
      <c r="U1384" s="23"/>
    </row>
    <row r="1385" spans="1:21" ht="15.6" x14ac:dyDescent="0.3">
      <c r="A1385" s="4">
        <v>1384</v>
      </c>
      <c r="B1385" s="5">
        <v>3060096</v>
      </c>
      <c r="C1385" s="4" t="s">
        <v>7</v>
      </c>
      <c r="D1385" s="4" t="s">
        <v>57</v>
      </c>
      <c r="E1385" s="4" t="s">
        <v>1702</v>
      </c>
      <c r="F1385" s="4" t="s">
        <v>2949</v>
      </c>
      <c r="G1385" s="6">
        <v>3.1</v>
      </c>
      <c r="H1385" s="7">
        <v>45703.282638888886</v>
      </c>
      <c r="I1385" s="7" t="str">
        <f>TEXT(multilingual_mobile_app_reviews_2025[[#This Row],[Review_date]],"dd-mm-yyyy")</f>
        <v>15-02-2025</v>
      </c>
      <c r="J1385" s="7" t="str">
        <f>TEXT(multilingual_mobile_app_reviews_2025[[#This Row],[Review_date]],"YYYY")</f>
        <v>2025</v>
      </c>
      <c r="K1385" s="7" t="str">
        <f>TEXT(multilingual_mobile_app_reviews_2025[[#This Row],[Review_date]],"MMMM")</f>
        <v>February</v>
      </c>
      <c r="L1385" s="4" t="b">
        <v>1</v>
      </c>
      <c r="M1385" s="4" t="s">
        <v>98</v>
      </c>
      <c r="N1385" s="5">
        <v>631</v>
      </c>
      <c r="O1385" s="5">
        <v>45</v>
      </c>
      <c r="P1385" s="4" t="s">
        <v>162</v>
      </c>
      <c r="Q1385" s="8" t="s">
        <v>12</v>
      </c>
      <c r="R1385" s="4" t="s">
        <v>1703</v>
      </c>
      <c r="S1385" s="4"/>
      <c r="T1385"/>
      <c r="U1385" s="23"/>
    </row>
    <row r="1386" spans="1:21" ht="15.6" x14ac:dyDescent="0.3">
      <c r="A1386" s="4">
        <v>1385</v>
      </c>
      <c r="B1386" s="5">
        <v>4416638</v>
      </c>
      <c r="C1386" s="4" t="s">
        <v>159</v>
      </c>
      <c r="D1386" s="4" t="s">
        <v>71</v>
      </c>
      <c r="E1386" s="4" t="s">
        <v>27</v>
      </c>
      <c r="F1386" s="4" t="s">
        <v>2942</v>
      </c>
      <c r="G1386" s="6">
        <v>2</v>
      </c>
      <c r="H1386" s="7">
        <v>45434.382708333331</v>
      </c>
      <c r="I1386" s="7" t="str">
        <f>TEXT(multilingual_mobile_app_reviews_2025[[#This Row],[Review_date]],"dd-mm-yyyy")</f>
        <v>22-05-2024</v>
      </c>
      <c r="J1386" s="7" t="str">
        <f>TEXT(multilingual_mobile_app_reviews_2025[[#This Row],[Review_date]],"YYYY")</f>
        <v>2024</v>
      </c>
      <c r="K1386" s="7" t="str">
        <f>TEXT(multilingual_mobile_app_reviews_2025[[#This Row],[Review_date]],"MMMM")</f>
        <v>May</v>
      </c>
      <c r="L1386" s="4" t="b">
        <v>1</v>
      </c>
      <c r="M1386" s="4" t="s">
        <v>22</v>
      </c>
      <c r="N1386" s="5">
        <v>965</v>
      </c>
      <c r="O1386" s="5">
        <v>36</v>
      </c>
      <c r="P1386" s="4" t="s">
        <v>162</v>
      </c>
      <c r="Q1386" s="8" t="s">
        <v>29</v>
      </c>
      <c r="R1386" s="4" t="s">
        <v>1704</v>
      </c>
      <c r="S1386" s="4"/>
      <c r="T1386"/>
      <c r="U1386" s="23"/>
    </row>
    <row r="1387" spans="1:21" ht="15.6" x14ac:dyDescent="0.3">
      <c r="A1387" s="4">
        <v>1386</v>
      </c>
      <c r="B1387" s="5">
        <v>5231265</v>
      </c>
      <c r="C1387" s="4" t="s">
        <v>50</v>
      </c>
      <c r="D1387" s="4" t="s">
        <v>42</v>
      </c>
      <c r="E1387" s="4" t="s">
        <v>1705</v>
      </c>
      <c r="F1387" s="4" t="s">
        <v>2959</v>
      </c>
      <c r="G1387" s="6">
        <v>3.6</v>
      </c>
      <c r="H1387" s="7">
        <v>45194.207627314812</v>
      </c>
      <c r="I1387" s="7" t="str">
        <f>TEXT(multilingual_mobile_app_reviews_2025[[#This Row],[Review_date]],"dd-mm-yyyy")</f>
        <v>25-09-2023</v>
      </c>
      <c r="J1387" s="7" t="str">
        <f>TEXT(multilingual_mobile_app_reviews_2025[[#This Row],[Review_date]],"YYYY")</f>
        <v>2023</v>
      </c>
      <c r="K1387" s="7" t="str">
        <f>TEXT(multilingual_mobile_app_reviews_2025[[#This Row],[Review_date]],"MMMM")</f>
        <v>September</v>
      </c>
      <c r="L1387" s="4" t="b">
        <v>1</v>
      </c>
      <c r="M1387" s="4" t="s">
        <v>22</v>
      </c>
      <c r="N1387" s="5">
        <v>892</v>
      </c>
      <c r="O1387" s="5">
        <v>69</v>
      </c>
      <c r="P1387" s="4" t="s">
        <v>144</v>
      </c>
      <c r="Q1387" s="8" t="s">
        <v>39</v>
      </c>
      <c r="R1387" s="4" t="s">
        <v>115</v>
      </c>
      <c r="S1387" s="4"/>
      <c r="T1387"/>
      <c r="U1387" s="23"/>
    </row>
    <row r="1388" spans="1:21" ht="15.6" x14ac:dyDescent="0.3">
      <c r="A1388" s="4">
        <v>1387</v>
      </c>
      <c r="B1388" s="5">
        <v>751407</v>
      </c>
      <c r="C1388" s="4" t="s">
        <v>50</v>
      </c>
      <c r="D1388" s="4" t="s">
        <v>60</v>
      </c>
      <c r="E1388" s="4" t="s">
        <v>76</v>
      </c>
      <c r="F1388" s="4" t="s">
        <v>2957</v>
      </c>
      <c r="G1388" s="6">
        <v>3.3</v>
      </c>
      <c r="H1388" s="7">
        <v>45854.708680555559</v>
      </c>
      <c r="I1388" s="7" t="str">
        <f>TEXT(multilingual_mobile_app_reviews_2025[[#This Row],[Review_date]],"dd-mm-yyyy")</f>
        <v>16-07-2025</v>
      </c>
      <c r="J1388" s="7" t="str">
        <f>TEXT(multilingual_mobile_app_reviews_2025[[#This Row],[Review_date]],"YYYY")</f>
        <v>2025</v>
      </c>
      <c r="K1388" s="7" t="str">
        <f>TEXT(multilingual_mobile_app_reviews_2025[[#This Row],[Review_date]],"MMMM")</f>
        <v>July</v>
      </c>
      <c r="L1388" s="4" t="b">
        <v>1</v>
      </c>
      <c r="M1388" s="4" t="s">
        <v>3</v>
      </c>
      <c r="N1388" s="5">
        <v>1238</v>
      </c>
      <c r="O1388" s="5">
        <v>21</v>
      </c>
      <c r="P1388" s="4" t="s">
        <v>11</v>
      </c>
      <c r="Q1388" s="8" t="s">
        <v>39</v>
      </c>
      <c r="R1388" s="4" t="s">
        <v>1706</v>
      </c>
      <c r="S1388" s="4"/>
      <c r="T1388"/>
      <c r="U1388" s="23"/>
    </row>
    <row r="1389" spans="1:21" ht="15.6" x14ac:dyDescent="0.3">
      <c r="A1389" s="4">
        <v>1388</v>
      </c>
      <c r="B1389" s="5">
        <v>6556309</v>
      </c>
      <c r="C1389" s="4" t="s">
        <v>165</v>
      </c>
      <c r="D1389" s="4" t="s">
        <v>31</v>
      </c>
      <c r="E1389" s="4" t="s">
        <v>93</v>
      </c>
      <c r="F1389" s="4" t="s">
        <v>2951</v>
      </c>
      <c r="G1389" s="6">
        <v>1.6</v>
      </c>
      <c r="H1389" s="7">
        <v>45862.884699074071</v>
      </c>
      <c r="I1389" s="7" t="str">
        <f>TEXT(multilingual_mobile_app_reviews_2025[[#This Row],[Review_date]],"dd-mm-yyyy")</f>
        <v>24-07-2025</v>
      </c>
      <c r="J1389" s="7" t="str">
        <f>TEXT(multilingual_mobile_app_reviews_2025[[#This Row],[Review_date]],"YYYY")</f>
        <v>2025</v>
      </c>
      <c r="K1389" s="7" t="str">
        <f>TEXT(multilingual_mobile_app_reviews_2025[[#This Row],[Review_date]],"MMMM")</f>
        <v>July</v>
      </c>
      <c r="L1389" s="4" t="b">
        <v>1</v>
      </c>
      <c r="M1389" s="4" t="s">
        <v>33</v>
      </c>
      <c r="N1389" s="5">
        <v>1126</v>
      </c>
      <c r="O1389" s="5">
        <v>28</v>
      </c>
      <c r="P1389" s="4" t="s">
        <v>11</v>
      </c>
      <c r="Q1389" s="8" t="s">
        <v>2963</v>
      </c>
      <c r="R1389" s="4" t="s">
        <v>1707</v>
      </c>
      <c r="S1389" s="4"/>
      <c r="T1389"/>
      <c r="U1389" s="23"/>
    </row>
    <row r="1390" spans="1:21" ht="15.6" x14ac:dyDescent="0.3">
      <c r="A1390" s="4">
        <v>1389</v>
      </c>
      <c r="B1390" s="5">
        <v>2823988</v>
      </c>
      <c r="C1390" s="4" t="s">
        <v>54</v>
      </c>
      <c r="D1390" s="4" t="s">
        <v>1</v>
      </c>
      <c r="E1390" s="4" t="s">
        <v>130</v>
      </c>
      <c r="F1390" s="4" t="s">
        <v>2947</v>
      </c>
      <c r="G1390" s="6">
        <v>1</v>
      </c>
      <c r="H1390" s="7">
        <v>45289.739768518521</v>
      </c>
      <c r="I1390" s="7" t="str">
        <f>TEXT(multilingual_mobile_app_reviews_2025[[#This Row],[Review_date]],"dd-mm-yyyy")</f>
        <v>29-12-2023</v>
      </c>
      <c r="J1390" s="7" t="str">
        <f>TEXT(multilingual_mobile_app_reviews_2025[[#This Row],[Review_date]],"YYYY")</f>
        <v>2023</v>
      </c>
      <c r="K1390" s="7" t="str">
        <f>TEXT(multilingual_mobile_app_reviews_2025[[#This Row],[Review_date]],"MMMM")</f>
        <v>December</v>
      </c>
      <c r="L1390" s="4" t="b">
        <v>0</v>
      </c>
      <c r="M1390" s="4" t="s">
        <v>10</v>
      </c>
      <c r="N1390" s="5">
        <v>709</v>
      </c>
      <c r="O1390" s="5">
        <v>67</v>
      </c>
      <c r="P1390" s="4" t="s">
        <v>144</v>
      </c>
      <c r="Q1390" s="8" t="s">
        <v>2963</v>
      </c>
      <c r="R1390" s="4" t="s">
        <v>1708</v>
      </c>
      <c r="S1390" s="4"/>
      <c r="T1390"/>
      <c r="U1390" s="23"/>
    </row>
    <row r="1391" spans="1:21" ht="15.6" x14ac:dyDescent="0.3">
      <c r="A1391" s="4">
        <v>1390</v>
      </c>
      <c r="B1391" s="5">
        <v>7419864</v>
      </c>
      <c r="C1391" s="4" t="s">
        <v>75</v>
      </c>
      <c r="D1391" s="4" t="s">
        <v>42</v>
      </c>
      <c r="E1391" s="4" t="s">
        <v>1709</v>
      </c>
      <c r="F1391" s="4" t="s">
        <v>2949</v>
      </c>
      <c r="G1391" s="6">
        <v>3</v>
      </c>
      <c r="H1391" s="7">
        <v>45424.852546296293</v>
      </c>
      <c r="I1391" s="7" t="str">
        <f>TEXT(multilingual_mobile_app_reviews_2025[[#This Row],[Review_date]],"dd-mm-yyyy")</f>
        <v>12-05-2024</v>
      </c>
      <c r="J1391" s="7" t="str">
        <f>TEXT(multilingual_mobile_app_reviews_2025[[#This Row],[Review_date]],"YYYY")</f>
        <v>2024</v>
      </c>
      <c r="K1391" s="7" t="str">
        <f>TEXT(multilingual_mobile_app_reviews_2025[[#This Row],[Review_date]],"MMMM")</f>
        <v>May</v>
      </c>
      <c r="L1391" s="4" t="b">
        <v>0</v>
      </c>
      <c r="M1391" s="4" t="s">
        <v>33</v>
      </c>
      <c r="N1391" s="5">
        <v>70</v>
      </c>
      <c r="O1391" s="5">
        <v>69</v>
      </c>
      <c r="P1391" s="4" t="s">
        <v>127</v>
      </c>
      <c r="Q1391" s="8" t="s">
        <v>39</v>
      </c>
      <c r="R1391" s="4" t="s">
        <v>1710</v>
      </c>
      <c r="S1391" s="4"/>
      <c r="T1391"/>
      <c r="U1391" s="23"/>
    </row>
    <row r="1392" spans="1:21" ht="15.6" x14ac:dyDescent="0.3">
      <c r="A1392" s="4">
        <v>1391</v>
      </c>
      <c r="B1392" s="5">
        <v>1068122</v>
      </c>
      <c r="C1392" s="4" t="s">
        <v>159</v>
      </c>
      <c r="D1392" s="4" t="s">
        <v>63</v>
      </c>
      <c r="E1392" s="4" t="s">
        <v>1711</v>
      </c>
      <c r="F1392" s="4" t="s">
        <v>2944</v>
      </c>
      <c r="G1392" s="6">
        <v>2.6</v>
      </c>
      <c r="H1392" s="7">
        <v>45664.273564814815</v>
      </c>
      <c r="I1392" s="7" t="str">
        <f>TEXT(multilingual_mobile_app_reviews_2025[[#This Row],[Review_date]],"dd-mm-yyyy")</f>
        <v>07-01-2025</v>
      </c>
      <c r="J1392" s="7" t="str">
        <f>TEXT(multilingual_mobile_app_reviews_2025[[#This Row],[Review_date]],"YYYY")</f>
        <v>2025</v>
      </c>
      <c r="K1392" s="7" t="str">
        <f>TEXT(multilingual_mobile_app_reviews_2025[[#This Row],[Review_date]],"MMMM")</f>
        <v>January</v>
      </c>
      <c r="L1392" s="4" t="b">
        <v>1</v>
      </c>
      <c r="M1392" s="4" t="s">
        <v>3</v>
      </c>
      <c r="N1392" s="5">
        <v>712</v>
      </c>
      <c r="O1392" s="5">
        <v>32</v>
      </c>
      <c r="P1392" s="4" t="s">
        <v>38</v>
      </c>
      <c r="Q1392" s="8" t="s">
        <v>12</v>
      </c>
      <c r="R1392" s="4" t="s">
        <v>1712</v>
      </c>
      <c r="S1392" s="4"/>
      <c r="T1392"/>
      <c r="U1392" s="23"/>
    </row>
    <row r="1393" spans="1:21" ht="15.6" x14ac:dyDescent="0.3">
      <c r="A1393" s="4">
        <v>1392</v>
      </c>
      <c r="B1393" s="5">
        <v>2581086</v>
      </c>
      <c r="C1393" s="4" t="s">
        <v>78</v>
      </c>
      <c r="D1393" s="4" t="s">
        <v>20</v>
      </c>
      <c r="E1393" s="4" t="s">
        <v>109</v>
      </c>
      <c r="F1393" s="4" t="s">
        <v>2954</v>
      </c>
      <c r="G1393" s="6">
        <v>1.4</v>
      </c>
      <c r="H1393" s="7">
        <v>45341.859826388885</v>
      </c>
      <c r="I1393" s="7" t="str">
        <f>TEXT(multilingual_mobile_app_reviews_2025[[#This Row],[Review_date]],"dd-mm-yyyy")</f>
        <v>19-02-2024</v>
      </c>
      <c r="J1393" s="7" t="str">
        <f>TEXT(multilingual_mobile_app_reviews_2025[[#This Row],[Review_date]],"YYYY")</f>
        <v>2024</v>
      </c>
      <c r="K1393" s="7" t="str">
        <f>TEXT(multilingual_mobile_app_reviews_2025[[#This Row],[Review_date]],"MMMM")</f>
        <v>February</v>
      </c>
      <c r="L1393" s="4" t="b">
        <v>1</v>
      </c>
      <c r="M1393" s="4" t="s">
        <v>22</v>
      </c>
      <c r="N1393" s="5">
        <v>575</v>
      </c>
      <c r="O1393" s="5">
        <v>37</v>
      </c>
      <c r="P1393" s="4" t="s">
        <v>2963</v>
      </c>
      <c r="Q1393" s="8" t="s">
        <v>12</v>
      </c>
      <c r="R1393" s="4" t="s">
        <v>1713</v>
      </c>
      <c r="S1393" s="4"/>
      <c r="T1393"/>
      <c r="U1393" s="23"/>
    </row>
    <row r="1394" spans="1:21" ht="15.6" x14ac:dyDescent="0.3">
      <c r="A1394" s="4">
        <v>1393</v>
      </c>
      <c r="B1394" s="5">
        <v>7741531</v>
      </c>
      <c r="C1394" s="4" t="s">
        <v>176</v>
      </c>
      <c r="D1394" s="4" t="s">
        <v>79</v>
      </c>
      <c r="E1394" s="4" t="s">
        <v>1714</v>
      </c>
      <c r="F1394" s="4" t="s">
        <v>2941</v>
      </c>
      <c r="G1394" s="6">
        <v>4.5</v>
      </c>
      <c r="H1394" s="7">
        <v>45783.363807870373</v>
      </c>
      <c r="I1394" s="7" t="str">
        <f>TEXT(multilingual_mobile_app_reviews_2025[[#This Row],[Review_date]],"dd-mm-yyyy")</f>
        <v>06-05-2025</v>
      </c>
      <c r="J1394" s="7" t="str">
        <f>TEXT(multilingual_mobile_app_reviews_2025[[#This Row],[Review_date]],"YYYY")</f>
        <v>2025</v>
      </c>
      <c r="K1394" s="7" t="str">
        <f>TEXT(multilingual_mobile_app_reviews_2025[[#This Row],[Review_date]],"MMMM")</f>
        <v>May</v>
      </c>
      <c r="L1394" s="4" t="b">
        <v>1</v>
      </c>
      <c r="M1394" s="4" t="s">
        <v>3</v>
      </c>
      <c r="N1394" s="5">
        <v>1071</v>
      </c>
      <c r="O1394" s="5">
        <v>20</v>
      </c>
      <c r="P1394" s="4" t="s">
        <v>44</v>
      </c>
      <c r="Q1394" s="8" t="s">
        <v>29</v>
      </c>
      <c r="R1394" s="4" t="s">
        <v>1715</v>
      </c>
      <c r="S1394" s="4"/>
      <c r="T1394"/>
      <c r="U1394" s="23"/>
    </row>
    <row r="1395" spans="1:21" ht="15.6" x14ac:dyDescent="0.3">
      <c r="A1395" s="4">
        <v>1394</v>
      </c>
      <c r="B1395" s="5">
        <v>4342475</v>
      </c>
      <c r="C1395" s="4" t="s">
        <v>106</v>
      </c>
      <c r="D1395" s="4" t="s">
        <v>60</v>
      </c>
      <c r="E1395" s="4" t="s">
        <v>2938</v>
      </c>
      <c r="F1395" s="4" t="s">
        <v>2962</v>
      </c>
      <c r="G1395" s="6">
        <v>3.6</v>
      </c>
      <c r="H1395" s="7">
        <v>45772.986643518518</v>
      </c>
      <c r="I1395" s="7" t="str">
        <f>TEXT(multilingual_mobile_app_reviews_2025[[#This Row],[Review_date]],"dd-mm-yyyy")</f>
        <v>25-04-2025</v>
      </c>
      <c r="J1395" s="7" t="str">
        <f>TEXT(multilingual_mobile_app_reviews_2025[[#This Row],[Review_date]],"YYYY")</f>
        <v>2025</v>
      </c>
      <c r="K1395" s="7" t="str">
        <f>TEXT(multilingual_mobile_app_reviews_2025[[#This Row],[Review_date]],"MMMM")</f>
        <v>April</v>
      </c>
      <c r="L1395" s="4" t="b">
        <v>1</v>
      </c>
      <c r="M1395" s="4" t="s">
        <v>3</v>
      </c>
      <c r="N1395" s="5">
        <v>987</v>
      </c>
      <c r="O1395" s="5">
        <v>24</v>
      </c>
      <c r="P1395" s="4" t="s">
        <v>23</v>
      </c>
      <c r="Q1395" s="8" t="s">
        <v>12</v>
      </c>
      <c r="R1395" s="4" t="s">
        <v>1716</v>
      </c>
      <c r="S1395" s="4"/>
      <c r="T1395"/>
      <c r="U1395" s="23"/>
    </row>
    <row r="1396" spans="1:21" ht="15.6" x14ac:dyDescent="0.3">
      <c r="A1396" s="4">
        <v>1395</v>
      </c>
      <c r="B1396" s="5">
        <v>126484</v>
      </c>
      <c r="C1396" s="4" t="s">
        <v>54</v>
      </c>
      <c r="D1396" s="4" t="s">
        <v>42</v>
      </c>
      <c r="E1396" s="4" t="s">
        <v>109</v>
      </c>
      <c r="F1396" s="4" t="s">
        <v>2956</v>
      </c>
      <c r="G1396" s="6">
        <v>3.7</v>
      </c>
      <c r="H1396" s="7">
        <v>45214.119942129626</v>
      </c>
      <c r="I1396" s="7" t="str">
        <f>TEXT(multilingual_mobile_app_reviews_2025[[#This Row],[Review_date]],"dd-mm-yyyy")</f>
        <v>15-10-2023</v>
      </c>
      <c r="J1396" s="7" t="str">
        <f>TEXT(multilingual_mobile_app_reviews_2025[[#This Row],[Review_date]],"YYYY")</f>
        <v>2023</v>
      </c>
      <c r="K1396" s="7" t="str">
        <f>TEXT(multilingual_mobile_app_reviews_2025[[#This Row],[Review_date]],"MMMM")</f>
        <v>October</v>
      </c>
      <c r="L1396" s="4" t="b">
        <v>1</v>
      </c>
      <c r="M1396" s="4" t="s">
        <v>33</v>
      </c>
      <c r="N1396" s="5">
        <v>656</v>
      </c>
      <c r="O1396" s="5">
        <v>19</v>
      </c>
      <c r="P1396" s="4" t="s">
        <v>65</v>
      </c>
      <c r="Q1396" s="8" t="s">
        <v>5</v>
      </c>
      <c r="R1396" s="4" t="s">
        <v>1717</v>
      </c>
      <c r="S1396" s="4"/>
      <c r="T1396"/>
      <c r="U1396" s="23"/>
    </row>
    <row r="1397" spans="1:21" ht="15.6" x14ac:dyDescent="0.3">
      <c r="A1397" s="4">
        <v>1396</v>
      </c>
      <c r="B1397" s="5">
        <v>7110185</v>
      </c>
      <c r="C1397" s="4" t="s">
        <v>106</v>
      </c>
      <c r="D1397" s="4" t="s">
        <v>111</v>
      </c>
      <c r="E1397" s="4" t="s">
        <v>130</v>
      </c>
      <c r="F1397" s="4" t="s">
        <v>2951</v>
      </c>
      <c r="G1397" s="6">
        <v>3.5</v>
      </c>
      <c r="H1397" s="7">
        <v>45546.628298611111</v>
      </c>
      <c r="I1397" s="7" t="str">
        <f>TEXT(multilingual_mobile_app_reviews_2025[[#This Row],[Review_date]],"dd-mm-yyyy")</f>
        <v>11-09-2024</v>
      </c>
      <c r="J1397" s="7" t="str">
        <f>TEXT(multilingual_mobile_app_reviews_2025[[#This Row],[Review_date]],"YYYY")</f>
        <v>2024</v>
      </c>
      <c r="K1397" s="7" t="str">
        <f>TEXT(multilingual_mobile_app_reviews_2025[[#This Row],[Review_date]],"MMMM")</f>
        <v>September</v>
      </c>
      <c r="L1397" s="4" t="b">
        <v>1</v>
      </c>
      <c r="M1397" s="4" t="s">
        <v>10</v>
      </c>
      <c r="N1397" s="5">
        <v>693</v>
      </c>
      <c r="O1397" s="5">
        <v>37</v>
      </c>
      <c r="P1397" s="4" t="s">
        <v>80</v>
      </c>
      <c r="Q1397" s="8" t="s">
        <v>2963</v>
      </c>
      <c r="R1397" s="4" t="s">
        <v>1718</v>
      </c>
      <c r="S1397" s="4"/>
      <c r="T1397"/>
      <c r="U1397" s="23"/>
    </row>
    <row r="1398" spans="1:21" ht="15.6" x14ac:dyDescent="0.3">
      <c r="A1398" s="4">
        <v>1397</v>
      </c>
      <c r="B1398" s="5">
        <v>4937546</v>
      </c>
      <c r="C1398" s="4" t="s">
        <v>14</v>
      </c>
      <c r="D1398" s="4" t="s">
        <v>97</v>
      </c>
      <c r="E1398" s="4" t="s">
        <v>9</v>
      </c>
      <c r="F1398" s="4" t="s">
        <v>2960</v>
      </c>
      <c r="G1398" s="6">
        <v>1.4</v>
      </c>
      <c r="H1398" s="7">
        <v>45708.24900462963</v>
      </c>
      <c r="I1398" s="7" t="str">
        <f>TEXT(multilingual_mobile_app_reviews_2025[[#This Row],[Review_date]],"dd-mm-yyyy")</f>
        <v>20-02-2025</v>
      </c>
      <c r="J1398" s="7" t="str">
        <f>TEXT(multilingual_mobile_app_reviews_2025[[#This Row],[Review_date]],"YYYY")</f>
        <v>2025</v>
      </c>
      <c r="K1398" s="7" t="str">
        <f>TEXT(multilingual_mobile_app_reviews_2025[[#This Row],[Review_date]],"MMMM")</f>
        <v>February</v>
      </c>
      <c r="L1398" s="4" t="b">
        <v>1</v>
      </c>
      <c r="M1398" s="4" t="s">
        <v>3</v>
      </c>
      <c r="N1398" s="5">
        <v>781</v>
      </c>
      <c r="O1398" s="5">
        <v>72</v>
      </c>
      <c r="P1398" s="4" t="s">
        <v>70</v>
      </c>
      <c r="Q1398" s="8" t="s">
        <v>2963</v>
      </c>
      <c r="R1398" s="4" t="s">
        <v>1719</v>
      </c>
      <c r="S1398" s="4"/>
      <c r="T1398"/>
      <c r="U1398" s="23"/>
    </row>
    <row r="1399" spans="1:21" ht="15.6" x14ac:dyDescent="0.3">
      <c r="A1399" s="4">
        <v>1398</v>
      </c>
      <c r="B1399" s="5">
        <v>2962767</v>
      </c>
      <c r="C1399" s="4" t="s">
        <v>56</v>
      </c>
      <c r="D1399" s="4" t="s">
        <v>97</v>
      </c>
      <c r="E1399" s="4" t="s">
        <v>21</v>
      </c>
      <c r="F1399" s="4" t="s">
        <v>2957</v>
      </c>
      <c r="G1399" s="6">
        <v>2.5</v>
      </c>
      <c r="H1399" s="7">
        <v>45275.893206018518</v>
      </c>
      <c r="I1399" s="7" t="str">
        <f>TEXT(multilingual_mobile_app_reviews_2025[[#This Row],[Review_date]],"dd-mm-yyyy")</f>
        <v>15-12-2023</v>
      </c>
      <c r="J1399" s="7" t="str">
        <f>TEXT(multilingual_mobile_app_reviews_2025[[#This Row],[Review_date]],"YYYY")</f>
        <v>2023</v>
      </c>
      <c r="K1399" s="7" t="str">
        <f>TEXT(multilingual_mobile_app_reviews_2025[[#This Row],[Review_date]],"MMMM")</f>
        <v>December</v>
      </c>
      <c r="L1399" s="4" t="b">
        <v>1</v>
      </c>
      <c r="M1399" s="4" t="s">
        <v>98</v>
      </c>
      <c r="N1399" s="5">
        <v>618</v>
      </c>
      <c r="O1399" s="5">
        <v>32</v>
      </c>
      <c r="P1399" s="4" t="s">
        <v>11</v>
      </c>
      <c r="Q1399" s="8" t="s">
        <v>2963</v>
      </c>
      <c r="R1399" s="4" t="s">
        <v>1056</v>
      </c>
      <c r="S1399" s="4"/>
      <c r="T1399"/>
      <c r="U1399" s="23"/>
    </row>
    <row r="1400" spans="1:21" ht="15.6" x14ac:dyDescent="0.3">
      <c r="A1400" s="4">
        <v>1399</v>
      </c>
      <c r="B1400" s="5">
        <v>3227273</v>
      </c>
      <c r="C1400" s="4" t="s">
        <v>14</v>
      </c>
      <c r="D1400" s="4" t="s">
        <v>20</v>
      </c>
      <c r="E1400" s="4" t="s">
        <v>16</v>
      </c>
      <c r="F1400" s="4" t="s">
        <v>2943</v>
      </c>
      <c r="G1400" s="6">
        <v>1.7</v>
      </c>
      <c r="H1400" s="7">
        <v>45685.727893518517</v>
      </c>
      <c r="I1400" s="7" t="str">
        <f>TEXT(multilingual_mobile_app_reviews_2025[[#This Row],[Review_date]],"dd-mm-yyyy")</f>
        <v>28-01-2025</v>
      </c>
      <c r="J1400" s="7" t="str">
        <f>TEXT(multilingual_mobile_app_reviews_2025[[#This Row],[Review_date]],"YYYY")</f>
        <v>2025</v>
      </c>
      <c r="K1400" s="7" t="str">
        <f>TEXT(multilingual_mobile_app_reviews_2025[[#This Row],[Review_date]],"MMMM")</f>
        <v>January</v>
      </c>
      <c r="L1400" s="4" t="b">
        <v>1</v>
      </c>
      <c r="M1400" s="4" t="s">
        <v>33</v>
      </c>
      <c r="N1400" s="5">
        <v>464</v>
      </c>
      <c r="O1400" s="5">
        <v>20</v>
      </c>
      <c r="P1400" s="4" t="s">
        <v>144</v>
      </c>
      <c r="Q1400" s="8" t="s">
        <v>29</v>
      </c>
      <c r="R1400" s="4" t="s">
        <v>1720</v>
      </c>
      <c r="S1400" s="4"/>
      <c r="T1400"/>
      <c r="U1400" s="23"/>
    </row>
    <row r="1401" spans="1:21" ht="15.6" x14ac:dyDescent="0.3">
      <c r="A1401" s="4">
        <v>1400</v>
      </c>
      <c r="B1401" s="5">
        <v>3422233</v>
      </c>
      <c r="C1401" s="4" t="s">
        <v>132</v>
      </c>
      <c r="D1401" s="4" t="s">
        <v>111</v>
      </c>
      <c r="E1401" s="4" t="s">
        <v>2938</v>
      </c>
      <c r="F1401" s="4" t="s">
        <v>2947</v>
      </c>
      <c r="G1401" s="6">
        <v>4.7</v>
      </c>
      <c r="H1401" s="7">
        <v>45516.731666666667</v>
      </c>
      <c r="I1401" s="7" t="str">
        <f>TEXT(multilingual_mobile_app_reviews_2025[[#This Row],[Review_date]],"dd-mm-yyyy")</f>
        <v>12-08-2024</v>
      </c>
      <c r="J1401" s="7" t="str">
        <f>TEXT(multilingual_mobile_app_reviews_2025[[#This Row],[Review_date]],"YYYY")</f>
        <v>2024</v>
      </c>
      <c r="K1401" s="7" t="str">
        <f>TEXT(multilingual_mobile_app_reviews_2025[[#This Row],[Review_date]],"MMMM")</f>
        <v>August</v>
      </c>
      <c r="L1401" s="4" t="b">
        <v>1</v>
      </c>
      <c r="M1401" s="4" t="s">
        <v>22</v>
      </c>
      <c r="N1401" s="5">
        <v>772</v>
      </c>
      <c r="O1401" s="5">
        <v>48</v>
      </c>
      <c r="P1401" s="4" t="s">
        <v>34</v>
      </c>
      <c r="Q1401" s="8" t="s">
        <v>5</v>
      </c>
      <c r="R1401" s="4" t="s">
        <v>1721</v>
      </c>
      <c r="S1401" s="4"/>
      <c r="T1401"/>
      <c r="U1401" s="23"/>
    </row>
    <row r="1402" spans="1:21" ht="15.6" x14ac:dyDescent="0.3">
      <c r="A1402" s="4">
        <v>1401</v>
      </c>
      <c r="B1402" s="5">
        <v>8532459</v>
      </c>
      <c r="C1402" s="4" t="s">
        <v>154</v>
      </c>
      <c r="D1402" s="4" t="s">
        <v>15</v>
      </c>
      <c r="E1402" s="4" t="s">
        <v>76</v>
      </c>
      <c r="F1402" s="4" t="s">
        <v>2961</v>
      </c>
      <c r="G1402" s="6">
        <v>4.8</v>
      </c>
      <c r="H1402" s="7">
        <v>45224.502847222226</v>
      </c>
      <c r="I1402" s="7" t="str">
        <f>TEXT(multilingual_mobile_app_reviews_2025[[#This Row],[Review_date]],"dd-mm-yyyy")</f>
        <v>25-10-2023</v>
      </c>
      <c r="J1402" s="7" t="str">
        <f>TEXT(multilingual_mobile_app_reviews_2025[[#This Row],[Review_date]],"YYYY")</f>
        <v>2023</v>
      </c>
      <c r="K1402" s="7" t="str">
        <f>TEXT(multilingual_mobile_app_reviews_2025[[#This Row],[Review_date]],"MMMM")</f>
        <v>October</v>
      </c>
      <c r="L1402" s="4" t="b">
        <v>1</v>
      </c>
      <c r="M1402" s="4" t="s">
        <v>33</v>
      </c>
      <c r="N1402" s="5">
        <v>232</v>
      </c>
      <c r="O1402" s="5">
        <v>55</v>
      </c>
      <c r="P1402" s="4" t="s">
        <v>38</v>
      </c>
      <c r="Q1402" s="8" t="s">
        <v>5</v>
      </c>
      <c r="R1402" s="4" t="s">
        <v>1722</v>
      </c>
      <c r="S1402" s="4"/>
      <c r="T1402"/>
      <c r="U1402" s="23"/>
    </row>
    <row r="1403" spans="1:21" ht="15.6" x14ac:dyDescent="0.3">
      <c r="A1403" s="4">
        <v>1402</v>
      </c>
      <c r="B1403" s="5">
        <v>9614227</v>
      </c>
      <c r="C1403" s="4" t="s">
        <v>87</v>
      </c>
      <c r="D1403" s="4" t="s">
        <v>63</v>
      </c>
      <c r="E1403" s="4" t="s">
        <v>2938</v>
      </c>
      <c r="F1403" s="4" t="s">
        <v>2951</v>
      </c>
      <c r="G1403" s="6">
        <v>3.1</v>
      </c>
      <c r="H1403" s="7">
        <v>45771.418506944443</v>
      </c>
      <c r="I1403" s="7" t="str">
        <f>TEXT(multilingual_mobile_app_reviews_2025[[#This Row],[Review_date]],"dd-mm-yyyy")</f>
        <v>24-04-2025</v>
      </c>
      <c r="J1403" s="7" t="str">
        <f>TEXT(multilingual_mobile_app_reviews_2025[[#This Row],[Review_date]],"YYYY")</f>
        <v>2025</v>
      </c>
      <c r="K1403" s="7" t="str">
        <f>TEXT(multilingual_mobile_app_reviews_2025[[#This Row],[Review_date]],"MMMM")</f>
        <v>April</v>
      </c>
      <c r="L1403" s="4" t="b">
        <v>1</v>
      </c>
      <c r="M1403" s="4" t="s">
        <v>10</v>
      </c>
      <c r="N1403" s="5">
        <v>982</v>
      </c>
      <c r="O1403" s="5">
        <v>20</v>
      </c>
      <c r="P1403" s="4" t="s">
        <v>85</v>
      </c>
      <c r="Q1403" s="8" t="s">
        <v>5</v>
      </c>
      <c r="R1403" s="4" t="s">
        <v>1723</v>
      </c>
      <c r="S1403" s="4"/>
      <c r="T1403"/>
      <c r="U1403" s="23"/>
    </row>
    <row r="1404" spans="1:21" ht="15.6" x14ac:dyDescent="0.3">
      <c r="A1404" s="4">
        <v>1403</v>
      </c>
      <c r="B1404" s="5">
        <v>3214489</v>
      </c>
      <c r="C1404" s="4" t="s">
        <v>159</v>
      </c>
      <c r="D1404" s="4" t="s">
        <v>63</v>
      </c>
      <c r="E1404" s="4" t="s">
        <v>64</v>
      </c>
      <c r="F1404" s="4" t="s">
        <v>2956</v>
      </c>
      <c r="G1404" s="6">
        <v>2</v>
      </c>
      <c r="H1404" s="7">
        <v>45294.953645833331</v>
      </c>
      <c r="I1404" s="7" t="str">
        <f>TEXT(multilingual_mobile_app_reviews_2025[[#This Row],[Review_date]],"dd-mm-yyyy")</f>
        <v>03-01-2024</v>
      </c>
      <c r="J1404" s="7" t="str">
        <f>TEXT(multilingual_mobile_app_reviews_2025[[#This Row],[Review_date]],"YYYY")</f>
        <v>2024</v>
      </c>
      <c r="K1404" s="7" t="str">
        <f>TEXT(multilingual_mobile_app_reviews_2025[[#This Row],[Review_date]],"MMMM")</f>
        <v>January</v>
      </c>
      <c r="L1404" s="4" t="b">
        <v>1</v>
      </c>
      <c r="M1404" s="4" t="s">
        <v>33</v>
      </c>
      <c r="N1404" s="5">
        <v>977</v>
      </c>
      <c r="O1404" s="5">
        <v>70</v>
      </c>
      <c r="P1404" s="4" t="s">
        <v>114</v>
      </c>
      <c r="Q1404" s="8" t="s">
        <v>2963</v>
      </c>
      <c r="R1404" s="4" t="s">
        <v>1724</v>
      </c>
      <c r="S1404" s="4"/>
      <c r="T1404"/>
      <c r="U1404" s="23"/>
    </row>
    <row r="1405" spans="1:21" ht="15.6" x14ac:dyDescent="0.3">
      <c r="A1405" s="4">
        <v>1404</v>
      </c>
      <c r="B1405" s="5">
        <v>3165690</v>
      </c>
      <c r="C1405" s="4" t="s">
        <v>134</v>
      </c>
      <c r="D1405" s="4" t="s">
        <v>60</v>
      </c>
      <c r="E1405" s="4" t="s">
        <v>1725</v>
      </c>
      <c r="F1405" s="4" t="s">
        <v>2948</v>
      </c>
      <c r="G1405" s="6">
        <v>4</v>
      </c>
      <c r="H1405" s="7">
        <v>45161.921041666668</v>
      </c>
      <c r="I1405" s="7" t="str">
        <f>TEXT(multilingual_mobile_app_reviews_2025[[#This Row],[Review_date]],"dd-mm-yyyy")</f>
        <v>23-08-2023</v>
      </c>
      <c r="J1405" s="7" t="str">
        <f>TEXT(multilingual_mobile_app_reviews_2025[[#This Row],[Review_date]],"YYYY")</f>
        <v>2023</v>
      </c>
      <c r="K1405" s="7" t="str">
        <f>TEXT(multilingual_mobile_app_reviews_2025[[#This Row],[Review_date]],"MMMM")</f>
        <v>August</v>
      </c>
      <c r="L1405" s="4" t="b">
        <v>1</v>
      </c>
      <c r="M1405" s="4" t="s">
        <v>33</v>
      </c>
      <c r="N1405" s="5">
        <v>1094</v>
      </c>
      <c r="O1405" s="5">
        <v>55</v>
      </c>
      <c r="P1405" s="4" t="s">
        <v>80</v>
      </c>
      <c r="Q1405" s="8" t="s">
        <v>12</v>
      </c>
      <c r="R1405" s="4" t="s">
        <v>1726</v>
      </c>
      <c r="S1405" s="4"/>
      <c r="T1405"/>
      <c r="U1405" s="23"/>
    </row>
    <row r="1406" spans="1:21" ht="15.6" x14ac:dyDescent="0.3">
      <c r="A1406" s="4">
        <v>1405</v>
      </c>
      <c r="B1406" s="5">
        <v>4038956</v>
      </c>
      <c r="C1406" s="4" t="s">
        <v>208</v>
      </c>
      <c r="D1406" s="4" t="s">
        <v>157</v>
      </c>
      <c r="E1406" s="4" t="s">
        <v>1727</v>
      </c>
      <c r="F1406" s="4" t="s">
        <v>2946</v>
      </c>
      <c r="G1406" s="6">
        <v>4.9000000000000004</v>
      </c>
      <c r="H1406" s="7">
        <v>45405.354398148149</v>
      </c>
      <c r="I1406" s="7" t="str">
        <f>TEXT(multilingual_mobile_app_reviews_2025[[#This Row],[Review_date]],"dd-mm-yyyy")</f>
        <v>23-04-2024</v>
      </c>
      <c r="J1406" s="7" t="str">
        <f>TEXT(multilingual_mobile_app_reviews_2025[[#This Row],[Review_date]],"YYYY")</f>
        <v>2024</v>
      </c>
      <c r="K1406" s="7" t="str">
        <f>TEXT(multilingual_mobile_app_reviews_2025[[#This Row],[Review_date]],"MMMM")</f>
        <v>April</v>
      </c>
      <c r="L1406" s="4" t="b">
        <v>1</v>
      </c>
      <c r="M1406" s="4" t="s">
        <v>10</v>
      </c>
      <c r="N1406" s="5">
        <v>721</v>
      </c>
      <c r="O1406" s="5">
        <v>41</v>
      </c>
      <c r="P1406" s="4" t="s">
        <v>65</v>
      </c>
      <c r="Q1406" s="8" t="s">
        <v>29</v>
      </c>
      <c r="R1406" s="4" t="s">
        <v>86</v>
      </c>
      <c r="S1406" s="4"/>
      <c r="T1406"/>
      <c r="U1406" s="23"/>
    </row>
    <row r="1407" spans="1:21" ht="15.6" x14ac:dyDescent="0.3">
      <c r="A1407" s="4">
        <v>1406</v>
      </c>
      <c r="B1407" s="5">
        <v>4119771</v>
      </c>
      <c r="C1407" s="4" t="s">
        <v>192</v>
      </c>
      <c r="D1407" s="4" t="s">
        <v>20</v>
      </c>
      <c r="E1407" s="4" t="s">
        <v>93</v>
      </c>
      <c r="F1407" s="4" t="s">
        <v>2940</v>
      </c>
      <c r="G1407" s="6">
        <v>2.6</v>
      </c>
      <c r="H1407" s="7">
        <v>45419.438854166663</v>
      </c>
      <c r="I1407" s="7" t="str">
        <f>TEXT(multilingual_mobile_app_reviews_2025[[#This Row],[Review_date]],"dd-mm-yyyy")</f>
        <v>07-05-2024</v>
      </c>
      <c r="J1407" s="7" t="str">
        <f>TEXT(multilingual_mobile_app_reviews_2025[[#This Row],[Review_date]],"YYYY")</f>
        <v>2024</v>
      </c>
      <c r="K1407" s="7" t="str">
        <f>TEXT(multilingual_mobile_app_reviews_2025[[#This Row],[Review_date]],"MMMM")</f>
        <v>May</v>
      </c>
      <c r="L1407" s="4" t="b">
        <v>0</v>
      </c>
      <c r="M1407" s="4" t="s">
        <v>22</v>
      </c>
      <c r="N1407" s="5">
        <v>96</v>
      </c>
      <c r="O1407" s="5">
        <v>20</v>
      </c>
      <c r="P1407" s="4" t="s">
        <v>127</v>
      </c>
      <c r="Q1407" s="8" t="s">
        <v>12</v>
      </c>
      <c r="R1407" s="4" t="s">
        <v>1728</v>
      </c>
      <c r="S1407" s="4"/>
      <c r="T1407"/>
      <c r="U1407" s="23"/>
    </row>
    <row r="1408" spans="1:21" ht="15.6" x14ac:dyDescent="0.3">
      <c r="A1408" s="4">
        <v>1407</v>
      </c>
      <c r="B1408" s="5">
        <v>6785239</v>
      </c>
      <c r="C1408" s="4" t="s">
        <v>176</v>
      </c>
      <c r="D1408" s="4" t="s">
        <v>1</v>
      </c>
      <c r="E1408" s="4" t="s">
        <v>1729</v>
      </c>
      <c r="F1408" s="4" t="s">
        <v>2941</v>
      </c>
      <c r="G1408" s="6">
        <v>2.9</v>
      </c>
      <c r="H1408" s="7">
        <v>45450.972048611111</v>
      </c>
      <c r="I1408" s="7" t="str">
        <f>TEXT(multilingual_mobile_app_reviews_2025[[#This Row],[Review_date]],"dd-mm-yyyy")</f>
        <v>07-06-2024</v>
      </c>
      <c r="J1408" s="7" t="str">
        <f>TEXT(multilingual_mobile_app_reviews_2025[[#This Row],[Review_date]],"YYYY")</f>
        <v>2024</v>
      </c>
      <c r="K1408" s="7" t="str">
        <f>TEXT(multilingual_mobile_app_reviews_2025[[#This Row],[Review_date]],"MMMM")</f>
        <v>June</v>
      </c>
      <c r="L1408" s="4" t="b">
        <v>0</v>
      </c>
      <c r="M1408" s="4" t="s">
        <v>33</v>
      </c>
      <c r="N1408" s="5">
        <v>674</v>
      </c>
      <c r="O1408" s="5">
        <v>30</v>
      </c>
      <c r="P1408" s="4" t="s">
        <v>28</v>
      </c>
      <c r="Q1408" s="8" t="s">
        <v>12</v>
      </c>
      <c r="R1408" s="4" t="s">
        <v>381</v>
      </c>
      <c r="S1408" s="4"/>
      <c r="T1408"/>
      <c r="U1408" s="23"/>
    </row>
    <row r="1409" spans="1:21" ht="15.6" x14ac:dyDescent="0.3">
      <c r="A1409" s="4">
        <v>1408</v>
      </c>
      <c r="B1409" s="5">
        <v>2429735</v>
      </c>
      <c r="C1409" s="4" t="s">
        <v>176</v>
      </c>
      <c r="D1409" s="4" t="s">
        <v>79</v>
      </c>
      <c r="E1409" s="4" t="s">
        <v>9</v>
      </c>
      <c r="F1409" s="4" t="s">
        <v>2958</v>
      </c>
      <c r="G1409" s="6">
        <v>2.7</v>
      </c>
      <c r="H1409" s="7">
        <v>45158.824849537035</v>
      </c>
      <c r="I1409" s="7" t="str">
        <f>TEXT(multilingual_mobile_app_reviews_2025[[#This Row],[Review_date]],"dd-mm-yyyy")</f>
        <v>20-08-2023</v>
      </c>
      <c r="J1409" s="7" t="str">
        <f>TEXT(multilingual_mobile_app_reviews_2025[[#This Row],[Review_date]],"YYYY")</f>
        <v>2023</v>
      </c>
      <c r="K1409" s="7" t="str">
        <f>TEXT(multilingual_mobile_app_reviews_2025[[#This Row],[Review_date]],"MMMM")</f>
        <v>August</v>
      </c>
      <c r="L1409" s="4" t="b">
        <v>1</v>
      </c>
      <c r="M1409" s="4" t="s">
        <v>22</v>
      </c>
      <c r="N1409" s="5">
        <v>1224</v>
      </c>
      <c r="O1409" s="5">
        <v>71</v>
      </c>
      <c r="P1409" s="4" t="s">
        <v>28</v>
      </c>
      <c r="Q1409" s="8" t="s">
        <v>2963</v>
      </c>
      <c r="R1409" s="4" t="s">
        <v>1730</v>
      </c>
      <c r="S1409" s="4"/>
      <c r="T1409"/>
      <c r="U1409" s="23"/>
    </row>
    <row r="1410" spans="1:21" ht="15.6" x14ac:dyDescent="0.3">
      <c r="A1410" s="4">
        <v>1409</v>
      </c>
      <c r="B1410" s="5">
        <v>2161828</v>
      </c>
      <c r="C1410" s="4" t="s">
        <v>137</v>
      </c>
      <c r="D1410" s="4" t="s">
        <v>31</v>
      </c>
      <c r="E1410" s="4" t="s">
        <v>21</v>
      </c>
      <c r="F1410" s="4" t="s">
        <v>2941</v>
      </c>
      <c r="G1410" s="6">
        <v>4.3</v>
      </c>
      <c r="H1410" s="7">
        <v>45813.854629629626</v>
      </c>
      <c r="I1410" s="7" t="str">
        <f>TEXT(multilingual_mobile_app_reviews_2025[[#This Row],[Review_date]],"dd-mm-yyyy")</f>
        <v>05-06-2025</v>
      </c>
      <c r="J1410" s="7" t="str">
        <f>TEXT(multilingual_mobile_app_reviews_2025[[#This Row],[Review_date]],"YYYY")</f>
        <v>2025</v>
      </c>
      <c r="K1410" s="7" t="str">
        <f>TEXT(multilingual_mobile_app_reviews_2025[[#This Row],[Review_date]],"MMMM")</f>
        <v>June</v>
      </c>
      <c r="L1410" s="4" t="b">
        <v>1</v>
      </c>
      <c r="M1410" s="4" t="s">
        <v>22</v>
      </c>
      <c r="N1410" s="5">
        <v>660</v>
      </c>
      <c r="O1410" s="5">
        <v>48</v>
      </c>
      <c r="P1410" s="4" t="s">
        <v>4</v>
      </c>
      <c r="Q1410" s="8" t="s">
        <v>39</v>
      </c>
      <c r="R1410" s="4" t="s">
        <v>1731</v>
      </c>
      <c r="S1410" s="4"/>
      <c r="T1410"/>
      <c r="U1410" s="23"/>
    </row>
    <row r="1411" spans="1:21" ht="15.6" x14ac:dyDescent="0.3">
      <c r="A1411" s="4">
        <v>1410</v>
      </c>
      <c r="B1411" s="5">
        <v>4788687</v>
      </c>
      <c r="C1411" s="4" t="s">
        <v>92</v>
      </c>
      <c r="D1411" s="4" t="s">
        <v>220</v>
      </c>
      <c r="E1411" s="4" t="s">
        <v>93</v>
      </c>
      <c r="F1411" s="4" t="s">
        <v>2944</v>
      </c>
      <c r="G1411" s="6">
        <v>2.4</v>
      </c>
      <c r="H1411" s="7">
        <v>45682.013159722221</v>
      </c>
      <c r="I1411" s="7" t="str">
        <f>TEXT(multilingual_mobile_app_reviews_2025[[#This Row],[Review_date]],"dd-mm-yyyy")</f>
        <v>25-01-2025</v>
      </c>
      <c r="J1411" s="7" t="str">
        <f>TEXT(multilingual_mobile_app_reviews_2025[[#This Row],[Review_date]],"YYYY")</f>
        <v>2025</v>
      </c>
      <c r="K1411" s="7" t="str">
        <f>TEXT(multilingual_mobile_app_reviews_2025[[#This Row],[Review_date]],"MMMM")</f>
        <v>January</v>
      </c>
      <c r="L1411" s="4" t="b">
        <v>0</v>
      </c>
      <c r="M1411" s="4" t="s">
        <v>98</v>
      </c>
      <c r="N1411" s="5">
        <v>425</v>
      </c>
      <c r="O1411" s="5">
        <v>59</v>
      </c>
      <c r="P1411" s="4" t="s">
        <v>34</v>
      </c>
      <c r="Q1411" s="8" t="s">
        <v>39</v>
      </c>
      <c r="R1411" s="4" t="s">
        <v>1732</v>
      </c>
      <c r="S1411" s="4"/>
      <c r="T1411"/>
      <c r="U1411" s="23"/>
    </row>
    <row r="1412" spans="1:21" ht="15.6" x14ac:dyDescent="0.3">
      <c r="A1412" s="4">
        <v>1411</v>
      </c>
      <c r="B1412" s="5">
        <v>4269769</v>
      </c>
      <c r="C1412" s="4" t="s">
        <v>244</v>
      </c>
      <c r="D1412" s="4" t="s">
        <v>60</v>
      </c>
      <c r="E1412" s="4" t="s">
        <v>93</v>
      </c>
      <c r="F1412" s="4" t="s">
        <v>2945</v>
      </c>
      <c r="G1412" s="6">
        <v>3.8</v>
      </c>
      <c r="H1412" s="7">
        <v>45425.046226851853</v>
      </c>
      <c r="I1412" s="7" t="str">
        <f>TEXT(multilingual_mobile_app_reviews_2025[[#This Row],[Review_date]],"dd-mm-yyyy")</f>
        <v>13-05-2024</v>
      </c>
      <c r="J1412" s="7" t="str">
        <f>TEXT(multilingual_mobile_app_reviews_2025[[#This Row],[Review_date]],"YYYY")</f>
        <v>2024</v>
      </c>
      <c r="K1412" s="7" t="str">
        <f>TEXT(multilingual_mobile_app_reviews_2025[[#This Row],[Review_date]],"MMMM")</f>
        <v>May</v>
      </c>
      <c r="L1412" s="4" t="b">
        <v>1</v>
      </c>
      <c r="M1412" s="4" t="s">
        <v>10</v>
      </c>
      <c r="N1412" s="5">
        <v>742</v>
      </c>
      <c r="O1412" s="5">
        <v>69</v>
      </c>
      <c r="P1412" s="4" t="s">
        <v>28</v>
      </c>
      <c r="Q1412" s="8" t="s">
        <v>2963</v>
      </c>
      <c r="R1412" s="4" t="s">
        <v>1733</v>
      </c>
      <c r="S1412" s="4"/>
      <c r="T1412"/>
      <c r="U1412" s="23"/>
    </row>
    <row r="1413" spans="1:21" ht="15.6" x14ac:dyDescent="0.3">
      <c r="A1413" s="4">
        <v>1412</v>
      </c>
      <c r="B1413" s="5">
        <v>8072523</v>
      </c>
      <c r="C1413" s="4" t="s">
        <v>147</v>
      </c>
      <c r="D1413" s="4" t="s">
        <v>47</v>
      </c>
      <c r="E1413" s="4" t="s">
        <v>16</v>
      </c>
      <c r="F1413" s="4" t="s">
        <v>2945</v>
      </c>
      <c r="G1413" s="6">
        <v>2.6</v>
      </c>
      <c r="H1413" s="7">
        <v>45538.823796296296</v>
      </c>
      <c r="I1413" s="7" t="str">
        <f>TEXT(multilingual_mobile_app_reviews_2025[[#This Row],[Review_date]],"dd-mm-yyyy")</f>
        <v>03-09-2024</v>
      </c>
      <c r="J1413" s="7" t="str">
        <f>TEXT(multilingual_mobile_app_reviews_2025[[#This Row],[Review_date]],"YYYY")</f>
        <v>2024</v>
      </c>
      <c r="K1413" s="7" t="str">
        <f>TEXT(multilingual_mobile_app_reviews_2025[[#This Row],[Review_date]],"MMMM")</f>
        <v>September</v>
      </c>
      <c r="L1413" s="4" t="b">
        <v>1</v>
      </c>
      <c r="M1413" s="4" t="s">
        <v>98</v>
      </c>
      <c r="N1413" s="5">
        <v>136</v>
      </c>
      <c r="O1413" s="5">
        <v>69</v>
      </c>
      <c r="P1413" s="4" t="s">
        <v>127</v>
      </c>
      <c r="Q1413" s="8" t="s">
        <v>5</v>
      </c>
      <c r="R1413" s="4" t="s">
        <v>1573</v>
      </c>
      <c r="S1413" s="4"/>
      <c r="T1413"/>
      <c r="U1413" s="23"/>
    </row>
    <row r="1414" spans="1:21" ht="15.6" x14ac:dyDescent="0.3">
      <c r="A1414" s="4">
        <v>1413</v>
      </c>
      <c r="B1414" s="5">
        <v>3253025</v>
      </c>
      <c r="C1414" s="4" t="s">
        <v>174</v>
      </c>
      <c r="D1414" s="4" t="s">
        <v>1</v>
      </c>
      <c r="E1414" s="4" t="s">
        <v>1734</v>
      </c>
      <c r="F1414" s="4" t="s">
        <v>2951</v>
      </c>
      <c r="G1414" s="6">
        <v>3.6</v>
      </c>
      <c r="H1414" s="7">
        <v>45710.401145833333</v>
      </c>
      <c r="I1414" s="7" t="str">
        <f>TEXT(multilingual_mobile_app_reviews_2025[[#This Row],[Review_date]],"dd-mm-yyyy")</f>
        <v>22-02-2025</v>
      </c>
      <c r="J1414" s="7" t="str">
        <f>TEXT(multilingual_mobile_app_reviews_2025[[#This Row],[Review_date]],"YYYY")</f>
        <v>2025</v>
      </c>
      <c r="K1414" s="7" t="str">
        <f>TEXT(multilingual_mobile_app_reviews_2025[[#This Row],[Review_date]],"MMMM")</f>
        <v>February</v>
      </c>
      <c r="L1414" s="4" t="b">
        <v>1</v>
      </c>
      <c r="M1414" s="4" t="s">
        <v>22</v>
      </c>
      <c r="N1414" s="5">
        <v>553</v>
      </c>
      <c r="O1414" s="5">
        <v>19</v>
      </c>
      <c r="P1414" s="4" t="s">
        <v>61</v>
      </c>
      <c r="Q1414" s="8" t="s">
        <v>2963</v>
      </c>
      <c r="R1414" s="4" t="s">
        <v>1735</v>
      </c>
      <c r="S1414" s="4"/>
      <c r="T1414"/>
      <c r="U1414" s="23"/>
    </row>
    <row r="1415" spans="1:21" ht="15.6" x14ac:dyDescent="0.3">
      <c r="A1415" s="4">
        <v>1414</v>
      </c>
      <c r="B1415" s="5">
        <v>7554220</v>
      </c>
      <c r="C1415" s="4" t="s">
        <v>67</v>
      </c>
      <c r="D1415" s="4" t="s">
        <v>47</v>
      </c>
      <c r="E1415" s="4" t="s">
        <v>1736</v>
      </c>
      <c r="F1415" s="4" t="s">
        <v>2942</v>
      </c>
      <c r="G1415" s="6">
        <v>3.6</v>
      </c>
      <c r="H1415" s="7">
        <v>45565.102395833332</v>
      </c>
      <c r="I1415" s="7" t="str">
        <f>TEXT(multilingual_mobile_app_reviews_2025[[#This Row],[Review_date]],"dd-mm-yyyy")</f>
        <v>30-09-2024</v>
      </c>
      <c r="J1415" s="7" t="str">
        <f>TEXT(multilingual_mobile_app_reviews_2025[[#This Row],[Review_date]],"YYYY")</f>
        <v>2024</v>
      </c>
      <c r="K1415" s="7" t="str">
        <f>TEXT(multilingual_mobile_app_reviews_2025[[#This Row],[Review_date]],"MMMM")</f>
        <v>September</v>
      </c>
      <c r="L1415" s="4" t="b">
        <v>1</v>
      </c>
      <c r="M1415" s="4" t="s">
        <v>10</v>
      </c>
      <c r="N1415" s="5">
        <v>594</v>
      </c>
      <c r="O1415" s="5">
        <v>30</v>
      </c>
      <c r="P1415" s="4" t="s">
        <v>65</v>
      </c>
      <c r="Q1415" s="8" t="s">
        <v>39</v>
      </c>
      <c r="R1415" s="4" t="s">
        <v>1737</v>
      </c>
      <c r="S1415" s="4"/>
      <c r="T1415"/>
      <c r="U1415" s="23"/>
    </row>
    <row r="1416" spans="1:21" ht="15.6" x14ac:dyDescent="0.3">
      <c r="A1416" s="4">
        <v>1415</v>
      </c>
      <c r="B1416" s="5">
        <v>2919458</v>
      </c>
      <c r="C1416" s="4" t="s">
        <v>132</v>
      </c>
      <c r="D1416" s="4" t="s">
        <v>47</v>
      </c>
      <c r="E1416" s="4" t="s">
        <v>21</v>
      </c>
      <c r="F1416" s="4" t="s">
        <v>2946</v>
      </c>
      <c r="G1416" s="6">
        <v>2.6</v>
      </c>
      <c r="H1416" s="7">
        <v>45835.139398148145</v>
      </c>
      <c r="I1416" s="7" t="str">
        <f>TEXT(multilingual_mobile_app_reviews_2025[[#This Row],[Review_date]],"dd-mm-yyyy")</f>
        <v>27-06-2025</v>
      </c>
      <c r="J1416" s="7" t="str">
        <f>TEXT(multilingual_mobile_app_reviews_2025[[#This Row],[Review_date]],"YYYY")</f>
        <v>2025</v>
      </c>
      <c r="K1416" s="7" t="str">
        <f>TEXT(multilingual_mobile_app_reviews_2025[[#This Row],[Review_date]],"MMMM")</f>
        <v>June</v>
      </c>
      <c r="L1416" s="4" t="b">
        <v>1</v>
      </c>
      <c r="M1416" s="4" t="s">
        <v>98</v>
      </c>
      <c r="N1416" s="5">
        <v>241</v>
      </c>
      <c r="O1416" s="5">
        <v>55</v>
      </c>
      <c r="P1416" s="4" t="s">
        <v>44</v>
      </c>
      <c r="Q1416" s="8" t="s">
        <v>2963</v>
      </c>
      <c r="R1416" s="4" t="s">
        <v>2963</v>
      </c>
      <c r="S1416" s="4"/>
      <c r="T1416"/>
      <c r="U1416" s="23"/>
    </row>
    <row r="1417" spans="1:21" ht="15.6" x14ac:dyDescent="0.3">
      <c r="A1417" s="4">
        <v>1416</v>
      </c>
      <c r="B1417" s="5">
        <v>2040765</v>
      </c>
      <c r="C1417" s="4" t="s">
        <v>25</v>
      </c>
      <c r="D1417" s="4" t="s">
        <v>71</v>
      </c>
      <c r="E1417" s="4" t="s">
        <v>93</v>
      </c>
      <c r="F1417" s="4" t="s">
        <v>2958</v>
      </c>
      <c r="G1417" s="6">
        <v>1.3</v>
      </c>
      <c r="H1417" s="7">
        <v>45513.389652777776</v>
      </c>
      <c r="I1417" s="7" t="str">
        <f>TEXT(multilingual_mobile_app_reviews_2025[[#This Row],[Review_date]],"dd-mm-yyyy")</f>
        <v>09-08-2024</v>
      </c>
      <c r="J1417" s="7" t="str">
        <f>TEXT(multilingual_mobile_app_reviews_2025[[#This Row],[Review_date]],"YYYY")</f>
        <v>2024</v>
      </c>
      <c r="K1417" s="7" t="str">
        <f>TEXT(multilingual_mobile_app_reviews_2025[[#This Row],[Review_date]],"MMMM")</f>
        <v>August</v>
      </c>
      <c r="L1417" s="4" t="b">
        <v>0</v>
      </c>
      <c r="M1417" s="4" t="s">
        <v>22</v>
      </c>
      <c r="N1417" s="5">
        <v>957</v>
      </c>
      <c r="O1417" s="5">
        <v>15</v>
      </c>
      <c r="P1417" s="4" t="s">
        <v>73</v>
      </c>
      <c r="Q1417" s="8" t="s">
        <v>39</v>
      </c>
      <c r="R1417" s="4" t="s">
        <v>1738</v>
      </c>
      <c r="S1417" s="4"/>
      <c r="T1417"/>
      <c r="U1417" s="23"/>
    </row>
    <row r="1418" spans="1:21" ht="15.6" x14ac:dyDescent="0.3">
      <c r="A1418" s="4">
        <v>1417</v>
      </c>
      <c r="B1418" s="5">
        <v>9170902</v>
      </c>
      <c r="C1418" s="4" t="s">
        <v>147</v>
      </c>
      <c r="D1418" s="4" t="s">
        <v>63</v>
      </c>
      <c r="E1418" s="4" t="s">
        <v>27</v>
      </c>
      <c r="F1418" s="4" t="s">
        <v>2954</v>
      </c>
      <c r="G1418" s="6">
        <v>2.5</v>
      </c>
      <c r="H1418" s="7">
        <v>45325.992083333331</v>
      </c>
      <c r="I1418" s="7" t="str">
        <f>TEXT(multilingual_mobile_app_reviews_2025[[#This Row],[Review_date]],"dd-mm-yyyy")</f>
        <v>03-02-2024</v>
      </c>
      <c r="J1418" s="7" t="str">
        <f>TEXT(multilingual_mobile_app_reviews_2025[[#This Row],[Review_date]],"YYYY")</f>
        <v>2024</v>
      </c>
      <c r="K1418" s="7" t="str">
        <f>TEXT(multilingual_mobile_app_reviews_2025[[#This Row],[Review_date]],"MMMM")</f>
        <v>February</v>
      </c>
      <c r="L1418" s="4" t="b">
        <v>1</v>
      </c>
      <c r="M1418" s="4" t="s">
        <v>33</v>
      </c>
      <c r="N1418" s="5">
        <v>547</v>
      </c>
      <c r="O1418" s="5">
        <v>24</v>
      </c>
      <c r="P1418" s="4" t="s">
        <v>44</v>
      </c>
      <c r="Q1418" s="8" t="s">
        <v>2963</v>
      </c>
      <c r="R1418" s="4" t="s">
        <v>1739</v>
      </c>
      <c r="S1418" s="4"/>
      <c r="T1418"/>
      <c r="U1418" s="23"/>
    </row>
    <row r="1419" spans="1:21" ht="15.6" x14ac:dyDescent="0.3">
      <c r="A1419" s="4">
        <v>1418</v>
      </c>
      <c r="B1419" s="5">
        <v>3650743</v>
      </c>
      <c r="C1419" s="4" t="s">
        <v>101</v>
      </c>
      <c r="D1419" s="4" t="s">
        <v>157</v>
      </c>
      <c r="E1419" s="4" t="s">
        <v>27</v>
      </c>
      <c r="F1419" s="4" t="s">
        <v>2953</v>
      </c>
      <c r="G1419" s="6">
        <v>3.1</v>
      </c>
      <c r="H1419" s="7">
        <v>45271.2575</v>
      </c>
      <c r="I1419" s="7" t="str">
        <f>TEXT(multilingual_mobile_app_reviews_2025[[#This Row],[Review_date]],"dd-mm-yyyy")</f>
        <v>11-12-2023</v>
      </c>
      <c r="J1419" s="7" t="str">
        <f>TEXT(multilingual_mobile_app_reviews_2025[[#This Row],[Review_date]],"YYYY")</f>
        <v>2023</v>
      </c>
      <c r="K1419" s="7" t="str">
        <f>TEXT(multilingual_mobile_app_reviews_2025[[#This Row],[Review_date]],"MMMM")</f>
        <v>December</v>
      </c>
      <c r="L1419" s="4" t="b">
        <v>0</v>
      </c>
      <c r="M1419" s="4" t="s">
        <v>98</v>
      </c>
      <c r="N1419" s="5">
        <v>1164</v>
      </c>
      <c r="O1419" s="5">
        <v>29</v>
      </c>
      <c r="P1419" s="4" t="s">
        <v>4</v>
      </c>
      <c r="Q1419" s="8" t="s">
        <v>12</v>
      </c>
      <c r="R1419" s="4" t="s">
        <v>736</v>
      </c>
      <c r="S1419" s="4"/>
      <c r="T1419"/>
      <c r="U1419" s="23"/>
    </row>
    <row r="1420" spans="1:21" ht="15.6" x14ac:dyDescent="0.3">
      <c r="A1420" s="4">
        <v>1419</v>
      </c>
      <c r="B1420" s="5">
        <v>1600416</v>
      </c>
      <c r="C1420" s="4" t="s">
        <v>147</v>
      </c>
      <c r="D1420" s="4" t="s">
        <v>8</v>
      </c>
      <c r="E1420" s="4" t="s">
        <v>32</v>
      </c>
      <c r="F1420" s="4" t="s">
        <v>2945</v>
      </c>
      <c r="G1420" s="6">
        <v>3.7</v>
      </c>
      <c r="H1420" s="7">
        <v>45220.798993055556</v>
      </c>
      <c r="I1420" s="7" t="str">
        <f>TEXT(multilingual_mobile_app_reviews_2025[[#This Row],[Review_date]],"dd-mm-yyyy")</f>
        <v>21-10-2023</v>
      </c>
      <c r="J1420" s="7" t="str">
        <f>TEXT(multilingual_mobile_app_reviews_2025[[#This Row],[Review_date]],"YYYY")</f>
        <v>2023</v>
      </c>
      <c r="K1420" s="7" t="str">
        <f>TEXT(multilingual_mobile_app_reviews_2025[[#This Row],[Review_date]],"MMMM")</f>
        <v>October</v>
      </c>
      <c r="L1420" s="4" t="b">
        <v>1</v>
      </c>
      <c r="M1420" s="4" t="s">
        <v>33</v>
      </c>
      <c r="N1420" s="5">
        <v>384</v>
      </c>
      <c r="O1420" s="5">
        <v>30</v>
      </c>
      <c r="P1420" s="4" t="s">
        <v>90</v>
      </c>
      <c r="Q1420" s="8" t="s">
        <v>5</v>
      </c>
      <c r="R1420" s="4" t="s">
        <v>1114</v>
      </c>
      <c r="S1420" s="4"/>
      <c r="T1420"/>
      <c r="U1420" s="23"/>
    </row>
    <row r="1421" spans="1:21" ht="15.6" x14ac:dyDescent="0.3">
      <c r="A1421" s="4">
        <v>1420</v>
      </c>
      <c r="B1421" s="5">
        <v>590260</v>
      </c>
      <c r="C1421" s="4" t="s">
        <v>87</v>
      </c>
      <c r="D1421" s="4" t="s">
        <v>220</v>
      </c>
      <c r="E1421" s="4" t="s">
        <v>93</v>
      </c>
      <c r="F1421" s="4" t="s">
        <v>2944</v>
      </c>
      <c r="G1421" s="6">
        <v>3.9</v>
      </c>
      <c r="H1421" s="7">
        <v>45263.336689814816</v>
      </c>
      <c r="I1421" s="7" t="str">
        <f>TEXT(multilingual_mobile_app_reviews_2025[[#This Row],[Review_date]],"dd-mm-yyyy")</f>
        <v>03-12-2023</v>
      </c>
      <c r="J1421" s="7" t="str">
        <f>TEXT(multilingual_mobile_app_reviews_2025[[#This Row],[Review_date]],"YYYY")</f>
        <v>2023</v>
      </c>
      <c r="K1421" s="7" t="str">
        <f>TEXT(multilingual_mobile_app_reviews_2025[[#This Row],[Review_date]],"MMMM")</f>
        <v>December</v>
      </c>
      <c r="L1421" s="4" t="b">
        <v>1</v>
      </c>
      <c r="M1421" s="4" t="s">
        <v>33</v>
      </c>
      <c r="N1421" s="5">
        <v>890</v>
      </c>
      <c r="O1421" s="5">
        <v>62</v>
      </c>
      <c r="P1421" s="4" t="s">
        <v>162</v>
      </c>
      <c r="Q1421" s="8" t="s">
        <v>39</v>
      </c>
      <c r="R1421" s="4" t="s">
        <v>1740</v>
      </c>
      <c r="S1421" s="4"/>
      <c r="T1421"/>
      <c r="U1421" s="23"/>
    </row>
    <row r="1422" spans="1:21" ht="15.6" x14ac:dyDescent="0.3">
      <c r="A1422" s="4">
        <v>1421</v>
      </c>
      <c r="B1422" s="5">
        <v>6533891</v>
      </c>
      <c r="C1422" s="4" t="s">
        <v>174</v>
      </c>
      <c r="D1422" s="4" t="s">
        <v>51</v>
      </c>
      <c r="E1422" s="4" t="s">
        <v>109</v>
      </c>
      <c r="F1422" s="4" t="s">
        <v>2950</v>
      </c>
      <c r="G1422" s="6">
        <v>4.4000000000000004</v>
      </c>
      <c r="H1422" s="7">
        <v>45734.08792824074</v>
      </c>
      <c r="I1422" s="7" t="str">
        <f>TEXT(multilingual_mobile_app_reviews_2025[[#This Row],[Review_date]],"dd-mm-yyyy")</f>
        <v>18-03-2025</v>
      </c>
      <c r="J1422" s="7" t="str">
        <f>TEXT(multilingual_mobile_app_reviews_2025[[#This Row],[Review_date]],"YYYY")</f>
        <v>2025</v>
      </c>
      <c r="K1422" s="7" t="str">
        <f>TEXT(multilingual_mobile_app_reviews_2025[[#This Row],[Review_date]],"MMMM")</f>
        <v>March</v>
      </c>
      <c r="L1422" s="4" t="b">
        <v>1</v>
      </c>
      <c r="M1422" s="4" t="s">
        <v>22</v>
      </c>
      <c r="N1422" s="5">
        <v>1145</v>
      </c>
      <c r="O1422" s="5">
        <v>53</v>
      </c>
      <c r="P1422" s="4" t="s">
        <v>85</v>
      </c>
      <c r="Q1422" s="8" t="s">
        <v>2963</v>
      </c>
      <c r="R1422" s="4" t="s">
        <v>1741</v>
      </c>
      <c r="S1422" s="4"/>
      <c r="T1422"/>
      <c r="U1422" s="23"/>
    </row>
    <row r="1423" spans="1:21" ht="15.6" x14ac:dyDescent="0.3">
      <c r="A1423" s="4">
        <v>1422</v>
      </c>
      <c r="B1423" s="5">
        <v>3797296</v>
      </c>
      <c r="C1423" s="4" t="s">
        <v>244</v>
      </c>
      <c r="D1423" s="4" t="s">
        <v>8</v>
      </c>
      <c r="E1423" s="4" t="s">
        <v>9</v>
      </c>
      <c r="F1423" s="4" t="s">
        <v>2955</v>
      </c>
      <c r="G1423" s="6">
        <v>1.4</v>
      </c>
      <c r="H1423" s="7">
        <v>45697.477997685186</v>
      </c>
      <c r="I1423" s="7" t="str">
        <f>TEXT(multilingual_mobile_app_reviews_2025[[#This Row],[Review_date]],"dd-mm-yyyy")</f>
        <v>09-02-2025</v>
      </c>
      <c r="J1423" s="7" t="str">
        <f>TEXT(multilingual_mobile_app_reviews_2025[[#This Row],[Review_date]],"YYYY")</f>
        <v>2025</v>
      </c>
      <c r="K1423" s="7" t="str">
        <f>TEXT(multilingual_mobile_app_reviews_2025[[#This Row],[Review_date]],"MMMM")</f>
        <v>February</v>
      </c>
      <c r="L1423" s="4" t="b">
        <v>1</v>
      </c>
      <c r="M1423" s="4" t="s">
        <v>3</v>
      </c>
      <c r="N1423" s="5">
        <v>829</v>
      </c>
      <c r="O1423" s="5">
        <v>34</v>
      </c>
      <c r="P1423" s="4" t="s">
        <v>23</v>
      </c>
      <c r="Q1423" s="8" t="s">
        <v>2963</v>
      </c>
      <c r="R1423" s="4" t="s">
        <v>1742</v>
      </c>
      <c r="S1423" s="4"/>
      <c r="T1423"/>
      <c r="U1423" s="23"/>
    </row>
    <row r="1424" spans="1:21" ht="15.6" x14ac:dyDescent="0.3">
      <c r="A1424" s="4">
        <v>1423</v>
      </c>
      <c r="B1424" s="5">
        <v>8091026</v>
      </c>
      <c r="C1424" s="4" t="s">
        <v>50</v>
      </c>
      <c r="D1424" s="4" t="s">
        <v>26</v>
      </c>
      <c r="E1424" s="4" t="s">
        <v>21</v>
      </c>
      <c r="F1424" s="4" t="s">
        <v>2962</v>
      </c>
      <c r="G1424" s="6">
        <v>4</v>
      </c>
      <c r="H1424" s="7">
        <v>45835.995578703703</v>
      </c>
      <c r="I1424" s="7" t="str">
        <f>TEXT(multilingual_mobile_app_reviews_2025[[#This Row],[Review_date]],"dd-mm-yyyy")</f>
        <v>27-06-2025</v>
      </c>
      <c r="J1424" s="7" t="str">
        <f>TEXT(multilingual_mobile_app_reviews_2025[[#This Row],[Review_date]],"YYYY")</f>
        <v>2025</v>
      </c>
      <c r="K1424" s="7" t="str">
        <f>TEXT(multilingual_mobile_app_reviews_2025[[#This Row],[Review_date]],"MMMM")</f>
        <v>June</v>
      </c>
      <c r="L1424" s="4" t="b">
        <v>0</v>
      </c>
      <c r="M1424" s="4" t="s">
        <v>33</v>
      </c>
      <c r="N1424" s="5">
        <v>823</v>
      </c>
      <c r="O1424" s="5">
        <v>55</v>
      </c>
      <c r="P1424" s="4" t="s">
        <v>11</v>
      </c>
      <c r="Q1424" s="8" t="s">
        <v>2963</v>
      </c>
      <c r="R1424" s="4" t="s">
        <v>1743</v>
      </c>
      <c r="S1424" s="4"/>
      <c r="T1424"/>
      <c r="U1424" s="23"/>
    </row>
    <row r="1425" spans="1:21" ht="15.6" x14ac:dyDescent="0.3">
      <c r="A1425" s="4">
        <v>1424</v>
      </c>
      <c r="B1425" s="5">
        <v>2165243</v>
      </c>
      <c r="C1425" s="4" t="s">
        <v>132</v>
      </c>
      <c r="D1425" s="4" t="s">
        <v>157</v>
      </c>
      <c r="E1425" s="4" t="s">
        <v>16</v>
      </c>
      <c r="F1425" s="4" t="s">
        <v>2944</v>
      </c>
      <c r="G1425" s="6">
        <v>3.5</v>
      </c>
      <c r="H1425" s="7">
        <v>45655.769050925926</v>
      </c>
      <c r="I1425" s="7" t="str">
        <f>TEXT(multilingual_mobile_app_reviews_2025[[#This Row],[Review_date]],"dd-mm-yyyy")</f>
        <v>29-12-2024</v>
      </c>
      <c r="J1425" s="7" t="str">
        <f>TEXT(multilingual_mobile_app_reviews_2025[[#This Row],[Review_date]],"YYYY")</f>
        <v>2024</v>
      </c>
      <c r="K1425" s="7" t="str">
        <f>TEXT(multilingual_mobile_app_reviews_2025[[#This Row],[Review_date]],"MMMM")</f>
        <v>December</v>
      </c>
      <c r="L1425" s="4" t="b">
        <v>1</v>
      </c>
      <c r="M1425" s="4" t="s">
        <v>98</v>
      </c>
      <c r="N1425" s="5">
        <v>165</v>
      </c>
      <c r="O1425" s="5">
        <v>14</v>
      </c>
      <c r="P1425" s="4" t="s">
        <v>127</v>
      </c>
      <c r="Q1425" s="8" t="s">
        <v>2963</v>
      </c>
      <c r="R1425" s="4" t="s">
        <v>1744</v>
      </c>
      <c r="S1425" s="4"/>
      <c r="T1425"/>
      <c r="U1425" s="23"/>
    </row>
    <row r="1426" spans="1:21" ht="15.6" x14ac:dyDescent="0.3">
      <c r="A1426" s="4">
        <v>1425</v>
      </c>
      <c r="B1426" s="5">
        <v>9068148</v>
      </c>
      <c r="C1426" s="4" t="s">
        <v>159</v>
      </c>
      <c r="D1426" s="4" t="s">
        <v>60</v>
      </c>
      <c r="E1426" s="4" t="s">
        <v>9</v>
      </c>
      <c r="F1426" s="4" t="s">
        <v>2941</v>
      </c>
      <c r="G1426" s="6">
        <v>3.2</v>
      </c>
      <c r="H1426" s="7">
        <v>45630.969699074078</v>
      </c>
      <c r="I1426" s="7" t="str">
        <f>TEXT(multilingual_mobile_app_reviews_2025[[#This Row],[Review_date]],"dd-mm-yyyy")</f>
        <v>04-12-2024</v>
      </c>
      <c r="J1426" s="7" t="str">
        <f>TEXT(multilingual_mobile_app_reviews_2025[[#This Row],[Review_date]],"YYYY")</f>
        <v>2024</v>
      </c>
      <c r="K1426" s="7" t="str">
        <f>TEXT(multilingual_mobile_app_reviews_2025[[#This Row],[Review_date]],"MMMM")</f>
        <v>December</v>
      </c>
      <c r="L1426" s="4" t="b">
        <v>0</v>
      </c>
      <c r="M1426" s="4" t="s">
        <v>33</v>
      </c>
      <c r="N1426" s="5">
        <v>865</v>
      </c>
      <c r="O1426" s="5">
        <v>73</v>
      </c>
      <c r="P1426" s="4" t="s">
        <v>118</v>
      </c>
      <c r="Q1426" s="8" t="s">
        <v>12</v>
      </c>
      <c r="R1426" s="4" t="s">
        <v>1745</v>
      </c>
      <c r="S1426" s="4"/>
      <c r="T1426"/>
      <c r="U1426" s="23"/>
    </row>
    <row r="1427" spans="1:21" ht="15.6" x14ac:dyDescent="0.3">
      <c r="A1427" s="4">
        <v>1426</v>
      </c>
      <c r="B1427" s="5">
        <v>8353698</v>
      </c>
      <c r="C1427" s="4" t="s">
        <v>113</v>
      </c>
      <c r="D1427" s="4" t="s">
        <v>71</v>
      </c>
      <c r="E1427" s="4" t="s">
        <v>109</v>
      </c>
      <c r="F1427" s="4" t="s">
        <v>2944</v>
      </c>
      <c r="G1427" s="6">
        <v>2.2999999999999998</v>
      </c>
      <c r="H1427" s="7">
        <v>45209.126458333332</v>
      </c>
      <c r="I1427" s="7" t="str">
        <f>TEXT(multilingual_mobile_app_reviews_2025[[#This Row],[Review_date]],"dd-mm-yyyy")</f>
        <v>10-10-2023</v>
      </c>
      <c r="J1427" s="7" t="str">
        <f>TEXT(multilingual_mobile_app_reviews_2025[[#This Row],[Review_date]],"YYYY")</f>
        <v>2023</v>
      </c>
      <c r="K1427" s="7" t="str">
        <f>TEXT(multilingual_mobile_app_reviews_2025[[#This Row],[Review_date]],"MMMM")</f>
        <v>October</v>
      </c>
      <c r="L1427" s="4" t="b">
        <v>0</v>
      </c>
      <c r="M1427" s="4" t="s">
        <v>98</v>
      </c>
      <c r="N1427" s="5">
        <v>686</v>
      </c>
      <c r="O1427" s="5">
        <v>63</v>
      </c>
      <c r="P1427" s="4" t="s">
        <v>90</v>
      </c>
      <c r="Q1427" s="8" t="s">
        <v>29</v>
      </c>
      <c r="R1427" s="4" t="s">
        <v>1746</v>
      </c>
      <c r="S1427" s="4"/>
      <c r="T1427"/>
      <c r="U1427" s="23"/>
    </row>
    <row r="1428" spans="1:21" ht="15.6" x14ac:dyDescent="0.3">
      <c r="A1428" s="4">
        <v>1427</v>
      </c>
      <c r="B1428" s="5">
        <v>5683476</v>
      </c>
      <c r="C1428" s="4" t="s">
        <v>174</v>
      </c>
      <c r="D1428" s="4" t="s">
        <v>111</v>
      </c>
      <c r="E1428" s="4" t="s">
        <v>64</v>
      </c>
      <c r="F1428" s="4" t="s">
        <v>2950</v>
      </c>
      <c r="G1428" s="6">
        <v>1.7</v>
      </c>
      <c r="H1428" s="7">
        <v>45816.134560185186</v>
      </c>
      <c r="I1428" s="7" t="str">
        <f>TEXT(multilingual_mobile_app_reviews_2025[[#This Row],[Review_date]],"dd-mm-yyyy")</f>
        <v>08-06-2025</v>
      </c>
      <c r="J1428" s="7" t="str">
        <f>TEXT(multilingual_mobile_app_reviews_2025[[#This Row],[Review_date]],"YYYY")</f>
        <v>2025</v>
      </c>
      <c r="K1428" s="7" t="str">
        <f>TEXT(multilingual_mobile_app_reviews_2025[[#This Row],[Review_date]],"MMMM")</f>
        <v>June</v>
      </c>
      <c r="L1428" s="4" t="b">
        <v>1</v>
      </c>
      <c r="M1428" s="4" t="s">
        <v>10</v>
      </c>
      <c r="N1428" s="5">
        <v>912</v>
      </c>
      <c r="O1428" s="5">
        <v>20</v>
      </c>
      <c r="P1428" s="4" t="s">
        <v>114</v>
      </c>
      <c r="Q1428" s="8" t="s">
        <v>12</v>
      </c>
      <c r="R1428" s="4" t="s">
        <v>1747</v>
      </c>
      <c r="S1428" s="4"/>
      <c r="T1428"/>
      <c r="U1428" s="23"/>
    </row>
    <row r="1429" spans="1:21" ht="15.6" x14ac:dyDescent="0.3">
      <c r="A1429" s="4">
        <v>1428</v>
      </c>
      <c r="B1429" s="5">
        <v>9763208</v>
      </c>
      <c r="C1429" s="4" t="s">
        <v>208</v>
      </c>
      <c r="D1429" s="4" t="s">
        <v>60</v>
      </c>
      <c r="E1429" s="4" t="s">
        <v>16</v>
      </c>
      <c r="F1429" s="4" t="s">
        <v>2956</v>
      </c>
      <c r="G1429" s="6">
        <v>2.6</v>
      </c>
      <c r="H1429" s="7">
        <v>45734.110115740739</v>
      </c>
      <c r="I1429" s="7" t="str">
        <f>TEXT(multilingual_mobile_app_reviews_2025[[#This Row],[Review_date]],"dd-mm-yyyy")</f>
        <v>18-03-2025</v>
      </c>
      <c r="J1429" s="7" t="str">
        <f>TEXT(multilingual_mobile_app_reviews_2025[[#This Row],[Review_date]],"YYYY")</f>
        <v>2025</v>
      </c>
      <c r="K1429" s="7" t="str">
        <f>TEXT(multilingual_mobile_app_reviews_2025[[#This Row],[Review_date]],"MMMM")</f>
        <v>March</v>
      </c>
      <c r="L1429" s="4" t="b">
        <v>1</v>
      </c>
      <c r="M1429" s="4" t="s">
        <v>22</v>
      </c>
      <c r="N1429" s="5">
        <v>1059</v>
      </c>
      <c r="O1429" s="5">
        <v>54</v>
      </c>
      <c r="P1429" s="4" t="s">
        <v>114</v>
      </c>
      <c r="Q1429" s="8" t="s">
        <v>2963</v>
      </c>
      <c r="R1429" s="4" t="s">
        <v>1748</v>
      </c>
      <c r="S1429" s="4"/>
      <c r="T1429"/>
      <c r="U1429" s="23"/>
    </row>
    <row r="1430" spans="1:21" ht="15.6" x14ac:dyDescent="0.3">
      <c r="A1430" s="4">
        <v>1429</v>
      </c>
      <c r="B1430" s="5">
        <v>1184932</v>
      </c>
      <c r="C1430" s="4" t="s">
        <v>89</v>
      </c>
      <c r="D1430" s="4" t="s">
        <v>26</v>
      </c>
      <c r="E1430" s="4" t="s">
        <v>16</v>
      </c>
      <c r="F1430" s="4" t="s">
        <v>2951</v>
      </c>
      <c r="G1430" s="6">
        <v>2.8</v>
      </c>
      <c r="H1430" s="7">
        <v>45639.077407407407</v>
      </c>
      <c r="I1430" s="7" t="str">
        <f>TEXT(multilingual_mobile_app_reviews_2025[[#This Row],[Review_date]],"dd-mm-yyyy")</f>
        <v>13-12-2024</v>
      </c>
      <c r="J1430" s="7" t="str">
        <f>TEXT(multilingual_mobile_app_reviews_2025[[#This Row],[Review_date]],"YYYY")</f>
        <v>2024</v>
      </c>
      <c r="K1430" s="7" t="str">
        <f>TEXT(multilingual_mobile_app_reviews_2025[[#This Row],[Review_date]],"MMMM")</f>
        <v>December</v>
      </c>
      <c r="L1430" s="4" t="b">
        <v>1</v>
      </c>
      <c r="M1430" s="4" t="s">
        <v>33</v>
      </c>
      <c r="N1430" s="5">
        <v>772</v>
      </c>
      <c r="O1430" s="5">
        <v>51</v>
      </c>
      <c r="P1430" s="4" t="s">
        <v>73</v>
      </c>
      <c r="Q1430" s="8" t="s">
        <v>12</v>
      </c>
      <c r="R1430" s="4" t="s">
        <v>1749</v>
      </c>
      <c r="S1430" s="4"/>
      <c r="T1430"/>
      <c r="U1430" s="23"/>
    </row>
    <row r="1431" spans="1:21" ht="15.6" x14ac:dyDescent="0.3">
      <c r="A1431" s="4">
        <v>1430</v>
      </c>
      <c r="B1431" s="5">
        <v>6425183</v>
      </c>
      <c r="C1431" s="4" t="s">
        <v>192</v>
      </c>
      <c r="D1431" s="4" t="s">
        <v>79</v>
      </c>
      <c r="E1431" s="4" t="s">
        <v>130</v>
      </c>
      <c r="F1431" s="4" t="s">
        <v>2940</v>
      </c>
      <c r="G1431" s="6">
        <v>4.5999999999999996</v>
      </c>
      <c r="H1431" s="7">
        <v>45845.825972222221</v>
      </c>
      <c r="I1431" s="7" t="str">
        <f>TEXT(multilingual_mobile_app_reviews_2025[[#This Row],[Review_date]],"dd-mm-yyyy")</f>
        <v>07-07-2025</v>
      </c>
      <c r="J1431" s="7" t="str">
        <f>TEXT(multilingual_mobile_app_reviews_2025[[#This Row],[Review_date]],"YYYY")</f>
        <v>2025</v>
      </c>
      <c r="K1431" s="7" t="str">
        <f>TEXT(multilingual_mobile_app_reviews_2025[[#This Row],[Review_date]],"MMMM")</f>
        <v>July</v>
      </c>
      <c r="L1431" s="4" t="b">
        <v>0</v>
      </c>
      <c r="M1431" s="4" t="s">
        <v>3</v>
      </c>
      <c r="N1431" s="5">
        <v>670</v>
      </c>
      <c r="O1431" s="5">
        <v>39</v>
      </c>
      <c r="P1431" s="4" t="s">
        <v>180</v>
      </c>
      <c r="Q1431" s="8" t="s">
        <v>12</v>
      </c>
      <c r="R1431" s="4" t="s">
        <v>1750</v>
      </c>
      <c r="S1431" s="4"/>
      <c r="T1431"/>
      <c r="U1431" s="23"/>
    </row>
    <row r="1432" spans="1:21" ht="15.6" x14ac:dyDescent="0.3">
      <c r="A1432" s="4">
        <v>1431</v>
      </c>
      <c r="B1432" s="5">
        <v>6503032</v>
      </c>
      <c r="C1432" s="4" t="s">
        <v>0</v>
      </c>
      <c r="D1432" s="4" t="s">
        <v>111</v>
      </c>
      <c r="E1432" s="4" t="s">
        <v>1751</v>
      </c>
      <c r="F1432" s="4" t="s">
        <v>2953</v>
      </c>
      <c r="G1432" s="6">
        <v>1.4</v>
      </c>
      <c r="H1432" s="7">
        <v>45598.853981481479</v>
      </c>
      <c r="I1432" s="7" t="str">
        <f>TEXT(multilingual_mobile_app_reviews_2025[[#This Row],[Review_date]],"dd-mm-yyyy")</f>
        <v>02-11-2024</v>
      </c>
      <c r="J1432" s="7" t="str">
        <f>TEXT(multilingual_mobile_app_reviews_2025[[#This Row],[Review_date]],"YYYY")</f>
        <v>2024</v>
      </c>
      <c r="K1432" s="7" t="str">
        <f>TEXT(multilingual_mobile_app_reviews_2025[[#This Row],[Review_date]],"MMMM")</f>
        <v>November</v>
      </c>
      <c r="L1432" s="4" t="b">
        <v>1</v>
      </c>
      <c r="M1432" s="4" t="s">
        <v>98</v>
      </c>
      <c r="N1432" s="5">
        <v>308</v>
      </c>
      <c r="O1432" s="5">
        <v>25</v>
      </c>
      <c r="P1432" s="4" t="s">
        <v>17</v>
      </c>
      <c r="Q1432" s="8" t="s">
        <v>39</v>
      </c>
      <c r="R1432" s="4" t="s">
        <v>1752</v>
      </c>
      <c r="S1432" s="4"/>
      <c r="T1432"/>
      <c r="U1432" s="23"/>
    </row>
    <row r="1433" spans="1:21" ht="15.6" x14ac:dyDescent="0.3">
      <c r="A1433" s="4">
        <v>1432</v>
      </c>
      <c r="B1433" s="5">
        <v>2047939</v>
      </c>
      <c r="C1433" s="4" t="s">
        <v>104</v>
      </c>
      <c r="D1433" s="4" t="s">
        <v>8</v>
      </c>
      <c r="E1433" s="4" t="s">
        <v>1753</v>
      </c>
      <c r="F1433" s="4" t="s">
        <v>2945</v>
      </c>
      <c r="G1433" s="6">
        <v>1.7</v>
      </c>
      <c r="H1433" s="7">
        <v>45606.168506944443</v>
      </c>
      <c r="I1433" s="7" t="str">
        <f>TEXT(multilingual_mobile_app_reviews_2025[[#This Row],[Review_date]],"dd-mm-yyyy")</f>
        <v>10-11-2024</v>
      </c>
      <c r="J1433" s="7" t="str">
        <f>TEXT(multilingual_mobile_app_reviews_2025[[#This Row],[Review_date]],"YYYY")</f>
        <v>2024</v>
      </c>
      <c r="K1433" s="7" t="str">
        <f>TEXT(multilingual_mobile_app_reviews_2025[[#This Row],[Review_date]],"MMMM")</f>
        <v>November</v>
      </c>
      <c r="L1433" s="4" t="b">
        <v>1</v>
      </c>
      <c r="M1433" s="4" t="s">
        <v>3</v>
      </c>
      <c r="N1433" s="5">
        <v>278</v>
      </c>
      <c r="O1433" s="5">
        <v>37</v>
      </c>
      <c r="P1433" s="4" t="s">
        <v>17</v>
      </c>
      <c r="Q1433" s="8" t="s">
        <v>29</v>
      </c>
      <c r="R1433" s="4" t="s">
        <v>1754</v>
      </c>
      <c r="S1433" s="4"/>
      <c r="T1433"/>
      <c r="U1433" s="23"/>
    </row>
    <row r="1434" spans="1:21" ht="15.6" x14ac:dyDescent="0.3">
      <c r="A1434" s="4">
        <v>1433</v>
      </c>
      <c r="B1434" s="5">
        <v>3826916</v>
      </c>
      <c r="C1434" s="4" t="s">
        <v>137</v>
      </c>
      <c r="D1434" s="4" t="s">
        <v>60</v>
      </c>
      <c r="E1434" s="4" t="s">
        <v>21</v>
      </c>
      <c r="F1434" s="4" t="s">
        <v>2956</v>
      </c>
      <c r="G1434" s="6">
        <v>2</v>
      </c>
      <c r="H1434" s="7">
        <v>45221.666006944448</v>
      </c>
      <c r="I1434" s="7" t="str">
        <f>TEXT(multilingual_mobile_app_reviews_2025[[#This Row],[Review_date]],"dd-mm-yyyy")</f>
        <v>22-10-2023</v>
      </c>
      <c r="J1434" s="7" t="str">
        <f>TEXT(multilingual_mobile_app_reviews_2025[[#This Row],[Review_date]],"YYYY")</f>
        <v>2023</v>
      </c>
      <c r="K1434" s="7" t="str">
        <f>TEXT(multilingual_mobile_app_reviews_2025[[#This Row],[Review_date]],"MMMM")</f>
        <v>October</v>
      </c>
      <c r="L1434" s="4" t="b">
        <v>1</v>
      </c>
      <c r="M1434" s="4" t="s">
        <v>10</v>
      </c>
      <c r="N1434" s="5">
        <v>1028</v>
      </c>
      <c r="O1434" s="5">
        <v>58</v>
      </c>
      <c r="P1434" s="4" t="s">
        <v>73</v>
      </c>
      <c r="Q1434" s="8" t="s">
        <v>5</v>
      </c>
      <c r="R1434" s="4" t="s">
        <v>1755</v>
      </c>
      <c r="S1434" s="4"/>
      <c r="T1434"/>
      <c r="U1434" s="23"/>
    </row>
    <row r="1435" spans="1:21" ht="15.6" x14ac:dyDescent="0.3">
      <c r="A1435" s="4">
        <v>1434</v>
      </c>
      <c r="B1435" s="5">
        <v>254157</v>
      </c>
      <c r="C1435" s="4" t="s">
        <v>132</v>
      </c>
      <c r="D1435" s="4" t="s">
        <v>8</v>
      </c>
      <c r="E1435" s="4" t="s">
        <v>109</v>
      </c>
      <c r="F1435" s="4" t="s">
        <v>2944</v>
      </c>
      <c r="G1435" s="6">
        <v>4.5</v>
      </c>
      <c r="H1435" s="7">
        <v>45556.982754629629</v>
      </c>
      <c r="I1435" s="7" t="str">
        <f>TEXT(multilingual_mobile_app_reviews_2025[[#This Row],[Review_date]],"dd-mm-yyyy")</f>
        <v>21-09-2024</v>
      </c>
      <c r="J1435" s="7" t="str">
        <f>TEXT(multilingual_mobile_app_reviews_2025[[#This Row],[Review_date]],"YYYY")</f>
        <v>2024</v>
      </c>
      <c r="K1435" s="7" t="str">
        <f>TEXT(multilingual_mobile_app_reviews_2025[[#This Row],[Review_date]],"MMMM")</f>
        <v>September</v>
      </c>
      <c r="L1435" s="4" t="b">
        <v>1</v>
      </c>
      <c r="M1435" s="4" t="s">
        <v>98</v>
      </c>
      <c r="N1435" s="5">
        <v>983</v>
      </c>
      <c r="O1435" s="5">
        <v>39</v>
      </c>
      <c r="P1435" s="4" t="s">
        <v>70</v>
      </c>
      <c r="Q1435" s="8" t="s">
        <v>39</v>
      </c>
      <c r="R1435" s="4" t="s">
        <v>1756</v>
      </c>
      <c r="S1435" s="4"/>
      <c r="T1435"/>
      <c r="U1435" s="23"/>
    </row>
    <row r="1436" spans="1:21" ht="15.6" x14ac:dyDescent="0.3">
      <c r="A1436" s="4">
        <v>1435</v>
      </c>
      <c r="B1436" s="5">
        <v>5400362</v>
      </c>
      <c r="C1436" s="4" t="s">
        <v>54</v>
      </c>
      <c r="D1436" s="4" t="s">
        <v>220</v>
      </c>
      <c r="E1436" s="4" t="s">
        <v>1757</v>
      </c>
      <c r="F1436" s="4" t="s">
        <v>2940</v>
      </c>
      <c r="G1436" s="6">
        <v>3.3</v>
      </c>
      <c r="H1436" s="7">
        <v>45234.775601851848</v>
      </c>
      <c r="I1436" s="7" t="str">
        <f>TEXT(multilingual_mobile_app_reviews_2025[[#This Row],[Review_date]],"dd-mm-yyyy")</f>
        <v>04-11-2023</v>
      </c>
      <c r="J1436" s="7" t="str">
        <f>TEXT(multilingual_mobile_app_reviews_2025[[#This Row],[Review_date]],"YYYY")</f>
        <v>2023</v>
      </c>
      <c r="K1436" s="7" t="str">
        <f>TEXT(multilingual_mobile_app_reviews_2025[[#This Row],[Review_date]],"MMMM")</f>
        <v>November</v>
      </c>
      <c r="L1436" s="4" t="b">
        <v>1</v>
      </c>
      <c r="M1436" s="4" t="s">
        <v>10</v>
      </c>
      <c r="N1436" s="5">
        <v>68</v>
      </c>
      <c r="O1436" s="5">
        <v>63</v>
      </c>
      <c r="P1436" s="4" t="s">
        <v>90</v>
      </c>
      <c r="Q1436" s="8" t="s">
        <v>39</v>
      </c>
      <c r="R1436" s="4" t="s">
        <v>1758</v>
      </c>
      <c r="S1436" s="4"/>
      <c r="T1436"/>
      <c r="U1436" s="23"/>
    </row>
    <row r="1437" spans="1:21" ht="15.6" x14ac:dyDescent="0.3">
      <c r="A1437" s="4">
        <v>1436</v>
      </c>
      <c r="B1437" s="5">
        <v>9729651</v>
      </c>
      <c r="C1437" s="4" t="s">
        <v>36</v>
      </c>
      <c r="D1437" s="4" t="s">
        <v>8</v>
      </c>
      <c r="E1437" s="4" t="s">
        <v>76</v>
      </c>
      <c r="F1437" s="4" t="s">
        <v>2959</v>
      </c>
      <c r="G1437" s="6">
        <v>4.5</v>
      </c>
      <c r="H1437" s="7">
        <v>45510.371458333335</v>
      </c>
      <c r="I1437" s="7" t="str">
        <f>TEXT(multilingual_mobile_app_reviews_2025[[#This Row],[Review_date]],"dd-mm-yyyy")</f>
        <v>06-08-2024</v>
      </c>
      <c r="J1437" s="7" t="str">
        <f>TEXT(multilingual_mobile_app_reviews_2025[[#This Row],[Review_date]],"YYYY")</f>
        <v>2024</v>
      </c>
      <c r="K1437" s="7" t="str">
        <f>TEXT(multilingual_mobile_app_reviews_2025[[#This Row],[Review_date]],"MMMM")</f>
        <v>August</v>
      </c>
      <c r="L1437" s="4" t="b">
        <v>0</v>
      </c>
      <c r="M1437" s="4" t="s">
        <v>22</v>
      </c>
      <c r="N1437" s="5">
        <v>842</v>
      </c>
      <c r="O1437" s="5">
        <v>40</v>
      </c>
      <c r="P1437" s="4" t="s">
        <v>23</v>
      </c>
      <c r="Q1437" s="8" t="s">
        <v>12</v>
      </c>
      <c r="R1437" s="4" t="s">
        <v>1759</v>
      </c>
      <c r="S1437" s="4"/>
      <c r="T1437"/>
      <c r="U1437" s="23"/>
    </row>
    <row r="1438" spans="1:21" ht="15.6" x14ac:dyDescent="0.3">
      <c r="A1438" s="4">
        <v>1437</v>
      </c>
      <c r="B1438" s="5">
        <v>3718930</v>
      </c>
      <c r="C1438" s="4" t="s">
        <v>106</v>
      </c>
      <c r="D1438" s="4" t="s">
        <v>20</v>
      </c>
      <c r="E1438" s="4" t="s">
        <v>1760</v>
      </c>
      <c r="F1438" s="4" t="s">
        <v>2955</v>
      </c>
      <c r="G1438" s="6">
        <v>3.8</v>
      </c>
      <c r="H1438" s="7">
        <v>45864.673761574071</v>
      </c>
      <c r="I1438" s="7" t="str">
        <f>TEXT(multilingual_mobile_app_reviews_2025[[#This Row],[Review_date]],"dd-mm-yyyy")</f>
        <v>26-07-2025</v>
      </c>
      <c r="J1438" s="7" t="str">
        <f>TEXT(multilingual_mobile_app_reviews_2025[[#This Row],[Review_date]],"YYYY")</f>
        <v>2025</v>
      </c>
      <c r="K1438" s="7" t="str">
        <f>TEXT(multilingual_mobile_app_reviews_2025[[#This Row],[Review_date]],"MMMM")</f>
        <v>July</v>
      </c>
      <c r="L1438" s="4" t="b">
        <v>1</v>
      </c>
      <c r="M1438" s="4" t="s">
        <v>33</v>
      </c>
      <c r="N1438" s="5">
        <v>1027</v>
      </c>
      <c r="O1438" s="5">
        <v>49</v>
      </c>
      <c r="P1438" s="4" t="s">
        <v>28</v>
      </c>
      <c r="Q1438" s="8" t="s">
        <v>29</v>
      </c>
      <c r="R1438" s="4" t="s">
        <v>1761</v>
      </c>
      <c r="S1438" s="4"/>
      <c r="T1438"/>
      <c r="U1438" s="23"/>
    </row>
    <row r="1439" spans="1:21" ht="15.6" x14ac:dyDescent="0.3">
      <c r="A1439" s="4">
        <v>1438</v>
      </c>
      <c r="B1439" s="5">
        <v>981916</v>
      </c>
      <c r="C1439" s="4" t="s">
        <v>192</v>
      </c>
      <c r="D1439" s="4" t="s">
        <v>220</v>
      </c>
      <c r="E1439" s="4" t="s">
        <v>21</v>
      </c>
      <c r="F1439" s="4" t="s">
        <v>2947</v>
      </c>
      <c r="G1439" s="6">
        <v>2.8</v>
      </c>
      <c r="H1439" s="7">
        <v>45855.916168981479</v>
      </c>
      <c r="I1439" s="7" t="str">
        <f>TEXT(multilingual_mobile_app_reviews_2025[[#This Row],[Review_date]],"dd-mm-yyyy")</f>
        <v>17-07-2025</v>
      </c>
      <c r="J1439" s="7" t="str">
        <f>TEXT(multilingual_mobile_app_reviews_2025[[#This Row],[Review_date]],"YYYY")</f>
        <v>2025</v>
      </c>
      <c r="K1439" s="7" t="str">
        <f>TEXT(multilingual_mobile_app_reviews_2025[[#This Row],[Review_date]],"MMMM")</f>
        <v>July</v>
      </c>
      <c r="L1439" s="4" t="b">
        <v>0</v>
      </c>
      <c r="M1439" s="4" t="s">
        <v>98</v>
      </c>
      <c r="N1439" s="5">
        <v>1045</v>
      </c>
      <c r="O1439" s="5">
        <v>54</v>
      </c>
      <c r="P1439" s="4" t="s">
        <v>38</v>
      </c>
      <c r="Q1439" s="8" t="s">
        <v>29</v>
      </c>
      <c r="R1439" s="4" t="s">
        <v>1762</v>
      </c>
      <c r="S1439" s="4"/>
      <c r="T1439"/>
      <c r="U1439" s="23"/>
    </row>
    <row r="1440" spans="1:21" ht="15.6" x14ac:dyDescent="0.3">
      <c r="A1440" s="4">
        <v>1439</v>
      </c>
      <c r="B1440" s="5">
        <v>3103461</v>
      </c>
      <c r="C1440" s="4" t="s">
        <v>159</v>
      </c>
      <c r="D1440" s="4" t="s">
        <v>15</v>
      </c>
      <c r="E1440" s="4" t="s">
        <v>1763</v>
      </c>
      <c r="F1440" s="4" t="s">
        <v>2954</v>
      </c>
      <c r="G1440" s="6">
        <v>4.9000000000000004</v>
      </c>
      <c r="H1440" s="7">
        <v>45679.769745370373</v>
      </c>
      <c r="I1440" s="7" t="str">
        <f>TEXT(multilingual_mobile_app_reviews_2025[[#This Row],[Review_date]],"dd-mm-yyyy")</f>
        <v>22-01-2025</v>
      </c>
      <c r="J1440" s="7" t="str">
        <f>TEXT(multilingual_mobile_app_reviews_2025[[#This Row],[Review_date]],"YYYY")</f>
        <v>2025</v>
      </c>
      <c r="K1440" s="7" t="str">
        <f>TEXT(multilingual_mobile_app_reviews_2025[[#This Row],[Review_date]],"MMMM")</f>
        <v>January</v>
      </c>
      <c r="L1440" s="4" t="b">
        <v>1</v>
      </c>
      <c r="M1440" s="4" t="s">
        <v>33</v>
      </c>
      <c r="N1440" s="5">
        <v>767</v>
      </c>
      <c r="O1440" s="5">
        <v>14</v>
      </c>
      <c r="P1440" s="4" t="s">
        <v>85</v>
      </c>
      <c r="Q1440" s="8" t="s">
        <v>2963</v>
      </c>
      <c r="R1440" s="4" t="s">
        <v>2963</v>
      </c>
      <c r="S1440" s="4"/>
      <c r="T1440"/>
      <c r="U1440" s="23"/>
    </row>
    <row r="1441" spans="1:21" ht="15.6" x14ac:dyDescent="0.3">
      <c r="A1441" s="4">
        <v>1440</v>
      </c>
      <c r="B1441" s="5">
        <v>9294082</v>
      </c>
      <c r="C1441" s="4" t="s">
        <v>92</v>
      </c>
      <c r="D1441" s="4" t="s">
        <v>47</v>
      </c>
      <c r="E1441" s="4" t="s">
        <v>130</v>
      </c>
      <c r="F1441" s="4" t="s">
        <v>2957</v>
      </c>
      <c r="G1441" s="6">
        <v>2</v>
      </c>
      <c r="H1441" s="7">
        <v>45444.730381944442</v>
      </c>
      <c r="I1441" s="7" t="str">
        <f>TEXT(multilingual_mobile_app_reviews_2025[[#This Row],[Review_date]],"dd-mm-yyyy")</f>
        <v>01-06-2024</v>
      </c>
      <c r="J1441" s="7" t="str">
        <f>TEXT(multilingual_mobile_app_reviews_2025[[#This Row],[Review_date]],"YYYY")</f>
        <v>2024</v>
      </c>
      <c r="K1441" s="7" t="str">
        <f>TEXT(multilingual_mobile_app_reviews_2025[[#This Row],[Review_date]],"MMMM")</f>
        <v>June</v>
      </c>
      <c r="L1441" s="4" t="b">
        <v>1</v>
      </c>
      <c r="M1441" s="4" t="s">
        <v>33</v>
      </c>
      <c r="N1441" s="5">
        <v>864</v>
      </c>
      <c r="O1441" s="5">
        <v>24</v>
      </c>
      <c r="P1441" s="4" t="s">
        <v>180</v>
      </c>
      <c r="Q1441" s="8" t="s">
        <v>12</v>
      </c>
      <c r="R1441" s="4" t="s">
        <v>1764</v>
      </c>
      <c r="S1441" s="4"/>
      <c r="T1441"/>
      <c r="U1441" s="23"/>
    </row>
    <row r="1442" spans="1:21" ht="15.6" x14ac:dyDescent="0.3">
      <c r="A1442" s="4">
        <v>1441</v>
      </c>
      <c r="B1442" s="5">
        <v>2296149</v>
      </c>
      <c r="C1442" s="4" t="s">
        <v>78</v>
      </c>
      <c r="D1442" s="4" t="s">
        <v>71</v>
      </c>
      <c r="E1442" s="4" t="s">
        <v>16</v>
      </c>
      <c r="F1442" s="4" t="s">
        <v>2944</v>
      </c>
      <c r="G1442" s="6">
        <v>2.8</v>
      </c>
      <c r="H1442" s="7">
        <v>45390.084907407407</v>
      </c>
      <c r="I1442" s="7" t="str">
        <f>TEXT(multilingual_mobile_app_reviews_2025[[#This Row],[Review_date]],"dd-mm-yyyy")</f>
        <v>08-04-2024</v>
      </c>
      <c r="J1442" s="7" t="str">
        <f>TEXT(multilingual_mobile_app_reviews_2025[[#This Row],[Review_date]],"YYYY")</f>
        <v>2024</v>
      </c>
      <c r="K1442" s="7" t="str">
        <f>TEXT(multilingual_mobile_app_reviews_2025[[#This Row],[Review_date]],"MMMM")</f>
        <v>April</v>
      </c>
      <c r="L1442" s="4" t="b">
        <v>0</v>
      </c>
      <c r="M1442" s="4" t="s">
        <v>33</v>
      </c>
      <c r="N1442" s="5">
        <v>695</v>
      </c>
      <c r="O1442" s="5">
        <v>23</v>
      </c>
      <c r="P1442" s="4" t="s">
        <v>230</v>
      </c>
      <c r="Q1442" s="8" t="s">
        <v>29</v>
      </c>
      <c r="R1442" s="4" t="s">
        <v>1056</v>
      </c>
      <c r="S1442" s="4"/>
      <c r="T1442"/>
      <c r="U1442" s="23"/>
    </row>
    <row r="1443" spans="1:21" ht="15.6" x14ac:dyDescent="0.3">
      <c r="A1443" s="4">
        <v>1442</v>
      </c>
      <c r="B1443" s="5">
        <v>9837222</v>
      </c>
      <c r="C1443" s="4" t="s">
        <v>96</v>
      </c>
      <c r="D1443" s="4" t="s">
        <v>1</v>
      </c>
      <c r="E1443" s="4" t="s">
        <v>27</v>
      </c>
      <c r="F1443" s="4" t="s">
        <v>2943</v>
      </c>
      <c r="G1443" s="6">
        <v>5</v>
      </c>
      <c r="H1443" s="7">
        <v>45811.408067129632</v>
      </c>
      <c r="I1443" s="7" t="str">
        <f>TEXT(multilingual_mobile_app_reviews_2025[[#This Row],[Review_date]],"dd-mm-yyyy")</f>
        <v>03-06-2025</v>
      </c>
      <c r="J1443" s="7" t="str">
        <f>TEXT(multilingual_mobile_app_reviews_2025[[#This Row],[Review_date]],"YYYY")</f>
        <v>2025</v>
      </c>
      <c r="K1443" s="7" t="str">
        <f>TEXT(multilingual_mobile_app_reviews_2025[[#This Row],[Review_date]],"MMMM")</f>
        <v>June</v>
      </c>
      <c r="L1443" s="4" t="b">
        <v>1</v>
      </c>
      <c r="M1443" s="4" t="s">
        <v>33</v>
      </c>
      <c r="N1443" s="5">
        <v>832</v>
      </c>
      <c r="O1443" s="5">
        <v>39</v>
      </c>
      <c r="P1443" s="4" t="s">
        <v>114</v>
      </c>
      <c r="Q1443" s="8" t="s">
        <v>29</v>
      </c>
      <c r="R1443" s="4" t="s">
        <v>1765</v>
      </c>
      <c r="S1443" s="4"/>
      <c r="T1443"/>
      <c r="U1443" s="23"/>
    </row>
    <row r="1444" spans="1:21" ht="15.6" x14ac:dyDescent="0.3">
      <c r="A1444" s="4">
        <v>1443</v>
      </c>
      <c r="B1444" s="5">
        <v>5201515</v>
      </c>
      <c r="C1444" s="4" t="s">
        <v>192</v>
      </c>
      <c r="D1444" s="4" t="s">
        <v>220</v>
      </c>
      <c r="E1444" s="4" t="s">
        <v>32</v>
      </c>
      <c r="F1444" s="4" t="s">
        <v>2954</v>
      </c>
      <c r="G1444" s="6">
        <v>3.1</v>
      </c>
      <c r="H1444" s="7">
        <v>45494.254270833335</v>
      </c>
      <c r="I1444" s="7" t="str">
        <f>TEXT(multilingual_mobile_app_reviews_2025[[#This Row],[Review_date]],"dd-mm-yyyy")</f>
        <v>21-07-2024</v>
      </c>
      <c r="J1444" s="7" t="str">
        <f>TEXT(multilingual_mobile_app_reviews_2025[[#This Row],[Review_date]],"YYYY")</f>
        <v>2024</v>
      </c>
      <c r="K1444" s="7" t="str">
        <f>TEXT(multilingual_mobile_app_reviews_2025[[#This Row],[Review_date]],"MMMM")</f>
        <v>July</v>
      </c>
      <c r="L1444" s="4" t="b">
        <v>0</v>
      </c>
      <c r="M1444" s="4" t="s">
        <v>98</v>
      </c>
      <c r="N1444" s="5">
        <v>715</v>
      </c>
      <c r="O1444" s="5">
        <v>26</v>
      </c>
      <c r="P1444" s="4" t="s">
        <v>144</v>
      </c>
      <c r="Q1444" s="8" t="s">
        <v>2963</v>
      </c>
      <c r="R1444" s="4" t="s">
        <v>1766</v>
      </c>
      <c r="S1444" s="4"/>
      <c r="T1444"/>
      <c r="U1444" s="23"/>
    </row>
    <row r="1445" spans="1:21" ht="15.6" x14ac:dyDescent="0.3">
      <c r="A1445" s="4">
        <v>1444</v>
      </c>
      <c r="B1445" s="5">
        <v>2846337</v>
      </c>
      <c r="C1445" s="4" t="s">
        <v>208</v>
      </c>
      <c r="D1445" s="4" t="s">
        <v>26</v>
      </c>
      <c r="E1445" s="4" t="s">
        <v>16</v>
      </c>
      <c r="F1445" s="4" t="s">
        <v>2952</v>
      </c>
      <c r="G1445" s="6">
        <v>4.9000000000000004</v>
      </c>
      <c r="H1445" s="7">
        <v>45587.169687499998</v>
      </c>
      <c r="I1445" s="7" t="str">
        <f>TEXT(multilingual_mobile_app_reviews_2025[[#This Row],[Review_date]],"dd-mm-yyyy")</f>
        <v>22-10-2024</v>
      </c>
      <c r="J1445" s="7" t="str">
        <f>TEXT(multilingual_mobile_app_reviews_2025[[#This Row],[Review_date]],"YYYY")</f>
        <v>2024</v>
      </c>
      <c r="K1445" s="7" t="str">
        <f>TEXT(multilingual_mobile_app_reviews_2025[[#This Row],[Review_date]],"MMMM")</f>
        <v>October</v>
      </c>
      <c r="L1445" s="4" t="b">
        <v>1</v>
      </c>
      <c r="M1445" s="4" t="s">
        <v>33</v>
      </c>
      <c r="N1445" s="5">
        <v>768</v>
      </c>
      <c r="O1445" s="5">
        <v>34</v>
      </c>
      <c r="P1445" s="4" t="s">
        <v>162</v>
      </c>
      <c r="Q1445" s="8" t="s">
        <v>2963</v>
      </c>
      <c r="R1445" s="4" t="s">
        <v>1767</v>
      </c>
      <c r="S1445" s="4"/>
      <c r="T1445"/>
      <c r="U1445" s="23"/>
    </row>
    <row r="1446" spans="1:21" ht="15.6" x14ac:dyDescent="0.3">
      <c r="A1446" s="4">
        <v>1445</v>
      </c>
      <c r="B1446" s="5">
        <v>7513578</v>
      </c>
      <c r="C1446" s="4" t="s">
        <v>92</v>
      </c>
      <c r="D1446" s="4" t="s">
        <v>220</v>
      </c>
      <c r="E1446" s="4" t="s">
        <v>93</v>
      </c>
      <c r="F1446" s="4" t="s">
        <v>2941</v>
      </c>
      <c r="G1446" s="6">
        <v>3.2</v>
      </c>
      <c r="H1446" s="7">
        <v>45679.44290509259</v>
      </c>
      <c r="I1446" s="7" t="str">
        <f>TEXT(multilingual_mobile_app_reviews_2025[[#This Row],[Review_date]],"dd-mm-yyyy")</f>
        <v>22-01-2025</v>
      </c>
      <c r="J1446" s="7" t="str">
        <f>TEXT(multilingual_mobile_app_reviews_2025[[#This Row],[Review_date]],"YYYY")</f>
        <v>2025</v>
      </c>
      <c r="K1446" s="7" t="str">
        <f>TEXT(multilingual_mobile_app_reviews_2025[[#This Row],[Review_date]],"MMMM")</f>
        <v>January</v>
      </c>
      <c r="L1446" s="4" t="b">
        <v>1</v>
      </c>
      <c r="M1446" s="4" t="s">
        <v>98</v>
      </c>
      <c r="N1446" s="5">
        <v>113</v>
      </c>
      <c r="O1446" s="5">
        <v>25</v>
      </c>
      <c r="P1446" s="4" t="s">
        <v>34</v>
      </c>
      <c r="Q1446" s="8" t="s">
        <v>12</v>
      </c>
      <c r="R1446" s="4" t="s">
        <v>186</v>
      </c>
      <c r="S1446" s="4"/>
      <c r="T1446"/>
      <c r="U1446" s="23"/>
    </row>
    <row r="1447" spans="1:21" ht="15.6" x14ac:dyDescent="0.3">
      <c r="A1447" s="4">
        <v>1446</v>
      </c>
      <c r="B1447" s="5">
        <v>4983538</v>
      </c>
      <c r="C1447" s="4" t="s">
        <v>92</v>
      </c>
      <c r="D1447" s="4" t="s">
        <v>71</v>
      </c>
      <c r="E1447" s="4" t="s">
        <v>27</v>
      </c>
      <c r="F1447" s="4" t="s">
        <v>2940</v>
      </c>
      <c r="G1447" s="6">
        <v>4.4000000000000004</v>
      </c>
      <c r="H1447" s="7">
        <v>45835.768159722225</v>
      </c>
      <c r="I1447" s="7" t="str">
        <f>TEXT(multilingual_mobile_app_reviews_2025[[#This Row],[Review_date]],"dd-mm-yyyy")</f>
        <v>27-06-2025</v>
      </c>
      <c r="J1447" s="7" t="str">
        <f>TEXT(multilingual_mobile_app_reviews_2025[[#This Row],[Review_date]],"YYYY")</f>
        <v>2025</v>
      </c>
      <c r="K1447" s="7" t="str">
        <f>TEXT(multilingual_mobile_app_reviews_2025[[#This Row],[Review_date]],"MMMM")</f>
        <v>June</v>
      </c>
      <c r="L1447" s="4" t="b">
        <v>1</v>
      </c>
      <c r="M1447" s="4" t="s">
        <v>98</v>
      </c>
      <c r="N1447" s="5">
        <v>355</v>
      </c>
      <c r="O1447" s="5">
        <v>17</v>
      </c>
      <c r="P1447" s="4" t="s">
        <v>85</v>
      </c>
      <c r="Q1447" s="8" t="s">
        <v>39</v>
      </c>
      <c r="R1447" s="4" t="s">
        <v>1768</v>
      </c>
      <c r="S1447" s="4"/>
      <c r="T1447"/>
      <c r="U1447" s="23"/>
    </row>
    <row r="1448" spans="1:21" ht="15.6" x14ac:dyDescent="0.3">
      <c r="A1448" s="4">
        <v>1447</v>
      </c>
      <c r="B1448" s="5">
        <v>3619295</v>
      </c>
      <c r="C1448" s="4" t="s">
        <v>159</v>
      </c>
      <c r="D1448" s="4" t="s">
        <v>20</v>
      </c>
      <c r="E1448" s="4" t="s">
        <v>2938</v>
      </c>
      <c r="F1448" s="4" t="s">
        <v>2941</v>
      </c>
      <c r="G1448" s="6">
        <v>2.2999999999999998</v>
      </c>
      <c r="H1448" s="7">
        <v>45308.309872685182</v>
      </c>
      <c r="I1448" s="7" t="str">
        <f>TEXT(multilingual_mobile_app_reviews_2025[[#This Row],[Review_date]],"dd-mm-yyyy")</f>
        <v>17-01-2024</v>
      </c>
      <c r="J1448" s="7" t="str">
        <f>TEXT(multilingual_mobile_app_reviews_2025[[#This Row],[Review_date]],"YYYY")</f>
        <v>2024</v>
      </c>
      <c r="K1448" s="7" t="str">
        <f>TEXT(multilingual_mobile_app_reviews_2025[[#This Row],[Review_date]],"MMMM")</f>
        <v>January</v>
      </c>
      <c r="L1448" s="4" t="b">
        <v>0</v>
      </c>
      <c r="M1448" s="4" t="s">
        <v>98</v>
      </c>
      <c r="N1448" s="5">
        <v>388</v>
      </c>
      <c r="O1448" s="5">
        <v>16</v>
      </c>
      <c r="P1448" s="4" t="s">
        <v>114</v>
      </c>
      <c r="Q1448" s="8" t="s">
        <v>39</v>
      </c>
      <c r="R1448" s="4" t="s">
        <v>1769</v>
      </c>
      <c r="S1448" s="4"/>
      <c r="T1448"/>
      <c r="U1448" s="23"/>
    </row>
    <row r="1449" spans="1:21" ht="15.6" x14ac:dyDescent="0.3">
      <c r="A1449" s="4">
        <v>1448</v>
      </c>
      <c r="B1449" s="5">
        <v>3382547</v>
      </c>
      <c r="C1449" s="4" t="s">
        <v>147</v>
      </c>
      <c r="D1449" s="4" t="s">
        <v>157</v>
      </c>
      <c r="E1449" s="4" t="s">
        <v>32</v>
      </c>
      <c r="F1449" s="4" t="s">
        <v>2961</v>
      </c>
      <c r="G1449" s="6">
        <v>4.4000000000000004</v>
      </c>
      <c r="H1449" s="7">
        <v>45710.017337962963</v>
      </c>
      <c r="I1449" s="7" t="str">
        <f>TEXT(multilingual_mobile_app_reviews_2025[[#This Row],[Review_date]],"dd-mm-yyyy")</f>
        <v>22-02-2025</v>
      </c>
      <c r="J1449" s="7" t="str">
        <f>TEXT(multilingual_mobile_app_reviews_2025[[#This Row],[Review_date]],"YYYY")</f>
        <v>2025</v>
      </c>
      <c r="K1449" s="7" t="str">
        <f>TEXT(multilingual_mobile_app_reviews_2025[[#This Row],[Review_date]],"MMMM")</f>
        <v>February</v>
      </c>
      <c r="L1449" s="4" t="b">
        <v>0</v>
      </c>
      <c r="M1449" s="4" t="s">
        <v>3</v>
      </c>
      <c r="N1449" s="5">
        <v>486</v>
      </c>
      <c r="O1449" s="5">
        <v>60</v>
      </c>
      <c r="P1449" s="4" t="s">
        <v>114</v>
      </c>
      <c r="Q1449" s="8" t="s">
        <v>39</v>
      </c>
      <c r="R1449" s="4" t="s">
        <v>1770</v>
      </c>
      <c r="S1449" s="4"/>
      <c r="T1449"/>
      <c r="U1449" s="23"/>
    </row>
    <row r="1450" spans="1:21" ht="15.6" x14ac:dyDescent="0.3">
      <c r="A1450" s="4">
        <v>1449</v>
      </c>
      <c r="B1450" s="5">
        <v>253218</v>
      </c>
      <c r="C1450" s="4" t="s">
        <v>50</v>
      </c>
      <c r="D1450" s="4" t="s">
        <v>1</v>
      </c>
      <c r="E1450" s="4" t="s">
        <v>109</v>
      </c>
      <c r="F1450" s="4" t="s">
        <v>2945</v>
      </c>
      <c r="G1450" s="6">
        <v>2.2000000000000002</v>
      </c>
      <c r="H1450" s="7">
        <v>45420.227349537039</v>
      </c>
      <c r="I1450" s="7" t="str">
        <f>TEXT(multilingual_mobile_app_reviews_2025[[#This Row],[Review_date]],"dd-mm-yyyy")</f>
        <v>08-05-2024</v>
      </c>
      <c r="J1450" s="7" t="str">
        <f>TEXT(multilingual_mobile_app_reviews_2025[[#This Row],[Review_date]],"YYYY")</f>
        <v>2024</v>
      </c>
      <c r="K1450" s="7" t="str">
        <f>TEXT(multilingual_mobile_app_reviews_2025[[#This Row],[Review_date]],"MMMM")</f>
        <v>May</v>
      </c>
      <c r="L1450" s="4" t="b">
        <v>0</v>
      </c>
      <c r="M1450" s="4" t="s">
        <v>98</v>
      </c>
      <c r="N1450" s="5">
        <v>210</v>
      </c>
      <c r="O1450" s="5">
        <v>14</v>
      </c>
      <c r="P1450" s="4" t="s">
        <v>90</v>
      </c>
      <c r="Q1450" s="8" t="s">
        <v>12</v>
      </c>
      <c r="R1450" s="4" t="s">
        <v>1771</v>
      </c>
      <c r="S1450" s="4"/>
      <c r="T1450"/>
      <c r="U1450" s="23"/>
    </row>
    <row r="1451" spans="1:21" ht="15.6" x14ac:dyDescent="0.3">
      <c r="A1451" s="4">
        <v>1450</v>
      </c>
      <c r="B1451" s="5">
        <v>9758342</v>
      </c>
      <c r="C1451" s="4" t="s">
        <v>132</v>
      </c>
      <c r="D1451" s="4" t="s">
        <v>63</v>
      </c>
      <c r="E1451" s="4" t="s">
        <v>76</v>
      </c>
      <c r="F1451" s="4" t="s">
        <v>2961</v>
      </c>
      <c r="G1451" s="6">
        <v>1.5</v>
      </c>
      <c r="H1451" s="7">
        <v>45218.06349537037</v>
      </c>
      <c r="I1451" s="7" t="str">
        <f>TEXT(multilingual_mobile_app_reviews_2025[[#This Row],[Review_date]],"dd-mm-yyyy")</f>
        <v>19-10-2023</v>
      </c>
      <c r="J1451" s="7" t="str">
        <f>TEXT(multilingual_mobile_app_reviews_2025[[#This Row],[Review_date]],"YYYY")</f>
        <v>2023</v>
      </c>
      <c r="K1451" s="7" t="str">
        <f>TEXT(multilingual_mobile_app_reviews_2025[[#This Row],[Review_date]],"MMMM")</f>
        <v>October</v>
      </c>
      <c r="L1451" s="4" t="b">
        <v>0</v>
      </c>
      <c r="M1451" s="4" t="s">
        <v>33</v>
      </c>
      <c r="N1451" s="5">
        <v>289</v>
      </c>
      <c r="O1451" s="5">
        <v>39</v>
      </c>
      <c r="P1451" s="4" t="s">
        <v>85</v>
      </c>
      <c r="Q1451" s="8" t="s">
        <v>5</v>
      </c>
      <c r="R1451" s="4" t="s">
        <v>1772</v>
      </c>
      <c r="S1451" s="4"/>
      <c r="T1451"/>
      <c r="U1451" s="23"/>
    </row>
    <row r="1452" spans="1:21" ht="15.6" x14ac:dyDescent="0.3">
      <c r="A1452" s="4">
        <v>1451</v>
      </c>
      <c r="B1452" s="5">
        <v>2576408</v>
      </c>
      <c r="C1452" s="4" t="s">
        <v>176</v>
      </c>
      <c r="D1452" s="4" t="s">
        <v>15</v>
      </c>
      <c r="E1452" s="4" t="s">
        <v>27</v>
      </c>
      <c r="F1452" s="4" t="s">
        <v>2956</v>
      </c>
      <c r="G1452" s="6">
        <v>2.1</v>
      </c>
      <c r="H1452" s="7">
        <v>45431.357800925929</v>
      </c>
      <c r="I1452" s="7" t="str">
        <f>TEXT(multilingual_mobile_app_reviews_2025[[#This Row],[Review_date]],"dd-mm-yyyy")</f>
        <v>19-05-2024</v>
      </c>
      <c r="J1452" s="7" t="str">
        <f>TEXT(multilingual_mobile_app_reviews_2025[[#This Row],[Review_date]],"YYYY")</f>
        <v>2024</v>
      </c>
      <c r="K1452" s="7" t="str">
        <f>TEXT(multilingual_mobile_app_reviews_2025[[#This Row],[Review_date]],"MMMM")</f>
        <v>May</v>
      </c>
      <c r="L1452" s="4" t="b">
        <v>1</v>
      </c>
      <c r="M1452" s="4" t="s">
        <v>33</v>
      </c>
      <c r="N1452" s="5">
        <v>176</v>
      </c>
      <c r="O1452" s="5">
        <v>60</v>
      </c>
      <c r="P1452" s="4" t="s">
        <v>118</v>
      </c>
      <c r="Q1452" s="8" t="s">
        <v>12</v>
      </c>
      <c r="R1452" s="4" t="s">
        <v>1163</v>
      </c>
      <c r="S1452" s="4"/>
      <c r="T1452"/>
      <c r="U1452" s="23"/>
    </row>
    <row r="1453" spans="1:21" ht="15.6" x14ac:dyDescent="0.3">
      <c r="A1453" s="4">
        <v>1452</v>
      </c>
      <c r="B1453" s="5">
        <v>2922312</v>
      </c>
      <c r="C1453" s="4" t="s">
        <v>0</v>
      </c>
      <c r="D1453" s="4" t="s">
        <v>79</v>
      </c>
      <c r="E1453" s="4" t="s">
        <v>109</v>
      </c>
      <c r="F1453" s="4" t="s">
        <v>2958</v>
      </c>
      <c r="G1453" s="6">
        <v>1.8</v>
      </c>
      <c r="H1453" s="7">
        <v>45858.112349537034</v>
      </c>
      <c r="I1453" s="7" t="str">
        <f>TEXT(multilingual_mobile_app_reviews_2025[[#This Row],[Review_date]],"dd-mm-yyyy")</f>
        <v>20-07-2025</v>
      </c>
      <c r="J1453" s="7" t="str">
        <f>TEXT(multilingual_mobile_app_reviews_2025[[#This Row],[Review_date]],"YYYY")</f>
        <v>2025</v>
      </c>
      <c r="K1453" s="7" t="str">
        <f>TEXT(multilingual_mobile_app_reviews_2025[[#This Row],[Review_date]],"MMMM")</f>
        <v>July</v>
      </c>
      <c r="L1453" s="4" t="b">
        <v>1</v>
      </c>
      <c r="M1453" s="4" t="s">
        <v>22</v>
      </c>
      <c r="N1453" s="5">
        <v>62</v>
      </c>
      <c r="O1453" s="5">
        <v>15</v>
      </c>
      <c r="P1453" s="4" t="s">
        <v>38</v>
      </c>
      <c r="Q1453" s="8" t="s">
        <v>29</v>
      </c>
      <c r="R1453" s="4" t="s">
        <v>1773</v>
      </c>
      <c r="S1453" s="4"/>
      <c r="T1453"/>
      <c r="U1453" s="23"/>
    </row>
    <row r="1454" spans="1:21" ht="15.6" x14ac:dyDescent="0.3">
      <c r="A1454" s="4">
        <v>1453</v>
      </c>
      <c r="B1454" s="5">
        <v>1711413</v>
      </c>
      <c r="C1454" s="4" t="s">
        <v>89</v>
      </c>
      <c r="D1454" s="4" t="s">
        <v>51</v>
      </c>
      <c r="E1454" s="4" t="s">
        <v>9</v>
      </c>
      <c r="F1454" s="4" t="s">
        <v>2952</v>
      </c>
      <c r="G1454" s="6">
        <v>4.5999999999999996</v>
      </c>
      <c r="H1454" s="7">
        <v>45415.068414351852</v>
      </c>
      <c r="I1454" s="7" t="str">
        <f>TEXT(multilingual_mobile_app_reviews_2025[[#This Row],[Review_date]],"dd-mm-yyyy")</f>
        <v>03-05-2024</v>
      </c>
      <c r="J1454" s="7" t="str">
        <f>TEXT(multilingual_mobile_app_reviews_2025[[#This Row],[Review_date]],"YYYY")</f>
        <v>2024</v>
      </c>
      <c r="K1454" s="7" t="str">
        <f>TEXT(multilingual_mobile_app_reviews_2025[[#This Row],[Review_date]],"MMMM")</f>
        <v>May</v>
      </c>
      <c r="L1454" s="4" t="b">
        <v>1</v>
      </c>
      <c r="M1454" s="4" t="s">
        <v>98</v>
      </c>
      <c r="N1454" s="5">
        <v>678</v>
      </c>
      <c r="O1454" s="5">
        <v>56</v>
      </c>
      <c r="P1454" s="4" t="s">
        <v>85</v>
      </c>
      <c r="Q1454" s="8" t="s">
        <v>12</v>
      </c>
      <c r="R1454" s="4" t="s">
        <v>1774</v>
      </c>
      <c r="S1454" s="4"/>
      <c r="T1454"/>
      <c r="U1454" s="23"/>
    </row>
    <row r="1455" spans="1:21" ht="15.6" x14ac:dyDescent="0.3">
      <c r="A1455" s="4">
        <v>1454</v>
      </c>
      <c r="B1455" s="5">
        <v>3113739</v>
      </c>
      <c r="C1455" s="4" t="s">
        <v>101</v>
      </c>
      <c r="D1455" s="4" t="s">
        <v>63</v>
      </c>
      <c r="E1455" s="4" t="s">
        <v>32</v>
      </c>
      <c r="F1455" s="4" t="s">
        <v>2943</v>
      </c>
      <c r="G1455" s="6">
        <v>4.4000000000000004</v>
      </c>
      <c r="H1455" s="7">
        <v>45179.634571759256</v>
      </c>
      <c r="I1455" s="7" t="str">
        <f>TEXT(multilingual_mobile_app_reviews_2025[[#This Row],[Review_date]],"dd-mm-yyyy")</f>
        <v>10-09-2023</v>
      </c>
      <c r="J1455" s="7" t="str">
        <f>TEXT(multilingual_mobile_app_reviews_2025[[#This Row],[Review_date]],"YYYY")</f>
        <v>2023</v>
      </c>
      <c r="K1455" s="7" t="str">
        <f>TEXT(multilingual_mobile_app_reviews_2025[[#This Row],[Review_date]],"MMMM")</f>
        <v>September</v>
      </c>
      <c r="L1455" s="4" t="b">
        <v>1</v>
      </c>
      <c r="M1455" s="4" t="s">
        <v>3</v>
      </c>
      <c r="N1455" s="5">
        <v>539</v>
      </c>
      <c r="O1455" s="5">
        <v>41</v>
      </c>
      <c r="P1455" s="4" t="s">
        <v>11</v>
      </c>
      <c r="Q1455" s="8" t="s">
        <v>2963</v>
      </c>
      <c r="R1455" s="4" t="s">
        <v>49</v>
      </c>
      <c r="S1455" s="4"/>
      <c r="T1455"/>
      <c r="U1455" s="23"/>
    </row>
    <row r="1456" spans="1:21" ht="15.6" x14ac:dyDescent="0.3">
      <c r="A1456" s="4">
        <v>1455</v>
      </c>
      <c r="B1456" s="5">
        <v>8747567</v>
      </c>
      <c r="C1456" s="4" t="s">
        <v>192</v>
      </c>
      <c r="D1456" s="4" t="s">
        <v>97</v>
      </c>
      <c r="E1456" s="4" t="s">
        <v>32</v>
      </c>
      <c r="F1456" s="4" t="s">
        <v>2954</v>
      </c>
      <c r="G1456" s="6">
        <v>3.5</v>
      </c>
      <c r="H1456" s="7">
        <v>45643.824166666665</v>
      </c>
      <c r="I1456" s="7" t="str">
        <f>TEXT(multilingual_mobile_app_reviews_2025[[#This Row],[Review_date]],"dd-mm-yyyy")</f>
        <v>17-12-2024</v>
      </c>
      <c r="J1456" s="7" t="str">
        <f>TEXT(multilingual_mobile_app_reviews_2025[[#This Row],[Review_date]],"YYYY")</f>
        <v>2024</v>
      </c>
      <c r="K1456" s="7" t="str">
        <f>TEXT(multilingual_mobile_app_reviews_2025[[#This Row],[Review_date]],"MMMM")</f>
        <v>December</v>
      </c>
      <c r="L1456" s="4" t="b">
        <v>1</v>
      </c>
      <c r="M1456" s="4" t="s">
        <v>10</v>
      </c>
      <c r="N1456" s="5">
        <v>883</v>
      </c>
      <c r="O1456" s="5">
        <v>64</v>
      </c>
      <c r="P1456" s="4" t="s">
        <v>180</v>
      </c>
      <c r="Q1456" s="8" t="s">
        <v>5</v>
      </c>
      <c r="R1456" s="4" t="s">
        <v>254</v>
      </c>
      <c r="S1456" s="4"/>
      <c r="T1456"/>
      <c r="U1456" s="23"/>
    </row>
    <row r="1457" spans="1:21" ht="15.6" x14ac:dyDescent="0.3">
      <c r="A1457" s="4">
        <v>1456</v>
      </c>
      <c r="B1457" s="5">
        <v>7378315</v>
      </c>
      <c r="C1457" s="4" t="s">
        <v>101</v>
      </c>
      <c r="D1457" s="4" t="s">
        <v>79</v>
      </c>
      <c r="E1457" s="4" t="s">
        <v>109</v>
      </c>
      <c r="F1457" s="4" t="s">
        <v>2945</v>
      </c>
      <c r="G1457" s="6">
        <v>3.6</v>
      </c>
      <c r="H1457" s="7">
        <v>45254.274699074071</v>
      </c>
      <c r="I1457" s="7" t="str">
        <f>TEXT(multilingual_mobile_app_reviews_2025[[#This Row],[Review_date]],"dd-mm-yyyy")</f>
        <v>24-11-2023</v>
      </c>
      <c r="J1457" s="7" t="str">
        <f>TEXT(multilingual_mobile_app_reviews_2025[[#This Row],[Review_date]],"YYYY")</f>
        <v>2023</v>
      </c>
      <c r="K1457" s="7" t="str">
        <f>TEXT(multilingual_mobile_app_reviews_2025[[#This Row],[Review_date]],"MMMM")</f>
        <v>November</v>
      </c>
      <c r="L1457" s="4" t="b">
        <v>0</v>
      </c>
      <c r="M1457" s="4" t="s">
        <v>22</v>
      </c>
      <c r="N1457" s="5">
        <v>1211</v>
      </c>
      <c r="O1457" s="5">
        <v>14</v>
      </c>
      <c r="P1457" s="4" t="s">
        <v>4</v>
      </c>
      <c r="Q1457" s="8" t="s">
        <v>2963</v>
      </c>
      <c r="R1457" s="4" t="s">
        <v>1775</v>
      </c>
      <c r="S1457" s="4"/>
      <c r="T1457"/>
      <c r="U1457" s="23"/>
    </row>
    <row r="1458" spans="1:21" ht="15.6" x14ac:dyDescent="0.3">
      <c r="A1458" s="4">
        <v>1457</v>
      </c>
      <c r="B1458" s="5">
        <v>6877894</v>
      </c>
      <c r="C1458" s="4" t="s">
        <v>50</v>
      </c>
      <c r="D1458" s="4" t="s">
        <v>111</v>
      </c>
      <c r="E1458" s="4" t="s">
        <v>64</v>
      </c>
      <c r="F1458" s="4" t="s">
        <v>2939</v>
      </c>
      <c r="G1458" s="6">
        <v>1.8</v>
      </c>
      <c r="H1458" s="7">
        <v>45329.176180555558</v>
      </c>
      <c r="I1458" s="7" t="str">
        <f>TEXT(multilingual_mobile_app_reviews_2025[[#This Row],[Review_date]],"dd-mm-yyyy")</f>
        <v>07-02-2024</v>
      </c>
      <c r="J1458" s="7" t="str">
        <f>TEXT(multilingual_mobile_app_reviews_2025[[#This Row],[Review_date]],"YYYY")</f>
        <v>2024</v>
      </c>
      <c r="K1458" s="7" t="str">
        <f>TEXT(multilingual_mobile_app_reviews_2025[[#This Row],[Review_date]],"MMMM")</f>
        <v>February</v>
      </c>
      <c r="L1458" s="4" t="b">
        <v>1</v>
      </c>
      <c r="M1458" s="4" t="s">
        <v>98</v>
      </c>
      <c r="N1458" s="5">
        <v>525</v>
      </c>
      <c r="O1458" s="5">
        <v>67</v>
      </c>
      <c r="P1458" s="4" t="s">
        <v>85</v>
      </c>
      <c r="Q1458" s="8" t="s">
        <v>2963</v>
      </c>
      <c r="R1458" s="4" t="s">
        <v>1776</v>
      </c>
      <c r="S1458" s="4"/>
      <c r="T1458"/>
      <c r="U1458" s="23"/>
    </row>
    <row r="1459" spans="1:21" ht="15.6" x14ac:dyDescent="0.3">
      <c r="A1459" s="4">
        <v>1458</v>
      </c>
      <c r="B1459" s="5">
        <v>2093175</v>
      </c>
      <c r="C1459" s="4" t="s">
        <v>25</v>
      </c>
      <c r="D1459" s="4" t="s">
        <v>71</v>
      </c>
      <c r="E1459" s="4" t="s">
        <v>93</v>
      </c>
      <c r="F1459" s="4" t="s">
        <v>2961</v>
      </c>
      <c r="G1459" s="6">
        <v>1.2</v>
      </c>
      <c r="H1459" s="7">
        <v>45325.956203703703</v>
      </c>
      <c r="I1459" s="7" t="str">
        <f>TEXT(multilingual_mobile_app_reviews_2025[[#This Row],[Review_date]],"dd-mm-yyyy")</f>
        <v>03-02-2024</v>
      </c>
      <c r="J1459" s="7" t="str">
        <f>TEXT(multilingual_mobile_app_reviews_2025[[#This Row],[Review_date]],"YYYY")</f>
        <v>2024</v>
      </c>
      <c r="K1459" s="7" t="str">
        <f>TEXT(multilingual_mobile_app_reviews_2025[[#This Row],[Review_date]],"MMMM")</f>
        <v>February</v>
      </c>
      <c r="L1459" s="4" t="b">
        <v>1</v>
      </c>
      <c r="M1459" s="4" t="s">
        <v>10</v>
      </c>
      <c r="N1459" s="5">
        <v>477</v>
      </c>
      <c r="O1459" s="5">
        <v>32</v>
      </c>
      <c r="P1459" s="4" t="s">
        <v>70</v>
      </c>
      <c r="Q1459" s="8" t="s">
        <v>5</v>
      </c>
      <c r="R1459" s="4" t="s">
        <v>1777</v>
      </c>
      <c r="S1459" s="4"/>
      <c r="T1459"/>
      <c r="U1459" s="23"/>
    </row>
    <row r="1460" spans="1:21" ht="15.6" x14ac:dyDescent="0.3">
      <c r="A1460" s="4">
        <v>1459</v>
      </c>
      <c r="B1460" s="5">
        <v>8297782</v>
      </c>
      <c r="C1460" s="4" t="s">
        <v>113</v>
      </c>
      <c r="D1460" s="4" t="s">
        <v>63</v>
      </c>
      <c r="E1460" s="4" t="s">
        <v>32</v>
      </c>
      <c r="F1460" s="4" t="s">
        <v>2947</v>
      </c>
      <c r="G1460" s="6">
        <v>1</v>
      </c>
      <c r="H1460" s="7">
        <v>45373.984236111108</v>
      </c>
      <c r="I1460" s="7" t="str">
        <f>TEXT(multilingual_mobile_app_reviews_2025[[#This Row],[Review_date]],"dd-mm-yyyy")</f>
        <v>22-03-2024</v>
      </c>
      <c r="J1460" s="7" t="str">
        <f>TEXT(multilingual_mobile_app_reviews_2025[[#This Row],[Review_date]],"YYYY")</f>
        <v>2024</v>
      </c>
      <c r="K1460" s="7" t="str">
        <f>TEXT(multilingual_mobile_app_reviews_2025[[#This Row],[Review_date]],"MMMM")</f>
        <v>March</v>
      </c>
      <c r="L1460" s="4" t="b">
        <v>0</v>
      </c>
      <c r="M1460" s="4" t="s">
        <v>33</v>
      </c>
      <c r="N1460" s="5">
        <v>523</v>
      </c>
      <c r="O1460" s="5">
        <v>68</v>
      </c>
      <c r="P1460" s="4" t="s">
        <v>85</v>
      </c>
      <c r="Q1460" s="8" t="s">
        <v>2963</v>
      </c>
      <c r="R1460" s="4" t="s">
        <v>1163</v>
      </c>
      <c r="S1460" s="4"/>
      <c r="T1460"/>
      <c r="U1460" s="23"/>
    </row>
    <row r="1461" spans="1:21" ht="15.6" x14ac:dyDescent="0.3">
      <c r="A1461" s="4">
        <v>1460</v>
      </c>
      <c r="B1461" s="5">
        <v>2993851</v>
      </c>
      <c r="C1461" s="4" t="s">
        <v>101</v>
      </c>
      <c r="D1461" s="4" t="s">
        <v>31</v>
      </c>
      <c r="E1461" s="4" t="s">
        <v>1778</v>
      </c>
      <c r="F1461" s="4" t="s">
        <v>2952</v>
      </c>
      <c r="G1461" s="6">
        <v>3.9</v>
      </c>
      <c r="H1461" s="7">
        <v>45437.108726851853</v>
      </c>
      <c r="I1461" s="7" t="str">
        <f>TEXT(multilingual_mobile_app_reviews_2025[[#This Row],[Review_date]],"dd-mm-yyyy")</f>
        <v>25-05-2024</v>
      </c>
      <c r="J1461" s="7" t="str">
        <f>TEXT(multilingual_mobile_app_reviews_2025[[#This Row],[Review_date]],"YYYY")</f>
        <v>2024</v>
      </c>
      <c r="K1461" s="7" t="str">
        <f>TEXT(multilingual_mobile_app_reviews_2025[[#This Row],[Review_date]],"MMMM")</f>
        <v>May</v>
      </c>
      <c r="L1461" s="4" t="b">
        <v>1</v>
      </c>
      <c r="M1461" s="4" t="s">
        <v>98</v>
      </c>
      <c r="N1461" s="5">
        <v>226</v>
      </c>
      <c r="O1461" s="5">
        <v>46</v>
      </c>
      <c r="P1461" s="4" t="s">
        <v>127</v>
      </c>
      <c r="Q1461" s="8" t="s">
        <v>5</v>
      </c>
      <c r="R1461" s="4" t="s">
        <v>24</v>
      </c>
      <c r="S1461" s="4"/>
      <c r="T1461"/>
      <c r="U1461" s="23"/>
    </row>
    <row r="1462" spans="1:21" ht="15.6" x14ac:dyDescent="0.3">
      <c r="A1462" s="4">
        <v>1461</v>
      </c>
      <c r="B1462" s="5">
        <v>7375548</v>
      </c>
      <c r="C1462" s="4" t="s">
        <v>56</v>
      </c>
      <c r="D1462" s="4" t="s">
        <v>71</v>
      </c>
      <c r="E1462" s="4" t="s">
        <v>93</v>
      </c>
      <c r="F1462" s="4" t="s">
        <v>2960</v>
      </c>
      <c r="G1462" s="6">
        <v>2.1</v>
      </c>
      <c r="H1462" s="7">
        <v>45370.623935185184</v>
      </c>
      <c r="I1462" s="7" t="str">
        <f>TEXT(multilingual_mobile_app_reviews_2025[[#This Row],[Review_date]],"dd-mm-yyyy")</f>
        <v>19-03-2024</v>
      </c>
      <c r="J1462" s="7" t="str">
        <f>TEXT(multilingual_mobile_app_reviews_2025[[#This Row],[Review_date]],"YYYY")</f>
        <v>2024</v>
      </c>
      <c r="K1462" s="7" t="str">
        <f>TEXT(multilingual_mobile_app_reviews_2025[[#This Row],[Review_date]],"MMMM")</f>
        <v>March</v>
      </c>
      <c r="L1462" s="4" t="b">
        <v>1</v>
      </c>
      <c r="M1462" s="4" t="s">
        <v>33</v>
      </c>
      <c r="N1462" s="5">
        <v>448</v>
      </c>
      <c r="O1462" s="5">
        <v>43</v>
      </c>
      <c r="P1462" s="4" t="s">
        <v>230</v>
      </c>
      <c r="Q1462" s="8" t="s">
        <v>39</v>
      </c>
      <c r="R1462" s="4" t="s">
        <v>1779</v>
      </c>
      <c r="S1462" s="4"/>
      <c r="T1462"/>
      <c r="U1462" s="23"/>
    </row>
    <row r="1463" spans="1:21" ht="15.6" x14ac:dyDescent="0.3">
      <c r="A1463" s="4">
        <v>1462</v>
      </c>
      <c r="B1463" s="5">
        <v>2201118</v>
      </c>
      <c r="C1463" s="4" t="s">
        <v>0</v>
      </c>
      <c r="D1463" s="4" t="s">
        <v>220</v>
      </c>
      <c r="E1463" s="4" t="s">
        <v>76</v>
      </c>
      <c r="F1463" s="4" t="s">
        <v>2948</v>
      </c>
      <c r="G1463" s="6">
        <v>3.8</v>
      </c>
      <c r="H1463" s="7">
        <v>45216.116574074076</v>
      </c>
      <c r="I1463" s="7" t="str">
        <f>TEXT(multilingual_mobile_app_reviews_2025[[#This Row],[Review_date]],"dd-mm-yyyy")</f>
        <v>17-10-2023</v>
      </c>
      <c r="J1463" s="7" t="str">
        <f>TEXT(multilingual_mobile_app_reviews_2025[[#This Row],[Review_date]],"YYYY")</f>
        <v>2023</v>
      </c>
      <c r="K1463" s="7" t="str">
        <f>TEXT(multilingual_mobile_app_reviews_2025[[#This Row],[Review_date]],"MMMM")</f>
        <v>October</v>
      </c>
      <c r="L1463" s="4" t="b">
        <v>1</v>
      </c>
      <c r="M1463" s="4" t="s">
        <v>3</v>
      </c>
      <c r="N1463" s="5">
        <v>562</v>
      </c>
      <c r="O1463" s="5">
        <v>47</v>
      </c>
      <c r="P1463" s="4" t="s">
        <v>61</v>
      </c>
      <c r="Q1463" s="8" t="s">
        <v>29</v>
      </c>
      <c r="R1463" s="4" t="s">
        <v>1780</v>
      </c>
      <c r="S1463" s="4"/>
      <c r="T1463"/>
      <c r="U1463" s="23"/>
    </row>
    <row r="1464" spans="1:21" ht="15.6" x14ac:dyDescent="0.3">
      <c r="A1464" s="4">
        <v>1463</v>
      </c>
      <c r="B1464" s="5">
        <v>1165324</v>
      </c>
      <c r="C1464" s="4" t="s">
        <v>41</v>
      </c>
      <c r="D1464" s="4" t="s">
        <v>15</v>
      </c>
      <c r="E1464" s="4" t="s">
        <v>1781</v>
      </c>
      <c r="F1464" s="4" t="s">
        <v>2956</v>
      </c>
      <c r="G1464" s="6">
        <v>1.5</v>
      </c>
      <c r="H1464" s="7">
        <v>45760.655081018522</v>
      </c>
      <c r="I1464" s="7" t="str">
        <f>TEXT(multilingual_mobile_app_reviews_2025[[#This Row],[Review_date]],"dd-mm-yyyy")</f>
        <v>13-04-2025</v>
      </c>
      <c r="J1464" s="7" t="str">
        <f>TEXT(multilingual_mobile_app_reviews_2025[[#This Row],[Review_date]],"YYYY")</f>
        <v>2025</v>
      </c>
      <c r="K1464" s="7" t="str">
        <f>TEXT(multilingual_mobile_app_reviews_2025[[#This Row],[Review_date]],"MMMM")</f>
        <v>April</v>
      </c>
      <c r="L1464" s="4" t="b">
        <v>1</v>
      </c>
      <c r="M1464" s="4" t="s">
        <v>33</v>
      </c>
      <c r="N1464" s="5">
        <v>1009</v>
      </c>
      <c r="O1464" s="5">
        <v>40</v>
      </c>
      <c r="P1464" s="4" t="s">
        <v>230</v>
      </c>
      <c r="Q1464" s="8" t="s">
        <v>39</v>
      </c>
      <c r="R1464" s="4" t="s">
        <v>1782</v>
      </c>
      <c r="S1464" s="4"/>
      <c r="T1464"/>
      <c r="U1464" s="23"/>
    </row>
    <row r="1465" spans="1:21" ht="15.6" x14ac:dyDescent="0.3">
      <c r="A1465" s="4">
        <v>1464</v>
      </c>
      <c r="B1465" s="5">
        <v>2164357</v>
      </c>
      <c r="C1465" s="4" t="s">
        <v>165</v>
      </c>
      <c r="D1465" s="4" t="s">
        <v>71</v>
      </c>
      <c r="E1465" s="4" t="s">
        <v>32</v>
      </c>
      <c r="F1465" s="4" t="s">
        <v>2953</v>
      </c>
      <c r="G1465" s="6">
        <v>4.7</v>
      </c>
      <c r="H1465" s="7">
        <v>45169.281666666669</v>
      </c>
      <c r="I1465" s="7" t="str">
        <f>TEXT(multilingual_mobile_app_reviews_2025[[#This Row],[Review_date]],"dd-mm-yyyy")</f>
        <v>31-08-2023</v>
      </c>
      <c r="J1465" s="7" t="str">
        <f>TEXT(multilingual_mobile_app_reviews_2025[[#This Row],[Review_date]],"YYYY")</f>
        <v>2023</v>
      </c>
      <c r="K1465" s="7" t="str">
        <f>TEXT(multilingual_mobile_app_reviews_2025[[#This Row],[Review_date]],"MMMM")</f>
        <v>August</v>
      </c>
      <c r="L1465" s="4" t="b">
        <v>1</v>
      </c>
      <c r="M1465" s="4" t="s">
        <v>98</v>
      </c>
      <c r="N1465" s="5">
        <v>102</v>
      </c>
      <c r="O1465" s="5">
        <v>49</v>
      </c>
      <c r="P1465" s="4" t="s">
        <v>127</v>
      </c>
      <c r="Q1465" s="8" t="s">
        <v>39</v>
      </c>
      <c r="R1465" s="4" t="s">
        <v>1783</v>
      </c>
      <c r="S1465" s="4"/>
      <c r="T1465"/>
      <c r="U1465" s="23"/>
    </row>
    <row r="1466" spans="1:21" ht="15.6" x14ac:dyDescent="0.3">
      <c r="A1466" s="4">
        <v>1465</v>
      </c>
      <c r="B1466" s="5">
        <v>9748258</v>
      </c>
      <c r="C1466" s="4" t="s">
        <v>78</v>
      </c>
      <c r="D1466" s="4" t="s">
        <v>20</v>
      </c>
      <c r="E1466" s="4" t="s">
        <v>21</v>
      </c>
      <c r="F1466" s="4" t="s">
        <v>2951</v>
      </c>
      <c r="G1466" s="6">
        <v>1.5</v>
      </c>
      <c r="H1466" s="7">
        <v>45299.06177083333</v>
      </c>
      <c r="I1466" s="7" t="str">
        <f>TEXT(multilingual_mobile_app_reviews_2025[[#This Row],[Review_date]],"dd-mm-yyyy")</f>
        <v>08-01-2024</v>
      </c>
      <c r="J1466" s="7" t="str">
        <f>TEXT(multilingual_mobile_app_reviews_2025[[#This Row],[Review_date]],"YYYY")</f>
        <v>2024</v>
      </c>
      <c r="K1466" s="7" t="str">
        <f>TEXT(multilingual_mobile_app_reviews_2025[[#This Row],[Review_date]],"MMMM")</f>
        <v>January</v>
      </c>
      <c r="L1466" s="4" t="b">
        <v>0</v>
      </c>
      <c r="M1466" s="4" t="s">
        <v>10</v>
      </c>
      <c r="N1466" s="5">
        <v>1108</v>
      </c>
      <c r="O1466" s="5">
        <v>63</v>
      </c>
      <c r="P1466" s="4" t="s">
        <v>44</v>
      </c>
      <c r="Q1466" s="8" t="s">
        <v>5</v>
      </c>
      <c r="R1466" s="4" t="s">
        <v>551</v>
      </c>
      <c r="S1466" s="4"/>
      <c r="T1466"/>
      <c r="U1466" s="23"/>
    </row>
    <row r="1467" spans="1:21" ht="15.6" x14ac:dyDescent="0.3">
      <c r="A1467" s="4">
        <v>1466</v>
      </c>
      <c r="B1467" s="5">
        <v>2804659</v>
      </c>
      <c r="C1467" s="4" t="s">
        <v>25</v>
      </c>
      <c r="D1467" s="4" t="s">
        <v>97</v>
      </c>
      <c r="E1467" s="4" t="s">
        <v>2938</v>
      </c>
      <c r="F1467" s="4" t="s">
        <v>2940</v>
      </c>
      <c r="G1467" s="6">
        <v>2.1</v>
      </c>
      <c r="H1467" s="7">
        <v>45412.37572916667</v>
      </c>
      <c r="I1467" s="7" t="str">
        <f>TEXT(multilingual_mobile_app_reviews_2025[[#This Row],[Review_date]],"dd-mm-yyyy")</f>
        <v>30-04-2024</v>
      </c>
      <c r="J1467" s="7" t="str">
        <f>TEXT(multilingual_mobile_app_reviews_2025[[#This Row],[Review_date]],"YYYY")</f>
        <v>2024</v>
      </c>
      <c r="K1467" s="7" t="str">
        <f>TEXT(multilingual_mobile_app_reviews_2025[[#This Row],[Review_date]],"MMMM")</f>
        <v>April</v>
      </c>
      <c r="L1467" s="4" t="b">
        <v>1</v>
      </c>
      <c r="M1467" s="4" t="s">
        <v>22</v>
      </c>
      <c r="N1467" s="5">
        <v>402</v>
      </c>
      <c r="O1467" s="5">
        <v>71</v>
      </c>
      <c r="P1467" s="4" t="s">
        <v>114</v>
      </c>
      <c r="Q1467" s="8" t="s">
        <v>2963</v>
      </c>
      <c r="R1467" s="4" t="s">
        <v>1784</v>
      </c>
      <c r="S1467" s="4"/>
      <c r="T1467"/>
      <c r="U1467" s="23"/>
    </row>
    <row r="1468" spans="1:21" ht="15.6" x14ac:dyDescent="0.3">
      <c r="A1468" s="4">
        <v>1467</v>
      </c>
      <c r="B1468" s="5">
        <v>9129656</v>
      </c>
      <c r="C1468" s="4" t="s">
        <v>258</v>
      </c>
      <c r="D1468" s="4" t="s">
        <v>97</v>
      </c>
      <c r="E1468" s="4" t="s">
        <v>1785</v>
      </c>
      <c r="F1468" s="4" t="s">
        <v>2944</v>
      </c>
      <c r="G1468" s="6">
        <v>2.7</v>
      </c>
      <c r="H1468" s="7">
        <v>45622.24287037037</v>
      </c>
      <c r="I1468" s="7" t="str">
        <f>TEXT(multilingual_mobile_app_reviews_2025[[#This Row],[Review_date]],"dd-mm-yyyy")</f>
        <v>26-11-2024</v>
      </c>
      <c r="J1468" s="7" t="str">
        <f>TEXT(multilingual_mobile_app_reviews_2025[[#This Row],[Review_date]],"YYYY")</f>
        <v>2024</v>
      </c>
      <c r="K1468" s="7" t="str">
        <f>TEXT(multilingual_mobile_app_reviews_2025[[#This Row],[Review_date]],"MMMM")</f>
        <v>November</v>
      </c>
      <c r="L1468" s="4" t="b">
        <v>1</v>
      </c>
      <c r="M1468" s="4" t="s">
        <v>98</v>
      </c>
      <c r="N1468" s="5">
        <v>706</v>
      </c>
      <c r="O1468" s="5">
        <v>28</v>
      </c>
      <c r="P1468" s="4" t="s">
        <v>28</v>
      </c>
      <c r="Q1468" s="8" t="s">
        <v>5</v>
      </c>
      <c r="R1468" s="4" t="s">
        <v>1786</v>
      </c>
      <c r="S1468" s="4"/>
      <c r="T1468"/>
      <c r="U1468" s="23"/>
    </row>
    <row r="1469" spans="1:21" ht="15.6" x14ac:dyDescent="0.3">
      <c r="A1469" s="4">
        <v>1468</v>
      </c>
      <c r="B1469" s="5">
        <v>1347548</v>
      </c>
      <c r="C1469" s="4" t="s">
        <v>159</v>
      </c>
      <c r="D1469" s="4" t="s">
        <v>31</v>
      </c>
      <c r="E1469" s="4" t="s">
        <v>21</v>
      </c>
      <c r="F1469" s="4" t="s">
        <v>2955</v>
      </c>
      <c r="G1469" s="6">
        <v>3.3</v>
      </c>
      <c r="H1469" s="7">
        <v>45565.958310185182</v>
      </c>
      <c r="I1469" s="7" t="str">
        <f>TEXT(multilingual_mobile_app_reviews_2025[[#This Row],[Review_date]],"dd-mm-yyyy")</f>
        <v>30-09-2024</v>
      </c>
      <c r="J1469" s="7" t="str">
        <f>TEXT(multilingual_mobile_app_reviews_2025[[#This Row],[Review_date]],"YYYY")</f>
        <v>2024</v>
      </c>
      <c r="K1469" s="7" t="str">
        <f>TEXT(multilingual_mobile_app_reviews_2025[[#This Row],[Review_date]],"MMMM")</f>
        <v>September</v>
      </c>
      <c r="L1469" s="4" t="b">
        <v>1</v>
      </c>
      <c r="M1469" s="4" t="s">
        <v>98</v>
      </c>
      <c r="N1469" s="5">
        <v>1227</v>
      </c>
      <c r="O1469" s="5">
        <v>57</v>
      </c>
      <c r="P1469" s="4" t="s">
        <v>180</v>
      </c>
      <c r="Q1469" s="8" t="s">
        <v>2963</v>
      </c>
      <c r="R1469" s="4" t="s">
        <v>400</v>
      </c>
      <c r="S1469" s="4"/>
      <c r="T1469"/>
      <c r="U1469" s="23"/>
    </row>
    <row r="1470" spans="1:21" ht="15.6" x14ac:dyDescent="0.3">
      <c r="A1470" s="4">
        <v>1469</v>
      </c>
      <c r="B1470" s="5">
        <v>4473391</v>
      </c>
      <c r="C1470" s="4" t="s">
        <v>192</v>
      </c>
      <c r="D1470" s="4" t="s">
        <v>79</v>
      </c>
      <c r="E1470" s="4" t="s">
        <v>1787</v>
      </c>
      <c r="F1470" s="4" t="s">
        <v>2957</v>
      </c>
      <c r="G1470" s="6">
        <v>1.9</v>
      </c>
      <c r="H1470" s="7">
        <v>45777.00885416667</v>
      </c>
      <c r="I1470" s="7" t="str">
        <f>TEXT(multilingual_mobile_app_reviews_2025[[#This Row],[Review_date]],"dd-mm-yyyy")</f>
        <v>30-04-2025</v>
      </c>
      <c r="J1470" s="7" t="str">
        <f>TEXT(multilingual_mobile_app_reviews_2025[[#This Row],[Review_date]],"YYYY")</f>
        <v>2025</v>
      </c>
      <c r="K1470" s="7" t="str">
        <f>TEXT(multilingual_mobile_app_reviews_2025[[#This Row],[Review_date]],"MMMM")</f>
        <v>April</v>
      </c>
      <c r="L1470" s="4" t="b">
        <v>1</v>
      </c>
      <c r="M1470" s="4" t="s">
        <v>22</v>
      </c>
      <c r="N1470" s="5">
        <v>40</v>
      </c>
      <c r="O1470" s="5">
        <v>56</v>
      </c>
      <c r="P1470" s="4" t="s">
        <v>99</v>
      </c>
      <c r="Q1470" s="8" t="s">
        <v>29</v>
      </c>
      <c r="R1470" s="4" t="s">
        <v>1788</v>
      </c>
      <c r="S1470" s="4"/>
      <c r="T1470"/>
      <c r="U1470" s="23"/>
    </row>
    <row r="1471" spans="1:21" ht="15.6" x14ac:dyDescent="0.3">
      <c r="A1471" s="4">
        <v>1470</v>
      </c>
      <c r="B1471" s="5">
        <v>5407645</v>
      </c>
      <c r="C1471" s="4" t="s">
        <v>7</v>
      </c>
      <c r="D1471" s="4" t="s">
        <v>111</v>
      </c>
      <c r="E1471" s="4" t="s">
        <v>21</v>
      </c>
      <c r="F1471" s="4" t="s">
        <v>2962</v>
      </c>
      <c r="G1471" s="6">
        <v>4</v>
      </c>
      <c r="H1471" s="7">
        <v>45750.768240740741</v>
      </c>
      <c r="I1471" s="7" t="str">
        <f>TEXT(multilingual_mobile_app_reviews_2025[[#This Row],[Review_date]],"dd-mm-yyyy")</f>
        <v>03-04-2025</v>
      </c>
      <c r="J1471" s="7" t="str">
        <f>TEXT(multilingual_mobile_app_reviews_2025[[#This Row],[Review_date]],"YYYY")</f>
        <v>2025</v>
      </c>
      <c r="K1471" s="7" t="str">
        <f>TEXT(multilingual_mobile_app_reviews_2025[[#This Row],[Review_date]],"MMMM")</f>
        <v>April</v>
      </c>
      <c r="L1471" s="4" t="b">
        <v>1</v>
      </c>
      <c r="M1471" s="4" t="s">
        <v>98</v>
      </c>
      <c r="N1471" s="5">
        <v>913</v>
      </c>
      <c r="O1471" s="5">
        <v>48</v>
      </c>
      <c r="P1471" s="4" t="s">
        <v>144</v>
      </c>
      <c r="Q1471" s="8" t="s">
        <v>12</v>
      </c>
      <c r="R1471" s="4" t="s">
        <v>1789</v>
      </c>
      <c r="S1471" s="4"/>
      <c r="T1471"/>
      <c r="U1471" s="23"/>
    </row>
    <row r="1472" spans="1:21" ht="15.6" x14ac:dyDescent="0.3">
      <c r="A1472" s="4">
        <v>1471</v>
      </c>
      <c r="B1472" s="5">
        <v>6457590</v>
      </c>
      <c r="C1472" s="4" t="s">
        <v>25</v>
      </c>
      <c r="D1472" s="4" t="s">
        <v>1</v>
      </c>
      <c r="E1472" s="4" t="s">
        <v>16</v>
      </c>
      <c r="F1472" s="4" t="s">
        <v>2951</v>
      </c>
      <c r="G1472" s="6">
        <v>3.3</v>
      </c>
      <c r="H1472" s="7">
        <v>45159.003055555557</v>
      </c>
      <c r="I1472" s="7" t="str">
        <f>TEXT(multilingual_mobile_app_reviews_2025[[#This Row],[Review_date]],"dd-mm-yyyy")</f>
        <v>21-08-2023</v>
      </c>
      <c r="J1472" s="7" t="str">
        <f>TEXT(multilingual_mobile_app_reviews_2025[[#This Row],[Review_date]],"YYYY")</f>
        <v>2023</v>
      </c>
      <c r="K1472" s="7" t="str">
        <f>TEXT(multilingual_mobile_app_reviews_2025[[#This Row],[Review_date]],"MMMM")</f>
        <v>August</v>
      </c>
      <c r="L1472" s="4" t="b">
        <v>1</v>
      </c>
      <c r="M1472" s="4" t="s">
        <v>10</v>
      </c>
      <c r="N1472" s="5">
        <v>612</v>
      </c>
      <c r="O1472" s="5">
        <v>19</v>
      </c>
      <c r="P1472" s="4" t="s">
        <v>114</v>
      </c>
      <c r="Q1472" s="8" t="s">
        <v>2963</v>
      </c>
      <c r="R1472" s="4" t="s">
        <v>1790</v>
      </c>
      <c r="S1472" s="4"/>
      <c r="T1472"/>
      <c r="U1472" s="23"/>
    </row>
    <row r="1473" spans="1:21" ht="15.6" x14ac:dyDescent="0.3">
      <c r="A1473" s="4">
        <v>1472</v>
      </c>
      <c r="B1473" s="5">
        <v>4252322</v>
      </c>
      <c r="C1473" s="4" t="s">
        <v>56</v>
      </c>
      <c r="D1473" s="4" t="s">
        <v>47</v>
      </c>
      <c r="E1473" s="4" t="s">
        <v>2938</v>
      </c>
      <c r="F1473" s="4" t="s">
        <v>2946</v>
      </c>
      <c r="G1473" s="6">
        <v>2.7</v>
      </c>
      <c r="H1473" s="7">
        <v>45199.093402777777</v>
      </c>
      <c r="I1473" s="7" t="str">
        <f>TEXT(multilingual_mobile_app_reviews_2025[[#This Row],[Review_date]],"dd-mm-yyyy")</f>
        <v>30-09-2023</v>
      </c>
      <c r="J1473" s="7" t="str">
        <f>TEXT(multilingual_mobile_app_reviews_2025[[#This Row],[Review_date]],"YYYY")</f>
        <v>2023</v>
      </c>
      <c r="K1473" s="7" t="str">
        <f>TEXT(multilingual_mobile_app_reviews_2025[[#This Row],[Review_date]],"MMMM")</f>
        <v>September</v>
      </c>
      <c r="L1473" s="4" t="b">
        <v>1</v>
      </c>
      <c r="M1473" s="4" t="s">
        <v>3</v>
      </c>
      <c r="N1473" s="5">
        <v>653</v>
      </c>
      <c r="O1473" s="5">
        <v>50</v>
      </c>
      <c r="P1473" s="4" t="s">
        <v>23</v>
      </c>
      <c r="Q1473" s="8" t="s">
        <v>29</v>
      </c>
      <c r="R1473" s="4" t="s">
        <v>1791</v>
      </c>
      <c r="S1473" s="4"/>
      <c r="T1473"/>
      <c r="U1473" s="23"/>
    </row>
    <row r="1474" spans="1:21" ht="15.6" x14ac:dyDescent="0.3">
      <c r="A1474" s="4">
        <v>1473</v>
      </c>
      <c r="B1474" s="5">
        <v>2190797</v>
      </c>
      <c r="C1474" s="4" t="s">
        <v>113</v>
      </c>
      <c r="D1474" s="4" t="s">
        <v>71</v>
      </c>
      <c r="E1474" s="4" t="s">
        <v>32</v>
      </c>
      <c r="F1474" s="4" t="s">
        <v>2950</v>
      </c>
      <c r="G1474" s="6">
        <v>1.7</v>
      </c>
      <c r="H1474" s="7">
        <v>45551.683356481481</v>
      </c>
      <c r="I1474" s="7" t="str">
        <f>TEXT(multilingual_mobile_app_reviews_2025[[#This Row],[Review_date]],"dd-mm-yyyy")</f>
        <v>16-09-2024</v>
      </c>
      <c r="J1474" s="7" t="str">
        <f>TEXT(multilingual_mobile_app_reviews_2025[[#This Row],[Review_date]],"YYYY")</f>
        <v>2024</v>
      </c>
      <c r="K1474" s="7" t="str">
        <f>TEXT(multilingual_mobile_app_reviews_2025[[#This Row],[Review_date]],"MMMM")</f>
        <v>September</v>
      </c>
      <c r="L1474" s="4" t="b">
        <v>1</v>
      </c>
      <c r="M1474" s="4" t="s">
        <v>22</v>
      </c>
      <c r="N1474" s="5">
        <v>5</v>
      </c>
      <c r="O1474" s="5">
        <v>66</v>
      </c>
      <c r="P1474" s="4" t="s">
        <v>28</v>
      </c>
      <c r="Q1474" s="8" t="s">
        <v>39</v>
      </c>
      <c r="R1474" s="4" t="s">
        <v>1792</v>
      </c>
      <c r="S1474" s="4"/>
      <c r="T1474"/>
      <c r="U1474" s="23"/>
    </row>
    <row r="1475" spans="1:21" ht="15.6" x14ac:dyDescent="0.3">
      <c r="A1475" s="4">
        <v>1474</v>
      </c>
      <c r="B1475" s="5">
        <v>9300101</v>
      </c>
      <c r="C1475" s="4" t="s">
        <v>67</v>
      </c>
      <c r="D1475" s="4" t="s">
        <v>71</v>
      </c>
      <c r="E1475" s="4" t="s">
        <v>130</v>
      </c>
      <c r="F1475" s="4" t="s">
        <v>2942</v>
      </c>
      <c r="G1475" s="6">
        <v>5</v>
      </c>
      <c r="H1475" s="7">
        <v>45454.834618055553</v>
      </c>
      <c r="I1475" s="7" t="str">
        <f>TEXT(multilingual_mobile_app_reviews_2025[[#This Row],[Review_date]],"dd-mm-yyyy")</f>
        <v>11-06-2024</v>
      </c>
      <c r="J1475" s="7" t="str">
        <f>TEXT(multilingual_mobile_app_reviews_2025[[#This Row],[Review_date]],"YYYY")</f>
        <v>2024</v>
      </c>
      <c r="K1475" s="7" t="str">
        <f>TEXT(multilingual_mobile_app_reviews_2025[[#This Row],[Review_date]],"MMMM")</f>
        <v>June</v>
      </c>
      <c r="L1475" s="4" t="b">
        <v>1</v>
      </c>
      <c r="M1475" s="4" t="s">
        <v>98</v>
      </c>
      <c r="N1475" s="5">
        <v>224</v>
      </c>
      <c r="O1475" s="5">
        <v>20</v>
      </c>
      <c r="P1475" s="4" t="s">
        <v>73</v>
      </c>
      <c r="Q1475" s="8" t="s">
        <v>39</v>
      </c>
      <c r="R1475" s="4" t="s">
        <v>1793</v>
      </c>
      <c r="S1475" s="4"/>
      <c r="T1475"/>
      <c r="U1475" s="23"/>
    </row>
    <row r="1476" spans="1:21" ht="15.6" x14ac:dyDescent="0.3">
      <c r="A1476" s="4">
        <v>1475</v>
      </c>
      <c r="B1476" s="5">
        <v>5625702</v>
      </c>
      <c r="C1476" s="4" t="s">
        <v>264</v>
      </c>
      <c r="D1476" s="4" t="s">
        <v>111</v>
      </c>
      <c r="E1476" s="4" t="s">
        <v>9</v>
      </c>
      <c r="F1476" s="4" t="s">
        <v>2946</v>
      </c>
      <c r="G1476" s="6">
        <v>4.8</v>
      </c>
      <c r="H1476" s="7">
        <v>45636.118831018517</v>
      </c>
      <c r="I1476" s="7" t="str">
        <f>TEXT(multilingual_mobile_app_reviews_2025[[#This Row],[Review_date]],"dd-mm-yyyy")</f>
        <v>10-12-2024</v>
      </c>
      <c r="J1476" s="7" t="str">
        <f>TEXT(multilingual_mobile_app_reviews_2025[[#This Row],[Review_date]],"YYYY")</f>
        <v>2024</v>
      </c>
      <c r="K1476" s="7" t="str">
        <f>TEXT(multilingual_mobile_app_reviews_2025[[#This Row],[Review_date]],"MMMM")</f>
        <v>December</v>
      </c>
      <c r="L1476" s="4" t="b">
        <v>1</v>
      </c>
      <c r="M1476" s="4" t="s">
        <v>10</v>
      </c>
      <c r="N1476" s="5">
        <v>821</v>
      </c>
      <c r="O1476" s="5">
        <v>29</v>
      </c>
      <c r="P1476" s="4" t="s">
        <v>80</v>
      </c>
      <c r="Q1476" s="8" t="s">
        <v>5</v>
      </c>
      <c r="R1476" s="4" t="s">
        <v>1509</v>
      </c>
      <c r="S1476" s="4"/>
      <c r="T1476"/>
      <c r="U1476" s="23"/>
    </row>
    <row r="1477" spans="1:21" ht="15.6" x14ac:dyDescent="0.3">
      <c r="A1477" s="4">
        <v>1476</v>
      </c>
      <c r="B1477" s="5">
        <v>6187100</v>
      </c>
      <c r="C1477" s="4" t="s">
        <v>56</v>
      </c>
      <c r="D1477" s="4" t="s">
        <v>26</v>
      </c>
      <c r="E1477" s="4" t="s">
        <v>76</v>
      </c>
      <c r="F1477" s="4" t="s">
        <v>2953</v>
      </c>
      <c r="G1477" s="6">
        <v>4.4000000000000004</v>
      </c>
      <c r="H1477" s="7">
        <v>45845.110046296293</v>
      </c>
      <c r="I1477" s="7" t="str">
        <f>TEXT(multilingual_mobile_app_reviews_2025[[#This Row],[Review_date]],"dd-mm-yyyy")</f>
        <v>07-07-2025</v>
      </c>
      <c r="J1477" s="7" t="str">
        <f>TEXT(multilingual_mobile_app_reviews_2025[[#This Row],[Review_date]],"YYYY")</f>
        <v>2025</v>
      </c>
      <c r="K1477" s="7" t="str">
        <f>TEXT(multilingual_mobile_app_reviews_2025[[#This Row],[Review_date]],"MMMM")</f>
        <v>July</v>
      </c>
      <c r="L1477" s="4" t="b">
        <v>1</v>
      </c>
      <c r="M1477" s="4" t="s">
        <v>33</v>
      </c>
      <c r="N1477" s="5">
        <v>751</v>
      </c>
      <c r="O1477" s="5">
        <v>74</v>
      </c>
      <c r="P1477" s="4" t="s">
        <v>162</v>
      </c>
      <c r="Q1477" s="8" t="s">
        <v>39</v>
      </c>
      <c r="R1477" s="4" t="s">
        <v>1794</v>
      </c>
      <c r="S1477" s="4"/>
      <c r="T1477"/>
      <c r="U1477" s="23"/>
    </row>
    <row r="1478" spans="1:21" ht="15.6" x14ac:dyDescent="0.3">
      <c r="A1478" s="4">
        <v>1477</v>
      </c>
      <c r="B1478" s="5">
        <v>4684424</v>
      </c>
      <c r="C1478" s="4" t="s">
        <v>84</v>
      </c>
      <c r="D1478" s="4" t="s">
        <v>60</v>
      </c>
      <c r="E1478" s="4" t="s">
        <v>1795</v>
      </c>
      <c r="F1478" s="4" t="s">
        <v>2945</v>
      </c>
      <c r="G1478" s="6">
        <v>2.6</v>
      </c>
      <c r="H1478" s="7">
        <v>45357.911597222221</v>
      </c>
      <c r="I1478" s="7" t="str">
        <f>TEXT(multilingual_mobile_app_reviews_2025[[#This Row],[Review_date]],"dd-mm-yyyy")</f>
        <v>06-03-2024</v>
      </c>
      <c r="J1478" s="7" t="str">
        <f>TEXT(multilingual_mobile_app_reviews_2025[[#This Row],[Review_date]],"YYYY")</f>
        <v>2024</v>
      </c>
      <c r="K1478" s="7" t="str">
        <f>TEXT(multilingual_mobile_app_reviews_2025[[#This Row],[Review_date]],"MMMM")</f>
        <v>March</v>
      </c>
      <c r="L1478" s="4" t="b">
        <v>1</v>
      </c>
      <c r="M1478" s="4" t="s">
        <v>22</v>
      </c>
      <c r="N1478" s="5">
        <v>1087</v>
      </c>
      <c r="O1478" s="5">
        <v>62</v>
      </c>
      <c r="P1478" s="4" t="s">
        <v>230</v>
      </c>
      <c r="Q1478" s="8" t="s">
        <v>12</v>
      </c>
      <c r="R1478" s="4" t="s">
        <v>1796</v>
      </c>
      <c r="S1478" s="4"/>
      <c r="T1478"/>
      <c r="U1478" s="23"/>
    </row>
    <row r="1479" spans="1:21" ht="15.6" x14ac:dyDescent="0.3">
      <c r="A1479" s="4">
        <v>1478</v>
      </c>
      <c r="B1479" s="5">
        <v>4647530</v>
      </c>
      <c r="C1479" s="4" t="s">
        <v>0</v>
      </c>
      <c r="D1479" s="4" t="s">
        <v>71</v>
      </c>
      <c r="E1479" s="4" t="s">
        <v>32</v>
      </c>
      <c r="F1479" s="4" t="s">
        <v>2950</v>
      </c>
      <c r="G1479" s="6">
        <v>5</v>
      </c>
      <c r="H1479" s="7">
        <v>45610.711793981478</v>
      </c>
      <c r="I1479" s="7" t="str">
        <f>TEXT(multilingual_mobile_app_reviews_2025[[#This Row],[Review_date]],"dd-mm-yyyy")</f>
        <v>14-11-2024</v>
      </c>
      <c r="J1479" s="7" t="str">
        <f>TEXT(multilingual_mobile_app_reviews_2025[[#This Row],[Review_date]],"YYYY")</f>
        <v>2024</v>
      </c>
      <c r="K1479" s="7" t="str">
        <f>TEXT(multilingual_mobile_app_reviews_2025[[#This Row],[Review_date]],"MMMM")</f>
        <v>November</v>
      </c>
      <c r="L1479" s="4" t="b">
        <v>1</v>
      </c>
      <c r="M1479" s="4" t="s">
        <v>3</v>
      </c>
      <c r="N1479" s="5">
        <v>196</v>
      </c>
      <c r="O1479" s="5">
        <v>29</v>
      </c>
      <c r="P1479" s="4" t="s">
        <v>44</v>
      </c>
      <c r="Q1479" s="8" t="s">
        <v>29</v>
      </c>
      <c r="R1479" s="4" t="s">
        <v>1797</v>
      </c>
      <c r="S1479" s="4"/>
      <c r="T1479"/>
      <c r="U1479" s="23"/>
    </row>
    <row r="1480" spans="1:21" ht="15.6" x14ac:dyDescent="0.3">
      <c r="A1480" s="4">
        <v>1479</v>
      </c>
      <c r="B1480" s="5">
        <v>904690</v>
      </c>
      <c r="C1480" s="4" t="s">
        <v>96</v>
      </c>
      <c r="D1480" s="4" t="s">
        <v>1</v>
      </c>
      <c r="E1480" s="4" t="s">
        <v>109</v>
      </c>
      <c r="F1480" s="4" t="s">
        <v>2948</v>
      </c>
      <c r="G1480" s="6">
        <v>3.9</v>
      </c>
      <c r="H1480" s="7">
        <v>45271.501712962963</v>
      </c>
      <c r="I1480" s="7" t="str">
        <f>TEXT(multilingual_mobile_app_reviews_2025[[#This Row],[Review_date]],"dd-mm-yyyy")</f>
        <v>11-12-2023</v>
      </c>
      <c r="J1480" s="7" t="str">
        <f>TEXT(multilingual_mobile_app_reviews_2025[[#This Row],[Review_date]],"YYYY")</f>
        <v>2023</v>
      </c>
      <c r="K1480" s="7" t="str">
        <f>TEXT(multilingual_mobile_app_reviews_2025[[#This Row],[Review_date]],"MMMM")</f>
        <v>December</v>
      </c>
      <c r="L1480" s="4" t="b">
        <v>1</v>
      </c>
      <c r="M1480" s="4" t="s">
        <v>3</v>
      </c>
      <c r="N1480" s="5">
        <v>580</v>
      </c>
      <c r="O1480" s="5">
        <v>36</v>
      </c>
      <c r="P1480" s="4" t="s">
        <v>61</v>
      </c>
      <c r="Q1480" s="8" t="s">
        <v>29</v>
      </c>
      <c r="R1480" s="4" t="s">
        <v>1798</v>
      </c>
      <c r="S1480" s="4"/>
      <c r="T1480"/>
      <c r="U1480" s="23"/>
    </row>
    <row r="1481" spans="1:21" ht="15.6" x14ac:dyDescent="0.3">
      <c r="A1481" s="4">
        <v>1480</v>
      </c>
      <c r="B1481" s="5">
        <v>6635788</v>
      </c>
      <c r="C1481" s="4" t="s">
        <v>264</v>
      </c>
      <c r="D1481" s="4" t="s">
        <v>57</v>
      </c>
      <c r="E1481" s="4" t="s">
        <v>1799</v>
      </c>
      <c r="F1481" s="4" t="s">
        <v>2940</v>
      </c>
      <c r="G1481" s="6">
        <v>4.8</v>
      </c>
      <c r="H1481" s="7">
        <v>45687.855775462966</v>
      </c>
      <c r="I1481" s="7" t="str">
        <f>TEXT(multilingual_mobile_app_reviews_2025[[#This Row],[Review_date]],"dd-mm-yyyy")</f>
        <v>30-01-2025</v>
      </c>
      <c r="J1481" s="7" t="str">
        <f>TEXT(multilingual_mobile_app_reviews_2025[[#This Row],[Review_date]],"YYYY")</f>
        <v>2025</v>
      </c>
      <c r="K1481" s="7" t="str">
        <f>TEXT(multilingual_mobile_app_reviews_2025[[#This Row],[Review_date]],"MMMM")</f>
        <v>January</v>
      </c>
      <c r="L1481" s="4" t="b">
        <v>1</v>
      </c>
      <c r="M1481" s="4" t="s">
        <v>3</v>
      </c>
      <c r="N1481" s="5">
        <v>1173</v>
      </c>
      <c r="O1481" s="5">
        <v>63</v>
      </c>
      <c r="P1481" s="4" t="s">
        <v>38</v>
      </c>
      <c r="Q1481" s="8" t="s">
        <v>39</v>
      </c>
      <c r="R1481" s="4" t="s">
        <v>1800</v>
      </c>
      <c r="S1481" s="4"/>
      <c r="T1481"/>
      <c r="U1481" s="23"/>
    </row>
    <row r="1482" spans="1:21" ht="15.6" x14ac:dyDescent="0.3">
      <c r="A1482" s="4">
        <v>1481</v>
      </c>
      <c r="B1482" s="5">
        <v>3171984</v>
      </c>
      <c r="C1482" s="4" t="s">
        <v>208</v>
      </c>
      <c r="D1482" s="4" t="s">
        <v>26</v>
      </c>
      <c r="E1482" s="4" t="s">
        <v>1801</v>
      </c>
      <c r="F1482" s="4" t="s">
        <v>2953</v>
      </c>
      <c r="G1482" s="6">
        <v>3.7</v>
      </c>
      <c r="H1482" s="7">
        <v>45585.739965277775</v>
      </c>
      <c r="I1482" s="7" t="str">
        <f>TEXT(multilingual_mobile_app_reviews_2025[[#This Row],[Review_date]],"dd-mm-yyyy")</f>
        <v>20-10-2024</v>
      </c>
      <c r="J1482" s="7" t="str">
        <f>TEXT(multilingual_mobile_app_reviews_2025[[#This Row],[Review_date]],"YYYY")</f>
        <v>2024</v>
      </c>
      <c r="K1482" s="7" t="str">
        <f>TEXT(multilingual_mobile_app_reviews_2025[[#This Row],[Review_date]],"MMMM")</f>
        <v>October</v>
      </c>
      <c r="L1482" s="4" t="b">
        <v>1</v>
      </c>
      <c r="M1482" s="4" t="s">
        <v>33</v>
      </c>
      <c r="N1482" s="5">
        <v>868</v>
      </c>
      <c r="O1482" s="5">
        <v>41</v>
      </c>
      <c r="P1482" s="4" t="s">
        <v>11</v>
      </c>
      <c r="Q1482" s="8" t="s">
        <v>5</v>
      </c>
      <c r="R1482" s="4" t="s">
        <v>1802</v>
      </c>
      <c r="S1482" s="4"/>
      <c r="T1482"/>
      <c r="U1482" s="23"/>
    </row>
    <row r="1483" spans="1:21" ht="15.6" x14ac:dyDescent="0.3">
      <c r="A1483" s="4">
        <v>1482</v>
      </c>
      <c r="B1483" s="5">
        <v>1519102</v>
      </c>
      <c r="C1483" s="4" t="s">
        <v>84</v>
      </c>
      <c r="D1483" s="4" t="s">
        <v>97</v>
      </c>
      <c r="E1483" s="4" t="s">
        <v>76</v>
      </c>
      <c r="F1483" s="4" t="s">
        <v>2949</v>
      </c>
      <c r="G1483" s="6">
        <v>3.2</v>
      </c>
      <c r="H1483" s="7">
        <v>45716.301469907405</v>
      </c>
      <c r="I1483" s="7" t="str">
        <f>TEXT(multilingual_mobile_app_reviews_2025[[#This Row],[Review_date]],"dd-mm-yyyy")</f>
        <v>28-02-2025</v>
      </c>
      <c r="J1483" s="7" t="str">
        <f>TEXT(multilingual_mobile_app_reviews_2025[[#This Row],[Review_date]],"YYYY")</f>
        <v>2025</v>
      </c>
      <c r="K1483" s="7" t="str">
        <f>TEXT(multilingual_mobile_app_reviews_2025[[#This Row],[Review_date]],"MMMM")</f>
        <v>February</v>
      </c>
      <c r="L1483" s="4" t="b">
        <v>1</v>
      </c>
      <c r="M1483" s="4" t="s">
        <v>10</v>
      </c>
      <c r="N1483" s="5">
        <v>174</v>
      </c>
      <c r="O1483" s="5">
        <v>74</v>
      </c>
      <c r="P1483" s="4" t="s">
        <v>127</v>
      </c>
      <c r="Q1483" s="8" t="s">
        <v>5</v>
      </c>
      <c r="R1483" s="4" t="s">
        <v>1803</v>
      </c>
      <c r="S1483" s="4"/>
      <c r="T1483"/>
      <c r="U1483" s="23"/>
    </row>
    <row r="1484" spans="1:21" ht="15.6" x14ac:dyDescent="0.3">
      <c r="A1484" s="4">
        <v>1483</v>
      </c>
      <c r="B1484" s="5">
        <v>9397258</v>
      </c>
      <c r="C1484" s="4" t="s">
        <v>89</v>
      </c>
      <c r="D1484" s="4" t="s">
        <v>63</v>
      </c>
      <c r="E1484" s="4" t="s">
        <v>93</v>
      </c>
      <c r="F1484" s="4" t="s">
        <v>2953</v>
      </c>
      <c r="G1484" s="6">
        <v>2.7</v>
      </c>
      <c r="H1484" s="7">
        <v>45860.911400462966</v>
      </c>
      <c r="I1484" s="7" t="str">
        <f>TEXT(multilingual_mobile_app_reviews_2025[[#This Row],[Review_date]],"dd-mm-yyyy")</f>
        <v>22-07-2025</v>
      </c>
      <c r="J1484" s="7" t="str">
        <f>TEXT(multilingual_mobile_app_reviews_2025[[#This Row],[Review_date]],"YYYY")</f>
        <v>2025</v>
      </c>
      <c r="K1484" s="7" t="str">
        <f>TEXT(multilingual_mobile_app_reviews_2025[[#This Row],[Review_date]],"MMMM")</f>
        <v>July</v>
      </c>
      <c r="L1484" s="4" t="b">
        <v>1</v>
      </c>
      <c r="M1484" s="4" t="s">
        <v>22</v>
      </c>
      <c r="N1484" s="5">
        <v>642</v>
      </c>
      <c r="O1484" s="5">
        <v>43</v>
      </c>
      <c r="P1484" s="4" t="s">
        <v>61</v>
      </c>
      <c r="Q1484" s="8" t="s">
        <v>2963</v>
      </c>
      <c r="R1484" s="4" t="s">
        <v>1804</v>
      </c>
      <c r="S1484" s="4"/>
      <c r="T1484"/>
      <c r="U1484" s="23"/>
    </row>
    <row r="1485" spans="1:21" ht="15.6" x14ac:dyDescent="0.3">
      <c r="A1485" s="4">
        <v>1484</v>
      </c>
      <c r="B1485" s="5">
        <v>279426</v>
      </c>
      <c r="C1485" s="4" t="s">
        <v>132</v>
      </c>
      <c r="D1485" s="4" t="s">
        <v>220</v>
      </c>
      <c r="E1485" s="4" t="s">
        <v>27</v>
      </c>
      <c r="F1485" s="4" t="s">
        <v>2943</v>
      </c>
      <c r="G1485" s="6">
        <v>4.0999999999999996</v>
      </c>
      <c r="H1485" s="7">
        <v>45468.196087962962</v>
      </c>
      <c r="I1485" s="7" t="str">
        <f>TEXT(multilingual_mobile_app_reviews_2025[[#This Row],[Review_date]],"dd-mm-yyyy")</f>
        <v>25-06-2024</v>
      </c>
      <c r="J1485" s="7" t="str">
        <f>TEXT(multilingual_mobile_app_reviews_2025[[#This Row],[Review_date]],"YYYY")</f>
        <v>2024</v>
      </c>
      <c r="K1485" s="7" t="str">
        <f>TEXT(multilingual_mobile_app_reviews_2025[[#This Row],[Review_date]],"MMMM")</f>
        <v>June</v>
      </c>
      <c r="L1485" s="4" t="b">
        <v>0</v>
      </c>
      <c r="M1485" s="4" t="s">
        <v>3</v>
      </c>
      <c r="N1485" s="5">
        <v>747</v>
      </c>
      <c r="O1485" s="5">
        <v>48</v>
      </c>
      <c r="P1485" s="4" t="s">
        <v>180</v>
      </c>
      <c r="Q1485" s="8" t="s">
        <v>29</v>
      </c>
      <c r="R1485" s="4" t="s">
        <v>1805</v>
      </c>
      <c r="S1485" s="4"/>
      <c r="T1485"/>
      <c r="U1485" s="23"/>
    </row>
    <row r="1486" spans="1:21" ht="15.6" x14ac:dyDescent="0.3">
      <c r="A1486" s="4">
        <v>1485</v>
      </c>
      <c r="B1486" s="5">
        <v>8634273</v>
      </c>
      <c r="C1486" s="4" t="s">
        <v>7</v>
      </c>
      <c r="D1486" s="4" t="s">
        <v>8</v>
      </c>
      <c r="E1486" s="4" t="s">
        <v>64</v>
      </c>
      <c r="F1486" s="4" t="s">
        <v>2948</v>
      </c>
      <c r="G1486" s="6">
        <v>2.6</v>
      </c>
      <c r="H1486" s="7">
        <v>45863.126932870371</v>
      </c>
      <c r="I1486" s="7" t="str">
        <f>TEXT(multilingual_mobile_app_reviews_2025[[#This Row],[Review_date]],"dd-mm-yyyy")</f>
        <v>25-07-2025</v>
      </c>
      <c r="J1486" s="7" t="str">
        <f>TEXT(multilingual_mobile_app_reviews_2025[[#This Row],[Review_date]],"YYYY")</f>
        <v>2025</v>
      </c>
      <c r="K1486" s="7" t="str">
        <f>TEXT(multilingual_mobile_app_reviews_2025[[#This Row],[Review_date]],"MMMM")</f>
        <v>July</v>
      </c>
      <c r="L1486" s="4" t="b">
        <v>0</v>
      </c>
      <c r="M1486" s="4" t="s">
        <v>33</v>
      </c>
      <c r="N1486" s="5">
        <v>212</v>
      </c>
      <c r="O1486" s="5">
        <v>18</v>
      </c>
      <c r="P1486" s="4" t="s">
        <v>180</v>
      </c>
      <c r="Q1486" s="8" t="s">
        <v>5</v>
      </c>
      <c r="R1486" s="4" t="s">
        <v>1806</v>
      </c>
      <c r="S1486" s="4"/>
      <c r="T1486"/>
      <c r="U1486" s="23"/>
    </row>
    <row r="1487" spans="1:21" ht="15.6" x14ac:dyDescent="0.3">
      <c r="A1487" s="4">
        <v>1486</v>
      </c>
      <c r="B1487" s="5">
        <v>2388888</v>
      </c>
      <c r="C1487" s="4" t="s">
        <v>208</v>
      </c>
      <c r="D1487" s="4" t="s">
        <v>47</v>
      </c>
      <c r="E1487" s="4" t="s">
        <v>64</v>
      </c>
      <c r="F1487" s="4" t="s">
        <v>2950</v>
      </c>
      <c r="G1487" s="6">
        <v>4.2</v>
      </c>
      <c r="H1487" s="7">
        <v>45511.438055555554</v>
      </c>
      <c r="I1487" s="7" t="str">
        <f>TEXT(multilingual_mobile_app_reviews_2025[[#This Row],[Review_date]],"dd-mm-yyyy")</f>
        <v>07-08-2024</v>
      </c>
      <c r="J1487" s="7" t="str">
        <f>TEXT(multilingual_mobile_app_reviews_2025[[#This Row],[Review_date]],"YYYY")</f>
        <v>2024</v>
      </c>
      <c r="K1487" s="7" t="str">
        <f>TEXT(multilingual_mobile_app_reviews_2025[[#This Row],[Review_date]],"MMMM")</f>
        <v>August</v>
      </c>
      <c r="L1487" s="4" t="b">
        <v>1</v>
      </c>
      <c r="M1487" s="4" t="s">
        <v>22</v>
      </c>
      <c r="N1487" s="5">
        <v>682</v>
      </c>
      <c r="O1487" s="5">
        <v>64</v>
      </c>
      <c r="P1487" s="4" t="s">
        <v>144</v>
      </c>
      <c r="Q1487" s="8" t="s">
        <v>39</v>
      </c>
      <c r="R1487" s="4" t="s">
        <v>1807</v>
      </c>
      <c r="S1487" s="4"/>
      <c r="T1487"/>
      <c r="U1487" s="23"/>
    </row>
    <row r="1488" spans="1:21" ht="15.6" x14ac:dyDescent="0.3">
      <c r="A1488" s="4">
        <v>1487</v>
      </c>
      <c r="B1488" s="5">
        <v>8740458</v>
      </c>
      <c r="C1488" s="4" t="s">
        <v>19</v>
      </c>
      <c r="D1488" s="4" t="s">
        <v>15</v>
      </c>
      <c r="E1488" s="4" t="s">
        <v>9</v>
      </c>
      <c r="F1488" s="4" t="s">
        <v>2944</v>
      </c>
      <c r="G1488" s="6">
        <v>2.1</v>
      </c>
      <c r="H1488" s="7">
        <v>45671.028148148151</v>
      </c>
      <c r="I1488" s="7" t="str">
        <f>TEXT(multilingual_mobile_app_reviews_2025[[#This Row],[Review_date]],"dd-mm-yyyy")</f>
        <v>14-01-2025</v>
      </c>
      <c r="J1488" s="7" t="str">
        <f>TEXT(multilingual_mobile_app_reviews_2025[[#This Row],[Review_date]],"YYYY")</f>
        <v>2025</v>
      </c>
      <c r="K1488" s="7" t="str">
        <f>TEXT(multilingual_mobile_app_reviews_2025[[#This Row],[Review_date]],"MMMM")</f>
        <v>January</v>
      </c>
      <c r="L1488" s="4" t="b">
        <v>0</v>
      </c>
      <c r="M1488" s="4" t="s">
        <v>98</v>
      </c>
      <c r="N1488" s="5">
        <v>224</v>
      </c>
      <c r="O1488" s="5">
        <v>46</v>
      </c>
      <c r="P1488" s="4" t="s">
        <v>80</v>
      </c>
      <c r="Q1488" s="8" t="s">
        <v>2963</v>
      </c>
      <c r="R1488" s="4" t="s">
        <v>331</v>
      </c>
      <c r="S1488" s="4"/>
      <c r="T1488"/>
      <c r="U1488" s="23"/>
    </row>
    <row r="1489" spans="1:21" ht="15.6" x14ac:dyDescent="0.3">
      <c r="A1489" s="4">
        <v>1488</v>
      </c>
      <c r="B1489" s="5">
        <v>9032346</v>
      </c>
      <c r="C1489" s="4" t="s">
        <v>104</v>
      </c>
      <c r="D1489" s="4" t="s">
        <v>220</v>
      </c>
      <c r="E1489" s="4" t="s">
        <v>64</v>
      </c>
      <c r="F1489" s="4" t="s">
        <v>2956</v>
      </c>
      <c r="G1489" s="6">
        <v>3.6</v>
      </c>
      <c r="H1489" s="7">
        <v>45680.939212962963</v>
      </c>
      <c r="I1489" s="7" t="str">
        <f>TEXT(multilingual_mobile_app_reviews_2025[[#This Row],[Review_date]],"dd-mm-yyyy")</f>
        <v>23-01-2025</v>
      </c>
      <c r="J1489" s="7" t="str">
        <f>TEXT(multilingual_mobile_app_reviews_2025[[#This Row],[Review_date]],"YYYY")</f>
        <v>2025</v>
      </c>
      <c r="K1489" s="7" t="str">
        <f>TEXT(multilingual_mobile_app_reviews_2025[[#This Row],[Review_date]],"MMMM")</f>
        <v>January</v>
      </c>
      <c r="L1489" s="4" t="b">
        <v>1</v>
      </c>
      <c r="M1489" s="4" t="s">
        <v>98</v>
      </c>
      <c r="N1489" s="5">
        <v>1214</v>
      </c>
      <c r="O1489" s="5">
        <v>26</v>
      </c>
      <c r="P1489" s="4" t="s">
        <v>70</v>
      </c>
      <c r="Q1489" s="8" t="s">
        <v>29</v>
      </c>
      <c r="R1489" s="4" t="s">
        <v>211</v>
      </c>
      <c r="S1489" s="4"/>
      <c r="T1489"/>
      <c r="U1489" s="23"/>
    </row>
    <row r="1490" spans="1:21" ht="15.6" x14ac:dyDescent="0.3">
      <c r="A1490" s="4">
        <v>1489</v>
      </c>
      <c r="B1490" s="5">
        <v>6902682</v>
      </c>
      <c r="C1490" s="4" t="s">
        <v>106</v>
      </c>
      <c r="D1490" s="4" t="s">
        <v>111</v>
      </c>
      <c r="E1490" s="4" t="s">
        <v>64</v>
      </c>
      <c r="F1490" s="4" t="s">
        <v>2953</v>
      </c>
      <c r="G1490" s="6">
        <v>1.8</v>
      </c>
      <c r="H1490" s="7">
        <v>45149.67491898148</v>
      </c>
      <c r="I1490" s="7" t="str">
        <f>TEXT(multilingual_mobile_app_reviews_2025[[#This Row],[Review_date]],"dd-mm-yyyy")</f>
        <v>11-08-2023</v>
      </c>
      <c r="J1490" s="7" t="str">
        <f>TEXT(multilingual_mobile_app_reviews_2025[[#This Row],[Review_date]],"YYYY")</f>
        <v>2023</v>
      </c>
      <c r="K1490" s="7" t="str">
        <f>TEXT(multilingual_mobile_app_reviews_2025[[#This Row],[Review_date]],"MMMM")</f>
        <v>August</v>
      </c>
      <c r="L1490" s="4" t="b">
        <v>0</v>
      </c>
      <c r="M1490" s="4" t="s">
        <v>10</v>
      </c>
      <c r="N1490" s="5">
        <v>546</v>
      </c>
      <c r="O1490" s="5">
        <v>75</v>
      </c>
      <c r="P1490" s="4" t="s">
        <v>23</v>
      </c>
      <c r="Q1490" s="8" t="s">
        <v>12</v>
      </c>
      <c r="R1490" s="4" t="s">
        <v>1808</v>
      </c>
      <c r="S1490" s="4"/>
      <c r="T1490"/>
      <c r="U1490" s="23"/>
    </row>
    <row r="1491" spans="1:21" ht="15.6" x14ac:dyDescent="0.3">
      <c r="A1491" s="4">
        <v>1490</v>
      </c>
      <c r="B1491" s="5">
        <v>3290758</v>
      </c>
      <c r="C1491" s="4" t="s">
        <v>244</v>
      </c>
      <c r="D1491" s="4" t="s">
        <v>97</v>
      </c>
      <c r="E1491" s="4" t="s">
        <v>93</v>
      </c>
      <c r="F1491" s="4" t="s">
        <v>2939</v>
      </c>
      <c r="G1491" s="6">
        <v>5</v>
      </c>
      <c r="H1491" s="7">
        <v>45846.384652777779</v>
      </c>
      <c r="I1491" s="7" t="str">
        <f>TEXT(multilingual_mobile_app_reviews_2025[[#This Row],[Review_date]],"dd-mm-yyyy")</f>
        <v>08-07-2025</v>
      </c>
      <c r="J1491" s="7" t="str">
        <f>TEXT(multilingual_mobile_app_reviews_2025[[#This Row],[Review_date]],"YYYY")</f>
        <v>2025</v>
      </c>
      <c r="K1491" s="7" t="str">
        <f>TEXT(multilingual_mobile_app_reviews_2025[[#This Row],[Review_date]],"MMMM")</f>
        <v>July</v>
      </c>
      <c r="L1491" s="4" t="b">
        <v>0</v>
      </c>
      <c r="M1491" s="4" t="s">
        <v>3</v>
      </c>
      <c r="N1491" s="5">
        <v>891</v>
      </c>
      <c r="O1491" s="5">
        <v>19</v>
      </c>
      <c r="P1491" s="4" t="s">
        <v>34</v>
      </c>
      <c r="Q1491" s="8" t="s">
        <v>5</v>
      </c>
      <c r="R1491" s="4" t="s">
        <v>1809</v>
      </c>
      <c r="S1491" s="4"/>
      <c r="T1491"/>
      <c r="U1491" s="23"/>
    </row>
    <row r="1492" spans="1:21" ht="15.6" x14ac:dyDescent="0.3">
      <c r="A1492" s="4">
        <v>1491</v>
      </c>
      <c r="B1492" s="5">
        <v>222310</v>
      </c>
      <c r="C1492" s="4" t="s">
        <v>54</v>
      </c>
      <c r="D1492" s="4" t="s">
        <v>20</v>
      </c>
      <c r="E1492" s="4" t="s">
        <v>21</v>
      </c>
      <c r="F1492" s="4" t="s">
        <v>2949</v>
      </c>
      <c r="G1492" s="6">
        <v>3.1</v>
      </c>
      <c r="H1492" s="7">
        <v>45693.582800925928</v>
      </c>
      <c r="I1492" s="7" t="str">
        <f>TEXT(multilingual_mobile_app_reviews_2025[[#This Row],[Review_date]],"dd-mm-yyyy")</f>
        <v>05-02-2025</v>
      </c>
      <c r="J1492" s="7" t="str">
        <f>TEXT(multilingual_mobile_app_reviews_2025[[#This Row],[Review_date]],"YYYY")</f>
        <v>2025</v>
      </c>
      <c r="K1492" s="7" t="str">
        <f>TEXT(multilingual_mobile_app_reviews_2025[[#This Row],[Review_date]],"MMMM")</f>
        <v>February</v>
      </c>
      <c r="L1492" s="4" t="b">
        <v>1</v>
      </c>
      <c r="M1492" s="4" t="s">
        <v>33</v>
      </c>
      <c r="N1492" s="5">
        <v>808</v>
      </c>
      <c r="O1492" s="5">
        <v>48</v>
      </c>
      <c r="P1492" s="4" t="s">
        <v>23</v>
      </c>
      <c r="Q1492" s="8" t="s">
        <v>39</v>
      </c>
      <c r="R1492" s="4" t="s">
        <v>1810</v>
      </c>
      <c r="S1492" s="4"/>
      <c r="T1492"/>
      <c r="U1492" s="23"/>
    </row>
    <row r="1493" spans="1:21" ht="15.6" x14ac:dyDescent="0.3">
      <c r="A1493" s="4">
        <v>1492</v>
      </c>
      <c r="B1493" s="5">
        <v>9064482</v>
      </c>
      <c r="C1493" s="4" t="s">
        <v>176</v>
      </c>
      <c r="D1493" s="4" t="s">
        <v>15</v>
      </c>
      <c r="E1493" s="4" t="s">
        <v>32</v>
      </c>
      <c r="F1493" s="4" t="s">
        <v>2946</v>
      </c>
      <c r="G1493" s="6">
        <v>2.2000000000000002</v>
      </c>
      <c r="H1493" s="7">
        <v>45721.162581018521</v>
      </c>
      <c r="I1493" s="7" t="str">
        <f>TEXT(multilingual_mobile_app_reviews_2025[[#This Row],[Review_date]],"dd-mm-yyyy")</f>
        <v>05-03-2025</v>
      </c>
      <c r="J1493" s="7" t="str">
        <f>TEXT(multilingual_mobile_app_reviews_2025[[#This Row],[Review_date]],"YYYY")</f>
        <v>2025</v>
      </c>
      <c r="K1493" s="7" t="str">
        <f>TEXT(multilingual_mobile_app_reviews_2025[[#This Row],[Review_date]],"MMMM")</f>
        <v>March</v>
      </c>
      <c r="L1493" s="4" t="b">
        <v>1</v>
      </c>
      <c r="M1493" s="4" t="s">
        <v>33</v>
      </c>
      <c r="N1493" s="5">
        <v>170</v>
      </c>
      <c r="O1493" s="5">
        <v>38</v>
      </c>
      <c r="P1493" s="4" t="s">
        <v>23</v>
      </c>
      <c r="Q1493" s="8" t="s">
        <v>39</v>
      </c>
      <c r="R1493" s="4" t="s">
        <v>1811</v>
      </c>
      <c r="S1493" s="4"/>
      <c r="T1493"/>
      <c r="U1493" s="23"/>
    </row>
    <row r="1494" spans="1:21" ht="15.6" x14ac:dyDescent="0.3">
      <c r="A1494" s="4">
        <v>1493</v>
      </c>
      <c r="B1494" s="5">
        <v>4197436</v>
      </c>
      <c r="C1494" s="4" t="s">
        <v>87</v>
      </c>
      <c r="D1494" s="4" t="s">
        <v>63</v>
      </c>
      <c r="E1494" s="4" t="s">
        <v>9</v>
      </c>
      <c r="F1494" s="4" t="s">
        <v>2957</v>
      </c>
      <c r="G1494" s="6">
        <v>5</v>
      </c>
      <c r="H1494" s="7">
        <v>45712.863449074073</v>
      </c>
      <c r="I1494" s="7" t="str">
        <f>TEXT(multilingual_mobile_app_reviews_2025[[#This Row],[Review_date]],"dd-mm-yyyy")</f>
        <v>24-02-2025</v>
      </c>
      <c r="J1494" s="7" t="str">
        <f>TEXT(multilingual_mobile_app_reviews_2025[[#This Row],[Review_date]],"YYYY")</f>
        <v>2025</v>
      </c>
      <c r="K1494" s="7" t="str">
        <f>TEXT(multilingual_mobile_app_reviews_2025[[#This Row],[Review_date]],"MMMM")</f>
        <v>February</v>
      </c>
      <c r="L1494" s="4" t="b">
        <v>0</v>
      </c>
      <c r="M1494" s="4" t="s">
        <v>33</v>
      </c>
      <c r="N1494" s="5">
        <v>922</v>
      </c>
      <c r="O1494" s="5">
        <v>56</v>
      </c>
      <c r="P1494" s="4" t="s">
        <v>23</v>
      </c>
      <c r="Q1494" s="8" t="s">
        <v>12</v>
      </c>
      <c r="R1494" s="4" t="s">
        <v>478</v>
      </c>
      <c r="S1494" s="4"/>
      <c r="T1494"/>
      <c r="U1494" s="23"/>
    </row>
    <row r="1495" spans="1:21" ht="15.6" x14ac:dyDescent="0.3">
      <c r="A1495" s="4">
        <v>1494</v>
      </c>
      <c r="B1495" s="5">
        <v>8960239</v>
      </c>
      <c r="C1495" s="4" t="s">
        <v>56</v>
      </c>
      <c r="D1495" s="4" t="s">
        <v>31</v>
      </c>
      <c r="E1495" s="4" t="s">
        <v>16</v>
      </c>
      <c r="F1495" s="4" t="s">
        <v>2954</v>
      </c>
      <c r="G1495" s="6">
        <v>4.7</v>
      </c>
      <c r="H1495" s="7">
        <v>45670.217442129629</v>
      </c>
      <c r="I1495" s="7" t="str">
        <f>TEXT(multilingual_mobile_app_reviews_2025[[#This Row],[Review_date]],"dd-mm-yyyy")</f>
        <v>13-01-2025</v>
      </c>
      <c r="J1495" s="7" t="str">
        <f>TEXT(multilingual_mobile_app_reviews_2025[[#This Row],[Review_date]],"YYYY")</f>
        <v>2025</v>
      </c>
      <c r="K1495" s="7" t="str">
        <f>TEXT(multilingual_mobile_app_reviews_2025[[#This Row],[Review_date]],"MMMM")</f>
        <v>January</v>
      </c>
      <c r="L1495" s="4" t="b">
        <v>1</v>
      </c>
      <c r="M1495" s="4" t="s">
        <v>98</v>
      </c>
      <c r="N1495" s="5">
        <v>1225</v>
      </c>
      <c r="O1495" s="5">
        <v>28</v>
      </c>
      <c r="P1495" s="4" t="s">
        <v>38</v>
      </c>
      <c r="Q1495" s="8" t="s">
        <v>29</v>
      </c>
      <c r="R1495" s="4" t="s">
        <v>1812</v>
      </c>
      <c r="S1495" s="4"/>
      <c r="T1495"/>
      <c r="U1495" s="23"/>
    </row>
    <row r="1496" spans="1:21" ht="15.6" x14ac:dyDescent="0.3">
      <c r="A1496" s="4">
        <v>1495</v>
      </c>
      <c r="B1496" s="5">
        <v>810615</v>
      </c>
      <c r="C1496" s="4" t="s">
        <v>174</v>
      </c>
      <c r="D1496" s="4" t="s">
        <v>47</v>
      </c>
      <c r="E1496" s="4" t="s">
        <v>1813</v>
      </c>
      <c r="F1496" s="4" t="s">
        <v>2944</v>
      </c>
      <c r="G1496" s="6">
        <v>3.1</v>
      </c>
      <c r="H1496" s="7">
        <v>45332.876655092594</v>
      </c>
      <c r="I1496" s="7" t="str">
        <f>TEXT(multilingual_mobile_app_reviews_2025[[#This Row],[Review_date]],"dd-mm-yyyy")</f>
        <v>10-02-2024</v>
      </c>
      <c r="J1496" s="7" t="str">
        <f>TEXT(multilingual_mobile_app_reviews_2025[[#This Row],[Review_date]],"YYYY")</f>
        <v>2024</v>
      </c>
      <c r="K1496" s="7" t="str">
        <f>TEXT(multilingual_mobile_app_reviews_2025[[#This Row],[Review_date]],"MMMM")</f>
        <v>February</v>
      </c>
      <c r="L1496" s="4" t="b">
        <v>1</v>
      </c>
      <c r="M1496" s="4" t="s">
        <v>22</v>
      </c>
      <c r="N1496" s="5">
        <v>1235</v>
      </c>
      <c r="O1496" s="5">
        <v>27</v>
      </c>
      <c r="P1496" s="4" t="s">
        <v>127</v>
      </c>
      <c r="Q1496" s="8" t="s">
        <v>39</v>
      </c>
      <c r="R1496" s="4" t="s">
        <v>1814</v>
      </c>
      <c r="S1496" s="4"/>
      <c r="T1496"/>
      <c r="U1496" s="23"/>
    </row>
    <row r="1497" spans="1:21" ht="15.6" x14ac:dyDescent="0.3">
      <c r="A1497" s="4">
        <v>1496</v>
      </c>
      <c r="B1497" s="5">
        <v>2077453</v>
      </c>
      <c r="C1497" s="4" t="s">
        <v>0</v>
      </c>
      <c r="D1497" s="4" t="s">
        <v>20</v>
      </c>
      <c r="E1497" s="4" t="s">
        <v>1815</v>
      </c>
      <c r="F1497" s="4" t="s">
        <v>2947</v>
      </c>
      <c r="G1497" s="6">
        <v>2.2000000000000002</v>
      </c>
      <c r="H1497" s="7">
        <v>45307.786921296298</v>
      </c>
      <c r="I1497" s="7" t="str">
        <f>TEXT(multilingual_mobile_app_reviews_2025[[#This Row],[Review_date]],"dd-mm-yyyy")</f>
        <v>16-01-2024</v>
      </c>
      <c r="J1497" s="7" t="str">
        <f>TEXT(multilingual_mobile_app_reviews_2025[[#This Row],[Review_date]],"YYYY")</f>
        <v>2024</v>
      </c>
      <c r="K1497" s="7" t="str">
        <f>TEXT(multilingual_mobile_app_reviews_2025[[#This Row],[Review_date]],"MMMM")</f>
        <v>January</v>
      </c>
      <c r="L1497" s="4" t="b">
        <v>1</v>
      </c>
      <c r="M1497" s="4" t="s">
        <v>10</v>
      </c>
      <c r="N1497" s="5">
        <v>772</v>
      </c>
      <c r="O1497" s="5">
        <v>49</v>
      </c>
      <c r="P1497" s="4" t="s">
        <v>127</v>
      </c>
      <c r="Q1497" s="8" t="s">
        <v>39</v>
      </c>
      <c r="R1497" s="4" t="s">
        <v>890</v>
      </c>
      <c r="S1497" s="4"/>
      <c r="T1497"/>
      <c r="U1497" s="23"/>
    </row>
    <row r="1498" spans="1:21" ht="15.6" x14ac:dyDescent="0.3">
      <c r="A1498" s="4">
        <v>1497</v>
      </c>
      <c r="B1498" s="5">
        <v>8749141</v>
      </c>
      <c r="C1498" s="4" t="s">
        <v>106</v>
      </c>
      <c r="D1498" s="4" t="s">
        <v>31</v>
      </c>
      <c r="E1498" s="4" t="s">
        <v>9</v>
      </c>
      <c r="F1498" s="4" t="s">
        <v>2948</v>
      </c>
      <c r="G1498" s="6">
        <v>4.8</v>
      </c>
      <c r="H1498" s="7">
        <v>45780.239687499998</v>
      </c>
      <c r="I1498" s="7" t="str">
        <f>TEXT(multilingual_mobile_app_reviews_2025[[#This Row],[Review_date]],"dd-mm-yyyy")</f>
        <v>03-05-2025</v>
      </c>
      <c r="J1498" s="7" t="str">
        <f>TEXT(multilingual_mobile_app_reviews_2025[[#This Row],[Review_date]],"YYYY")</f>
        <v>2025</v>
      </c>
      <c r="K1498" s="7" t="str">
        <f>TEXT(multilingual_mobile_app_reviews_2025[[#This Row],[Review_date]],"MMMM")</f>
        <v>May</v>
      </c>
      <c r="L1498" s="4" t="b">
        <v>1</v>
      </c>
      <c r="M1498" s="4" t="s">
        <v>33</v>
      </c>
      <c r="N1498" s="5">
        <v>987</v>
      </c>
      <c r="O1498" s="5">
        <v>49</v>
      </c>
      <c r="P1498" s="4" t="s">
        <v>28</v>
      </c>
      <c r="Q1498" s="8" t="s">
        <v>12</v>
      </c>
      <c r="R1498" s="4" t="s">
        <v>1816</v>
      </c>
      <c r="S1498" s="4"/>
      <c r="T1498"/>
      <c r="U1498" s="23"/>
    </row>
    <row r="1499" spans="1:21" ht="15.6" x14ac:dyDescent="0.3">
      <c r="A1499" s="4">
        <v>1498</v>
      </c>
      <c r="B1499" s="5">
        <v>7868806</v>
      </c>
      <c r="C1499" s="4" t="s">
        <v>59</v>
      </c>
      <c r="D1499" s="4" t="s">
        <v>20</v>
      </c>
      <c r="E1499" s="4" t="s">
        <v>32</v>
      </c>
      <c r="F1499" s="4" t="s">
        <v>2948</v>
      </c>
      <c r="G1499" s="6">
        <v>2.8</v>
      </c>
      <c r="H1499" s="7">
        <v>45832.09878472222</v>
      </c>
      <c r="I1499" s="7" t="str">
        <f>TEXT(multilingual_mobile_app_reviews_2025[[#This Row],[Review_date]],"dd-mm-yyyy")</f>
        <v>24-06-2025</v>
      </c>
      <c r="J1499" s="7" t="str">
        <f>TEXT(multilingual_mobile_app_reviews_2025[[#This Row],[Review_date]],"YYYY")</f>
        <v>2025</v>
      </c>
      <c r="K1499" s="7" t="str">
        <f>TEXT(multilingual_mobile_app_reviews_2025[[#This Row],[Review_date]],"MMMM")</f>
        <v>June</v>
      </c>
      <c r="L1499" s="4" t="b">
        <v>0</v>
      </c>
      <c r="M1499" s="4" t="s">
        <v>98</v>
      </c>
      <c r="N1499" s="5">
        <v>1173</v>
      </c>
      <c r="O1499" s="5">
        <v>32</v>
      </c>
      <c r="P1499" s="4" t="s">
        <v>4</v>
      </c>
      <c r="Q1499" s="8" t="s">
        <v>5</v>
      </c>
      <c r="R1499" s="4" t="s">
        <v>490</v>
      </c>
      <c r="S1499" s="4"/>
      <c r="T1499"/>
      <c r="U1499" s="23"/>
    </row>
    <row r="1500" spans="1:21" ht="15.6" x14ac:dyDescent="0.3">
      <c r="A1500" s="4">
        <v>1499</v>
      </c>
      <c r="B1500" s="5">
        <v>8291751</v>
      </c>
      <c r="C1500" s="4" t="s">
        <v>87</v>
      </c>
      <c r="D1500" s="4" t="s">
        <v>51</v>
      </c>
      <c r="E1500" s="4" t="s">
        <v>27</v>
      </c>
      <c r="F1500" s="4" t="s">
        <v>2946</v>
      </c>
      <c r="G1500" s="6">
        <v>2.5</v>
      </c>
      <c r="H1500" s="7">
        <v>45183.537303240744</v>
      </c>
      <c r="I1500" s="7" t="str">
        <f>TEXT(multilingual_mobile_app_reviews_2025[[#This Row],[Review_date]],"dd-mm-yyyy")</f>
        <v>14-09-2023</v>
      </c>
      <c r="J1500" s="7" t="str">
        <f>TEXT(multilingual_mobile_app_reviews_2025[[#This Row],[Review_date]],"YYYY")</f>
        <v>2023</v>
      </c>
      <c r="K1500" s="7" t="str">
        <f>TEXT(multilingual_mobile_app_reviews_2025[[#This Row],[Review_date]],"MMMM")</f>
        <v>September</v>
      </c>
      <c r="L1500" s="4" t="b">
        <v>1</v>
      </c>
      <c r="M1500" s="4" t="s">
        <v>10</v>
      </c>
      <c r="N1500" s="5">
        <v>236</v>
      </c>
      <c r="O1500" s="5">
        <v>61</v>
      </c>
      <c r="P1500" s="4" t="s">
        <v>34</v>
      </c>
      <c r="Q1500" s="8" t="s">
        <v>29</v>
      </c>
      <c r="R1500" s="4" t="s">
        <v>1817</v>
      </c>
      <c r="S1500" s="4"/>
      <c r="T1500"/>
      <c r="U1500" s="23"/>
    </row>
    <row r="1501" spans="1:21" ht="15.6" x14ac:dyDescent="0.3">
      <c r="A1501" s="4">
        <v>1500</v>
      </c>
      <c r="B1501" s="5">
        <v>198836</v>
      </c>
      <c r="C1501" s="4" t="s">
        <v>244</v>
      </c>
      <c r="D1501" s="4" t="s">
        <v>15</v>
      </c>
      <c r="E1501" s="4" t="s">
        <v>1818</v>
      </c>
      <c r="F1501" s="4" t="s">
        <v>2956</v>
      </c>
      <c r="G1501" s="6">
        <v>3.7</v>
      </c>
      <c r="H1501" s="7">
        <v>45421.990451388891</v>
      </c>
      <c r="I1501" s="7" t="str">
        <f>TEXT(multilingual_mobile_app_reviews_2025[[#This Row],[Review_date]],"dd-mm-yyyy")</f>
        <v>09-05-2024</v>
      </c>
      <c r="J1501" s="7" t="str">
        <f>TEXT(multilingual_mobile_app_reviews_2025[[#This Row],[Review_date]],"YYYY")</f>
        <v>2024</v>
      </c>
      <c r="K1501" s="7" t="str">
        <f>TEXT(multilingual_mobile_app_reviews_2025[[#This Row],[Review_date]],"MMMM")</f>
        <v>May</v>
      </c>
      <c r="L1501" s="4" t="b">
        <v>1</v>
      </c>
      <c r="M1501" s="4" t="s">
        <v>22</v>
      </c>
      <c r="N1501" s="5">
        <v>163</v>
      </c>
      <c r="O1501" s="5">
        <v>53</v>
      </c>
      <c r="P1501" s="4" t="s">
        <v>99</v>
      </c>
      <c r="Q1501" s="8" t="s">
        <v>5</v>
      </c>
      <c r="R1501" s="4" t="s">
        <v>1819</v>
      </c>
      <c r="S1501" s="4"/>
      <c r="T1501"/>
      <c r="U1501" s="23"/>
    </row>
    <row r="1502" spans="1:21" ht="15.6" x14ac:dyDescent="0.3">
      <c r="A1502" s="4">
        <v>1501</v>
      </c>
      <c r="B1502" s="5">
        <v>3156507</v>
      </c>
      <c r="C1502" s="4" t="s">
        <v>104</v>
      </c>
      <c r="D1502" s="4" t="s">
        <v>26</v>
      </c>
      <c r="E1502" s="4" t="s">
        <v>1820</v>
      </c>
      <c r="F1502" s="4" t="s">
        <v>2944</v>
      </c>
      <c r="G1502" s="6">
        <v>4.5999999999999996</v>
      </c>
      <c r="H1502" s="7">
        <v>45465.952673611115</v>
      </c>
      <c r="I1502" s="7" t="str">
        <f>TEXT(multilingual_mobile_app_reviews_2025[[#This Row],[Review_date]],"dd-mm-yyyy")</f>
        <v>22-06-2024</v>
      </c>
      <c r="J1502" s="7" t="str">
        <f>TEXT(multilingual_mobile_app_reviews_2025[[#This Row],[Review_date]],"YYYY")</f>
        <v>2024</v>
      </c>
      <c r="K1502" s="7" t="str">
        <f>TEXT(multilingual_mobile_app_reviews_2025[[#This Row],[Review_date]],"MMMM")</f>
        <v>June</v>
      </c>
      <c r="L1502" s="4" t="b">
        <v>1</v>
      </c>
      <c r="M1502" s="4" t="s">
        <v>98</v>
      </c>
      <c r="N1502" s="5">
        <v>1201</v>
      </c>
      <c r="O1502" s="5">
        <v>32</v>
      </c>
      <c r="P1502" s="4" t="s">
        <v>61</v>
      </c>
      <c r="Q1502" s="8" t="s">
        <v>29</v>
      </c>
      <c r="R1502" s="4" t="s">
        <v>1821</v>
      </c>
      <c r="S1502" s="4"/>
      <c r="T1502"/>
      <c r="U1502" s="23"/>
    </row>
    <row r="1503" spans="1:21" ht="15.6" x14ac:dyDescent="0.3">
      <c r="A1503" s="4">
        <v>1502</v>
      </c>
      <c r="B1503" s="5">
        <v>9329543</v>
      </c>
      <c r="C1503" s="4" t="s">
        <v>132</v>
      </c>
      <c r="D1503" s="4" t="s">
        <v>26</v>
      </c>
      <c r="E1503" s="4" t="s">
        <v>93</v>
      </c>
      <c r="F1503" s="4" t="s">
        <v>2943</v>
      </c>
      <c r="G1503" s="6">
        <v>4.3</v>
      </c>
      <c r="H1503" s="7">
        <v>45523.797002314815</v>
      </c>
      <c r="I1503" s="7" t="str">
        <f>TEXT(multilingual_mobile_app_reviews_2025[[#This Row],[Review_date]],"dd-mm-yyyy")</f>
        <v>19-08-2024</v>
      </c>
      <c r="J1503" s="7" t="str">
        <f>TEXT(multilingual_mobile_app_reviews_2025[[#This Row],[Review_date]],"YYYY")</f>
        <v>2024</v>
      </c>
      <c r="K1503" s="7" t="str">
        <f>TEXT(multilingual_mobile_app_reviews_2025[[#This Row],[Review_date]],"MMMM")</f>
        <v>August</v>
      </c>
      <c r="L1503" s="4" t="b">
        <v>0</v>
      </c>
      <c r="M1503" s="4" t="s">
        <v>10</v>
      </c>
      <c r="N1503" s="5">
        <v>977</v>
      </c>
      <c r="O1503" s="5">
        <v>39</v>
      </c>
      <c r="P1503" s="4" t="s">
        <v>80</v>
      </c>
      <c r="Q1503" s="8" t="s">
        <v>12</v>
      </c>
      <c r="R1503" s="4" t="s">
        <v>1822</v>
      </c>
      <c r="S1503" s="4"/>
      <c r="T1503"/>
      <c r="U1503" s="23"/>
    </row>
    <row r="1504" spans="1:21" ht="15.6" x14ac:dyDescent="0.3">
      <c r="A1504" s="4">
        <v>1503</v>
      </c>
      <c r="B1504" s="5">
        <v>2237987</v>
      </c>
      <c r="C1504" s="4" t="s">
        <v>104</v>
      </c>
      <c r="D1504" s="4" t="s">
        <v>79</v>
      </c>
      <c r="E1504" s="4" t="s">
        <v>93</v>
      </c>
      <c r="F1504" s="4" t="s">
        <v>2946</v>
      </c>
      <c r="G1504" s="6">
        <v>1.6</v>
      </c>
      <c r="H1504" s="7">
        <v>45391.226006944446</v>
      </c>
      <c r="I1504" s="7" t="str">
        <f>TEXT(multilingual_mobile_app_reviews_2025[[#This Row],[Review_date]],"dd-mm-yyyy")</f>
        <v>09-04-2024</v>
      </c>
      <c r="J1504" s="7" t="str">
        <f>TEXT(multilingual_mobile_app_reviews_2025[[#This Row],[Review_date]],"YYYY")</f>
        <v>2024</v>
      </c>
      <c r="K1504" s="7" t="str">
        <f>TEXT(multilingual_mobile_app_reviews_2025[[#This Row],[Review_date]],"MMMM")</f>
        <v>April</v>
      </c>
      <c r="L1504" s="4" t="b">
        <v>0</v>
      </c>
      <c r="M1504" s="4" t="s">
        <v>3</v>
      </c>
      <c r="N1504" s="5">
        <v>1180</v>
      </c>
      <c r="O1504" s="5">
        <v>26</v>
      </c>
      <c r="P1504" s="4" t="s">
        <v>114</v>
      </c>
      <c r="Q1504" s="8" t="s">
        <v>2963</v>
      </c>
      <c r="R1504" s="4" t="s">
        <v>1823</v>
      </c>
      <c r="S1504" s="4"/>
      <c r="T1504"/>
      <c r="U1504" s="23"/>
    </row>
    <row r="1505" spans="1:21" ht="15.6" x14ac:dyDescent="0.3">
      <c r="A1505" s="4">
        <v>1504</v>
      </c>
      <c r="B1505" s="5">
        <v>6808806</v>
      </c>
      <c r="C1505" s="4" t="s">
        <v>137</v>
      </c>
      <c r="D1505" s="4" t="s">
        <v>97</v>
      </c>
      <c r="E1505" s="4" t="s">
        <v>32</v>
      </c>
      <c r="F1505" s="4" t="s">
        <v>2960</v>
      </c>
      <c r="G1505" s="6">
        <v>3.9</v>
      </c>
      <c r="H1505" s="7">
        <v>45528.683356481481</v>
      </c>
      <c r="I1505" s="7" t="str">
        <f>TEXT(multilingual_mobile_app_reviews_2025[[#This Row],[Review_date]],"dd-mm-yyyy")</f>
        <v>24-08-2024</v>
      </c>
      <c r="J1505" s="7" t="str">
        <f>TEXT(multilingual_mobile_app_reviews_2025[[#This Row],[Review_date]],"YYYY")</f>
        <v>2024</v>
      </c>
      <c r="K1505" s="7" t="str">
        <f>TEXT(multilingual_mobile_app_reviews_2025[[#This Row],[Review_date]],"MMMM")</f>
        <v>August</v>
      </c>
      <c r="L1505" s="4" t="b">
        <v>0</v>
      </c>
      <c r="M1505" s="4" t="s">
        <v>33</v>
      </c>
      <c r="N1505" s="5">
        <v>372</v>
      </c>
      <c r="O1505" s="5">
        <v>72</v>
      </c>
      <c r="P1505" s="4" t="s">
        <v>38</v>
      </c>
      <c r="Q1505" s="8" t="s">
        <v>29</v>
      </c>
      <c r="R1505" s="4" t="s">
        <v>1824</v>
      </c>
      <c r="S1505" s="4"/>
      <c r="T1505"/>
      <c r="U1505" s="23"/>
    </row>
    <row r="1506" spans="1:21" ht="15.6" x14ac:dyDescent="0.3">
      <c r="A1506" s="4">
        <v>1505</v>
      </c>
      <c r="B1506" s="5">
        <v>6623795</v>
      </c>
      <c r="C1506" s="4" t="s">
        <v>147</v>
      </c>
      <c r="D1506" s="4" t="s">
        <v>57</v>
      </c>
      <c r="E1506" s="4" t="s">
        <v>109</v>
      </c>
      <c r="F1506" s="4" t="s">
        <v>2956</v>
      </c>
      <c r="G1506" s="6">
        <v>1.8</v>
      </c>
      <c r="H1506" s="7">
        <v>45240.9533912037</v>
      </c>
      <c r="I1506" s="7" t="str">
        <f>TEXT(multilingual_mobile_app_reviews_2025[[#This Row],[Review_date]],"dd-mm-yyyy")</f>
        <v>10-11-2023</v>
      </c>
      <c r="J1506" s="7" t="str">
        <f>TEXT(multilingual_mobile_app_reviews_2025[[#This Row],[Review_date]],"YYYY")</f>
        <v>2023</v>
      </c>
      <c r="K1506" s="7" t="str">
        <f>TEXT(multilingual_mobile_app_reviews_2025[[#This Row],[Review_date]],"MMMM")</f>
        <v>November</v>
      </c>
      <c r="L1506" s="4" t="b">
        <v>1</v>
      </c>
      <c r="M1506" s="4" t="s">
        <v>33</v>
      </c>
      <c r="N1506" s="5">
        <v>832</v>
      </c>
      <c r="O1506" s="5">
        <v>22</v>
      </c>
      <c r="P1506" s="4" t="s">
        <v>11</v>
      </c>
      <c r="Q1506" s="8" t="s">
        <v>5</v>
      </c>
      <c r="R1506" s="4" t="s">
        <v>1825</v>
      </c>
      <c r="S1506" s="4"/>
      <c r="T1506"/>
      <c r="U1506" s="23"/>
    </row>
    <row r="1507" spans="1:21" ht="15.6" x14ac:dyDescent="0.3">
      <c r="A1507" s="4">
        <v>1506</v>
      </c>
      <c r="B1507" s="5">
        <v>1909919</v>
      </c>
      <c r="C1507" s="4" t="s">
        <v>264</v>
      </c>
      <c r="D1507" s="4" t="s">
        <v>20</v>
      </c>
      <c r="E1507" s="4" t="s">
        <v>64</v>
      </c>
      <c r="F1507" s="4" t="s">
        <v>2955</v>
      </c>
      <c r="G1507" s="6">
        <v>2.7</v>
      </c>
      <c r="H1507" s="7">
        <v>45754.596631944441</v>
      </c>
      <c r="I1507" s="7" t="str">
        <f>TEXT(multilingual_mobile_app_reviews_2025[[#This Row],[Review_date]],"dd-mm-yyyy")</f>
        <v>07-04-2025</v>
      </c>
      <c r="J1507" s="7" t="str">
        <f>TEXT(multilingual_mobile_app_reviews_2025[[#This Row],[Review_date]],"YYYY")</f>
        <v>2025</v>
      </c>
      <c r="K1507" s="7" t="str">
        <f>TEXT(multilingual_mobile_app_reviews_2025[[#This Row],[Review_date]],"MMMM")</f>
        <v>April</v>
      </c>
      <c r="L1507" s="4" t="b">
        <v>1</v>
      </c>
      <c r="M1507" s="4" t="s">
        <v>22</v>
      </c>
      <c r="N1507" s="5">
        <v>66</v>
      </c>
      <c r="O1507" s="5">
        <v>39</v>
      </c>
      <c r="P1507" s="4" t="s">
        <v>34</v>
      </c>
      <c r="Q1507" s="8" t="s">
        <v>5</v>
      </c>
      <c r="R1507" s="4" t="s">
        <v>1826</v>
      </c>
      <c r="S1507" s="4"/>
      <c r="T1507"/>
      <c r="U1507" s="23"/>
    </row>
    <row r="1508" spans="1:21" ht="15.6" x14ac:dyDescent="0.3">
      <c r="A1508" s="4">
        <v>1507</v>
      </c>
      <c r="B1508" s="5">
        <v>2216002</v>
      </c>
      <c r="C1508" s="4" t="s">
        <v>199</v>
      </c>
      <c r="D1508" s="4" t="s">
        <v>220</v>
      </c>
      <c r="E1508" s="4" t="s">
        <v>32</v>
      </c>
      <c r="F1508" s="4" t="s">
        <v>2958</v>
      </c>
      <c r="G1508" s="6">
        <v>3</v>
      </c>
      <c r="H1508" s="7">
        <v>45259.691307870373</v>
      </c>
      <c r="I1508" s="7" t="str">
        <f>TEXT(multilingual_mobile_app_reviews_2025[[#This Row],[Review_date]],"dd-mm-yyyy")</f>
        <v>29-11-2023</v>
      </c>
      <c r="J1508" s="7" t="str">
        <f>TEXT(multilingual_mobile_app_reviews_2025[[#This Row],[Review_date]],"YYYY")</f>
        <v>2023</v>
      </c>
      <c r="K1508" s="7" t="str">
        <f>TEXT(multilingual_mobile_app_reviews_2025[[#This Row],[Review_date]],"MMMM")</f>
        <v>November</v>
      </c>
      <c r="L1508" s="4" t="b">
        <v>1</v>
      </c>
      <c r="M1508" s="4" t="s">
        <v>3</v>
      </c>
      <c r="N1508" s="5">
        <v>1159</v>
      </c>
      <c r="O1508" s="5">
        <v>75</v>
      </c>
      <c r="P1508" s="4" t="s">
        <v>230</v>
      </c>
      <c r="Q1508" s="8" t="s">
        <v>5</v>
      </c>
      <c r="R1508" s="4" t="s">
        <v>1827</v>
      </c>
      <c r="S1508" s="4"/>
      <c r="T1508"/>
      <c r="U1508" s="23"/>
    </row>
    <row r="1509" spans="1:21" ht="15.6" x14ac:dyDescent="0.3">
      <c r="A1509" s="4">
        <v>1508</v>
      </c>
      <c r="B1509" s="5">
        <v>8488623</v>
      </c>
      <c r="C1509" s="4" t="s">
        <v>104</v>
      </c>
      <c r="D1509" s="4" t="s">
        <v>51</v>
      </c>
      <c r="E1509" s="4" t="s">
        <v>76</v>
      </c>
      <c r="F1509" s="4" t="s">
        <v>2948</v>
      </c>
      <c r="G1509" s="6">
        <v>2.4</v>
      </c>
      <c r="H1509" s="7">
        <v>45149.479722222219</v>
      </c>
      <c r="I1509" s="7" t="str">
        <f>TEXT(multilingual_mobile_app_reviews_2025[[#This Row],[Review_date]],"dd-mm-yyyy")</f>
        <v>11-08-2023</v>
      </c>
      <c r="J1509" s="7" t="str">
        <f>TEXT(multilingual_mobile_app_reviews_2025[[#This Row],[Review_date]],"YYYY")</f>
        <v>2023</v>
      </c>
      <c r="K1509" s="7" t="str">
        <f>TEXT(multilingual_mobile_app_reviews_2025[[#This Row],[Review_date]],"MMMM")</f>
        <v>August</v>
      </c>
      <c r="L1509" s="4" t="b">
        <v>0</v>
      </c>
      <c r="M1509" s="4" t="s">
        <v>3</v>
      </c>
      <c r="N1509" s="5">
        <v>99</v>
      </c>
      <c r="O1509" s="5">
        <v>15</v>
      </c>
      <c r="P1509" s="4" t="s">
        <v>11</v>
      </c>
      <c r="Q1509" s="8" t="s">
        <v>39</v>
      </c>
      <c r="R1509" s="4" t="s">
        <v>1828</v>
      </c>
      <c r="S1509" s="4"/>
      <c r="T1509"/>
      <c r="U1509" s="23"/>
    </row>
    <row r="1510" spans="1:21" ht="15.6" x14ac:dyDescent="0.3">
      <c r="A1510" s="4">
        <v>1509</v>
      </c>
      <c r="B1510" s="5">
        <v>4067894</v>
      </c>
      <c r="C1510" s="4" t="s">
        <v>36</v>
      </c>
      <c r="D1510" s="4" t="s">
        <v>8</v>
      </c>
      <c r="E1510" s="4" t="s">
        <v>9</v>
      </c>
      <c r="F1510" s="4" t="s">
        <v>2943</v>
      </c>
      <c r="G1510" s="6">
        <v>4.9000000000000004</v>
      </c>
      <c r="H1510" s="7">
        <v>45179.298807870371</v>
      </c>
      <c r="I1510" s="7" t="str">
        <f>TEXT(multilingual_mobile_app_reviews_2025[[#This Row],[Review_date]],"dd-mm-yyyy")</f>
        <v>10-09-2023</v>
      </c>
      <c r="J1510" s="7" t="str">
        <f>TEXT(multilingual_mobile_app_reviews_2025[[#This Row],[Review_date]],"YYYY")</f>
        <v>2023</v>
      </c>
      <c r="K1510" s="7" t="str">
        <f>TEXT(multilingual_mobile_app_reviews_2025[[#This Row],[Review_date]],"MMMM")</f>
        <v>September</v>
      </c>
      <c r="L1510" s="4" t="b">
        <v>0</v>
      </c>
      <c r="M1510" s="4" t="s">
        <v>22</v>
      </c>
      <c r="N1510" s="5">
        <v>1084</v>
      </c>
      <c r="O1510" s="5">
        <v>64</v>
      </c>
      <c r="P1510" s="4" t="s">
        <v>118</v>
      </c>
      <c r="Q1510" s="8" t="s">
        <v>39</v>
      </c>
      <c r="R1510" s="4" t="s">
        <v>1829</v>
      </c>
      <c r="S1510" s="4"/>
      <c r="T1510"/>
      <c r="U1510" s="23"/>
    </row>
    <row r="1511" spans="1:21" ht="15.6" x14ac:dyDescent="0.3">
      <c r="A1511" s="4">
        <v>1510</v>
      </c>
      <c r="B1511" s="5">
        <v>5840173</v>
      </c>
      <c r="C1511" s="4" t="s">
        <v>36</v>
      </c>
      <c r="D1511" s="4" t="s">
        <v>42</v>
      </c>
      <c r="E1511" s="4" t="s">
        <v>130</v>
      </c>
      <c r="F1511" s="4" t="s">
        <v>2949</v>
      </c>
      <c r="G1511" s="6">
        <v>2.6</v>
      </c>
      <c r="H1511" s="7">
        <v>45472.608981481484</v>
      </c>
      <c r="I1511" s="7" t="str">
        <f>TEXT(multilingual_mobile_app_reviews_2025[[#This Row],[Review_date]],"dd-mm-yyyy")</f>
        <v>29-06-2024</v>
      </c>
      <c r="J1511" s="7" t="str">
        <f>TEXT(multilingual_mobile_app_reviews_2025[[#This Row],[Review_date]],"YYYY")</f>
        <v>2024</v>
      </c>
      <c r="K1511" s="7" t="str">
        <f>TEXT(multilingual_mobile_app_reviews_2025[[#This Row],[Review_date]],"MMMM")</f>
        <v>June</v>
      </c>
      <c r="L1511" s="4" t="b">
        <v>1</v>
      </c>
      <c r="M1511" s="4" t="s">
        <v>22</v>
      </c>
      <c r="N1511" s="5">
        <v>86</v>
      </c>
      <c r="O1511" s="5">
        <v>27</v>
      </c>
      <c r="P1511" s="4" t="s">
        <v>44</v>
      </c>
      <c r="Q1511" s="8" t="s">
        <v>2963</v>
      </c>
      <c r="R1511" s="4" t="s">
        <v>1830</v>
      </c>
      <c r="S1511" s="4"/>
      <c r="T1511"/>
      <c r="U1511" s="23"/>
    </row>
    <row r="1512" spans="1:21" ht="15.6" x14ac:dyDescent="0.3">
      <c r="A1512" s="4">
        <v>1511</v>
      </c>
      <c r="B1512" s="5">
        <v>234702</v>
      </c>
      <c r="C1512" s="4" t="s">
        <v>106</v>
      </c>
      <c r="D1512" s="4" t="s">
        <v>26</v>
      </c>
      <c r="E1512" s="4" t="s">
        <v>1831</v>
      </c>
      <c r="F1512" s="4" t="s">
        <v>2949</v>
      </c>
      <c r="G1512" s="6">
        <v>4.2</v>
      </c>
      <c r="H1512" s="7">
        <v>45284.016909722224</v>
      </c>
      <c r="I1512" s="7" t="str">
        <f>TEXT(multilingual_mobile_app_reviews_2025[[#This Row],[Review_date]],"dd-mm-yyyy")</f>
        <v>24-12-2023</v>
      </c>
      <c r="J1512" s="7" t="str">
        <f>TEXT(multilingual_mobile_app_reviews_2025[[#This Row],[Review_date]],"YYYY")</f>
        <v>2023</v>
      </c>
      <c r="K1512" s="7" t="str">
        <f>TEXT(multilingual_mobile_app_reviews_2025[[#This Row],[Review_date]],"MMMM")</f>
        <v>December</v>
      </c>
      <c r="L1512" s="4" t="b">
        <v>1</v>
      </c>
      <c r="M1512" s="4" t="s">
        <v>33</v>
      </c>
      <c r="N1512" s="5">
        <v>1074</v>
      </c>
      <c r="O1512" s="5">
        <v>62</v>
      </c>
      <c r="P1512" s="4" t="s">
        <v>99</v>
      </c>
      <c r="Q1512" s="8" t="s">
        <v>5</v>
      </c>
      <c r="R1512" s="4" t="s">
        <v>1832</v>
      </c>
      <c r="S1512" s="4"/>
      <c r="T1512"/>
      <c r="U1512" s="23"/>
    </row>
    <row r="1513" spans="1:21" ht="15.6" x14ac:dyDescent="0.3">
      <c r="A1513" s="4">
        <v>1512</v>
      </c>
      <c r="B1513" s="5">
        <v>4816726</v>
      </c>
      <c r="C1513" s="4" t="s">
        <v>176</v>
      </c>
      <c r="D1513" s="4" t="s">
        <v>71</v>
      </c>
      <c r="E1513" s="4" t="s">
        <v>1833</v>
      </c>
      <c r="F1513" s="4" t="s">
        <v>2950</v>
      </c>
      <c r="G1513" s="6">
        <v>2.6</v>
      </c>
      <c r="H1513" s="7">
        <v>45168.678356481483</v>
      </c>
      <c r="I1513" s="7" t="str">
        <f>TEXT(multilingual_mobile_app_reviews_2025[[#This Row],[Review_date]],"dd-mm-yyyy")</f>
        <v>30-08-2023</v>
      </c>
      <c r="J1513" s="7" t="str">
        <f>TEXT(multilingual_mobile_app_reviews_2025[[#This Row],[Review_date]],"YYYY")</f>
        <v>2023</v>
      </c>
      <c r="K1513" s="7" t="str">
        <f>TEXT(multilingual_mobile_app_reviews_2025[[#This Row],[Review_date]],"MMMM")</f>
        <v>August</v>
      </c>
      <c r="L1513" s="4" t="b">
        <v>1</v>
      </c>
      <c r="M1513" s="4" t="s">
        <v>10</v>
      </c>
      <c r="N1513" s="5">
        <v>235</v>
      </c>
      <c r="O1513" s="5">
        <v>40</v>
      </c>
      <c r="P1513" s="4" t="s">
        <v>118</v>
      </c>
      <c r="Q1513" s="8" t="s">
        <v>2963</v>
      </c>
      <c r="R1513" s="4" t="s">
        <v>2963</v>
      </c>
      <c r="S1513" s="4"/>
      <c r="T1513"/>
      <c r="U1513" s="23"/>
    </row>
    <row r="1514" spans="1:21" ht="15.6" x14ac:dyDescent="0.3">
      <c r="A1514" s="4">
        <v>1513</v>
      </c>
      <c r="B1514" s="5">
        <v>3324201</v>
      </c>
      <c r="C1514" s="4" t="s">
        <v>208</v>
      </c>
      <c r="D1514" s="4" t="s">
        <v>20</v>
      </c>
      <c r="E1514" s="4" t="s">
        <v>16</v>
      </c>
      <c r="F1514" s="4" t="s">
        <v>2951</v>
      </c>
      <c r="G1514" s="6">
        <v>4.8</v>
      </c>
      <c r="H1514" s="7">
        <v>45860.530277777776</v>
      </c>
      <c r="I1514" s="7" t="str">
        <f>TEXT(multilingual_mobile_app_reviews_2025[[#This Row],[Review_date]],"dd-mm-yyyy")</f>
        <v>22-07-2025</v>
      </c>
      <c r="J1514" s="7" t="str">
        <f>TEXT(multilingual_mobile_app_reviews_2025[[#This Row],[Review_date]],"YYYY")</f>
        <v>2025</v>
      </c>
      <c r="K1514" s="7" t="str">
        <f>TEXT(multilingual_mobile_app_reviews_2025[[#This Row],[Review_date]],"MMMM")</f>
        <v>July</v>
      </c>
      <c r="L1514" s="4" t="b">
        <v>1</v>
      </c>
      <c r="M1514" s="4" t="s">
        <v>22</v>
      </c>
      <c r="N1514" s="5">
        <v>326</v>
      </c>
      <c r="O1514" s="5">
        <v>59</v>
      </c>
      <c r="P1514" s="4" t="s">
        <v>61</v>
      </c>
      <c r="Q1514" s="8" t="s">
        <v>12</v>
      </c>
      <c r="R1514" s="4" t="s">
        <v>1834</v>
      </c>
      <c r="S1514" s="4"/>
      <c r="T1514"/>
      <c r="U1514" s="23"/>
    </row>
    <row r="1515" spans="1:21" ht="15.6" x14ac:dyDescent="0.3">
      <c r="A1515" s="4">
        <v>1514</v>
      </c>
      <c r="B1515" s="5">
        <v>7252177</v>
      </c>
      <c r="C1515" s="4" t="s">
        <v>159</v>
      </c>
      <c r="D1515" s="4" t="s">
        <v>111</v>
      </c>
      <c r="E1515" s="4" t="s">
        <v>21</v>
      </c>
      <c r="F1515" s="4" t="s">
        <v>2960</v>
      </c>
      <c r="G1515" s="6">
        <v>2.7</v>
      </c>
      <c r="H1515" s="7">
        <v>45152.596238425926</v>
      </c>
      <c r="I1515" s="7" t="str">
        <f>TEXT(multilingual_mobile_app_reviews_2025[[#This Row],[Review_date]],"dd-mm-yyyy")</f>
        <v>14-08-2023</v>
      </c>
      <c r="J1515" s="7" t="str">
        <f>TEXT(multilingual_mobile_app_reviews_2025[[#This Row],[Review_date]],"YYYY")</f>
        <v>2023</v>
      </c>
      <c r="K1515" s="7" t="str">
        <f>TEXT(multilingual_mobile_app_reviews_2025[[#This Row],[Review_date]],"MMMM")</f>
        <v>August</v>
      </c>
      <c r="L1515" s="4" t="b">
        <v>0</v>
      </c>
      <c r="M1515" s="4" t="s">
        <v>3</v>
      </c>
      <c r="N1515" s="5">
        <v>654</v>
      </c>
      <c r="O1515" s="5">
        <v>54</v>
      </c>
      <c r="P1515" s="4" t="s">
        <v>44</v>
      </c>
      <c r="Q1515" s="8" t="s">
        <v>12</v>
      </c>
      <c r="R1515" s="4" t="s">
        <v>1835</v>
      </c>
      <c r="S1515" s="4"/>
      <c r="T1515"/>
      <c r="U1515" s="23"/>
    </row>
    <row r="1516" spans="1:21" ht="15.6" x14ac:dyDescent="0.3">
      <c r="A1516" s="4">
        <v>1515</v>
      </c>
      <c r="B1516" s="5">
        <v>3449462</v>
      </c>
      <c r="C1516" s="4" t="s">
        <v>19</v>
      </c>
      <c r="D1516" s="4" t="s">
        <v>47</v>
      </c>
      <c r="E1516" s="4" t="s">
        <v>9</v>
      </c>
      <c r="F1516" s="4" t="s">
        <v>2962</v>
      </c>
      <c r="G1516" s="6">
        <v>3.9</v>
      </c>
      <c r="H1516" s="7">
        <v>45209.50990740741</v>
      </c>
      <c r="I1516" s="7" t="str">
        <f>TEXT(multilingual_mobile_app_reviews_2025[[#This Row],[Review_date]],"dd-mm-yyyy")</f>
        <v>10-10-2023</v>
      </c>
      <c r="J1516" s="7" t="str">
        <f>TEXT(multilingual_mobile_app_reviews_2025[[#This Row],[Review_date]],"YYYY")</f>
        <v>2023</v>
      </c>
      <c r="K1516" s="7" t="str">
        <f>TEXT(multilingual_mobile_app_reviews_2025[[#This Row],[Review_date]],"MMMM")</f>
        <v>October</v>
      </c>
      <c r="L1516" s="4" t="b">
        <v>1</v>
      </c>
      <c r="M1516" s="4" t="s">
        <v>22</v>
      </c>
      <c r="N1516" s="5">
        <v>413</v>
      </c>
      <c r="O1516" s="5">
        <v>13</v>
      </c>
      <c r="P1516" s="4" t="s">
        <v>28</v>
      </c>
      <c r="Q1516" s="8" t="s">
        <v>39</v>
      </c>
      <c r="R1516" s="4" t="s">
        <v>1836</v>
      </c>
      <c r="S1516" s="4"/>
      <c r="T1516"/>
      <c r="U1516" s="23"/>
    </row>
    <row r="1517" spans="1:21" ht="15.6" x14ac:dyDescent="0.3">
      <c r="A1517" s="4">
        <v>1516</v>
      </c>
      <c r="B1517" s="5">
        <v>6481258</v>
      </c>
      <c r="C1517" s="4" t="s">
        <v>56</v>
      </c>
      <c r="D1517" s="4" t="s">
        <v>42</v>
      </c>
      <c r="E1517" s="4" t="s">
        <v>93</v>
      </c>
      <c r="F1517" s="4" t="s">
        <v>2951</v>
      </c>
      <c r="G1517" s="6">
        <v>1.9</v>
      </c>
      <c r="H1517" s="7">
        <v>45455.235347222224</v>
      </c>
      <c r="I1517" s="7" t="str">
        <f>TEXT(multilingual_mobile_app_reviews_2025[[#This Row],[Review_date]],"dd-mm-yyyy")</f>
        <v>12-06-2024</v>
      </c>
      <c r="J1517" s="7" t="str">
        <f>TEXT(multilingual_mobile_app_reviews_2025[[#This Row],[Review_date]],"YYYY")</f>
        <v>2024</v>
      </c>
      <c r="K1517" s="7" t="str">
        <f>TEXT(multilingual_mobile_app_reviews_2025[[#This Row],[Review_date]],"MMMM")</f>
        <v>June</v>
      </c>
      <c r="L1517" s="4" t="b">
        <v>1</v>
      </c>
      <c r="M1517" s="4" t="s">
        <v>3</v>
      </c>
      <c r="N1517" s="5">
        <v>994</v>
      </c>
      <c r="O1517" s="5">
        <v>17</v>
      </c>
      <c r="P1517" s="4" t="s">
        <v>230</v>
      </c>
      <c r="Q1517" s="8" t="s">
        <v>2963</v>
      </c>
      <c r="R1517" s="4" t="s">
        <v>1837</v>
      </c>
      <c r="S1517" s="4"/>
      <c r="T1517"/>
      <c r="U1517" s="23"/>
    </row>
    <row r="1518" spans="1:21" ht="15.6" x14ac:dyDescent="0.3">
      <c r="A1518" s="4">
        <v>1517</v>
      </c>
      <c r="B1518" s="5">
        <v>5241309</v>
      </c>
      <c r="C1518" s="4" t="s">
        <v>78</v>
      </c>
      <c r="D1518" s="4" t="s">
        <v>1</v>
      </c>
      <c r="E1518" s="4" t="s">
        <v>109</v>
      </c>
      <c r="F1518" s="4" t="s">
        <v>2955</v>
      </c>
      <c r="G1518" s="6">
        <v>1.5</v>
      </c>
      <c r="H1518" s="7">
        <v>45682.707731481481</v>
      </c>
      <c r="I1518" s="7" t="str">
        <f>TEXT(multilingual_mobile_app_reviews_2025[[#This Row],[Review_date]],"dd-mm-yyyy")</f>
        <v>25-01-2025</v>
      </c>
      <c r="J1518" s="7" t="str">
        <f>TEXT(multilingual_mobile_app_reviews_2025[[#This Row],[Review_date]],"YYYY")</f>
        <v>2025</v>
      </c>
      <c r="K1518" s="7" t="str">
        <f>TEXT(multilingual_mobile_app_reviews_2025[[#This Row],[Review_date]],"MMMM")</f>
        <v>January</v>
      </c>
      <c r="L1518" s="4" t="b">
        <v>0</v>
      </c>
      <c r="M1518" s="4" t="s">
        <v>98</v>
      </c>
      <c r="N1518" s="5">
        <v>1170</v>
      </c>
      <c r="O1518" s="5">
        <v>21</v>
      </c>
      <c r="P1518" s="4" t="s">
        <v>23</v>
      </c>
      <c r="Q1518" s="8" t="s">
        <v>12</v>
      </c>
      <c r="R1518" s="4" t="s">
        <v>1838</v>
      </c>
      <c r="S1518" s="4"/>
      <c r="T1518"/>
      <c r="U1518" s="23"/>
    </row>
    <row r="1519" spans="1:21" ht="15.6" x14ac:dyDescent="0.3">
      <c r="A1519" s="4">
        <v>1518</v>
      </c>
      <c r="B1519" s="5">
        <v>3982711</v>
      </c>
      <c r="C1519" s="4" t="s">
        <v>199</v>
      </c>
      <c r="D1519" s="4" t="s">
        <v>57</v>
      </c>
      <c r="E1519" s="4" t="s">
        <v>1839</v>
      </c>
      <c r="F1519" s="4" t="s">
        <v>2948</v>
      </c>
      <c r="G1519" s="6">
        <v>1.6</v>
      </c>
      <c r="H1519" s="7">
        <v>45280.048935185187</v>
      </c>
      <c r="I1519" s="7" t="str">
        <f>TEXT(multilingual_mobile_app_reviews_2025[[#This Row],[Review_date]],"dd-mm-yyyy")</f>
        <v>20-12-2023</v>
      </c>
      <c r="J1519" s="7" t="str">
        <f>TEXT(multilingual_mobile_app_reviews_2025[[#This Row],[Review_date]],"YYYY")</f>
        <v>2023</v>
      </c>
      <c r="K1519" s="7" t="str">
        <f>TEXT(multilingual_mobile_app_reviews_2025[[#This Row],[Review_date]],"MMMM")</f>
        <v>December</v>
      </c>
      <c r="L1519" s="4" t="b">
        <v>1</v>
      </c>
      <c r="M1519" s="4" t="s">
        <v>98</v>
      </c>
      <c r="N1519" s="5">
        <v>703</v>
      </c>
      <c r="O1519" s="5">
        <v>47</v>
      </c>
      <c r="P1519" s="4" t="s">
        <v>38</v>
      </c>
      <c r="Q1519" s="8" t="s">
        <v>39</v>
      </c>
      <c r="R1519" s="4" t="s">
        <v>641</v>
      </c>
      <c r="S1519" s="4"/>
      <c r="T1519"/>
      <c r="U1519" s="23"/>
    </row>
    <row r="1520" spans="1:21" ht="15.6" x14ac:dyDescent="0.3">
      <c r="A1520" s="4">
        <v>1519</v>
      </c>
      <c r="B1520" s="5">
        <v>108991</v>
      </c>
      <c r="C1520" s="4" t="s">
        <v>104</v>
      </c>
      <c r="D1520" s="4" t="s">
        <v>20</v>
      </c>
      <c r="E1520" s="4" t="s">
        <v>130</v>
      </c>
      <c r="F1520" s="4" t="s">
        <v>2962</v>
      </c>
      <c r="G1520" s="6">
        <v>3.8</v>
      </c>
      <c r="H1520" s="7">
        <v>45179.369328703702</v>
      </c>
      <c r="I1520" s="7" t="str">
        <f>TEXT(multilingual_mobile_app_reviews_2025[[#This Row],[Review_date]],"dd-mm-yyyy")</f>
        <v>10-09-2023</v>
      </c>
      <c r="J1520" s="7" t="str">
        <f>TEXT(multilingual_mobile_app_reviews_2025[[#This Row],[Review_date]],"YYYY")</f>
        <v>2023</v>
      </c>
      <c r="K1520" s="7" t="str">
        <f>TEXT(multilingual_mobile_app_reviews_2025[[#This Row],[Review_date]],"MMMM")</f>
        <v>September</v>
      </c>
      <c r="L1520" s="4" t="b">
        <v>0</v>
      </c>
      <c r="M1520" s="4" t="s">
        <v>98</v>
      </c>
      <c r="N1520" s="5">
        <v>634</v>
      </c>
      <c r="O1520" s="5">
        <v>71</v>
      </c>
      <c r="P1520" s="4" t="s">
        <v>65</v>
      </c>
      <c r="Q1520" s="8" t="s">
        <v>39</v>
      </c>
      <c r="R1520" s="4" t="s">
        <v>1840</v>
      </c>
      <c r="S1520" s="4"/>
      <c r="T1520"/>
      <c r="U1520" s="23"/>
    </row>
    <row r="1521" spans="1:21" ht="15.6" x14ac:dyDescent="0.3">
      <c r="A1521" s="4">
        <v>1520</v>
      </c>
      <c r="B1521" s="5">
        <v>5496217</v>
      </c>
      <c r="C1521" s="4" t="s">
        <v>84</v>
      </c>
      <c r="D1521" s="4" t="s">
        <v>20</v>
      </c>
      <c r="E1521" s="4" t="s">
        <v>93</v>
      </c>
      <c r="F1521" s="4" t="s">
        <v>2947</v>
      </c>
      <c r="G1521" s="6">
        <v>3.9</v>
      </c>
      <c r="H1521" s="7">
        <v>45303.526099537034</v>
      </c>
      <c r="I1521" s="7" t="str">
        <f>TEXT(multilingual_mobile_app_reviews_2025[[#This Row],[Review_date]],"dd-mm-yyyy")</f>
        <v>12-01-2024</v>
      </c>
      <c r="J1521" s="7" t="str">
        <f>TEXT(multilingual_mobile_app_reviews_2025[[#This Row],[Review_date]],"YYYY")</f>
        <v>2024</v>
      </c>
      <c r="K1521" s="7" t="str">
        <f>TEXT(multilingual_mobile_app_reviews_2025[[#This Row],[Review_date]],"MMMM")</f>
        <v>January</v>
      </c>
      <c r="L1521" s="4" t="b">
        <v>1</v>
      </c>
      <c r="M1521" s="4" t="s">
        <v>22</v>
      </c>
      <c r="N1521" s="5">
        <v>889</v>
      </c>
      <c r="O1521" s="5">
        <v>58</v>
      </c>
      <c r="P1521" s="4" t="s">
        <v>70</v>
      </c>
      <c r="Q1521" s="8" t="s">
        <v>29</v>
      </c>
      <c r="R1521" s="4" t="s">
        <v>367</v>
      </c>
      <c r="S1521" s="4"/>
      <c r="T1521"/>
      <c r="U1521" s="23"/>
    </row>
    <row r="1522" spans="1:21" ht="15.6" x14ac:dyDescent="0.3">
      <c r="A1522" s="4">
        <v>1521</v>
      </c>
      <c r="B1522" s="5">
        <v>8019821</v>
      </c>
      <c r="C1522" s="4" t="s">
        <v>36</v>
      </c>
      <c r="D1522" s="4" t="s">
        <v>71</v>
      </c>
      <c r="E1522" s="4" t="s">
        <v>32</v>
      </c>
      <c r="F1522" s="4" t="s">
        <v>2943</v>
      </c>
      <c r="G1522" s="6">
        <v>2.9</v>
      </c>
      <c r="H1522" s="7">
        <v>45356.484467592592</v>
      </c>
      <c r="I1522" s="7" t="str">
        <f>TEXT(multilingual_mobile_app_reviews_2025[[#This Row],[Review_date]],"dd-mm-yyyy")</f>
        <v>05-03-2024</v>
      </c>
      <c r="J1522" s="7" t="str">
        <f>TEXT(multilingual_mobile_app_reviews_2025[[#This Row],[Review_date]],"YYYY")</f>
        <v>2024</v>
      </c>
      <c r="K1522" s="7" t="str">
        <f>TEXT(multilingual_mobile_app_reviews_2025[[#This Row],[Review_date]],"MMMM")</f>
        <v>March</v>
      </c>
      <c r="L1522" s="4" t="b">
        <v>1</v>
      </c>
      <c r="M1522" s="4" t="s">
        <v>10</v>
      </c>
      <c r="N1522" s="5">
        <v>831</v>
      </c>
      <c r="O1522" s="5">
        <v>61</v>
      </c>
      <c r="P1522" s="4" t="s">
        <v>61</v>
      </c>
      <c r="Q1522" s="8" t="s">
        <v>39</v>
      </c>
      <c r="R1522" s="4" t="s">
        <v>478</v>
      </c>
      <c r="S1522" s="4"/>
      <c r="T1522"/>
      <c r="U1522" s="23"/>
    </row>
    <row r="1523" spans="1:21" ht="15.6" x14ac:dyDescent="0.3">
      <c r="A1523" s="4">
        <v>1522</v>
      </c>
      <c r="B1523" s="5">
        <v>1790500</v>
      </c>
      <c r="C1523" s="4" t="s">
        <v>25</v>
      </c>
      <c r="D1523" s="4" t="s">
        <v>63</v>
      </c>
      <c r="E1523" s="4" t="s">
        <v>76</v>
      </c>
      <c r="F1523" s="4" t="s">
        <v>2962</v>
      </c>
      <c r="G1523" s="6">
        <v>3</v>
      </c>
      <c r="H1523" s="7">
        <v>45473.57403935185</v>
      </c>
      <c r="I1523" s="7" t="str">
        <f>TEXT(multilingual_mobile_app_reviews_2025[[#This Row],[Review_date]],"dd-mm-yyyy")</f>
        <v>30-06-2024</v>
      </c>
      <c r="J1523" s="7" t="str">
        <f>TEXT(multilingual_mobile_app_reviews_2025[[#This Row],[Review_date]],"YYYY")</f>
        <v>2024</v>
      </c>
      <c r="K1523" s="7" t="str">
        <f>TEXT(multilingual_mobile_app_reviews_2025[[#This Row],[Review_date]],"MMMM")</f>
        <v>June</v>
      </c>
      <c r="L1523" s="4" t="b">
        <v>1</v>
      </c>
      <c r="M1523" s="4" t="s">
        <v>3</v>
      </c>
      <c r="N1523" s="5">
        <v>103</v>
      </c>
      <c r="O1523" s="5">
        <v>53</v>
      </c>
      <c r="P1523" s="4" t="s">
        <v>118</v>
      </c>
      <c r="Q1523" s="8" t="s">
        <v>12</v>
      </c>
      <c r="R1523" s="4" t="s">
        <v>1841</v>
      </c>
      <c r="S1523" s="4"/>
      <c r="T1523"/>
      <c r="U1523" s="23"/>
    </row>
    <row r="1524" spans="1:21" ht="15.6" x14ac:dyDescent="0.3">
      <c r="A1524" s="4">
        <v>1523</v>
      </c>
      <c r="B1524" s="5">
        <v>4332271</v>
      </c>
      <c r="C1524" s="4" t="s">
        <v>54</v>
      </c>
      <c r="D1524" s="4" t="s">
        <v>157</v>
      </c>
      <c r="E1524" s="4" t="s">
        <v>76</v>
      </c>
      <c r="F1524" s="4" t="s">
        <v>2951</v>
      </c>
      <c r="G1524" s="6">
        <v>2.5</v>
      </c>
      <c r="H1524" s="7">
        <v>45520.471655092595</v>
      </c>
      <c r="I1524" s="7" t="str">
        <f>TEXT(multilingual_mobile_app_reviews_2025[[#This Row],[Review_date]],"dd-mm-yyyy")</f>
        <v>16-08-2024</v>
      </c>
      <c r="J1524" s="7" t="str">
        <f>TEXT(multilingual_mobile_app_reviews_2025[[#This Row],[Review_date]],"YYYY")</f>
        <v>2024</v>
      </c>
      <c r="K1524" s="7" t="str">
        <f>TEXT(multilingual_mobile_app_reviews_2025[[#This Row],[Review_date]],"MMMM")</f>
        <v>August</v>
      </c>
      <c r="L1524" s="4" t="b">
        <v>1</v>
      </c>
      <c r="M1524" s="4" t="s">
        <v>33</v>
      </c>
      <c r="N1524" s="5">
        <v>314</v>
      </c>
      <c r="O1524" s="5">
        <v>72</v>
      </c>
      <c r="P1524" s="4" t="s">
        <v>23</v>
      </c>
      <c r="Q1524" s="8" t="s">
        <v>5</v>
      </c>
      <c r="R1524" s="4" t="s">
        <v>1842</v>
      </c>
      <c r="S1524" s="4"/>
      <c r="T1524"/>
      <c r="U1524" s="23"/>
    </row>
    <row r="1525" spans="1:21" ht="15.6" x14ac:dyDescent="0.3">
      <c r="A1525" s="4">
        <v>1524</v>
      </c>
      <c r="B1525" s="5">
        <v>5708323</v>
      </c>
      <c r="C1525" s="4" t="s">
        <v>19</v>
      </c>
      <c r="D1525" s="4" t="s">
        <v>63</v>
      </c>
      <c r="E1525" s="4" t="s">
        <v>16</v>
      </c>
      <c r="F1525" s="4" t="s">
        <v>2958</v>
      </c>
      <c r="G1525" s="6">
        <v>1.5</v>
      </c>
      <c r="H1525" s="7">
        <v>45375.279108796298</v>
      </c>
      <c r="I1525" s="7" t="str">
        <f>TEXT(multilingual_mobile_app_reviews_2025[[#This Row],[Review_date]],"dd-mm-yyyy")</f>
        <v>24-03-2024</v>
      </c>
      <c r="J1525" s="7" t="str">
        <f>TEXT(multilingual_mobile_app_reviews_2025[[#This Row],[Review_date]],"YYYY")</f>
        <v>2024</v>
      </c>
      <c r="K1525" s="7" t="str">
        <f>TEXT(multilingual_mobile_app_reviews_2025[[#This Row],[Review_date]],"MMMM")</f>
        <v>March</v>
      </c>
      <c r="L1525" s="4" t="b">
        <v>1</v>
      </c>
      <c r="M1525" s="4" t="s">
        <v>3</v>
      </c>
      <c r="N1525" s="5">
        <v>377</v>
      </c>
      <c r="O1525" s="5">
        <v>65</v>
      </c>
      <c r="P1525" s="4" t="s">
        <v>65</v>
      </c>
      <c r="Q1525" s="8" t="s">
        <v>29</v>
      </c>
      <c r="R1525" s="4" t="s">
        <v>190</v>
      </c>
      <c r="S1525" s="4"/>
      <c r="T1525"/>
      <c r="U1525" s="23"/>
    </row>
    <row r="1526" spans="1:21" ht="15.6" x14ac:dyDescent="0.3">
      <c r="A1526" s="4">
        <v>1525</v>
      </c>
      <c r="B1526" s="5">
        <v>1725497</v>
      </c>
      <c r="C1526" s="4" t="s">
        <v>244</v>
      </c>
      <c r="D1526" s="4" t="s">
        <v>42</v>
      </c>
      <c r="E1526" s="4" t="s">
        <v>1843</v>
      </c>
      <c r="F1526" s="4" t="s">
        <v>2959</v>
      </c>
      <c r="G1526" s="6">
        <v>4.9000000000000004</v>
      </c>
      <c r="H1526" s="7">
        <v>45418.940266203703</v>
      </c>
      <c r="I1526" s="7" t="str">
        <f>TEXT(multilingual_mobile_app_reviews_2025[[#This Row],[Review_date]],"dd-mm-yyyy")</f>
        <v>06-05-2024</v>
      </c>
      <c r="J1526" s="7" t="str">
        <f>TEXT(multilingual_mobile_app_reviews_2025[[#This Row],[Review_date]],"YYYY")</f>
        <v>2024</v>
      </c>
      <c r="K1526" s="7" t="str">
        <f>TEXT(multilingual_mobile_app_reviews_2025[[#This Row],[Review_date]],"MMMM")</f>
        <v>May</v>
      </c>
      <c r="L1526" s="4" t="b">
        <v>0</v>
      </c>
      <c r="M1526" s="4" t="s">
        <v>33</v>
      </c>
      <c r="N1526" s="5">
        <v>1080</v>
      </c>
      <c r="O1526" s="5">
        <v>60</v>
      </c>
      <c r="P1526" s="4" t="s">
        <v>230</v>
      </c>
      <c r="Q1526" s="8" t="s">
        <v>29</v>
      </c>
      <c r="R1526" s="4" t="s">
        <v>644</v>
      </c>
      <c r="S1526" s="4"/>
      <c r="T1526"/>
      <c r="U1526" s="23"/>
    </row>
    <row r="1527" spans="1:21" ht="15.6" x14ac:dyDescent="0.3">
      <c r="A1527" s="4">
        <v>1526</v>
      </c>
      <c r="B1527" s="5">
        <v>6163033</v>
      </c>
      <c r="C1527" s="4" t="s">
        <v>208</v>
      </c>
      <c r="D1527" s="4" t="s">
        <v>157</v>
      </c>
      <c r="E1527" s="4" t="s">
        <v>1844</v>
      </c>
      <c r="F1527" s="4" t="s">
        <v>2953</v>
      </c>
      <c r="G1527" s="6">
        <v>4.5</v>
      </c>
      <c r="H1527" s="7">
        <v>45288.729490740741</v>
      </c>
      <c r="I1527" s="7" t="str">
        <f>TEXT(multilingual_mobile_app_reviews_2025[[#This Row],[Review_date]],"dd-mm-yyyy")</f>
        <v>28-12-2023</v>
      </c>
      <c r="J1527" s="7" t="str">
        <f>TEXT(multilingual_mobile_app_reviews_2025[[#This Row],[Review_date]],"YYYY")</f>
        <v>2023</v>
      </c>
      <c r="K1527" s="7" t="str">
        <f>TEXT(multilingual_mobile_app_reviews_2025[[#This Row],[Review_date]],"MMMM")</f>
        <v>December</v>
      </c>
      <c r="L1527" s="4" t="b">
        <v>0</v>
      </c>
      <c r="M1527" s="4" t="s">
        <v>98</v>
      </c>
      <c r="N1527" s="5">
        <v>345</v>
      </c>
      <c r="O1527" s="5">
        <v>23</v>
      </c>
      <c r="P1527" s="4" t="s">
        <v>90</v>
      </c>
      <c r="Q1527" s="8" t="s">
        <v>5</v>
      </c>
      <c r="R1527" s="4" t="s">
        <v>1845</v>
      </c>
      <c r="S1527" s="4"/>
      <c r="T1527"/>
      <c r="U1527" s="23"/>
    </row>
    <row r="1528" spans="1:21" ht="15.6" x14ac:dyDescent="0.3">
      <c r="A1528" s="4">
        <v>1527</v>
      </c>
      <c r="B1528" s="5">
        <v>7578776</v>
      </c>
      <c r="C1528" s="4" t="s">
        <v>89</v>
      </c>
      <c r="D1528" s="4" t="s">
        <v>31</v>
      </c>
      <c r="E1528" s="4" t="s">
        <v>1846</v>
      </c>
      <c r="F1528" s="4" t="s">
        <v>2945</v>
      </c>
      <c r="G1528" s="6">
        <v>2.2000000000000002</v>
      </c>
      <c r="H1528" s="7">
        <v>45729.955138888887</v>
      </c>
      <c r="I1528" s="7" t="str">
        <f>TEXT(multilingual_mobile_app_reviews_2025[[#This Row],[Review_date]],"dd-mm-yyyy")</f>
        <v>13-03-2025</v>
      </c>
      <c r="J1528" s="7" t="str">
        <f>TEXT(multilingual_mobile_app_reviews_2025[[#This Row],[Review_date]],"YYYY")</f>
        <v>2025</v>
      </c>
      <c r="K1528" s="7" t="str">
        <f>TEXT(multilingual_mobile_app_reviews_2025[[#This Row],[Review_date]],"MMMM")</f>
        <v>March</v>
      </c>
      <c r="L1528" s="4" t="b">
        <v>1</v>
      </c>
      <c r="M1528" s="4" t="s">
        <v>3</v>
      </c>
      <c r="N1528" s="5">
        <v>832</v>
      </c>
      <c r="O1528" s="5">
        <v>17</v>
      </c>
      <c r="P1528" s="4" t="s">
        <v>38</v>
      </c>
      <c r="Q1528" s="8" t="s">
        <v>39</v>
      </c>
      <c r="R1528" s="4" t="s">
        <v>1847</v>
      </c>
      <c r="S1528" s="4"/>
      <c r="T1528"/>
      <c r="U1528" s="23"/>
    </row>
    <row r="1529" spans="1:21" ht="15.6" x14ac:dyDescent="0.3">
      <c r="A1529" s="4">
        <v>1528</v>
      </c>
      <c r="B1529" s="5">
        <v>9051610</v>
      </c>
      <c r="C1529" s="4" t="s">
        <v>208</v>
      </c>
      <c r="D1529" s="4" t="s">
        <v>111</v>
      </c>
      <c r="E1529" s="4" t="s">
        <v>16</v>
      </c>
      <c r="F1529" s="4" t="s">
        <v>2960</v>
      </c>
      <c r="G1529" s="6">
        <v>3.5</v>
      </c>
      <c r="H1529" s="7">
        <v>45698.716469907406</v>
      </c>
      <c r="I1529" s="7" t="str">
        <f>TEXT(multilingual_mobile_app_reviews_2025[[#This Row],[Review_date]],"dd-mm-yyyy")</f>
        <v>10-02-2025</v>
      </c>
      <c r="J1529" s="7" t="str">
        <f>TEXT(multilingual_mobile_app_reviews_2025[[#This Row],[Review_date]],"YYYY")</f>
        <v>2025</v>
      </c>
      <c r="K1529" s="7" t="str">
        <f>TEXT(multilingual_mobile_app_reviews_2025[[#This Row],[Review_date]],"MMMM")</f>
        <v>February</v>
      </c>
      <c r="L1529" s="4" t="b">
        <v>1</v>
      </c>
      <c r="M1529" s="4" t="s">
        <v>33</v>
      </c>
      <c r="N1529" s="5">
        <v>294</v>
      </c>
      <c r="O1529" s="5">
        <v>59</v>
      </c>
      <c r="P1529" s="4" t="s">
        <v>61</v>
      </c>
      <c r="Q1529" s="8" t="s">
        <v>12</v>
      </c>
      <c r="R1529" s="4" t="s">
        <v>1633</v>
      </c>
      <c r="S1529" s="4"/>
      <c r="T1529"/>
      <c r="U1529" s="23"/>
    </row>
    <row r="1530" spans="1:21" ht="15.6" x14ac:dyDescent="0.3">
      <c r="A1530" s="4">
        <v>1529</v>
      </c>
      <c r="B1530" s="5">
        <v>835028</v>
      </c>
      <c r="C1530" s="4" t="s">
        <v>154</v>
      </c>
      <c r="D1530" s="4" t="s">
        <v>220</v>
      </c>
      <c r="E1530" s="4" t="s">
        <v>21</v>
      </c>
      <c r="F1530" s="4" t="s">
        <v>2954</v>
      </c>
      <c r="G1530" s="6">
        <v>4.4000000000000004</v>
      </c>
      <c r="H1530" s="7">
        <v>45238.168275462966</v>
      </c>
      <c r="I1530" s="7" t="str">
        <f>TEXT(multilingual_mobile_app_reviews_2025[[#This Row],[Review_date]],"dd-mm-yyyy")</f>
        <v>08-11-2023</v>
      </c>
      <c r="J1530" s="7" t="str">
        <f>TEXT(multilingual_mobile_app_reviews_2025[[#This Row],[Review_date]],"YYYY")</f>
        <v>2023</v>
      </c>
      <c r="K1530" s="7" t="str">
        <f>TEXT(multilingual_mobile_app_reviews_2025[[#This Row],[Review_date]],"MMMM")</f>
        <v>November</v>
      </c>
      <c r="L1530" s="4" t="b">
        <v>1</v>
      </c>
      <c r="M1530" s="4" t="s">
        <v>33</v>
      </c>
      <c r="N1530" s="5">
        <v>375</v>
      </c>
      <c r="O1530" s="5">
        <v>63</v>
      </c>
      <c r="P1530" s="4" t="s">
        <v>61</v>
      </c>
      <c r="Q1530" s="8" t="s">
        <v>39</v>
      </c>
      <c r="R1530" s="4" t="s">
        <v>1848</v>
      </c>
      <c r="S1530" s="4"/>
      <c r="T1530"/>
      <c r="U1530" s="23"/>
    </row>
    <row r="1531" spans="1:21" ht="15.6" x14ac:dyDescent="0.3">
      <c r="A1531" s="4">
        <v>1530</v>
      </c>
      <c r="B1531" s="5">
        <v>7116442</v>
      </c>
      <c r="C1531" s="4" t="s">
        <v>192</v>
      </c>
      <c r="D1531" s="4" t="s">
        <v>1</v>
      </c>
      <c r="E1531" s="4" t="s">
        <v>9</v>
      </c>
      <c r="F1531" s="4" t="s">
        <v>2953</v>
      </c>
      <c r="G1531" s="6">
        <v>3.5</v>
      </c>
      <c r="H1531" s="7">
        <v>45566.460902777777</v>
      </c>
      <c r="I1531" s="7" t="str">
        <f>TEXT(multilingual_mobile_app_reviews_2025[[#This Row],[Review_date]],"dd-mm-yyyy")</f>
        <v>01-10-2024</v>
      </c>
      <c r="J1531" s="7" t="str">
        <f>TEXT(multilingual_mobile_app_reviews_2025[[#This Row],[Review_date]],"YYYY")</f>
        <v>2024</v>
      </c>
      <c r="K1531" s="7" t="str">
        <f>TEXT(multilingual_mobile_app_reviews_2025[[#This Row],[Review_date]],"MMMM")</f>
        <v>October</v>
      </c>
      <c r="L1531" s="4" t="b">
        <v>0</v>
      </c>
      <c r="M1531" s="4" t="s">
        <v>22</v>
      </c>
      <c r="N1531" s="5">
        <v>103</v>
      </c>
      <c r="O1531" s="5">
        <v>24</v>
      </c>
      <c r="P1531" s="4" t="s">
        <v>17</v>
      </c>
      <c r="Q1531" s="8" t="s">
        <v>29</v>
      </c>
      <c r="R1531" s="4" t="s">
        <v>1849</v>
      </c>
      <c r="S1531" s="4"/>
      <c r="T1531"/>
      <c r="U1531" s="23"/>
    </row>
    <row r="1532" spans="1:21" ht="15.6" x14ac:dyDescent="0.3">
      <c r="A1532" s="4">
        <v>1531</v>
      </c>
      <c r="B1532" s="5">
        <v>4336674</v>
      </c>
      <c r="C1532" s="4" t="s">
        <v>132</v>
      </c>
      <c r="D1532" s="4" t="s">
        <v>51</v>
      </c>
      <c r="E1532" s="4" t="s">
        <v>27</v>
      </c>
      <c r="F1532" s="4" t="s">
        <v>2943</v>
      </c>
      <c r="G1532" s="6">
        <v>1.2</v>
      </c>
      <c r="H1532" s="7">
        <v>45831.394097222219</v>
      </c>
      <c r="I1532" s="7" t="str">
        <f>TEXT(multilingual_mobile_app_reviews_2025[[#This Row],[Review_date]],"dd-mm-yyyy")</f>
        <v>23-06-2025</v>
      </c>
      <c r="J1532" s="7" t="str">
        <f>TEXT(multilingual_mobile_app_reviews_2025[[#This Row],[Review_date]],"YYYY")</f>
        <v>2025</v>
      </c>
      <c r="K1532" s="7" t="str">
        <f>TEXT(multilingual_mobile_app_reviews_2025[[#This Row],[Review_date]],"MMMM")</f>
        <v>June</v>
      </c>
      <c r="L1532" s="4" t="b">
        <v>0</v>
      </c>
      <c r="M1532" s="4" t="s">
        <v>98</v>
      </c>
      <c r="N1532" s="5">
        <v>818</v>
      </c>
      <c r="O1532" s="5">
        <v>16</v>
      </c>
      <c r="P1532" s="4" t="s">
        <v>180</v>
      </c>
      <c r="Q1532" s="8" t="s">
        <v>5</v>
      </c>
      <c r="R1532" s="4" t="s">
        <v>1850</v>
      </c>
      <c r="S1532" s="4"/>
      <c r="T1532"/>
      <c r="U1532" s="23"/>
    </row>
    <row r="1533" spans="1:21" ht="15.6" x14ac:dyDescent="0.3">
      <c r="A1533" s="4">
        <v>1532</v>
      </c>
      <c r="B1533" s="5">
        <v>9501046</v>
      </c>
      <c r="C1533" s="4" t="s">
        <v>84</v>
      </c>
      <c r="D1533" s="4" t="s">
        <v>26</v>
      </c>
      <c r="E1533" s="4" t="s">
        <v>109</v>
      </c>
      <c r="F1533" s="4" t="s">
        <v>2944</v>
      </c>
      <c r="G1533" s="6">
        <v>1.6</v>
      </c>
      <c r="H1533" s="7">
        <v>45408.664861111109</v>
      </c>
      <c r="I1533" s="7" t="str">
        <f>TEXT(multilingual_mobile_app_reviews_2025[[#This Row],[Review_date]],"dd-mm-yyyy")</f>
        <v>26-04-2024</v>
      </c>
      <c r="J1533" s="7" t="str">
        <f>TEXT(multilingual_mobile_app_reviews_2025[[#This Row],[Review_date]],"YYYY")</f>
        <v>2024</v>
      </c>
      <c r="K1533" s="7" t="str">
        <f>TEXT(multilingual_mobile_app_reviews_2025[[#This Row],[Review_date]],"MMMM")</f>
        <v>April</v>
      </c>
      <c r="L1533" s="4" t="b">
        <v>1</v>
      </c>
      <c r="M1533" s="4" t="s">
        <v>10</v>
      </c>
      <c r="N1533" s="5">
        <v>698</v>
      </c>
      <c r="O1533" s="5">
        <v>38</v>
      </c>
      <c r="P1533" s="4" t="s">
        <v>114</v>
      </c>
      <c r="Q1533" s="8" t="s">
        <v>12</v>
      </c>
      <c r="R1533" s="4" t="s">
        <v>1851</v>
      </c>
      <c r="S1533" s="4"/>
      <c r="T1533"/>
      <c r="U1533" s="23"/>
    </row>
    <row r="1534" spans="1:21" ht="15.6" x14ac:dyDescent="0.3">
      <c r="A1534" s="4">
        <v>1533</v>
      </c>
      <c r="B1534" s="5">
        <v>7624283</v>
      </c>
      <c r="C1534" s="4" t="s">
        <v>208</v>
      </c>
      <c r="D1534" s="4" t="s">
        <v>8</v>
      </c>
      <c r="E1534" s="4" t="s">
        <v>27</v>
      </c>
      <c r="F1534" s="4" t="s">
        <v>2961</v>
      </c>
      <c r="G1534" s="6">
        <v>4.9000000000000004</v>
      </c>
      <c r="H1534" s="7">
        <v>45628.108599537038</v>
      </c>
      <c r="I1534" s="7" t="str">
        <f>TEXT(multilingual_mobile_app_reviews_2025[[#This Row],[Review_date]],"dd-mm-yyyy")</f>
        <v>02-12-2024</v>
      </c>
      <c r="J1534" s="7" t="str">
        <f>TEXT(multilingual_mobile_app_reviews_2025[[#This Row],[Review_date]],"YYYY")</f>
        <v>2024</v>
      </c>
      <c r="K1534" s="7" t="str">
        <f>TEXT(multilingual_mobile_app_reviews_2025[[#This Row],[Review_date]],"MMMM")</f>
        <v>December</v>
      </c>
      <c r="L1534" s="4" t="b">
        <v>0</v>
      </c>
      <c r="M1534" s="4" t="s">
        <v>10</v>
      </c>
      <c r="N1534" s="5">
        <v>43</v>
      </c>
      <c r="O1534" s="5">
        <v>35</v>
      </c>
      <c r="P1534" s="4" t="s">
        <v>61</v>
      </c>
      <c r="Q1534" s="8" t="s">
        <v>5</v>
      </c>
      <c r="R1534" s="4" t="s">
        <v>1852</v>
      </c>
      <c r="S1534" s="4"/>
      <c r="T1534"/>
      <c r="U1534" s="23"/>
    </row>
    <row r="1535" spans="1:21" ht="15.6" x14ac:dyDescent="0.3">
      <c r="A1535" s="4">
        <v>1534</v>
      </c>
      <c r="B1535" s="5">
        <v>2070130</v>
      </c>
      <c r="C1535" s="4" t="s">
        <v>147</v>
      </c>
      <c r="D1535" s="4" t="s">
        <v>60</v>
      </c>
      <c r="E1535" s="4" t="s">
        <v>16</v>
      </c>
      <c r="F1535" s="4" t="s">
        <v>2960</v>
      </c>
      <c r="G1535" s="6">
        <v>2.7</v>
      </c>
      <c r="H1535" s="7">
        <v>45846.355740740742</v>
      </c>
      <c r="I1535" s="7" t="str">
        <f>TEXT(multilingual_mobile_app_reviews_2025[[#This Row],[Review_date]],"dd-mm-yyyy")</f>
        <v>08-07-2025</v>
      </c>
      <c r="J1535" s="7" t="str">
        <f>TEXT(multilingual_mobile_app_reviews_2025[[#This Row],[Review_date]],"YYYY")</f>
        <v>2025</v>
      </c>
      <c r="K1535" s="7" t="str">
        <f>TEXT(multilingual_mobile_app_reviews_2025[[#This Row],[Review_date]],"MMMM")</f>
        <v>July</v>
      </c>
      <c r="L1535" s="4" t="b">
        <v>1</v>
      </c>
      <c r="M1535" s="4" t="s">
        <v>22</v>
      </c>
      <c r="N1535" s="5">
        <v>355</v>
      </c>
      <c r="O1535" s="5">
        <v>74</v>
      </c>
      <c r="P1535" s="4" t="s">
        <v>2963</v>
      </c>
      <c r="Q1535" s="8" t="s">
        <v>5</v>
      </c>
      <c r="R1535" s="4" t="s">
        <v>1853</v>
      </c>
      <c r="S1535" s="4"/>
      <c r="T1535"/>
      <c r="U1535" s="23"/>
    </row>
    <row r="1536" spans="1:21" ht="15.6" x14ac:dyDescent="0.3">
      <c r="A1536" s="4">
        <v>1535</v>
      </c>
      <c r="B1536" s="5">
        <v>1235960</v>
      </c>
      <c r="C1536" s="4" t="s">
        <v>7</v>
      </c>
      <c r="D1536" s="4" t="s">
        <v>31</v>
      </c>
      <c r="E1536" s="4" t="s">
        <v>1854</v>
      </c>
      <c r="F1536" s="4" t="s">
        <v>2953</v>
      </c>
      <c r="G1536" s="6">
        <v>2.2999999999999998</v>
      </c>
      <c r="H1536" s="7">
        <v>45286.60392361111</v>
      </c>
      <c r="I1536" s="7" t="str">
        <f>TEXT(multilingual_mobile_app_reviews_2025[[#This Row],[Review_date]],"dd-mm-yyyy")</f>
        <v>26-12-2023</v>
      </c>
      <c r="J1536" s="7" t="str">
        <f>TEXT(multilingual_mobile_app_reviews_2025[[#This Row],[Review_date]],"YYYY")</f>
        <v>2023</v>
      </c>
      <c r="K1536" s="7" t="str">
        <f>TEXT(multilingual_mobile_app_reviews_2025[[#This Row],[Review_date]],"MMMM")</f>
        <v>December</v>
      </c>
      <c r="L1536" s="4" t="b">
        <v>0</v>
      </c>
      <c r="M1536" s="4" t="s">
        <v>98</v>
      </c>
      <c r="N1536" s="5">
        <v>1</v>
      </c>
      <c r="O1536" s="5">
        <v>42</v>
      </c>
      <c r="P1536" s="4" t="s">
        <v>90</v>
      </c>
      <c r="Q1536" s="8" t="s">
        <v>12</v>
      </c>
      <c r="R1536" s="4" t="s">
        <v>1855</v>
      </c>
      <c r="S1536" s="4"/>
      <c r="T1536"/>
      <c r="U1536" s="23"/>
    </row>
    <row r="1537" spans="1:21" ht="15.6" x14ac:dyDescent="0.3">
      <c r="A1537" s="4">
        <v>1536</v>
      </c>
      <c r="B1537" s="5">
        <v>6768839</v>
      </c>
      <c r="C1537" s="4" t="s">
        <v>192</v>
      </c>
      <c r="D1537" s="4" t="s">
        <v>79</v>
      </c>
      <c r="E1537" s="4" t="s">
        <v>1856</v>
      </c>
      <c r="F1537" s="4" t="s">
        <v>2957</v>
      </c>
      <c r="G1537" s="6">
        <v>1.9</v>
      </c>
      <c r="H1537" s="7">
        <v>45450.226863425924</v>
      </c>
      <c r="I1537" s="7" t="str">
        <f>TEXT(multilingual_mobile_app_reviews_2025[[#This Row],[Review_date]],"dd-mm-yyyy")</f>
        <v>07-06-2024</v>
      </c>
      <c r="J1537" s="7" t="str">
        <f>TEXT(multilingual_mobile_app_reviews_2025[[#This Row],[Review_date]],"YYYY")</f>
        <v>2024</v>
      </c>
      <c r="K1537" s="7" t="str">
        <f>TEXT(multilingual_mobile_app_reviews_2025[[#This Row],[Review_date]],"MMMM")</f>
        <v>June</v>
      </c>
      <c r="L1537" s="4" t="b">
        <v>1</v>
      </c>
      <c r="M1537" s="4" t="s">
        <v>3</v>
      </c>
      <c r="N1537" s="5">
        <v>49</v>
      </c>
      <c r="O1537" s="5">
        <v>71</v>
      </c>
      <c r="P1537" s="4" t="s">
        <v>85</v>
      </c>
      <c r="Q1537" s="8" t="s">
        <v>12</v>
      </c>
      <c r="R1537" s="4" t="s">
        <v>1857</v>
      </c>
      <c r="S1537" s="4"/>
      <c r="T1537"/>
      <c r="U1537" s="23"/>
    </row>
    <row r="1538" spans="1:21" ht="15.6" x14ac:dyDescent="0.3">
      <c r="A1538" s="4">
        <v>1537</v>
      </c>
      <c r="B1538" s="5">
        <v>4654916</v>
      </c>
      <c r="C1538" s="4" t="s">
        <v>7</v>
      </c>
      <c r="D1538" s="4" t="s">
        <v>1</v>
      </c>
      <c r="E1538" s="4" t="s">
        <v>64</v>
      </c>
      <c r="F1538" s="4" t="s">
        <v>2948</v>
      </c>
      <c r="G1538" s="6">
        <v>3</v>
      </c>
      <c r="H1538" s="7">
        <v>45299.601354166669</v>
      </c>
      <c r="I1538" s="7" t="str">
        <f>TEXT(multilingual_mobile_app_reviews_2025[[#This Row],[Review_date]],"dd-mm-yyyy")</f>
        <v>08-01-2024</v>
      </c>
      <c r="J1538" s="7" t="str">
        <f>TEXT(multilingual_mobile_app_reviews_2025[[#This Row],[Review_date]],"YYYY")</f>
        <v>2024</v>
      </c>
      <c r="K1538" s="7" t="str">
        <f>TEXT(multilingual_mobile_app_reviews_2025[[#This Row],[Review_date]],"MMMM")</f>
        <v>January</v>
      </c>
      <c r="L1538" s="4" t="b">
        <v>1</v>
      </c>
      <c r="M1538" s="4" t="s">
        <v>98</v>
      </c>
      <c r="N1538" s="5">
        <v>1101</v>
      </c>
      <c r="O1538" s="5">
        <v>51</v>
      </c>
      <c r="P1538" s="4" t="s">
        <v>127</v>
      </c>
      <c r="Q1538" s="8" t="s">
        <v>12</v>
      </c>
      <c r="R1538" s="4" t="s">
        <v>1858</v>
      </c>
      <c r="S1538" s="4"/>
      <c r="T1538"/>
      <c r="U1538" s="23"/>
    </row>
    <row r="1539" spans="1:21" ht="15.6" x14ac:dyDescent="0.3">
      <c r="A1539" s="4">
        <v>1538</v>
      </c>
      <c r="B1539" s="5">
        <v>160407</v>
      </c>
      <c r="C1539" s="4" t="s">
        <v>46</v>
      </c>
      <c r="D1539" s="4" t="s">
        <v>97</v>
      </c>
      <c r="E1539" s="4" t="s">
        <v>1859</v>
      </c>
      <c r="F1539" s="4" t="s">
        <v>2957</v>
      </c>
      <c r="G1539" s="6">
        <v>2.4</v>
      </c>
      <c r="H1539" s="7">
        <v>45825.192604166667</v>
      </c>
      <c r="I1539" s="7" t="str">
        <f>TEXT(multilingual_mobile_app_reviews_2025[[#This Row],[Review_date]],"dd-mm-yyyy")</f>
        <v>17-06-2025</v>
      </c>
      <c r="J1539" s="7" t="str">
        <f>TEXT(multilingual_mobile_app_reviews_2025[[#This Row],[Review_date]],"YYYY")</f>
        <v>2025</v>
      </c>
      <c r="K1539" s="7" t="str">
        <f>TEXT(multilingual_mobile_app_reviews_2025[[#This Row],[Review_date]],"MMMM")</f>
        <v>June</v>
      </c>
      <c r="L1539" s="4" t="b">
        <v>1</v>
      </c>
      <c r="M1539" s="4" t="s">
        <v>3</v>
      </c>
      <c r="N1539" s="5">
        <v>1220</v>
      </c>
      <c r="O1539" s="5">
        <v>15</v>
      </c>
      <c r="P1539" s="4" t="s">
        <v>162</v>
      </c>
      <c r="Q1539" s="8" t="s">
        <v>12</v>
      </c>
      <c r="R1539" s="4" t="s">
        <v>1860</v>
      </c>
      <c r="S1539" s="4"/>
      <c r="T1539"/>
      <c r="U1539" s="23"/>
    </row>
    <row r="1540" spans="1:21" ht="15.6" x14ac:dyDescent="0.3">
      <c r="A1540" s="4">
        <v>1539</v>
      </c>
      <c r="B1540" s="5">
        <v>2330889</v>
      </c>
      <c r="C1540" s="4" t="s">
        <v>176</v>
      </c>
      <c r="D1540" s="4" t="s">
        <v>15</v>
      </c>
      <c r="E1540" s="4" t="s">
        <v>76</v>
      </c>
      <c r="F1540" s="4" t="s">
        <v>2958</v>
      </c>
      <c r="G1540" s="6">
        <v>3</v>
      </c>
      <c r="H1540" s="7">
        <v>45348.931226851855</v>
      </c>
      <c r="I1540" s="7" t="str">
        <f>TEXT(multilingual_mobile_app_reviews_2025[[#This Row],[Review_date]],"dd-mm-yyyy")</f>
        <v>26-02-2024</v>
      </c>
      <c r="J1540" s="7" t="str">
        <f>TEXT(multilingual_mobile_app_reviews_2025[[#This Row],[Review_date]],"YYYY")</f>
        <v>2024</v>
      </c>
      <c r="K1540" s="7" t="str">
        <f>TEXT(multilingual_mobile_app_reviews_2025[[#This Row],[Review_date]],"MMMM")</f>
        <v>February</v>
      </c>
      <c r="L1540" s="4" t="b">
        <v>1</v>
      </c>
      <c r="M1540" s="4" t="s">
        <v>98</v>
      </c>
      <c r="N1540" s="5">
        <v>1134</v>
      </c>
      <c r="O1540" s="5">
        <v>20</v>
      </c>
      <c r="P1540" s="4" t="s">
        <v>94</v>
      </c>
      <c r="Q1540" s="8" t="s">
        <v>39</v>
      </c>
      <c r="R1540" s="4" t="s">
        <v>1861</v>
      </c>
      <c r="S1540" s="4"/>
      <c r="T1540"/>
      <c r="U1540" s="23"/>
    </row>
    <row r="1541" spans="1:21" ht="15.6" x14ac:dyDescent="0.3">
      <c r="A1541" s="4">
        <v>1540</v>
      </c>
      <c r="B1541" s="5">
        <v>4277662</v>
      </c>
      <c r="C1541" s="4" t="s">
        <v>69</v>
      </c>
      <c r="D1541" s="4" t="s">
        <v>97</v>
      </c>
      <c r="E1541" s="4" t="s">
        <v>1862</v>
      </c>
      <c r="F1541" s="4" t="s">
        <v>2948</v>
      </c>
      <c r="G1541" s="6">
        <v>4</v>
      </c>
      <c r="H1541" s="7">
        <v>45836.636284722219</v>
      </c>
      <c r="I1541" s="7" t="str">
        <f>TEXT(multilingual_mobile_app_reviews_2025[[#This Row],[Review_date]],"dd-mm-yyyy")</f>
        <v>28-06-2025</v>
      </c>
      <c r="J1541" s="7" t="str">
        <f>TEXT(multilingual_mobile_app_reviews_2025[[#This Row],[Review_date]],"YYYY")</f>
        <v>2025</v>
      </c>
      <c r="K1541" s="7" t="str">
        <f>TEXT(multilingual_mobile_app_reviews_2025[[#This Row],[Review_date]],"MMMM")</f>
        <v>June</v>
      </c>
      <c r="L1541" s="4" t="b">
        <v>0</v>
      </c>
      <c r="M1541" s="4" t="s">
        <v>33</v>
      </c>
      <c r="N1541" s="5">
        <v>1166</v>
      </c>
      <c r="O1541" s="5">
        <v>36</v>
      </c>
      <c r="P1541" s="4" t="s">
        <v>80</v>
      </c>
      <c r="Q1541" s="8" t="s">
        <v>39</v>
      </c>
      <c r="R1541" s="4" t="s">
        <v>1863</v>
      </c>
      <c r="S1541" s="4"/>
      <c r="T1541"/>
      <c r="U1541" s="23"/>
    </row>
    <row r="1542" spans="1:21" ht="15.6" x14ac:dyDescent="0.3">
      <c r="A1542" s="4">
        <v>1541</v>
      </c>
      <c r="B1542" s="5">
        <v>5047522</v>
      </c>
      <c r="C1542" s="4" t="s">
        <v>87</v>
      </c>
      <c r="D1542" s="4" t="s">
        <v>15</v>
      </c>
      <c r="E1542" s="4" t="s">
        <v>64</v>
      </c>
      <c r="F1542" s="4" t="s">
        <v>2961</v>
      </c>
      <c r="G1542" s="6">
        <v>2.7</v>
      </c>
      <c r="H1542" s="7">
        <v>45391.02983796296</v>
      </c>
      <c r="I1542" s="7" t="str">
        <f>TEXT(multilingual_mobile_app_reviews_2025[[#This Row],[Review_date]],"dd-mm-yyyy")</f>
        <v>09-04-2024</v>
      </c>
      <c r="J1542" s="7" t="str">
        <f>TEXT(multilingual_mobile_app_reviews_2025[[#This Row],[Review_date]],"YYYY")</f>
        <v>2024</v>
      </c>
      <c r="K1542" s="7" t="str">
        <f>TEXT(multilingual_mobile_app_reviews_2025[[#This Row],[Review_date]],"MMMM")</f>
        <v>April</v>
      </c>
      <c r="L1542" s="4" t="b">
        <v>1</v>
      </c>
      <c r="M1542" s="4" t="s">
        <v>10</v>
      </c>
      <c r="N1542" s="5">
        <v>140</v>
      </c>
      <c r="O1542" s="5">
        <v>68</v>
      </c>
      <c r="P1542" s="4" t="s">
        <v>34</v>
      </c>
      <c r="Q1542" s="8" t="s">
        <v>39</v>
      </c>
      <c r="R1542" s="4" t="s">
        <v>1864</v>
      </c>
      <c r="S1542" s="4"/>
      <c r="T1542"/>
      <c r="U1542" s="23"/>
    </row>
    <row r="1543" spans="1:21" ht="15.6" x14ac:dyDescent="0.3">
      <c r="A1543" s="4">
        <v>1542</v>
      </c>
      <c r="B1543" s="5">
        <v>274620</v>
      </c>
      <c r="C1543" s="4" t="s">
        <v>84</v>
      </c>
      <c r="D1543" s="4" t="s">
        <v>79</v>
      </c>
      <c r="E1543" s="4" t="s">
        <v>1865</v>
      </c>
      <c r="F1543" s="4" t="s">
        <v>2940</v>
      </c>
      <c r="G1543" s="6">
        <v>4.7</v>
      </c>
      <c r="H1543" s="7">
        <v>45485.340138888889</v>
      </c>
      <c r="I1543" s="7" t="str">
        <f>TEXT(multilingual_mobile_app_reviews_2025[[#This Row],[Review_date]],"dd-mm-yyyy")</f>
        <v>12-07-2024</v>
      </c>
      <c r="J1543" s="7" t="str">
        <f>TEXT(multilingual_mobile_app_reviews_2025[[#This Row],[Review_date]],"YYYY")</f>
        <v>2024</v>
      </c>
      <c r="K1543" s="7" t="str">
        <f>TEXT(multilingual_mobile_app_reviews_2025[[#This Row],[Review_date]],"MMMM")</f>
        <v>July</v>
      </c>
      <c r="L1543" s="4" t="b">
        <v>1</v>
      </c>
      <c r="M1543" s="4" t="s">
        <v>3</v>
      </c>
      <c r="N1543" s="5">
        <v>429</v>
      </c>
      <c r="O1543" s="5">
        <v>50</v>
      </c>
      <c r="P1543" s="4" t="s">
        <v>180</v>
      </c>
      <c r="Q1543" s="8" t="s">
        <v>12</v>
      </c>
      <c r="R1543" s="4" t="s">
        <v>363</v>
      </c>
      <c r="S1543" s="4"/>
      <c r="T1543"/>
      <c r="U1543" s="23"/>
    </row>
    <row r="1544" spans="1:21" ht="15.6" x14ac:dyDescent="0.3">
      <c r="A1544" s="4">
        <v>1543</v>
      </c>
      <c r="B1544" s="5">
        <v>7379693</v>
      </c>
      <c r="C1544" s="4" t="s">
        <v>113</v>
      </c>
      <c r="D1544" s="4" t="s">
        <v>8</v>
      </c>
      <c r="E1544" s="4" t="s">
        <v>1866</v>
      </c>
      <c r="F1544" s="4" t="s">
        <v>2959</v>
      </c>
      <c r="G1544" s="6">
        <v>1.4</v>
      </c>
      <c r="H1544" s="7">
        <v>45721.765509259261</v>
      </c>
      <c r="I1544" s="7" t="str">
        <f>TEXT(multilingual_mobile_app_reviews_2025[[#This Row],[Review_date]],"dd-mm-yyyy")</f>
        <v>05-03-2025</v>
      </c>
      <c r="J1544" s="7" t="str">
        <f>TEXT(multilingual_mobile_app_reviews_2025[[#This Row],[Review_date]],"YYYY")</f>
        <v>2025</v>
      </c>
      <c r="K1544" s="7" t="str">
        <f>TEXT(multilingual_mobile_app_reviews_2025[[#This Row],[Review_date]],"MMMM")</f>
        <v>March</v>
      </c>
      <c r="L1544" s="4" t="b">
        <v>1</v>
      </c>
      <c r="M1544" s="4" t="s">
        <v>3</v>
      </c>
      <c r="N1544" s="5">
        <v>1141</v>
      </c>
      <c r="O1544" s="5">
        <v>43</v>
      </c>
      <c r="P1544" s="4" t="s">
        <v>80</v>
      </c>
      <c r="Q1544" s="8" t="s">
        <v>2963</v>
      </c>
      <c r="R1544" s="4" t="s">
        <v>1867</v>
      </c>
      <c r="S1544" s="4"/>
      <c r="T1544"/>
      <c r="U1544" s="23"/>
    </row>
    <row r="1545" spans="1:21" ht="15.6" x14ac:dyDescent="0.3">
      <c r="A1545" s="4">
        <v>1544</v>
      </c>
      <c r="B1545" s="5">
        <v>1773190</v>
      </c>
      <c r="C1545" s="4" t="s">
        <v>199</v>
      </c>
      <c r="D1545" s="4" t="s">
        <v>42</v>
      </c>
      <c r="E1545" s="4" t="s">
        <v>9</v>
      </c>
      <c r="F1545" s="4" t="s">
        <v>2962</v>
      </c>
      <c r="G1545" s="6">
        <v>2.2999999999999998</v>
      </c>
      <c r="H1545" s="7">
        <v>45432.382557870369</v>
      </c>
      <c r="I1545" s="7" t="str">
        <f>TEXT(multilingual_mobile_app_reviews_2025[[#This Row],[Review_date]],"dd-mm-yyyy")</f>
        <v>20-05-2024</v>
      </c>
      <c r="J1545" s="7" t="str">
        <f>TEXT(multilingual_mobile_app_reviews_2025[[#This Row],[Review_date]],"YYYY")</f>
        <v>2024</v>
      </c>
      <c r="K1545" s="7" t="str">
        <f>TEXT(multilingual_mobile_app_reviews_2025[[#This Row],[Review_date]],"MMMM")</f>
        <v>May</v>
      </c>
      <c r="L1545" s="4" t="b">
        <v>1</v>
      </c>
      <c r="M1545" s="4" t="s">
        <v>98</v>
      </c>
      <c r="N1545" s="5">
        <v>118</v>
      </c>
      <c r="O1545" s="5">
        <v>34</v>
      </c>
      <c r="P1545" s="4" t="s">
        <v>114</v>
      </c>
      <c r="Q1545" s="8" t="s">
        <v>2963</v>
      </c>
      <c r="R1545" s="4" t="s">
        <v>1868</v>
      </c>
      <c r="S1545" s="4"/>
      <c r="T1545"/>
      <c r="U1545" s="23"/>
    </row>
    <row r="1546" spans="1:21" ht="15.6" x14ac:dyDescent="0.3">
      <c r="A1546" s="4">
        <v>1545</v>
      </c>
      <c r="B1546" s="5">
        <v>447555</v>
      </c>
      <c r="C1546" s="4" t="s">
        <v>46</v>
      </c>
      <c r="D1546" s="4" t="s">
        <v>220</v>
      </c>
      <c r="E1546" s="4" t="s">
        <v>130</v>
      </c>
      <c r="F1546" s="4" t="s">
        <v>2951</v>
      </c>
      <c r="G1546" s="6">
        <v>2.2000000000000002</v>
      </c>
      <c r="H1546" s="7">
        <v>45224.345381944448</v>
      </c>
      <c r="I1546" s="7" t="str">
        <f>TEXT(multilingual_mobile_app_reviews_2025[[#This Row],[Review_date]],"dd-mm-yyyy")</f>
        <v>25-10-2023</v>
      </c>
      <c r="J1546" s="7" t="str">
        <f>TEXT(multilingual_mobile_app_reviews_2025[[#This Row],[Review_date]],"YYYY")</f>
        <v>2023</v>
      </c>
      <c r="K1546" s="7" t="str">
        <f>TEXT(multilingual_mobile_app_reviews_2025[[#This Row],[Review_date]],"MMMM")</f>
        <v>October</v>
      </c>
      <c r="L1546" s="4" t="b">
        <v>1</v>
      </c>
      <c r="M1546" s="4" t="s">
        <v>98</v>
      </c>
      <c r="N1546" s="5">
        <v>802</v>
      </c>
      <c r="O1546" s="5">
        <v>26</v>
      </c>
      <c r="P1546" s="4" t="s">
        <v>118</v>
      </c>
      <c r="Q1546" s="8" t="s">
        <v>5</v>
      </c>
      <c r="R1546" s="4" t="s">
        <v>478</v>
      </c>
      <c r="S1546" s="4"/>
      <c r="T1546"/>
      <c r="U1546" s="23"/>
    </row>
    <row r="1547" spans="1:21" ht="15.6" x14ac:dyDescent="0.3">
      <c r="A1547" s="4">
        <v>1546</v>
      </c>
      <c r="B1547" s="5">
        <v>833836</v>
      </c>
      <c r="C1547" s="4" t="s">
        <v>132</v>
      </c>
      <c r="D1547" s="4" t="s">
        <v>42</v>
      </c>
      <c r="E1547" s="4" t="s">
        <v>21</v>
      </c>
      <c r="F1547" s="4" t="s">
        <v>2955</v>
      </c>
      <c r="G1547" s="6">
        <v>4.7</v>
      </c>
      <c r="H1547" s="7">
        <v>45241.544768518521</v>
      </c>
      <c r="I1547" s="7" t="str">
        <f>TEXT(multilingual_mobile_app_reviews_2025[[#This Row],[Review_date]],"dd-mm-yyyy")</f>
        <v>11-11-2023</v>
      </c>
      <c r="J1547" s="7" t="str">
        <f>TEXT(multilingual_mobile_app_reviews_2025[[#This Row],[Review_date]],"YYYY")</f>
        <v>2023</v>
      </c>
      <c r="K1547" s="7" t="str">
        <f>TEXT(multilingual_mobile_app_reviews_2025[[#This Row],[Review_date]],"MMMM")</f>
        <v>November</v>
      </c>
      <c r="L1547" s="4" t="b">
        <v>1</v>
      </c>
      <c r="M1547" s="4" t="s">
        <v>98</v>
      </c>
      <c r="N1547" s="5">
        <v>1007</v>
      </c>
      <c r="O1547" s="5">
        <v>57</v>
      </c>
      <c r="P1547" s="4" t="s">
        <v>61</v>
      </c>
      <c r="Q1547" s="8" t="s">
        <v>39</v>
      </c>
      <c r="R1547" s="4" t="s">
        <v>1869</v>
      </c>
      <c r="S1547" s="4"/>
      <c r="T1547"/>
      <c r="U1547" s="23"/>
    </row>
    <row r="1548" spans="1:21" ht="15.6" x14ac:dyDescent="0.3">
      <c r="A1548" s="4">
        <v>1547</v>
      </c>
      <c r="B1548" s="5">
        <v>1502500</v>
      </c>
      <c r="C1548" s="4" t="s">
        <v>19</v>
      </c>
      <c r="D1548" s="4" t="s">
        <v>157</v>
      </c>
      <c r="E1548" s="4" t="s">
        <v>27</v>
      </c>
      <c r="F1548" s="4" t="s">
        <v>2943</v>
      </c>
      <c r="G1548" s="6">
        <v>1.4</v>
      </c>
      <c r="H1548" s="7">
        <v>45346.773206018515</v>
      </c>
      <c r="I1548" s="7" t="str">
        <f>TEXT(multilingual_mobile_app_reviews_2025[[#This Row],[Review_date]],"dd-mm-yyyy")</f>
        <v>24-02-2024</v>
      </c>
      <c r="J1548" s="7" t="str">
        <f>TEXT(multilingual_mobile_app_reviews_2025[[#This Row],[Review_date]],"YYYY")</f>
        <v>2024</v>
      </c>
      <c r="K1548" s="7" t="str">
        <f>TEXT(multilingual_mobile_app_reviews_2025[[#This Row],[Review_date]],"MMMM")</f>
        <v>February</v>
      </c>
      <c r="L1548" s="4" t="b">
        <v>1</v>
      </c>
      <c r="M1548" s="4" t="s">
        <v>33</v>
      </c>
      <c r="N1548" s="5">
        <v>773</v>
      </c>
      <c r="O1548" s="5">
        <v>23</v>
      </c>
      <c r="P1548" s="4" t="s">
        <v>180</v>
      </c>
      <c r="Q1548" s="8" t="s">
        <v>39</v>
      </c>
      <c r="R1548" s="4" t="s">
        <v>1870</v>
      </c>
      <c r="S1548" s="4"/>
      <c r="T1548"/>
      <c r="U1548" s="23"/>
    </row>
    <row r="1549" spans="1:21" ht="15.6" x14ac:dyDescent="0.3">
      <c r="A1549" s="4">
        <v>1548</v>
      </c>
      <c r="B1549" s="5">
        <v>326440</v>
      </c>
      <c r="C1549" s="4" t="s">
        <v>67</v>
      </c>
      <c r="D1549" s="4" t="s">
        <v>63</v>
      </c>
      <c r="E1549" s="4" t="s">
        <v>130</v>
      </c>
      <c r="F1549" s="4" t="s">
        <v>2946</v>
      </c>
      <c r="G1549" s="6">
        <v>4.4000000000000004</v>
      </c>
      <c r="H1549" s="7">
        <v>45754.353877314818</v>
      </c>
      <c r="I1549" s="7" t="str">
        <f>TEXT(multilingual_mobile_app_reviews_2025[[#This Row],[Review_date]],"dd-mm-yyyy")</f>
        <v>07-04-2025</v>
      </c>
      <c r="J1549" s="7" t="str">
        <f>TEXT(multilingual_mobile_app_reviews_2025[[#This Row],[Review_date]],"YYYY")</f>
        <v>2025</v>
      </c>
      <c r="K1549" s="7" t="str">
        <f>TEXT(multilingual_mobile_app_reviews_2025[[#This Row],[Review_date]],"MMMM")</f>
        <v>April</v>
      </c>
      <c r="L1549" s="4" t="b">
        <v>1</v>
      </c>
      <c r="M1549" s="4" t="s">
        <v>98</v>
      </c>
      <c r="N1549" s="5">
        <v>377</v>
      </c>
      <c r="O1549" s="5">
        <v>36</v>
      </c>
      <c r="P1549" s="4" t="s">
        <v>4</v>
      </c>
      <c r="Q1549" s="8" t="s">
        <v>39</v>
      </c>
      <c r="R1549" s="4" t="s">
        <v>1871</v>
      </c>
      <c r="S1549" s="4"/>
      <c r="T1549"/>
      <c r="U1549" s="23"/>
    </row>
    <row r="1550" spans="1:21" ht="15.6" x14ac:dyDescent="0.3">
      <c r="A1550" s="4">
        <v>1549</v>
      </c>
      <c r="B1550" s="5">
        <v>1884071</v>
      </c>
      <c r="C1550" s="4" t="s">
        <v>0</v>
      </c>
      <c r="D1550" s="4" t="s">
        <v>47</v>
      </c>
      <c r="E1550" s="4" t="s">
        <v>32</v>
      </c>
      <c r="F1550" s="4" t="s">
        <v>2940</v>
      </c>
      <c r="G1550" s="6">
        <v>3.8</v>
      </c>
      <c r="H1550" s="7">
        <v>45560.149629629632</v>
      </c>
      <c r="I1550" s="7" t="str">
        <f>TEXT(multilingual_mobile_app_reviews_2025[[#This Row],[Review_date]],"dd-mm-yyyy")</f>
        <v>25-09-2024</v>
      </c>
      <c r="J1550" s="7" t="str">
        <f>TEXT(multilingual_mobile_app_reviews_2025[[#This Row],[Review_date]],"YYYY")</f>
        <v>2024</v>
      </c>
      <c r="K1550" s="7" t="str">
        <f>TEXT(multilingual_mobile_app_reviews_2025[[#This Row],[Review_date]],"MMMM")</f>
        <v>September</v>
      </c>
      <c r="L1550" s="4" t="b">
        <v>0</v>
      </c>
      <c r="M1550" s="4" t="s">
        <v>98</v>
      </c>
      <c r="N1550" s="5">
        <v>368</v>
      </c>
      <c r="O1550" s="5">
        <v>26</v>
      </c>
      <c r="P1550" s="4" t="s">
        <v>28</v>
      </c>
      <c r="Q1550" s="8" t="s">
        <v>5</v>
      </c>
      <c r="R1550" s="4" t="s">
        <v>1872</v>
      </c>
      <c r="S1550" s="4"/>
      <c r="T1550"/>
      <c r="U1550" s="23"/>
    </row>
    <row r="1551" spans="1:21" ht="15.6" x14ac:dyDescent="0.3">
      <c r="A1551" s="4">
        <v>1550</v>
      </c>
      <c r="B1551" s="5">
        <v>5777240</v>
      </c>
      <c r="C1551" s="4" t="s">
        <v>50</v>
      </c>
      <c r="D1551" s="4" t="s">
        <v>51</v>
      </c>
      <c r="E1551" s="4" t="s">
        <v>2938</v>
      </c>
      <c r="F1551" s="4" t="s">
        <v>2955</v>
      </c>
      <c r="G1551" s="6">
        <v>2.2999999999999998</v>
      </c>
      <c r="H1551" s="7">
        <v>45801.205636574072</v>
      </c>
      <c r="I1551" s="7" t="str">
        <f>TEXT(multilingual_mobile_app_reviews_2025[[#This Row],[Review_date]],"dd-mm-yyyy")</f>
        <v>24-05-2025</v>
      </c>
      <c r="J1551" s="7" t="str">
        <f>TEXT(multilingual_mobile_app_reviews_2025[[#This Row],[Review_date]],"YYYY")</f>
        <v>2025</v>
      </c>
      <c r="K1551" s="7" t="str">
        <f>TEXT(multilingual_mobile_app_reviews_2025[[#This Row],[Review_date]],"MMMM")</f>
        <v>May</v>
      </c>
      <c r="L1551" s="4" t="b">
        <v>0</v>
      </c>
      <c r="M1551" s="4" t="s">
        <v>33</v>
      </c>
      <c r="N1551" s="5">
        <v>577</v>
      </c>
      <c r="O1551" s="5">
        <v>32</v>
      </c>
      <c r="P1551" s="4" t="s">
        <v>114</v>
      </c>
      <c r="Q1551" s="8" t="s">
        <v>5</v>
      </c>
      <c r="R1551" s="4" t="s">
        <v>1873</v>
      </c>
      <c r="S1551" s="4"/>
      <c r="T1551"/>
      <c r="U1551" s="23"/>
    </row>
    <row r="1552" spans="1:21" ht="15.6" x14ac:dyDescent="0.3">
      <c r="A1552" s="4">
        <v>1551</v>
      </c>
      <c r="B1552" s="5">
        <v>1525479</v>
      </c>
      <c r="C1552" s="4" t="s">
        <v>56</v>
      </c>
      <c r="D1552" s="4" t="s">
        <v>51</v>
      </c>
      <c r="E1552" s="4" t="s">
        <v>1874</v>
      </c>
      <c r="F1552" s="4" t="s">
        <v>2941</v>
      </c>
      <c r="G1552" s="6">
        <v>2.2000000000000002</v>
      </c>
      <c r="H1552" s="7">
        <v>45369.361875000002</v>
      </c>
      <c r="I1552" s="7" t="str">
        <f>TEXT(multilingual_mobile_app_reviews_2025[[#This Row],[Review_date]],"dd-mm-yyyy")</f>
        <v>18-03-2024</v>
      </c>
      <c r="J1552" s="7" t="str">
        <f>TEXT(multilingual_mobile_app_reviews_2025[[#This Row],[Review_date]],"YYYY")</f>
        <v>2024</v>
      </c>
      <c r="K1552" s="7" t="str">
        <f>TEXT(multilingual_mobile_app_reviews_2025[[#This Row],[Review_date]],"MMMM")</f>
        <v>March</v>
      </c>
      <c r="L1552" s="4" t="b">
        <v>1</v>
      </c>
      <c r="M1552" s="4" t="s">
        <v>98</v>
      </c>
      <c r="N1552" s="5">
        <v>463</v>
      </c>
      <c r="O1552" s="5">
        <v>73</v>
      </c>
      <c r="P1552" s="4" t="s">
        <v>4</v>
      </c>
      <c r="Q1552" s="8" t="s">
        <v>12</v>
      </c>
      <c r="R1552" s="4" t="s">
        <v>363</v>
      </c>
      <c r="S1552" s="4"/>
      <c r="T1552"/>
      <c r="U1552" s="23"/>
    </row>
    <row r="1553" spans="1:21" ht="15.6" x14ac:dyDescent="0.3">
      <c r="A1553" s="4">
        <v>1552</v>
      </c>
      <c r="B1553" s="5">
        <v>8682257</v>
      </c>
      <c r="C1553" s="4" t="s">
        <v>14</v>
      </c>
      <c r="D1553" s="4" t="s">
        <v>111</v>
      </c>
      <c r="E1553" s="4" t="s">
        <v>32</v>
      </c>
      <c r="F1553" s="4" t="s">
        <v>2941</v>
      </c>
      <c r="G1553" s="6">
        <v>1.1000000000000001</v>
      </c>
      <c r="H1553" s="7">
        <v>45827.409675925926</v>
      </c>
      <c r="I1553" s="7" t="str">
        <f>TEXT(multilingual_mobile_app_reviews_2025[[#This Row],[Review_date]],"dd-mm-yyyy")</f>
        <v>19-06-2025</v>
      </c>
      <c r="J1553" s="7" t="str">
        <f>TEXT(multilingual_mobile_app_reviews_2025[[#This Row],[Review_date]],"YYYY")</f>
        <v>2025</v>
      </c>
      <c r="K1553" s="7" t="str">
        <f>TEXT(multilingual_mobile_app_reviews_2025[[#This Row],[Review_date]],"MMMM")</f>
        <v>June</v>
      </c>
      <c r="L1553" s="4" t="b">
        <v>1</v>
      </c>
      <c r="M1553" s="4" t="s">
        <v>3</v>
      </c>
      <c r="N1553" s="5">
        <v>189</v>
      </c>
      <c r="O1553" s="5">
        <v>68</v>
      </c>
      <c r="P1553" s="4" t="s">
        <v>85</v>
      </c>
      <c r="Q1553" s="8" t="s">
        <v>2963</v>
      </c>
      <c r="R1553" s="4" t="s">
        <v>1875</v>
      </c>
      <c r="S1553" s="4"/>
      <c r="T1553"/>
      <c r="U1553" s="23"/>
    </row>
    <row r="1554" spans="1:21" ht="15.6" x14ac:dyDescent="0.3">
      <c r="A1554" s="4">
        <v>1553</v>
      </c>
      <c r="B1554" s="5">
        <v>2479596</v>
      </c>
      <c r="C1554" s="4" t="s">
        <v>174</v>
      </c>
      <c r="D1554" s="4" t="s">
        <v>26</v>
      </c>
      <c r="E1554" s="4" t="s">
        <v>1876</v>
      </c>
      <c r="F1554" s="4" t="s">
        <v>2945</v>
      </c>
      <c r="G1554" s="6">
        <v>3.2</v>
      </c>
      <c r="H1554" s="7">
        <v>45672.30541666667</v>
      </c>
      <c r="I1554" s="7" t="str">
        <f>TEXT(multilingual_mobile_app_reviews_2025[[#This Row],[Review_date]],"dd-mm-yyyy")</f>
        <v>15-01-2025</v>
      </c>
      <c r="J1554" s="7" t="str">
        <f>TEXT(multilingual_mobile_app_reviews_2025[[#This Row],[Review_date]],"YYYY")</f>
        <v>2025</v>
      </c>
      <c r="K1554" s="7" t="str">
        <f>TEXT(multilingual_mobile_app_reviews_2025[[#This Row],[Review_date]],"MMMM")</f>
        <v>January</v>
      </c>
      <c r="L1554" s="4" t="b">
        <v>0</v>
      </c>
      <c r="M1554" s="4" t="s">
        <v>22</v>
      </c>
      <c r="N1554" s="5">
        <v>592</v>
      </c>
      <c r="O1554" s="5">
        <v>17</v>
      </c>
      <c r="P1554" s="4" t="s">
        <v>23</v>
      </c>
      <c r="Q1554" s="8" t="s">
        <v>5</v>
      </c>
      <c r="R1554" s="4" t="s">
        <v>363</v>
      </c>
      <c r="S1554" s="4"/>
      <c r="T1554"/>
      <c r="U1554" s="23"/>
    </row>
    <row r="1555" spans="1:21" ht="15.6" x14ac:dyDescent="0.3">
      <c r="A1555" s="4">
        <v>1554</v>
      </c>
      <c r="B1555" s="5">
        <v>1985904</v>
      </c>
      <c r="C1555" s="4" t="s">
        <v>46</v>
      </c>
      <c r="D1555" s="4" t="s">
        <v>1</v>
      </c>
      <c r="E1555" s="4" t="s">
        <v>16</v>
      </c>
      <c r="F1555" s="4" t="s">
        <v>2946</v>
      </c>
      <c r="G1555" s="6">
        <v>4.5</v>
      </c>
      <c r="H1555" s="7">
        <v>45520.886608796296</v>
      </c>
      <c r="I1555" s="7" t="str">
        <f>TEXT(multilingual_mobile_app_reviews_2025[[#This Row],[Review_date]],"dd-mm-yyyy")</f>
        <v>16-08-2024</v>
      </c>
      <c r="J1555" s="7" t="str">
        <f>TEXT(multilingual_mobile_app_reviews_2025[[#This Row],[Review_date]],"YYYY")</f>
        <v>2024</v>
      </c>
      <c r="K1555" s="7" t="str">
        <f>TEXT(multilingual_mobile_app_reviews_2025[[#This Row],[Review_date]],"MMMM")</f>
        <v>August</v>
      </c>
      <c r="L1555" s="4" t="b">
        <v>1</v>
      </c>
      <c r="M1555" s="4" t="s">
        <v>98</v>
      </c>
      <c r="N1555" s="5">
        <v>634</v>
      </c>
      <c r="O1555" s="5">
        <v>32</v>
      </c>
      <c r="P1555" s="4" t="s">
        <v>70</v>
      </c>
      <c r="Q1555" s="8" t="s">
        <v>12</v>
      </c>
      <c r="R1555" s="4" t="s">
        <v>708</v>
      </c>
      <c r="S1555" s="4"/>
      <c r="T1555"/>
      <c r="U1555" s="23"/>
    </row>
    <row r="1556" spans="1:21" ht="15.6" x14ac:dyDescent="0.3">
      <c r="A1556" s="4">
        <v>1555</v>
      </c>
      <c r="B1556" s="5">
        <v>1947769</v>
      </c>
      <c r="C1556" s="4" t="s">
        <v>101</v>
      </c>
      <c r="D1556" s="4" t="s">
        <v>57</v>
      </c>
      <c r="E1556" s="4" t="s">
        <v>16</v>
      </c>
      <c r="F1556" s="4" t="s">
        <v>2939</v>
      </c>
      <c r="G1556" s="6">
        <v>1.8</v>
      </c>
      <c r="H1556" s="7">
        <v>45313.27002314815</v>
      </c>
      <c r="I1556" s="7" t="str">
        <f>TEXT(multilingual_mobile_app_reviews_2025[[#This Row],[Review_date]],"dd-mm-yyyy")</f>
        <v>22-01-2024</v>
      </c>
      <c r="J1556" s="7" t="str">
        <f>TEXT(multilingual_mobile_app_reviews_2025[[#This Row],[Review_date]],"YYYY")</f>
        <v>2024</v>
      </c>
      <c r="K1556" s="7" t="str">
        <f>TEXT(multilingual_mobile_app_reviews_2025[[#This Row],[Review_date]],"MMMM")</f>
        <v>January</v>
      </c>
      <c r="L1556" s="4" t="b">
        <v>1</v>
      </c>
      <c r="M1556" s="4" t="s">
        <v>10</v>
      </c>
      <c r="N1556" s="5">
        <v>724</v>
      </c>
      <c r="O1556" s="5">
        <v>61</v>
      </c>
      <c r="P1556" s="4" t="s">
        <v>11</v>
      </c>
      <c r="Q1556" s="8" t="s">
        <v>39</v>
      </c>
      <c r="R1556" s="4" t="s">
        <v>1877</v>
      </c>
      <c r="S1556" s="4"/>
      <c r="T1556"/>
      <c r="U1556" s="23"/>
    </row>
    <row r="1557" spans="1:21" ht="15.6" x14ac:dyDescent="0.3">
      <c r="A1557" s="4">
        <v>1556</v>
      </c>
      <c r="B1557" s="5">
        <v>4828058</v>
      </c>
      <c r="C1557" s="4" t="s">
        <v>54</v>
      </c>
      <c r="D1557" s="4" t="s">
        <v>111</v>
      </c>
      <c r="E1557" s="4" t="s">
        <v>130</v>
      </c>
      <c r="F1557" s="4" t="s">
        <v>2944</v>
      </c>
      <c r="G1557" s="6">
        <v>2</v>
      </c>
      <c r="H1557" s="7">
        <v>45416.407523148147</v>
      </c>
      <c r="I1557" s="7" t="str">
        <f>TEXT(multilingual_mobile_app_reviews_2025[[#This Row],[Review_date]],"dd-mm-yyyy")</f>
        <v>04-05-2024</v>
      </c>
      <c r="J1557" s="7" t="str">
        <f>TEXT(multilingual_mobile_app_reviews_2025[[#This Row],[Review_date]],"YYYY")</f>
        <v>2024</v>
      </c>
      <c r="K1557" s="7" t="str">
        <f>TEXT(multilingual_mobile_app_reviews_2025[[#This Row],[Review_date]],"MMMM")</f>
        <v>May</v>
      </c>
      <c r="L1557" s="4" t="b">
        <v>1</v>
      </c>
      <c r="M1557" s="4" t="s">
        <v>33</v>
      </c>
      <c r="N1557" s="5">
        <v>1075</v>
      </c>
      <c r="O1557" s="5">
        <v>41</v>
      </c>
      <c r="P1557" s="4" t="s">
        <v>118</v>
      </c>
      <c r="Q1557" s="8" t="s">
        <v>2963</v>
      </c>
      <c r="R1557" s="4" t="s">
        <v>1878</v>
      </c>
      <c r="S1557" s="4"/>
      <c r="T1557"/>
      <c r="U1557" s="23"/>
    </row>
    <row r="1558" spans="1:21" ht="15.6" x14ac:dyDescent="0.3">
      <c r="A1558" s="4">
        <v>1557</v>
      </c>
      <c r="B1558" s="5">
        <v>5698972</v>
      </c>
      <c r="C1558" s="4" t="s">
        <v>147</v>
      </c>
      <c r="D1558" s="4" t="s">
        <v>71</v>
      </c>
      <c r="E1558" s="4" t="s">
        <v>32</v>
      </c>
      <c r="F1558" s="4" t="s">
        <v>2939</v>
      </c>
      <c r="G1558" s="6">
        <v>1.9</v>
      </c>
      <c r="H1558" s="7">
        <v>45230.804189814815</v>
      </c>
      <c r="I1558" s="7" t="str">
        <f>TEXT(multilingual_mobile_app_reviews_2025[[#This Row],[Review_date]],"dd-mm-yyyy")</f>
        <v>31-10-2023</v>
      </c>
      <c r="J1558" s="7" t="str">
        <f>TEXT(multilingual_mobile_app_reviews_2025[[#This Row],[Review_date]],"YYYY")</f>
        <v>2023</v>
      </c>
      <c r="K1558" s="7" t="str">
        <f>TEXT(multilingual_mobile_app_reviews_2025[[#This Row],[Review_date]],"MMMM")</f>
        <v>October</v>
      </c>
      <c r="L1558" s="4" t="b">
        <v>1</v>
      </c>
      <c r="M1558" s="4" t="s">
        <v>3</v>
      </c>
      <c r="N1558" s="5">
        <v>923</v>
      </c>
      <c r="O1558" s="5">
        <v>35</v>
      </c>
      <c r="P1558" s="4" t="s">
        <v>17</v>
      </c>
      <c r="Q1558" s="8" t="s">
        <v>12</v>
      </c>
      <c r="R1558" s="4" t="s">
        <v>1879</v>
      </c>
      <c r="S1558" s="4"/>
      <c r="T1558"/>
      <c r="U1558" s="23"/>
    </row>
    <row r="1559" spans="1:21" ht="15.6" x14ac:dyDescent="0.3">
      <c r="A1559" s="4">
        <v>1558</v>
      </c>
      <c r="B1559" s="5">
        <v>1522780</v>
      </c>
      <c r="C1559" s="4" t="s">
        <v>106</v>
      </c>
      <c r="D1559" s="4" t="s">
        <v>63</v>
      </c>
      <c r="E1559" s="4" t="s">
        <v>21</v>
      </c>
      <c r="F1559" s="4" t="s">
        <v>2945</v>
      </c>
      <c r="G1559" s="6">
        <v>4.0999999999999996</v>
      </c>
      <c r="H1559" s="7">
        <v>45834.500868055555</v>
      </c>
      <c r="I1559" s="7" t="str">
        <f>TEXT(multilingual_mobile_app_reviews_2025[[#This Row],[Review_date]],"dd-mm-yyyy")</f>
        <v>26-06-2025</v>
      </c>
      <c r="J1559" s="7" t="str">
        <f>TEXT(multilingual_mobile_app_reviews_2025[[#This Row],[Review_date]],"YYYY")</f>
        <v>2025</v>
      </c>
      <c r="K1559" s="7" t="str">
        <f>TEXT(multilingual_mobile_app_reviews_2025[[#This Row],[Review_date]],"MMMM")</f>
        <v>June</v>
      </c>
      <c r="L1559" s="4" t="b">
        <v>1</v>
      </c>
      <c r="M1559" s="4" t="s">
        <v>22</v>
      </c>
      <c r="N1559" s="5">
        <v>659</v>
      </c>
      <c r="O1559" s="5">
        <v>27</v>
      </c>
      <c r="P1559" s="4" t="s">
        <v>11</v>
      </c>
      <c r="Q1559" s="8" t="s">
        <v>12</v>
      </c>
      <c r="R1559" s="4" t="s">
        <v>1880</v>
      </c>
      <c r="S1559" s="4"/>
      <c r="T1559"/>
      <c r="U1559" s="23"/>
    </row>
    <row r="1560" spans="1:21" ht="15.6" x14ac:dyDescent="0.3">
      <c r="A1560" s="4">
        <v>1559</v>
      </c>
      <c r="B1560" s="5">
        <v>2635087</v>
      </c>
      <c r="C1560" s="4" t="s">
        <v>159</v>
      </c>
      <c r="D1560" s="4" t="s">
        <v>57</v>
      </c>
      <c r="E1560" s="4" t="s">
        <v>1881</v>
      </c>
      <c r="F1560" s="4" t="s">
        <v>2948</v>
      </c>
      <c r="G1560" s="6">
        <v>2</v>
      </c>
      <c r="H1560" s="7">
        <v>45425.576423611114</v>
      </c>
      <c r="I1560" s="7" t="str">
        <f>TEXT(multilingual_mobile_app_reviews_2025[[#This Row],[Review_date]],"dd-mm-yyyy")</f>
        <v>13-05-2024</v>
      </c>
      <c r="J1560" s="7" t="str">
        <f>TEXT(multilingual_mobile_app_reviews_2025[[#This Row],[Review_date]],"YYYY")</f>
        <v>2024</v>
      </c>
      <c r="K1560" s="7" t="str">
        <f>TEXT(multilingual_mobile_app_reviews_2025[[#This Row],[Review_date]],"MMMM")</f>
        <v>May</v>
      </c>
      <c r="L1560" s="4" t="b">
        <v>1</v>
      </c>
      <c r="M1560" s="4" t="s">
        <v>98</v>
      </c>
      <c r="N1560" s="5">
        <v>957</v>
      </c>
      <c r="O1560" s="5">
        <v>13</v>
      </c>
      <c r="P1560" s="4" t="s">
        <v>38</v>
      </c>
      <c r="Q1560" s="8" t="s">
        <v>5</v>
      </c>
      <c r="R1560" s="4" t="s">
        <v>1882</v>
      </c>
      <c r="S1560" s="4"/>
      <c r="T1560"/>
      <c r="U1560" s="23"/>
    </row>
    <row r="1561" spans="1:21" ht="15.6" x14ac:dyDescent="0.3">
      <c r="A1561" s="4">
        <v>1560</v>
      </c>
      <c r="B1561" s="5">
        <v>1381267</v>
      </c>
      <c r="C1561" s="4" t="s">
        <v>69</v>
      </c>
      <c r="D1561" s="4" t="s">
        <v>42</v>
      </c>
      <c r="E1561" s="4" t="s">
        <v>9</v>
      </c>
      <c r="F1561" s="4" t="s">
        <v>2950</v>
      </c>
      <c r="G1561" s="6">
        <v>4.5999999999999996</v>
      </c>
      <c r="H1561" s="7">
        <v>45751.600937499999</v>
      </c>
      <c r="I1561" s="7" t="str">
        <f>TEXT(multilingual_mobile_app_reviews_2025[[#This Row],[Review_date]],"dd-mm-yyyy")</f>
        <v>04-04-2025</v>
      </c>
      <c r="J1561" s="7" t="str">
        <f>TEXT(multilingual_mobile_app_reviews_2025[[#This Row],[Review_date]],"YYYY")</f>
        <v>2025</v>
      </c>
      <c r="K1561" s="7" t="str">
        <f>TEXT(multilingual_mobile_app_reviews_2025[[#This Row],[Review_date]],"MMMM")</f>
        <v>April</v>
      </c>
      <c r="L1561" s="4" t="b">
        <v>1</v>
      </c>
      <c r="M1561" s="4" t="s">
        <v>33</v>
      </c>
      <c r="N1561" s="5">
        <v>404</v>
      </c>
      <c r="O1561" s="5">
        <v>64</v>
      </c>
      <c r="P1561" s="4" t="s">
        <v>127</v>
      </c>
      <c r="Q1561" s="8" t="s">
        <v>12</v>
      </c>
      <c r="R1561" s="4" t="s">
        <v>289</v>
      </c>
      <c r="S1561" s="4"/>
      <c r="T1561"/>
      <c r="U1561" s="23"/>
    </row>
    <row r="1562" spans="1:21" ht="15.6" x14ac:dyDescent="0.3">
      <c r="A1562" s="4">
        <v>1561</v>
      </c>
      <c r="B1562" s="5">
        <v>2593814</v>
      </c>
      <c r="C1562" s="4" t="s">
        <v>165</v>
      </c>
      <c r="D1562" s="4" t="s">
        <v>63</v>
      </c>
      <c r="E1562" s="4" t="s">
        <v>1883</v>
      </c>
      <c r="F1562" s="4" t="s">
        <v>2962</v>
      </c>
      <c r="G1562" s="6">
        <v>1.3</v>
      </c>
      <c r="H1562" s="7">
        <v>45735.040648148148</v>
      </c>
      <c r="I1562" s="7" t="str">
        <f>TEXT(multilingual_mobile_app_reviews_2025[[#This Row],[Review_date]],"dd-mm-yyyy")</f>
        <v>19-03-2025</v>
      </c>
      <c r="J1562" s="7" t="str">
        <f>TEXT(multilingual_mobile_app_reviews_2025[[#This Row],[Review_date]],"YYYY")</f>
        <v>2025</v>
      </c>
      <c r="K1562" s="7" t="str">
        <f>TEXT(multilingual_mobile_app_reviews_2025[[#This Row],[Review_date]],"MMMM")</f>
        <v>March</v>
      </c>
      <c r="L1562" s="4" t="b">
        <v>1</v>
      </c>
      <c r="M1562" s="4" t="s">
        <v>10</v>
      </c>
      <c r="N1562" s="5">
        <v>684</v>
      </c>
      <c r="O1562" s="5">
        <v>67</v>
      </c>
      <c r="P1562" s="4" t="s">
        <v>28</v>
      </c>
      <c r="Q1562" s="8" t="s">
        <v>29</v>
      </c>
      <c r="R1562" s="4" t="s">
        <v>6</v>
      </c>
      <c r="S1562" s="4"/>
      <c r="T1562"/>
      <c r="U1562" s="23"/>
    </row>
    <row r="1563" spans="1:21" ht="15.6" x14ac:dyDescent="0.3">
      <c r="A1563" s="4">
        <v>1562</v>
      </c>
      <c r="B1563" s="5">
        <v>6015793</v>
      </c>
      <c r="C1563" s="4" t="s">
        <v>25</v>
      </c>
      <c r="D1563" s="4" t="s">
        <v>157</v>
      </c>
      <c r="E1563" s="4" t="s">
        <v>16</v>
      </c>
      <c r="F1563" s="4" t="s">
        <v>2947</v>
      </c>
      <c r="G1563" s="6">
        <v>3</v>
      </c>
      <c r="H1563" s="7">
        <v>45386.8981712963</v>
      </c>
      <c r="I1563" s="7" t="str">
        <f>TEXT(multilingual_mobile_app_reviews_2025[[#This Row],[Review_date]],"dd-mm-yyyy")</f>
        <v>04-04-2024</v>
      </c>
      <c r="J1563" s="7" t="str">
        <f>TEXT(multilingual_mobile_app_reviews_2025[[#This Row],[Review_date]],"YYYY")</f>
        <v>2024</v>
      </c>
      <c r="K1563" s="7" t="str">
        <f>TEXT(multilingual_mobile_app_reviews_2025[[#This Row],[Review_date]],"MMMM")</f>
        <v>April</v>
      </c>
      <c r="L1563" s="4" t="b">
        <v>1</v>
      </c>
      <c r="M1563" s="4" t="s">
        <v>98</v>
      </c>
      <c r="N1563" s="5">
        <v>432</v>
      </c>
      <c r="O1563" s="5">
        <v>59</v>
      </c>
      <c r="P1563" s="4" t="s">
        <v>17</v>
      </c>
      <c r="Q1563" s="8" t="s">
        <v>39</v>
      </c>
      <c r="R1563" s="4" t="s">
        <v>303</v>
      </c>
      <c r="S1563" s="4"/>
      <c r="T1563"/>
      <c r="U1563" s="23"/>
    </row>
    <row r="1564" spans="1:21" ht="15.6" x14ac:dyDescent="0.3">
      <c r="A1564" s="4">
        <v>1563</v>
      </c>
      <c r="B1564" s="5">
        <v>7210722</v>
      </c>
      <c r="C1564" s="4" t="s">
        <v>50</v>
      </c>
      <c r="D1564" s="4" t="s">
        <v>47</v>
      </c>
      <c r="E1564" s="4" t="s">
        <v>1884</v>
      </c>
      <c r="F1564" s="4" t="s">
        <v>2947</v>
      </c>
      <c r="G1564" s="6">
        <v>3.6</v>
      </c>
      <c r="H1564" s="7">
        <v>45296.770254629628</v>
      </c>
      <c r="I1564" s="7" t="str">
        <f>TEXT(multilingual_mobile_app_reviews_2025[[#This Row],[Review_date]],"dd-mm-yyyy")</f>
        <v>05-01-2024</v>
      </c>
      <c r="J1564" s="7" t="str">
        <f>TEXT(multilingual_mobile_app_reviews_2025[[#This Row],[Review_date]],"YYYY")</f>
        <v>2024</v>
      </c>
      <c r="K1564" s="7" t="str">
        <f>TEXT(multilingual_mobile_app_reviews_2025[[#This Row],[Review_date]],"MMMM")</f>
        <v>January</v>
      </c>
      <c r="L1564" s="4" t="b">
        <v>1</v>
      </c>
      <c r="M1564" s="4" t="s">
        <v>3</v>
      </c>
      <c r="N1564" s="5">
        <v>482</v>
      </c>
      <c r="O1564" s="5">
        <v>19</v>
      </c>
      <c r="P1564" s="4" t="s">
        <v>70</v>
      </c>
      <c r="Q1564" s="8" t="s">
        <v>5</v>
      </c>
      <c r="R1564" s="4" t="s">
        <v>1885</v>
      </c>
      <c r="S1564" s="4"/>
      <c r="T1564"/>
      <c r="U1564" s="23"/>
    </row>
    <row r="1565" spans="1:21" ht="15.6" x14ac:dyDescent="0.3">
      <c r="A1565" s="4">
        <v>1564</v>
      </c>
      <c r="B1565" s="5">
        <v>6180036</v>
      </c>
      <c r="C1565" s="4" t="s">
        <v>192</v>
      </c>
      <c r="D1565" s="4" t="s">
        <v>60</v>
      </c>
      <c r="E1565" s="4" t="s">
        <v>1886</v>
      </c>
      <c r="F1565" s="4" t="s">
        <v>2957</v>
      </c>
      <c r="G1565" s="6">
        <v>2</v>
      </c>
      <c r="H1565" s="7">
        <v>45847.990532407406</v>
      </c>
      <c r="I1565" s="7" t="str">
        <f>TEXT(multilingual_mobile_app_reviews_2025[[#This Row],[Review_date]],"dd-mm-yyyy")</f>
        <v>09-07-2025</v>
      </c>
      <c r="J1565" s="7" t="str">
        <f>TEXT(multilingual_mobile_app_reviews_2025[[#This Row],[Review_date]],"YYYY")</f>
        <v>2025</v>
      </c>
      <c r="K1565" s="7" t="str">
        <f>TEXT(multilingual_mobile_app_reviews_2025[[#This Row],[Review_date]],"MMMM")</f>
        <v>July</v>
      </c>
      <c r="L1565" s="4" t="b">
        <v>1</v>
      </c>
      <c r="M1565" s="4" t="s">
        <v>33</v>
      </c>
      <c r="N1565" s="5">
        <v>314</v>
      </c>
      <c r="O1565" s="5">
        <v>68</v>
      </c>
      <c r="P1565" s="4" t="s">
        <v>99</v>
      </c>
      <c r="Q1565" s="8" t="s">
        <v>29</v>
      </c>
      <c r="R1565" s="4" t="s">
        <v>1887</v>
      </c>
      <c r="S1565" s="4"/>
      <c r="T1565"/>
      <c r="U1565" s="23"/>
    </row>
    <row r="1566" spans="1:21" ht="15.6" x14ac:dyDescent="0.3">
      <c r="A1566" s="4">
        <v>1565</v>
      </c>
      <c r="B1566" s="5">
        <v>4168431</v>
      </c>
      <c r="C1566" s="4" t="s">
        <v>67</v>
      </c>
      <c r="D1566" s="4" t="s">
        <v>111</v>
      </c>
      <c r="E1566" s="4" t="s">
        <v>109</v>
      </c>
      <c r="F1566" s="4" t="s">
        <v>2945</v>
      </c>
      <c r="G1566" s="6">
        <v>1</v>
      </c>
      <c r="H1566" s="7">
        <v>45302.562824074077</v>
      </c>
      <c r="I1566" s="7" t="str">
        <f>TEXT(multilingual_mobile_app_reviews_2025[[#This Row],[Review_date]],"dd-mm-yyyy")</f>
        <v>11-01-2024</v>
      </c>
      <c r="J1566" s="7" t="str">
        <f>TEXT(multilingual_mobile_app_reviews_2025[[#This Row],[Review_date]],"YYYY")</f>
        <v>2024</v>
      </c>
      <c r="K1566" s="7" t="str">
        <f>TEXT(multilingual_mobile_app_reviews_2025[[#This Row],[Review_date]],"MMMM")</f>
        <v>January</v>
      </c>
      <c r="L1566" s="4" t="b">
        <v>1</v>
      </c>
      <c r="M1566" s="4" t="s">
        <v>10</v>
      </c>
      <c r="N1566" s="5">
        <v>1145</v>
      </c>
      <c r="O1566" s="5">
        <v>54</v>
      </c>
      <c r="P1566" s="4" t="s">
        <v>80</v>
      </c>
      <c r="Q1566" s="8" t="s">
        <v>29</v>
      </c>
      <c r="R1566" s="4" t="s">
        <v>1888</v>
      </c>
      <c r="S1566" s="4"/>
      <c r="T1566"/>
      <c r="U1566" s="23"/>
    </row>
    <row r="1567" spans="1:21" ht="15.6" x14ac:dyDescent="0.3">
      <c r="A1567" s="4">
        <v>1566</v>
      </c>
      <c r="B1567" s="5">
        <v>1037270</v>
      </c>
      <c r="C1567" s="4" t="s">
        <v>14</v>
      </c>
      <c r="D1567" s="4" t="s">
        <v>15</v>
      </c>
      <c r="E1567" s="4" t="s">
        <v>27</v>
      </c>
      <c r="F1567" s="4" t="s">
        <v>2943</v>
      </c>
      <c r="G1567" s="6">
        <v>4</v>
      </c>
      <c r="H1567" s="7">
        <v>45719.086724537039</v>
      </c>
      <c r="I1567" s="7" t="str">
        <f>TEXT(multilingual_mobile_app_reviews_2025[[#This Row],[Review_date]],"dd-mm-yyyy")</f>
        <v>03-03-2025</v>
      </c>
      <c r="J1567" s="7" t="str">
        <f>TEXT(multilingual_mobile_app_reviews_2025[[#This Row],[Review_date]],"YYYY")</f>
        <v>2025</v>
      </c>
      <c r="K1567" s="7" t="str">
        <f>TEXT(multilingual_mobile_app_reviews_2025[[#This Row],[Review_date]],"MMMM")</f>
        <v>March</v>
      </c>
      <c r="L1567" s="4" t="b">
        <v>1</v>
      </c>
      <c r="M1567" s="4" t="s">
        <v>3</v>
      </c>
      <c r="N1567" s="5">
        <v>619</v>
      </c>
      <c r="O1567" s="5">
        <v>38</v>
      </c>
      <c r="P1567" s="4" t="s">
        <v>2963</v>
      </c>
      <c r="Q1567" s="8" t="s">
        <v>2963</v>
      </c>
      <c r="R1567" s="4" t="s">
        <v>1889</v>
      </c>
      <c r="S1567" s="4"/>
      <c r="T1567"/>
      <c r="U1567" s="23"/>
    </row>
    <row r="1568" spans="1:21" ht="15.6" x14ac:dyDescent="0.3">
      <c r="A1568" s="4">
        <v>1567</v>
      </c>
      <c r="B1568" s="5">
        <v>2066890</v>
      </c>
      <c r="C1568" s="4" t="s">
        <v>0</v>
      </c>
      <c r="D1568" s="4" t="s">
        <v>26</v>
      </c>
      <c r="E1568" s="4" t="s">
        <v>1890</v>
      </c>
      <c r="F1568" s="4" t="s">
        <v>2951</v>
      </c>
      <c r="G1568" s="6">
        <v>2.9</v>
      </c>
      <c r="H1568" s="7">
        <v>45148.569988425923</v>
      </c>
      <c r="I1568" s="7" t="str">
        <f>TEXT(multilingual_mobile_app_reviews_2025[[#This Row],[Review_date]],"dd-mm-yyyy")</f>
        <v>10-08-2023</v>
      </c>
      <c r="J1568" s="7" t="str">
        <f>TEXT(multilingual_mobile_app_reviews_2025[[#This Row],[Review_date]],"YYYY")</f>
        <v>2023</v>
      </c>
      <c r="K1568" s="7" t="str">
        <f>TEXT(multilingual_mobile_app_reviews_2025[[#This Row],[Review_date]],"MMMM")</f>
        <v>August</v>
      </c>
      <c r="L1568" s="4" t="b">
        <v>1</v>
      </c>
      <c r="M1568" s="4" t="s">
        <v>98</v>
      </c>
      <c r="N1568" s="5">
        <v>1107</v>
      </c>
      <c r="O1568" s="5">
        <v>38</v>
      </c>
      <c r="P1568" s="4" t="s">
        <v>11</v>
      </c>
      <c r="Q1568" s="8" t="s">
        <v>2963</v>
      </c>
      <c r="R1568" s="4" t="s">
        <v>1891</v>
      </c>
      <c r="S1568" s="4"/>
      <c r="T1568"/>
      <c r="U1568" s="23"/>
    </row>
    <row r="1569" spans="1:21" ht="15.6" x14ac:dyDescent="0.3">
      <c r="A1569" s="4">
        <v>1568</v>
      </c>
      <c r="B1569" s="5">
        <v>7087624</v>
      </c>
      <c r="C1569" s="4" t="s">
        <v>36</v>
      </c>
      <c r="D1569" s="4" t="s">
        <v>42</v>
      </c>
      <c r="E1569" s="4" t="s">
        <v>16</v>
      </c>
      <c r="F1569" s="4" t="s">
        <v>2942</v>
      </c>
      <c r="G1569" s="6">
        <v>3.7</v>
      </c>
      <c r="H1569" s="7">
        <v>45255.167071759257</v>
      </c>
      <c r="I1569" s="7" t="str">
        <f>TEXT(multilingual_mobile_app_reviews_2025[[#This Row],[Review_date]],"dd-mm-yyyy")</f>
        <v>25-11-2023</v>
      </c>
      <c r="J1569" s="7" t="str">
        <f>TEXT(multilingual_mobile_app_reviews_2025[[#This Row],[Review_date]],"YYYY")</f>
        <v>2023</v>
      </c>
      <c r="K1569" s="7" t="str">
        <f>TEXT(multilingual_mobile_app_reviews_2025[[#This Row],[Review_date]],"MMMM")</f>
        <v>November</v>
      </c>
      <c r="L1569" s="4" t="b">
        <v>0</v>
      </c>
      <c r="M1569" s="4" t="s">
        <v>98</v>
      </c>
      <c r="N1569" s="5">
        <v>170</v>
      </c>
      <c r="O1569" s="5">
        <v>65</v>
      </c>
      <c r="P1569" s="4" t="s">
        <v>73</v>
      </c>
      <c r="Q1569" s="8" t="s">
        <v>29</v>
      </c>
      <c r="R1569" s="4" t="s">
        <v>1892</v>
      </c>
      <c r="S1569" s="4"/>
      <c r="T1569"/>
      <c r="U1569" s="23"/>
    </row>
    <row r="1570" spans="1:21" ht="15.6" x14ac:dyDescent="0.3">
      <c r="A1570" s="4">
        <v>1569</v>
      </c>
      <c r="B1570" s="5">
        <v>3160575</v>
      </c>
      <c r="C1570" s="4" t="s">
        <v>87</v>
      </c>
      <c r="D1570" s="4" t="s">
        <v>97</v>
      </c>
      <c r="E1570" s="4" t="s">
        <v>64</v>
      </c>
      <c r="F1570" s="4" t="s">
        <v>2948</v>
      </c>
      <c r="G1570" s="6">
        <v>1.6</v>
      </c>
      <c r="H1570" s="7">
        <v>45503.755324074074</v>
      </c>
      <c r="I1570" s="7" t="str">
        <f>TEXT(multilingual_mobile_app_reviews_2025[[#This Row],[Review_date]],"dd-mm-yyyy")</f>
        <v>30-07-2024</v>
      </c>
      <c r="J1570" s="7" t="str">
        <f>TEXT(multilingual_mobile_app_reviews_2025[[#This Row],[Review_date]],"YYYY")</f>
        <v>2024</v>
      </c>
      <c r="K1570" s="7" t="str">
        <f>TEXT(multilingual_mobile_app_reviews_2025[[#This Row],[Review_date]],"MMMM")</f>
        <v>July</v>
      </c>
      <c r="L1570" s="4" t="b">
        <v>0</v>
      </c>
      <c r="M1570" s="4" t="s">
        <v>22</v>
      </c>
      <c r="N1570" s="5">
        <v>1087</v>
      </c>
      <c r="O1570" s="5">
        <v>67</v>
      </c>
      <c r="P1570" s="4" t="s">
        <v>114</v>
      </c>
      <c r="Q1570" s="8" t="s">
        <v>29</v>
      </c>
      <c r="R1570" s="4" t="s">
        <v>1893</v>
      </c>
      <c r="S1570" s="4"/>
      <c r="T1570"/>
      <c r="U1570" s="23"/>
    </row>
    <row r="1571" spans="1:21" ht="15.6" x14ac:dyDescent="0.3">
      <c r="A1571" s="4">
        <v>1570</v>
      </c>
      <c r="B1571" s="5">
        <v>2450695</v>
      </c>
      <c r="C1571" s="4" t="s">
        <v>46</v>
      </c>
      <c r="D1571" s="4" t="s">
        <v>15</v>
      </c>
      <c r="E1571" s="4" t="s">
        <v>21</v>
      </c>
      <c r="F1571" s="4" t="s">
        <v>2948</v>
      </c>
      <c r="G1571" s="6">
        <v>1.5</v>
      </c>
      <c r="H1571" s="7">
        <v>45719.950254629628</v>
      </c>
      <c r="I1571" s="7" t="str">
        <f>TEXT(multilingual_mobile_app_reviews_2025[[#This Row],[Review_date]],"dd-mm-yyyy")</f>
        <v>03-03-2025</v>
      </c>
      <c r="J1571" s="7" t="str">
        <f>TEXT(multilingual_mobile_app_reviews_2025[[#This Row],[Review_date]],"YYYY")</f>
        <v>2025</v>
      </c>
      <c r="K1571" s="7" t="str">
        <f>TEXT(multilingual_mobile_app_reviews_2025[[#This Row],[Review_date]],"MMMM")</f>
        <v>March</v>
      </c>
      <c r="L1571" s="4" t="b">
        <v>1</v>
      </c>
      <c r="M1571" s="4" t="s">
        <v>3</v>
      </c>
      <c r="N1571" s="5">
        <v>501</v>
      </c>
      <c r="O1571" s="5">
        <v>53</v>
      </c>
      <c r="P1571" s="4" t="s">
        <v>90</v>
      </c>
      <c r="Q1571" s="8" t="s">
        <v>39</v>
      </c>
      <c r="R1571" s="4" t="s">
        <v>1894</v>
      </c>
      <c r="S1571" s="4"/>
      <c r="T1571"/>
      <c r="U1571" s="23"/>
    </row>
    <row r="1572" spans="1:21" ht="15.6" x14ac:dyDescent="0.3">
      <c r="A1572" s="4">
        <v>1571</v>
      </c>
      <c r="B1572" s="5">
        <v>5124905</v>
      </c>
      <c r="C1572" s="4" t="s">
        <v>41</v>
      </c>
      <c r="D1572" s="4" t="s">
        <v>51</v>
      </c>
      <c r="E1572" s="4" t="s">
        <v>1895</v>
      </c>
      <c r="F1572" s="4" t="s">
        <v>2960</v>
      </c>
      <c r="G1572" s="6">
        <v>4.3</v>
      </c>
      <c r="H1572" s="7">
        <v>45528.694120370368</v>
      </c>
      <c r="I1572" s="7" t="str">
        <f>TEXT(multilingual_mobile_app_reviews_2025[[#This Row],[Review_date]],"dd-mm-yyyy")</f>
        <v>24-08-2024</v>
      </c>
      <c r="J1572" s="7" t="str">
        <f>TEXT(multilingual_mobile_app_reviews_2025[[#This Row],[Review_date]],"YYYY")</f>
        <v>2024</v>
      </c>
      <c r="K1572" s="7" t="str">
        <f>TEXT(multilingual_mobile_app_reviews_2025[[#This Row],[Review_date]],"MMMM")</f>
        <v>August</v>
      </c>
      <c r="L1572" s="4" t="b">
        <v>1</v>
      </c>
      <c r="M1572" s="4" t="s">
        <v>98</v>
      </c>
      <c r="N1572" s="5">
        <v>984</v>
      </c>
      <c r="O1572" s="5">
        <v>37</v>
      </c>
      <c r="P1572" s="4" t="s">
        <v>4</v>
      </c>
      <c r="Q1572" s="8" t="s">
        <v>5</v>
      </c>
      <c r="R1572" s="4" t="s">
        <v>903</v>
      </c>
      <c r="S1572" s="4"/>
      <c r="T1572"/>
      <c r="U1572" s="23"/>
    </row>
    <row r="1573" spans="1:21" ht="15.6" x14ac:dyDescent="0.3">
      <c r="A1573" s="4">
        <v>1572</v>
      </c>
      <c r="B1573" s="5">
        <v>3913710</v>
      </c>
      <c r="C1573" s="4" t="s">
        <v>165</v>
      </c>
      <c r="D1573" s="4" t="s">
        <v>8</v>
      </c>
      <c r="E1573" s="4" t="s">
        <v>32</v>
      </c>
      <c r="F1573" s="4" t="s">
        <v>2946</v>
      </c>
      <c r="G1573" s="6">
        <v>2.7</v>
      </c>
      <c r="H1573" s="7">
        <v>45467.952685185184</v>
      </c>
      <c r="I1573" s="7" t="str">
        <f>TEXT(multilingual_mobile_app_reviews_2025[[#This Row],[Review_date]],"dd-mm-yyyy")</f>
        <v>24-06-2024</v>
      </c>
      <c r="J1573" s="7" t="str">
        <f>TEXT(multilingual_mobile_app_reviews_2025[[#This Row],[Review_date]],"YYYY")</f>
        <v>2024</v>
      </c>
      <c r="K1573" s="7" t="str">
        <f>TEXT(multilingual_mobile_app_reviews_2025[[#This Row],[Review_date]],"MMMM")</f>
        <v>June</v>
      </c>
      <c r="L1573" s="4" t="b">
        <v>1</v>
      </c>
      <c r="M1573" s="4" t="s">
        <v>98</v>
      </c>
      <c r="N1573" s="5">
        <v>499</v>
      </c>
      <c r="O1573" s="5">
        <v>22</v>
      </c>
      <c r="P1573" s="4" t="s">
        <v>17</v>
      </c>
      <c r="Q1573" s="8" t="s">
        <v>2963</v>
      </c>
      <c r="R1573" s="4" t="s">
        <v>1896</v>
      </c>
      <c r="S1573" s="4"/>
      <c r="T1573"/>
      <c r="U1573" s="23"/>
    </row>
    <row r="1574" spans="1:21" ht="15.6" x14ac:dyDescent="0.3">
      <c r="A1574" s="4">
        <v>1573</v>
      </c>
      <c r="B1574" s="5">
        <v>4660510</v>
      </c>
      <c r="C1574" s="4" t="s">
        <v>174</v>
      </c>
      <c r="D1574" s="4" t="s">
        <v>51</v>
      </c>
      <c r="E1574" s="4" t="s">
        <v>93</v>
      </c>
      <c r="F1574" s="4" t="s">
        <v>2953</v>
      </c>
      <c r="G1574" s="6">
        <v>2.8</v>
      </c>
      <c r="H1574" s="7">
        <v>45210.287476851852</v>
      </c>
      <c r="I1574" s="7" t="str">
        <f>TEXT(multilingual_mobile_app_reviews_2025[[#This Row],[Review_date]],"dd-mm-yyyy")</f>
        <v>11-10-2023</v>
      </c>
      <c r="J1574" s="7" t="str">
        <f>TEXT(multilingual_mobile_app_reviews_2025[[#This Row],[Review_date]],"YYYY")</f>
        <v>2023</v>
      </c>
      <c r="K1574" s="7" t="str">
        <f>TEXT(multilingual_mobile_app_reviews_2025[[#This Row],[Review_date]],"MMMM")</f>
        <v>October</v>
      </c>
      <c r="L1574" s="4" t="b">
        <v>1</v>
      </c>
      <c r="M1574" s="4" t="s">
        <v>10</v>
      </c>
      <c r="N1574" s="5">
        <v>1239</v>
      </c>
      <c r="O1574" s="5">
        <v>67</v>
      </c>
      <c r="P1574" s="4" t="s">
        <v>144</v>
      </c>
      <c r="Q1574" s="8" t="s">
        <v>2963</v>
      </c>
      <c r="R1574" s="4" t="s">
        <v>899</v>
      </c>
      <c r="S1574" s="4"/>
      <c r="T1574"/>
      <c r="U1574" s="23"/>
    </row>
    <row r="1575" spans="1:21" ht="15.6" x14ac:dyDescent="0.3">
      <c r="A1575" s="4">
        <v>1574</v>
      </c>
      <c r="B1575" s="5">
        <v>6434410</v>
      </c>
      <c r="C1575" s="4" t="s">
        <v>7</v>
      </c>
      <c r="D1575" s="4" t="s">
        <v>111</v>
      </c>
      <c r="E1575" s="4" t="s">
        <v>1897</v>
      </c>
      <c r="F1575" s="4" t="s">
        <v>2956</v>
      </c>
      <c r="G1575" s="6">
        <v>2.7</v>
      </c>
      <c r="H1575" s="7">
        <v>45223.075729166667</v>
      </c>
      <c r="I1575" s="7" t="str">
        <f>TEXT(multilingual_mobile_app_reviews_2025[[#This Row],[Review_date]],"dd-mm-yyyy")</f>
        <v>24-10-2023</v>
      </c>
      <c r="J1575" s="7" t="str">
        <f>TEXT(multilingual_mobile_app_reviews_2025[[#This Row],[Review_date]],"YYYY")</f>
        <v>2023</v>
      </c>
      <c r="K1575" s="7" t="str">
        <f>TEXT(multilingual_mobile_app_reviews_2025[[#This Row],[Review_date]],"MMMM")</f>
        <v>October</v>
      </c>
      <c r="L1575" s="4" t="b">
        <v>1</v>
      </c>
      <c r="M1575" s="4" t="s">
        <v>33</v>
      </c>
      <c r="N1575" s="5">
        <v>890</v>
      </c>
      <c r="O1575" s="5">
        <v>45</v>
      </c>
      <c r="P1575" s="4" t="s">
        <v>80</v>
      </c>
      <c r="Q1575" s="8" t="s">
        <v>12</v>
      </c>
      <c r="R1575" s="4" t="s">
        <v>1898</v>
      </c>
      <c r="S1575" s="4"/>
      <c r="T1575"/>
      <c r="U1575" s="23"/>
    </row>
    <row r="1576" spans="1:21" ht="15.6" x14ac:dyDescent="0.3">
      <c r="A1576" s="4">
        <v>1575</v>
      </c>
      <c r="B1576" s="5">
        <v>1405411</v>
      </c>
      <c r="C1576" s="4" t="s">
        <v>137</v>
      </c>
      <c r="D1576" s="4" t="s">
        <v>97</v>
      </c>
      <c r="E1576" s="4" t="s">
        <v>9</v>
      </c>
      <c r="F1576" s="4" t="s">
        <v>2954</v>
      </c>
      <c r="G1576" s="6">
        <v>3.8</v>
      </c>
      <c r="H1576" s="7">
        <v>45420.596956018519</v>
      </c>
      <c r="I1576" s="7" t="str">
        <f>TEXT(multilingual_mobile_app_reviews_2025[[#This Row],[Review_date]],"dd-mm-yyyy")</f>
        <v>08-05-2024</v>
      </c>
      <c r="J1576" s="7" t="str">
        <f>TEXT(multilingual_mobile_app_reviews_2025[[#This Row],[Review_date]],"YYYY")</f>
        <v>2024</v>
      </c>
      <c r="K1576" s="7" t="str">
        <f>TEXT(multilingual_mobile_app_reviews_2025[[#This Row],[Review_date]],"MMMM")</f>
        <v>May</v>
      </c>
      <c r="L1576" s="4" t="b">
        <v>1</v>
      </c>
      <c r="M1576" s="4" t="s">
        <v>33</v>
      </c>
      <c r="N1576" s="5">
        <v>114</v>
      </c>
      <c r="O1576" s="5">
        <v>62</v>
      </c>
      <c r="P1576" s="4" t="s">
        <v>38</v>
      </c>
      <c r="Q1576" s="8" t="s">
        <v>29</v>
      </c>
      <c r="R1576" s="4" t="s">
        <v>1899</v>
      </c>
      <c r="S1576" s="4"/>
      <c r="T1576"/>
      <c r="U1576" s="23"/>
    </row>
    <row r="1577" spans="1:21" ht="15.6" x14ac:dyDescent="0.3">
      <c r="A1577" s="4">
        <v>1576</v>
      </c>
      <c r="B1577" s="5">
        <v>5728280</v>
      </c>
      <c r="C1577" s="4" t="s">
        <v>176</v>
      </c>
      <c r="D1577" s="4" t="s">
        <v>79</v>
      </c>
      <c r="E1577" s="4" t="s">
        <v>1900</v>
      </c>
      <c r="F1577" s="4" t="s">
        <v>2953</v>
      </c>
      <c r="G1577" s="6">
        <v>2.9</v>
      </c>
      <c r="H1577" s="7">
        <v>45164.01829861111</v>
      </c>
      <c r="I1577" s="7" t="str">
        <f>TEXT(multilingual_mobile_app_reviews_2025[[#This Row],[Review_date]],"dd-mm-yyyy")</f>
        <v>26-08-2023</v>
      </c>
      <c r="J1577" s="7" t="str">
        <f>TEXT(multilingual_mobile_app_reviews_2025[[#This Row],[Review_date]],"YYYY")</f>
        <v>2023</v>
      </c>
      <c r="K1577" s="7" t="str">
        <f>TEXT(multilingual_mobile_app_reviews_2025[[#This Row],[Review_date]],"MMMM")</f>
        <v>August</v>
      </c>
      <c r="L1577" s="4" t="b">
        <v>1</v>
      </c>
      <c r="M1577" s="4" t="s">
        <v>98</v>
      </c>
      <c r="N1577" s="5">
        <v>844</v>
      </c>
      <c r="O1577" s="5">
        <v>24</v>
      </c>
      <c r="P1577" s="4" t="s">
        <v>44</v>
      </c>
      <c r="Q1577" s="8" t="s">
        <v>29</v>
      </c>
      <c r="R1577" s="4" t="s">
        <v>1901</v>
      </c>
      <c r="S1577" s="4"/>
      <c r="T1577"/>
      <c r="U1577" s="23"/>
    </row>
    <row r="1578" spans="1:21" ht="15.6" x14ac:dyDescent="0.3">
      <c r="A1578" s="4">
        <v>1577</v>
      </c>
      <c r="B1578" s="5">
        <v>4615889</v>
      </c>
      <c r="C1578" s="4" t="s">
        <v>56</v>
      </c>
      <c r="D1578" s="4" t="s">
        <v>42</v>
      </c>
      <c r="E1578" s="4" t="s">
        <v>130</v>
      </c>
      <c r="F1578" s="4" t="s">
        <v>2946</v>
      </c>
      <c r="G1578" s="6">
        <v>4.0999999999999996</v>
      </c>
      <c r="H1578" s="7">
        <v>45204.930289351854</v>
      </c>
      <c r="I1578" s="7" t="str">
        <f>TEXT(multilingual_mobile_app_reviews_2025[[#This Row],[Review_date]],"dd-mm-yyyy")</f>
        <v>05-10-2023</v>
      </c>
      <c r="J1578" s="7" t="str">
        <f>TEXT(multilingual_mobile_app_reviews_2025[[#This Row],[Review_date]],"YYYY")</f>
        <v>2023</v>
      </c>
      <c r="K1578" s="7" t="str">
        <f>TEXT(multilingual_mobile_app_reviews_2025[[#This Row],[Review_date]],"MMMM")</f>
        <v>October</v>
      </c>
      <c r="L1578" s="4" t="b">
        <v>1</v>
      </c>
      <c r="M1578" s="4" t="s">
        <v>3</v>
      </c>
      <c r="N1578" s="5">
        <v>1169</v>
      </c>
      <c r="O1578" s="5">
        <v>25</v>
      </c>
      <c r="P1578" s="4" t="s">
        <v>144</v>
      </c>
      <c r="Q1578" s="8" t="s">
        <v>39</v>
      </c>
      <c r="R1578" s="4" t="s">
        <v>1902</v>
      </c>
      <c r="S1578" s="4"/>
      <c r="T1578"/>
      <c r="U1578" s="23"/>
    </row>
    <row r="1579" spans="1:21" ht="15.6" x14ac:dyDescent="0.3">
      <c r="A1579" s="4">
        <v>1578</v>
      </c>
      <c r="B1579" s="5">
        <v>9575718</v>
      </c>
      <c r="C1579" s="4" t="s">
        <v>199</v>
      </c>
      <c r="D1579" s="4" t="s">
        <v>111</v>
      </c>
      <c r="E1579" s="4" t="s">
        <v>27</v>
      </c>
      <c r="F1579" s="4" t="s">
        <v>2960</v>
      </c>
      <c r="G1579" s="6">
        <v>4.9000000000000004</v>
      </c>
      <c r="H1579" s="7">
        <v>45173.733356481483</v>
      </c>
      <c r="I1579" s="7" t="str">
        <f>TEXT(multilingual_mobile_app_reviews_2025[[#This Row],[Review_date]],"dd-mm-yyyy")</f>
        <v>04-09-2023</v>
      </c>
      <c r="J1579" s="7" t="str">
        <f>TEXT(multilingual_mobile_app_reviews_2025[[#This Row],[Review_date]],"YYYY")</f>
        <v>2023</v>
      </c>
      <c r="K1579" s="7" t="str">
        <f>TEXT(multilingual_mobile_app_reviews_2025[[#This Row],[Review_date]],"MMMM")</f>
        <v>September</v>
      </c>
      <c r="L1579" s="4" t="b">
        <v>1</v>
      </c>
      <c r="M1579" s="4" t="s">
        <v>3</v>
      </c>
      <c r="N1579" s="5">
        <v>24</v>
      </c>
      <c r="O1579" s="5">
        <v>26</v>
      </c>
      <c r="P1579" s="4" t="s">
        <v>61</v>
      </c>
      <c r="Q1579" s="8" t="s">
        <v>2963</v>
      </c>
      <c r="R1579" s="4" t="s">
        <v>320</v>
      </c>
      <c r="S1579" s="4"/>
      <c r="T1579"/>
      <c r="U1579" s="23"/>
    </row>
    <row r="1580" spans="1:21" ht="15.6" x14ac:dyDescent="0.3">
      <c r="A1580" s="4">
        <v>1579</v>
      </c>
      <c r="B1580" s="5">
        <v>8216934</v>
      </c>
      <c r="C1580" s="4" t="s">
        <v>134</v>
      </c>
      <c r="D1580" s="4" t="s">
        <v>1</v>
      </c>
      <c r="E1580" s="4" t="s">
        <v>109</v>
      </c>
      <c r="F1580" s="4" t="s">
        <v>2939</v>
      </c>
      <c r="G1580" s="6">
        <v>3.2</v>
      </c>
      <c r="H1580" s="7">
        <v>45174.359456018516</v>
      </c>
      <c r="I1580" s="7" t="str">
        <f>TEXT(multilingual_mobile_app_reviews_2025[[#This Row],[Review_date]],"dd-mm-yyyy")</f>
        <v>05-09-2023</v>
      </c>
      <c r="J1580" s="7" t="str">
        <f>TEXT(multilingual_mobile_app_reviews_2025[[#This Row],[Review_date]],"YYYY")</f>
        <v>2023</v>
      </c>
      <c r="K1580" s="7" t="str">
        <f>TEXT(multilingual_mobile_app_reviews_2025[[#This Row],[Review_date]],"MMMM")</f>
        <v>September</v>
      </c>
      <c r="L1580" s="4" t="b">
        <v>1</v>
      </c>
      <c r="M1580" s="4" t="s">
        <v>10</v>
      </c>
      <c r="N1580" s="5">
        <v>814</v>
      </c>
      <c r="O1580" s="5">
        <v>74</v>
      </c>
      <c r="P1580" s="4" t="s">
        <v>17</v>
      </c>
      <c r="Q1580" s="8" t="s">
        <v>12</v>
      </c>
      <c r="R1580" s="4" t="s">
        <v>717</v>
      </c>
      <c r="S1580" s="4"/>
      <c r="T1580"/>
      <c r="U1580" s="23"/>
    </row>
    <row r="1581" spans="1:21" ht="15.6" x14ac:dyDescent="0.3">
      <c r="A1581" s="4">
        <v>1580</v>
      </c>
      <c r="B1581" s="5">
        <v>5377781</v>
      </c>
      <c r="C1581" s="4" t="s">
        <v>0</v>
      </c>
      <c r="D1581" s="4" t="s">
        <v>51</v>
      </c>
      <c r="E1581" s="4" t="s">
        <v>1903</v>
      </c>
      <c r="F1581" s="4" t="s">
        <v>2957</v>
      </c>
      <c r="G1581" s="6">
        <v>3.9</v>
      </c>
      <c r="H1581" s="7">
        <v>45396.220717592594</v>
      </c>
      <c r="I1581" s="7" t="str">
        <f>TEXT(multilingual_mobile_app_reviews_2025[[#This Row],[Review_date]],"dd-mm-yyyy")</f>
        <v>14-04-2024</v>
      </c>
      <c r="J1581" s="7" t="str">
        <f>TEXT(multilingual_mobile_app_reviews_2025[[#This Row],[Review_date]],"YYYY")</f>
        <v>2024</v>
      </c>
      <c r="K1581" s="7" t="str">
        <f>TEXT(multilingual_mobile_app_reviews_2025[[#This Row],[Review_date]],"MMMM")</f>
        <v>April</v>
      </c>
      <c r="L1581" s="4" t="b">
        <v>1</v>
      </c>
      <c r="M1581" s="4" t="s">
        <v>33</v>
      </c>
      <c r="N1581" s="5">
        <v>415</v>
      </c>
      <c r="O1581" s="5">
        <v>18</v>
      </c>
      <c r="P1581" s="4" t="s">
        <v>65</v>
      </c>
      <c r="Q1581" s="8" t="s">
        <v>29</v>
      </c>
      <c r="R1581" s="4" t="s">
        <v>1339</v>
      </c>
      <c r="S1581" s="4"/>
      <c r="T1581"/>
      <c r="U1581" s="23"/>
    </row>
    <row r="1582" spans="1:21" ht="15.6" x14ac:dyDescent="0.3">
      <c r="A1582" s="4">
        <v>1581</v>
      </c>
      <c r="B1582" s="5">
        <v>8548643</v>
      </c>
      <c r="C1582" s="4" t="s">
        <v>199</v>
      </c>
      <c r="D1582" s="4" t="s">
        <v>47</v>
      </c>
      <c r="E1582" s="4" t="s">
        <v>109</v>
      </c>
      <c r="F1582" s="4" t="s">
        <v>2949</v>
      </c>
      <c r="G1582" s="6">
        <v>2.2000000000000002</v>
      </c>
      <c r="H1582" s="7">
        <v>45217.329525462963</v>
      </c>
      <c r="I1582" s="7" t="str">
        <f>TEXT(multilingual_mobile_app_reviews_2025[[#This Row],[Review_date]],"dd-mm-yyyy")</f>
        <v>18-10-2023</v>
      </c>
      <c r="J1582" s="7" t="str">
        <f>TEXT(multilingual_mobile_app_reviews_2025[[#This Row],[Review_date]],"YYYY")</f>
        <v>2023</v>
      </c>
      <c r="K1582" s="7" t="str">
        <f>TEXT(multilingual_mobile_app_reviews_2025[[#This Row],[Review_date]],"MMMM")</f>
        <v>October</v>
      </c>
      <c r="L1582" s="4" t="b">
        <v>1</v>
      </c>
      <c r="M1582" s="4" t="s">
        <v>33</v>
      </c>
      <c r="N1582" s="5">
        <v>962</v>
      </c>
      <c r="O1582" s="5">
        <v>29</v>
      </c>
      <c r="P1582" s="4" t="s">
        <v>94</v>
      </c>
      <c r="Q1582" s="8" t="s">
        <v>12</v>
      </c>
      <c r="R1582" s="4" t="s">
        <v>1904</v>
      </c>
      <c r="S1582" s="4"/>
      <c r="T1582"/>
      <c r="U1582" s="23"/>
    </row>
    <row r="1583" spans="1:21" ht="15.6" x14ac:dyDescent="0.3">
      <c r="A1583" s="4">
        <v>1582</v>
      </c>
      <c r="B1583" s="5">
        <v>2619714</v>
      </c>
      <c r="C1583" s="4" t="s">
        <v>113</v>
      </c>
      <c r="D1583" s="4" t="s">
        <v>15</v>
      </c>
      <c r="E1583" s="4" t="s">
        <v>109</v>
      </c>
      <c r="F1583" s="4" t="s">
        <v>2939</v>
      </c>
      <c r="G1583" s="6">
        <v>4.8</v>
      </c>
      <c r="H1583" s="7">
        <v>45157.275196759256</v>
      </c>
      <c r="I1583" s="7" t="str">
        <f>TEXT(multilingual_mobile_app_reviews_2025[[#This Row],[Review_date]],"dd-mm-yyyy")</f>
        <v>19-08-2023</v>
      </c>
      <c r="J1583" s="7" t="str">
        <f>TEXT(multilingual_mobile_app_reviews_2025[[#This Row],[Review_date]],"YYYY")</f>
        <v>2023</v>
      </c>
      <c r="K1583" s="7" t="str">
        <f>TEXT(multilingual_mobile_app_reviews_2025[[#This Row],[Review_date]],"MMMM")</f>
        <v>August</v>
      </c>
      <c r="L1583" s="4" t="b">
        <v>1</v>
      </c>
      <c r="M1583" s="4" t="s">
        <v>98</v>
      </c>
      <c r="N1583" s="5">
        <v>66</v>
      </c>
      <c r="O1583" s="5">
        <v>45</v>
      </c>
      <c r="P1583" s="4" t="s">
        <v>80</v>
      </c>
      <c r="Q1583" s="8" t="s">
        <v>2963</v>
      </c>
      <c r="R1583" s="4" t="s">
        <v>1905</v>
      </c>
      <c r="S1583" s="4"/>
      <c r="T1583"/>
      <c r="U1583" s="23"/>
    </row>
    <row r="1584" spans="1:21" ht="15.6" x14ac:dyDescent="0.3">
      <c r="A1584" s="4">
        <v>1583</v>
      </c>
      <c r="B1584" s="5">
        <v>6510771</v>
      </c>
      <c r="C1584" s="4" t="s">
        <v>92</v>
      </c>
      <c r="D1584" s="4" t="s">
        <v>220</v>
      </c>
      <c r="E1584" s="4" t="s">
        <v>130</v>
      </c>
      <c r="F1584" s="4" t="s">
        <v>2951</v>
      </c>
      <c r="G1584" s="6">
        <v>1.5</v>
      </c>
      <c r="H1584" s="7">
        <v>45509.338645833333</v>
      </c>
      <c r="I1584" s="7" t="str">
        <f>TEXT(multilingual_mobile_app_reviews_2025[[#This Row],[Review_date]],"dd-mm-yyyy")</f>
        <v>05-08-2024</v>
      </c>
      <c r="J1584" s="7" t="str">
        <f>TEXT(multilingual_mobile_app_reviews_2025[[#This Row],[Review_date]],"YYYY")</f>
        <v>2024</v>
      </c>
      <c r="K1584" s="7" t="str">
        <f>TEXT(multilingual_mobile_app_reviews_2025[[#This Row],[Review_date]],"MMMM")</f>
        <v>August</v>
      </c>
      <c r="L1584" s="4" t="b">
        <v>1</v>
      </c>
      <c r="M1584" s="4" t="s">
        <v>10</v>
      </c>
      <c r="N1584" s="5">
        <v>78</v>
      </c>
      <c r="O1584" s="5">
        <v>22</v>
      </c>
      <c r="P1584" s="4" t="s">
        <v>44</v>
      </c>
      <c r="Q1584" s="8" t="s">
        <v>2963</v>
      </c>
      <c r="R1584" s="4" t="s">
        <v>1906</v>
      </c>
      <c r="S1584" s="4"/>
      <c r="T1584"/>
      <c r="U1584" s="23"/>
    </row>
    <row r="1585" spans="1:21" ht="15.6" x14ac:dyDescent="0.3">
      <c r="A1585" s="4">
        <v>1584</v>
      </c>
      <c r="B1585" s="5">
        <v>727606</v>
      </c>
      <c r="C1585" s="4" t="s">
        <v>0</v>
      </c>
      <c r="D1585" s="4" t="s">
        <v>111</v>
      </c>
      <c r="E1585" s="4" t="s">
        <v>32</v>
      </c>
      <c r="F1585" s="4" t="s">
        <v>2950</v>
      </c>
      <c r="G1585" s="6">
        <v>1.6</v>
      </c>
      <c r="H1585" s="7">
        <v>45364.220659722225</v>
      </c>
      <c r="I1585" s="7" t="str">
        <f>TEXT(multilingual_mobile_app_reviews_2025[[#This Row],[Review_date]],"dd-mm-yyyy")</f>
        <v>13-03-2024</v>
      </c>
      <c r="J1585" s="7" t="str">
        <f>TEXT(multilingual_mobile_app_reviews_2025[[#This Row],[Review_date]],"YYYY")</f>
        <v>2024</v>
      </c>
      <c r="K1585" s="7" t="str">
        <f>TEXT(multilingual_mobile_app_reviews_2025[[#This Row],[Review_date]],"MMMM")</f>
        <v>March</v>
      </c>
      <c r="L1585" s="4" t="b">
        <v>1</v>
      </c>
      <c r="M1585" s="4" t="s">
        <v>33</v>
      </c>
      <c r="N1585" s="5">
        <v>61</v>
      </c>
      <c r="O1585" s="5">
        <v>68</v>
      </c>
      <c r="P1585" s="4" t="s">
        <v>144</v>
      </c>
      <c r="Q1585" s="8" t="s">
        <v>12</v>
      </c>
      <c r="R1585" s="4" t="s">
        <v>1907</v>
      </c>
      <c r="S1585" s="4"/>
      <c r="T1585"/>
      <c r="U1585" s="23"/>
    </row>
    <row r="1586" spans="1:21" ht="15.6" x14ac:dyDescent="0.3">
      <c r="A1586" s="4">
        <v>1585</v>
      </c>
      <c r="B1586" s="5">
        <v>2642382</v>
      </c>
      <c r="C1586" s="4" t="s">
        <v>165</v>
      </c>
      <c r="D1586" s="4" t="s">
        <v>15</v>
      </c>
      <c r="E1586" s="4" t="s">
        <v>109</v>
      </c>
      <c r="F1586" s="4" t="s">
        <v>2944</v>
      </c>
      <c r="G1586" s="6">
        <v>2.5</v>
      </c>
      <c r="H1586" s="7">
        <v>45668.893807870372</v>
      </c>
      <c r="I1586" s="7" t="str">
        <f>TEXT(multilingual_mobile_app_reviews_2025[[#This Row],[Review_date]],"dd-mm-yyyy")</f>
        <v>11-01-2025</v>
      </c>
      <c r="J1586" s="7" t="str">
        <f>TEXT(multilingual_mobile_app_reviews_2025[[#This Row],[Review_date]],"YYYY")</f>
        <v>2025</v>
      </c>
      <c r="K1586" s="7" t="str">
        <f>TEXT(multilingual_mobile_app_reviews_2025[[#This Row],[Review_date]],"MMMM")</f>
        <v>January</v>
      </c>
      <c r="L1586" s="4" t="b">
        <v>1</v>
      </c>
      <c r="M1586" s="4" t="s">
        <v>10</v>
      </c>
      <c r="N1586" s="5">
        <v>131</v>
      </c>
      <c r="O1586" s="5">
        <v>73</v>
      </c>
      <c r="P1586" s="4" t="s">
        <v>118</v>
      </c>
      <c r="Q1586" s="8" t="s">
        <v>2963</v>
      </c>
      <c r="R1586" s="4" t="s">
        <v>1908</v>
      </c>
      <c r="S1586" s="4"/>
      <c r="T1586"/>
      <c r="U1586" s="23"/>
    </row>
    <row r="1587" spans="1:21" ht="15.6" x14ac:dyDescent="0.3">
      <c r="A1587" s="4">
        <v>1586</v>
      </c>
      <c r="B1587" s="5">
        <v>1421253</v>
      </c>
      <c r="C1587" s="4" t="s">
        <v>96</v>
      </c>
      <c r="D1587" s="4" t="s">
        <v>71</v>
      </c>
      <c r="E1587" s="4" t="s">
        <v>16</v>
      </c>
      <c r="F1587" s="4" t="s">
        <v>2947</v>
      </c>
      <c r="G1587" s="6">
        <v>2.6</v>
      </c>
      <c r="H1587" s="7">
        <v>45826.43644675926</v>
      </c>
      <c r="I1587" s="7" t="str">
        <f>TEXT(multilingual_mobile_app_reviews_2025[[#This Row],[Review_date]],"dd-mm-yyyy")</f>
        <v>18-06-2025</v>
      </c>
      <c r="J1587" s="7" t="str">
        <f>TEXT(multilingual_mobile_app_reviews_2025[[#This Row],[Review_date]],"YYYY")</f>
        <v>2025</v>
      </c>
      <c r="K1587" s="7" t="str">
        <f>TEXT(multilingual_mobile_app_reviews_2025[[#This Row],[Review_date]],"MMMM")</f>
        <v>June</v>
      </c>
      <c r="L1587" s="4" t="b">
        <v>0</v>
      </c>
      <c r="M1587" s="4" t="s">
        <v>22</v>
      </c>
      <c r="N1587" s="5">
        <v>1188</v>
      </c>
      <c r="O1587" s="5">
        <v>73</v>
      </c>
      <c r="P1587" s="4" t="s">
        <v>90</v>
      </c>
      <c r="Q1587" s="8" t="s">
        <v>5</v>
      </c>
      <c r="R1587" s="4" t="s">
        <v>2963</v>
      </c>
      <c r="S1587" s="4"/>
      <c r="T1587"/>
      <c r="U1587" s="23"/>
    </row>
    <row r="1588" spans="1:21" ht="15.6" x14ac:dyDescent="0.3">
      <c r="A1588" s="4">
        <v>1587</v>
      </c>
      <c r="B1588" s="5">
        <v>1665160</v>
      </c>
      <c r="C1588" s="4" t="s">
        <v>132</v>
      </c>
      <c r="D1588" s="4" t="s">
        <v>157</v>
      </c>
      <c r="E1588" s="4" t="s">
        <v>1909</v>
      </c>
      <c r="F1588" s="4" t="s">
        <v>2942</v>
      </c>
      <c r="G1588" s="6">
        <v>2.2999999999999998</v>
      </c>
      <c r="H1588" s="7">
        <v>45528.497974537036</v>
      </c>
      <c r="I1588" s="7" t="str">
        <f>TEXT(multilingual_mobile_app_reviews_2025[[#This Row],[Review_date]],"dd-mm-yyyy")</f>
        <v>24-08-2024</v>
      </c>
      <c r="J1588" s="7" t="str">
        <f>TEXT(multilingual_mobile_app_reviews_2025[[#This Row],[Review_date]],"YYYY")</f>
        <v>2024</v>
      </c>
      <c r="K1588" s="7" t="str">
        <f>TEXT(multilingual_mobile_app_reviews_2025[[#This Row],[Review_date]],"MMMM")</f>
        <v>August</v>
      </c>
      <c r="L1588" s="4" t="b">
        <v>1</v>
      </c>
      <c r="M1588" s="4" t="s">
        <v>22</v>
      </c>
      <c r="N1588" s="5">
        <v>678</v>
      </c>
      <c r="O1588" s="5">
        <v>36</v>
      </c>
      <c r="P1588" s="4" t="s">
        <v>65</v>
      </c>
      <c r="Q1588" s="8" t="s">
        <v>5</v>
      </c>
      <c r="R1588" s="4" t="s">
        <v>1910</v>
      </c>
      <c r="S1588" s="4"/>
      <c r="T1588"/>
      <c r="U1588" s="23"/>
    </row>
    <row r="1589" spans="1:21" ht="15.6" x14ac:dyDescent="0.3">
      <c r="A1589" s="4">
        <v>1588</v>
      </c>
      <c r="B1589" s="5">
        <v>8879300</v>
      </c>
      <c r="C1589" s="4" t="s">
        <v>192</v>
      </c>
      <c r="D1589" s="4" t="s">
        <v>51</v>
      </c>
      <c r="E1589" s="4" t="s">
        <v>21</v>
      </c>
      <c r="F1589" s="4" t="s">
        <v>2961</v>
      </c>
      <c r="G1589" s="6">
        <v>1.2</v>
      </c>
      <c r="H1589" s="7">
        <v>45861.407094907408</v>
      </c>
      <c r="I1589" s="7" t="str">
        <f>TEXT(multilingual_mobile_app_reviews_2025[[#This Row],[Review_date]],"dd-mm-yyyy")</f>
        <v>23-07-2025</v>
      </c>
      <c r="J1589" s="7" t="str">
        <f>TEXT(multilingual_mobile_app_reviews_2025[[#This Row],[Review_date]],"YYYY")</f>
        <v>2025</v>
      </c>
      <c r="K1589" s="7" t="str">
        <f>TEXT(multilingual_mobile_app_reviews_2025[[#This Row],[Review_date]],"MMMM")</f>
        <v>July</v>
      </c>
      <c r="L1589" s="4" t="b">
        <v>0</v>
      </c>
      <c r="M1589" s="4" t="s">
        <v>10</v>
      </c>
      <c r="N1589" s="5">
        <v>1017</v>
      </c>
      <c r="O1589" s="5">
        <v>38</v>
      </c>
      <c r="P1589" s="4" t="s">
        <v>65</v>
      </c>
      <c r="Q1589" s="8" t="s">
        <v>39</v>
      </c>
      <c r="R1589" s="4" t="s">
        <v>1911</v>
      </c>
      <c r="S1589" s="4"/>
      <c r="T1589"/>
      <c r="U1589" s="23"/>
    </row>
    <row r="1590" spans="1:21" ht="15.6" x14ac:dyDescent="0.3">
      <c r="A1590" s="4">
        <v>1589</v>
      </c>
      <c r="B1590" s="5">
        <v>5827998</v>
      </c>
      <c r="C1590" s="4" t="s">
        <v>14</v>
      </c>
      <c r="D1590" s="4" t="s">
        <v>26</v>
      </c>
      <c r="E1590" s="4" t="s">
        <v>76</v>
      </c>
      <c r="F1590" s="4" t="s">
        <v>2946</v>
      </c>
      <c r="G1590" s="6">
        <v>2.8</v>
      </c>
      <c r="H1590" s="7">
        <v>45486.446423611109</v>
      </c>
      <c r="I1590" s="7" t="str">
        <f>TEXT(multilingual_mobile_app_reviews_2025[[#This Row],[Review_date]],"dd-mm-yyyy")</f>
        <v>13-07-2024</v>
      </c>
      <c r="J1590" s="7" t="str">
        <f>TEXT(multilingual_mobile_app_reviews_2025[[#This Row],[Review_date]],"YYYY")</f>
        <v>2024</v>
      </c>
      <c r="K1590" s="7" t="str">
        <f>TEXT(multilingual_mobile_app_reviews_2025[[#This Row],[Review_date]],"MMMM")</f>
        <v>July</v>
      </c>
      <c r="L1590" s="4" t="b">
        <v>1</v>
      </c>
      <c r="M1590" s="4" t="s">
        <v>33</v>
      </c>
      <c r="N1590" s="5">
        <v>1130</v>
      </c>
      <c r="O1590" s="5">
        <v>47</v>
      </c>
      <c r="P1590" s="4" t="s">
        <v>65</v>
      </c>
      <c r="Q1590" s="8" t="s">
        <v>29</v>
      </c>
      <c r="R1590" s="4" t="s">
        <v>1912</v>
      </c>
      <c r="S1590" s="4"/>
      <c r="T1590"/>
      <c r="U1590" s="23"/>
    </row>
    <row r="1591" spans="1:21" ht="15.6" x14ac:dyDescent="0.3">
      <c r="A1591" s="4">
        <v>1590</v>
      </c>
      <c r="B1591" s="5">
        <v>5787823</v>
      </c>
      <c r="C1591" s="4" t="s">
        <v>67</v>
      </c>
      <c r="D1591" s="4" t="s">
        <v>42</v>
      </c>
      <c r="E1591" s="4" t="s">
        <v>1913</v>
      </c>
      <c r="F1591" s="4" t="s">
        <v>2942</v>
      </c>
      <c r="G1591" s="6">
        <v>4.3</v>
      </c>
      <c r="H1591" s="7">
        <v>45214.535775462966</v>
      </c>
      <c r="I1591" s="7" t="str">
        <f>TEXT(multilingual_mobile_app_reviews_2025[[#This Row],[Review_date]],"dd-mm-yyyy")</f>
        <v>15-10-2023</v>
      </c>
      <c r="J1591" s="7" t="str">
        <f>TEXT(multilingual_mobile_app_reviews_2025[[#This Row],[Review_date]],"YYYY")</f>
        <v>2023</v>
      </c>
      <c r="K1591" s="7" t="str">
        <f>TEXT(multilingual_mobile_app_reviews_2025[[#This Row],[Review_date]],"MMMM")</f>
        <v>October</v>
      </c>
      <c r="L1591" s="4" t="b">
        <v>1</v>
      </c>
      <c r="M1591" s="4" t="s">
        <v>3</v>
      </c>
      <c r="N1591" s="5">
        <v>138</v>
      </c>
      <c r="O1591" s="5">
        <v>64</v>
      </c>
      <c r="P1591" s="4" t="s">
        <v>114</v>
      </c>
      <c r="Q1591" s="8" t="s">
        <v>5</v>
      </c>
      <c r="R1591" s="4" t="s">
        <v>1914</v>
      </c>
      <c r="S1591" s="4"/>
      <c r="T1591"/>
      <c r="U1591" s="23"/>
    </row>
    <row r="1592" spans="1:21" ht="15.6" x14ac:dyDescent="0.3">
      <c r="A1592" s="4">
        <v>1591</v>
      </c>
      <c r="B1592" s="5">
        <v>2492808</v>
      </c>
      <c r="C1592" s="4" t="s">
        <v>96</v>
      </c>
      <c r="D1592" s="4" t="s">
        <v>79</v>
      </c>
      <c r="E1592" s="4" t="s">
        <v>130</v>
      </c>
      <c r="F1592" s="4" t="s">
        <v>2954</v>
      </c>
      <c r="G1592" s="6">
        <v>2.8</v>
      </c>
      <c r="H1592" s="7">
        <v>45734.094525462962</v>
      </c>
      <c r="I1592" s="7" t="str">
        <f>TEXT(multilingual_mobile_app_reviews_2025[[#This Row],[Review_date]],"dd-mm-yyyy")</f>
        <v>18-03-2025</v>
      </c>
      <c r="J1592" s="7" t="str">
        <f>TEXT(multilingual_mobile_app_reviews_2025[[#This Row],[Review_date]],"YYYY")</f>
        <v>2025</v>
      </c>
      <c r="K1592" s="7" t="str">
        <f>TEXT(multilingual_mobile_app_reviews_2025[[#This Row],[Review_date]],"MMMM")</f>
        <v>March</v>
      </c>
      <c r="L1592" s="4" t="b">
        <v>1</v>
      </c>
      <c r="M1592" s="4" t="s">
        <v>33</v>
      </c>
      <c r="N1592" s="5">
        <v>1243</v>
      </c>
      <c r="O1592" s="5">
        <v>75</v>
      </c>
      <c r="P1592" s="4" t="s">
        <v>4</v>
      </c>
      <c r="Q1592" s="8" t="s">
        <v>12</v>
      </c>
      <c r="R1592" s="4" t="s">
        <v>1915</v>
      </c>
      <c r="S1592" s="4"/>
      <c r="T1592"/>
      <c r="U1592" s="23"/>
    </row>
    <row r="1593" spans="1:21" ht="15.6" x14ac:dyDescent="0.3">
      <c r="A1593" s="4">
        <v>1592</v>
      </c>
      <c r="B1593" s="5">
        <v>9279419</v>
      </c>
      <c r="C1593" s="4" t="s">
        <v>123</v>
      </c>
      <c r="D1593" s="4" t="s">
        <v>26</v>
      </c>
      <c r="E1593" s="4" t="s">
        <v>16</v>
      </c>
      <c r="F1593" s="4" t="s">
        <v>2941</v>
      </c>
      <c r="G1593" s="6">
        <v>5</v>
      </c>
      <c r="H1593" s="7">
        <v>45812.711597222224</v>
      </c>
      <c r="I1593" s="7" t="str">
        <f>TEXT(multilingual_mobile_app_reviews_2025[[#This Row],[Review_date]],"dd-mm-yyyy")</f>
        <v>04-06-2025</v>
      </c>
      <c r="J1593" s="7" t="str">
        <f>TEXT(multilingual_mobile_app_reviews_2025[[#This Row],[Review_date]],"YYYY")</f>
        <v>2025</v>
      </c>
      <c r="K1593" s="7" t="str">
        <f>TEXT(multilingual_mobile_app_reviews_2025[[#This Row],[Review_date]],"MMMM")</f>
        <v>June</v>
      </c>
      <c r="L1593" s="4" t="b">
        <v>1</v>
      </c>
      <c r="M1593" s="4" t="s">
        <v>98</v>
      </c>
      <c r="N1593" s="5">
        <v>1125</v>
      </c>
      <c r="O1593" s="5">
        <v>49</v>
      </c>
      <c r="P1593" s="4" t="s">
        <v>162</v>
      </c>
      <c r="Q1593" s="8" t="s">
        <v>2963</v>
      </c>
      <c r="R1593" s="4" t="s">
        <v>1916</v>
      </c>
      <c r="S1593" s="4"/>
      <c r="T1593"/>
      <c r="U1593" s="23"/>
    </row>
    <row r="1594" spans="1:21" ht="15.6" x14ac:dyDescent="0.3">
      <c r="A1594" s="4">
        <v>1593</v>
      </c>
      <c r="B1594" s="5">
        <v>8470358</v>
      </c>
      <c r="C1594" s="4" t="s">
        <v>176</v>
      </c>
      <c r="D1594" s="4" t="s">
        <v>47</v>
      </c>
      <c r="E1594" s="4" t="s">
        <v>32</v>
      </c>
      <c r="F1594" s="4" t="s">
        <v>2940</v>
      </c>
      <c r="G1594" s="6">
        <v>1</v>
      </c>
      <c r="H1594" s="7">
        <v>45211.978773148148</v>
      </c>
      <c r="I1594" s="7" t="str">
        <f>TEXT(multilingual_mobile_app_reviews_2025[[#This Row],[Review_date]],"dd-mm-yyyy")</f>
        <v>12-10-2023</v>
      </c>
      <c r="J1594" s="7" t="str">
        <f>TEXT(multilingual_mobile_app_reviews_2025[[#This Row],[Review_date]],"YYYY")</f>
        <v>2023</v>
      </c>
      <c r="K1594" s="7" t="str">
        <f>TEXT(multilingual_mobile_app_reviews_2025[[#This Row],[Review_date]],"MMMM")</f>
        <v>October</v>
      </c>
      <c r="L1594" s="4" t="b">
        <v>1</v>
      </c>
      <c r="M1594" s="4" t="s">
        <v>33</v>
      </c>
      <c r="N1594" s="5">
        <v>400</v>
      </c>
      <c r="O1594" s="5">
        <v>30</v>
      </c>
      <c r="P1594" s="4" t="s">
        <v>70</v>
      </c>
      <c r="Q1594" s="8" t="s">
        <v>29</v>
      </c>
      <c r="R1594" s="4" t="s">
        <v>1917</v>
      </c>
      <c r="S1594" s="4"/>
      <c r="T1594"/>
      <c r="U1594" s="23"/>
    </row>
    <row r="1595" spans="1:21" ht="15.6" x14ac:dyDescent="0.3">
      <c r="A1595" s="4">
        <v>1594</v>
      </c>
      <c r="B1595" s="5">
        <v>5363326</v>
      </c>
      <c r="C1595" s="4" t="s">
        <v>50</v>
      </c>
      <c r="D1595" s="4" t="s">
        <v>8</v>
      </c>
      <c r="E1595" s="4" t="s">
        <v>1918</v>
      </c>
      <c r="F1595" s="4" t="s">
        <v>2961</v>
      </c>
      <c r="G1595" s="6">
        <v>4.3</v>
      </c>
      <c r="H1595" s="7">
        <v>45208.184675925928</v>
      </c>
      <c r="I1595" s="7" t="str">
        <f>TEXT(multilingual_mobile_app_reviews_2025[[#This Row],[Review_date]],"dd-mm-yyyy")</f>
        <v>09-10-2023</v>
      </c>
      <c r="J1595" s="7" t="str">
        <f>TEXT(multilingual_mobile_app_reviews_2025[[#This Row],[Review_date]],"YYYY")</f>
        <v>2023</v>
      </c>
      <c r="K1595" s="7" t="str">
        <f>TEXT(multilingual_mobile_app_reviews_2025[[#This Row],[Review_date]],"MMMM")</f>
        <v>October</v>
      </c>
      <c r="L1595" s="4" t="b">
        <v>1</v>
      </c>
      <c r="M1595" s="4" t="s">
        <v>33</v>
      </c>
      <c r="N1595" s="5">
        <v>981</v>
      </c>
      <c r="O1595" s="5">
        <v>49</v>
      </c>
      <c r="P1595" s="4" t="s">
        <v>144</v>
      </c>
      <c r="Q1595" s="8" t="s">
        <v>5</v>
      </c>
      <c r="R1595" s="4" t="s">
        <v>1919</v>
      </c>
      <c r="S1595" s="4"/>
      <c r="T1595"/>
      <c r="U1595" s="23"/>
    </row>
    <row r="1596" spans="1:21" ht="15.6" x14ac:dyDescent="0.3">
      <c r="A1596" s="4">
        <v>1595</v>
      </c>
      <c r="B1596" s="5">
        <v>3106246</v>
      </c>
      <c r="C1596" s="4" t="s">
        <v>154</v>
      </c>
      <c r="D1596" s="4" t="s">
        <v>220</v>
      </c>
      <c r="E1596" s="4" t="s">
        <v>76</v>
      </c>
      <c r="F1596" s="4" t="s">
        <v>2948</v>
      </c>
      <c r="G1596" s="6">
        <v>2.5</v>
      </c>
      <c r="H1596" s="7">
        <v>45690.860347222224</v>
      </c>
      <c r="I1596" s="7" t="str">
        <f>TEXT(multilingual_mobile_app_reviews_2025[[#This Row],[Review_date]],"dd-mm-yyyy")</f>
        <v>02-02-2025</v>
      </c>
      <c r="J1596" s="7" t="str">
        <f>TEXT(multilingual_mobile_app_reviews_2025[[#This Row],[Review_date]],"YYYY")</f>
        <v>2025</v>
      </c>
      <c r="K1596" s="7" t="str">
        <f>TEXT(multilingual_mobile_app_reviews_2025[[#This Row],[Review_date]],"MMMM")</f>
        <v>February</v>
      </c>
      <c r="L1596" s="4" t="b">
        <v>0</v>
      </c>
      <c r="M1596" s="4" t="s">
        <v>33</v>
      </c>
      <c r="N1596" s="5">
        <v>1048</v>
      </c>
      <c r="O1596" s="5">
        <v>38</v>
      </c>
      <c r="P1596" s="4" t="s">
        <v>85</v>
      </c>
      <c r="Q1596" s="8" t="s">
        <v>12</v>
      </c>
      <c r="R1596" s="4" t="s">
        <v>1920</v>
      </c>
      <c r="S1596" s="4"/>
      <c r="T1596"/>
      <c r="U1596" s="23"/>
    </row>
    <row r="1597" spans="1:21" ht="15.6" x14ac:dyDescent="0.3">
      <c r="A1597" s="4">
        <v>1596</v>
      </c>
      <c r="B1597" s="5">
        <v>7829953</v>
      </c>
      <c r="C1597" s="4" t="s">
        <v>67</v>
      </c>
      <c r="D1597" s="4" t="s">
        <v>63</v>
      </c>
      <c r="E1597" s="4" t="s">
        <v>93</v>
      </c>
      <c r="F1597" s="4" t="s">
        <v>2962</v>
      </c>
      <c r="G1597" s="6">
        <v>3.5</v>
      </c>
      <c r="H1597" s="7">
        <v>45339.229375000003</v>
      </c>
      <c r="I1597" s="7" t="str">
        <f>TEXT(multilingual_mobile_app_reviews_2025[[#This Row],[Review_date]],"dd-mm-yyyy")</f>
        <v>17-02-2024</v>
      </c>
      <c r="J1597" s="7" t="str">
        <f>TEXT(multilingual_mobile_app_reviews_2025[[#This Row],[Review_date]],"YYYY")</f>
        <v>2024</v>
      </c>
      <c r="K1597" s="7" t="str">
        <f>TEXT(multilingual_mobile_app_reviews_2025[[#This Row],[Review_date]],"MMMM")</f>
        <v>February</v>
      </c>
      <c r="L1597" s="4" t="b">
        <v>1</v>
      </c>
      <c r="M1597" s="4" t="s">
        <v>33</v>
      </c>
      <c r="N1597" s="5">
        <v>608</v>
      </c>
      <c r="O1597" s="5">
        <v>63</v>
      </c>
      <c r="P1597" s="4" t="s">
        <v>230</v>
      </c>
      <c r="Q1597" s="8" t="s">
        <v>39</v>
      </c>
      <c r="R1597" s="4" t="s">
        <v>1921</v>
      </c>
      <c r="S1597" s="4"/>
      <c r="T1597"/>
      <c r="U1597" s="23"/>
    </row>
    <row r="1598" spans="1:21" ht="15.6" x14ac:dyDescent="0.3">
      <c r="A1598" s="4">
        <v>1597</v>
      </c>
      <c r="B1598" s="5">
        <v>4395408</v>
      </c>
      <c r="C1598" s="4" t="s">
        <v>14</v>
      </c>
      <c r="D1598" s="4" t="s">
        <v>63</v>
      </c>
      <c r="E1598" s="4" t="s">
        <v>9</v>
      </c>
      <c r="F1598" s="4" t="s">
        <v>2962</v>
      </c>
      <c r="G1598" s="6">
        <v>3.6</v>
      </c>
      <c r="H1598" s="7">
        <v>45731.631574074076</v>
      </c>
      <c r="I1598" s="7" t="str">
        <f>TEXT(multilingual_mobile_app_reviews_2025[[#This Row],[Review_date]],"dd-mm-yyyy")</f>
        <v>15-03-2025</v>
      </c>
      <c r="J1598" s="7" t="str">
        <f>TEXT(multilingual_mobile_app_reviews_2025[[#This Row],[Review_date]],"YYYY")</f>
        <v>2025</v>
      </c>
      <c r="K1598" s="7" t="str">
        <f>TEXT(multilingual_mobile_app_reviews_2025[[#This Row],[Review_date]],"MMMM")</f>
        <v>March</v>
      </c>
      <c r="L1598" s="4" t="b">
        <v>1</v>
      </c>
      <c r="M1598" s="4" t="s">
        <v>10</v>
      </c>
      <c r="N1598" s="5">
        <v>925</v>
      </c>
      <c r="O1598" s="5">
        <v>66</v>
      </c>
      <c r="P1598" s="4" t="s">
        <v>162</v>
      </c>
      <c r="Q1598" s="8" t="s">
        <v>2963</v>
      </c>
      <c r="R1598" s="4" t="s">
        <v>1922</v>
      </c>
      <c r="S1598" s="4"/>
      <c r="T1598"/>
      <c r="U1598" s="23"/>
    </row>
    <row r="1599" spans="1:21" ht="15.6" x14ac:dyDescent="0.3">
      <c r="A1599" s="4">
        <v>1598</v>
      </c>
      <c r="B1599" s="5">
        <v>2456313</v>
      </c>
      <c r="C1599" s="4" t="s">
        <v>50</v>
      </c>
      <c r="D1599" s="4" t="s">
        <v>97</v>
      </c>
      <c r="E1599" s="4" t="s">
        <v>1923</v>
      </c>
      <c r="F1599" s="4" t="s">
        <v>2958</v>
      </c>
      <c r="G1599" s="6">
        <v>4.0999999999999996</v>
      </c>
      <c r="H1599" s="7">
        <v>45638.984386574077</v>
      </c>
      <c r="I1599" s="7" t="str">
        <f>TEXT(multilingual_mobile_app_reviews_2025[[#This Row],[Review_date]],"dd-mm-yyyy")</f>
        <v>12-12-2024</v>
      </c>
      <c r="J1599" s="7" t="str">
        <f>TEXT(multilingual_mobile_app_reviews_2025[[#This Row],[Review_date]],"YYYY")</f>
        <v>2024</v>
      </c>
      <c r="K1599" s="7" t="str">
        <f>TEXT(multilingual_mobile_app_reviews_2025[[#This Row],[Review_date]],"MMMM")</f>
        <v>December</v>
      </c>
      <c r="L1599" s="4" t="b">
        <v>1</v>
      </c>
      <c r="M1599" s="4" t="s">
        <v>3</v>
      </c>
      <c r="N1599" s="5">
        <v>745</v>
      </c>
      <c r="O1599" s="5">
        <v>45</v>
      </c>
      <c r="P1599" s="4" t="s">
        <v>73</v>
      </c>
      <c r="Q1599" s="8" t="s">
        <v>29</v>
      </c>
      <c r="R1599" s="4" t="s">
        <v>1924</v>
      </c>
      <c r="S1599" s="4"/>
      <c r="T1599"/>
      <c r="U1599" s="23"/>
    </row>
    <row r="1600" spans="1:21" ht="15.6" x14ac:dyDescent="0.3">
      <c r="A1600" s="4">
        <v>1599</v>
      </c>
      <c r="B1600" s="5">
        <v>4207344</v>
      </c>
      <c r="C1600" s="4" t="s">
        <v>46</v>
      </c>
      <c r="D1600" s="4" t="s">
        <v>20</v>
      </c>
      <c r="E1600" s="4" t="s">
        <v>1925</v>
      </c>
      <c r="F1600" s="4" t="s">
        <v>2947</v>
      </c>
      <c r="G1600" s="6">
        <v>4.4000000000000004</v>
      </c>
      <c r="H1600" s="7">
        <v>45497.940648148149</v>
      </c>
      <c r="I1600" s="7" t="str">
        <f>TEXT(multilingual_mobile_app_reviews_2025[[#This Row],[Review_date]],"dd-mm-yyyy")</f>
        <v>24-07-2024</v>
      </c>
      <c r="J1600" s="7" t="str">
        <f>TEXT(multilingual_mobile_app_reviews_2025[[#This Row],[Review_date]],"YYYY")</f>
        <v>2024</v>
      </c>
      <c r="K1600" s="7" t="str">
        <f>TEXT(multilingual_mobile_app_reviews_2025[[#This Row],[Review_date]],"MMMM")</f>
        <v>July</v>
      </c>
      <c r="L1600" s="4" t="b">
        <v>0</v>
      </c>
      <c r="M1600" s="4" t="s">
        <v>22</v>
      </c>
      <c r="N1600" s="5">
        <v>116</v>
      </c>
      <c r="O1600" s="5">
        <v>41</v>
      </c>
      <c r="P1600" s="4" t="s">
        <v>38</v>
      </c>
      <c r="Q1600" s="8" t="s">
        <v>12</v>
      </c>
      <c r="R1600" s="4" t="s">
        <v>1082</v>
      </c>
      <c r="S1600" s="4"/>
      <c r="T1600"/>
      <c r="U1600" s="23"/>
    </row>
    <row r="1601" spans="1:21" ht="15.6" x14ac:dyDescent="0.3">
      <c r="A1601" s="4">
        <v>1600</v>
      </c>
      <c r="B1601" s="5">
        <v>1668722</v>
      </c>
      <c r="C1601" s="4" t="s">
        <v>0</v>
      </c>
      <c r="D1601" s="4" t="s">
        <v>220</v>
      </c>
      <c r="E1601" s="4" t="s">
        <v>27</v>
      </c>
      <c r="F1601" s="4" t="s">
        <v>2960</v>
      </c>
      <c r="G1601" s="6">
        <v>3</v>
      </c>
      <c r="H1601" s="7">
        <v>45409.906400462962</v>
      </c>
      <c r="I1601" s="7" t="str">
        <f>TEXT(multilingual_mobile_app_reviews_2025[[#This Row],[Review_date]],"dd-mm-yyyy")</f>
        <v>27-04-2024</v>
      </c>
      <c r="J1601" s="7" t="str">
        <f>TEXT(multilingual_mobile_app_reviews_2025[[#This Row],[Review_date]],"YYYY")</f>
        <v>2024</v>
      </c>
      <c r="K1601" s="7" t="str">
        <f>TEXT(multilingual_mobile_app_reviews_2025[[#This Row],[Review_date]],"MMMM")</f>
        <v>April</v>
      </c>
      <c r="L1601" s="4" t="b">
        <v>1</v>
      </c>
      <c r="M1601" s="4" t="s">
        <v>22</v>
      </c>
      <c r="N1601" s="5">
        <v>390</v>
      </c>
      <c r="O1601" s="5">
        <v>25</v>
      </c>
      <c r="P1601" s="4" t="s">
        <v>61</v>
      </c>
      <c r="Q1601" s="8" t="s">
        <v>2963</v>
      </c>
      <c r="R1601" s="4" t="s">
        <v>1926</v>
      </c>
      <c r="S1601" s="4"/>
      <c r="T1601"/>
      <c r="U1601" s="23"/>
    </row>
    <row r="1602" spans="1:21" ht="15.6" x14ac:dyDescent="0.3">
      <c r="A1602" s="4">
        <v>1601</v>
      </c>
      <c r="B1602" s="5">
        <v>7959936</v>
      </c>
      <c r="C1602" s="4" t="s">
        <v>36</v>
      </c>
      <c r="D1602" s="4" t="s">
        <v>31</v>
      </c>
      <c r="E1602" s="4" t="s">
        <v>76</v>
      </c>
      <c r="F1602" s="4" t="s">
        <v>2957</v>
      </c>
      <c r="G1602" s="6">
        <v>4.2</v>
      </c>
      <c r="H1602" s="7">
        <v>45637.910717592589</v>
      </c>
      <c r="I1602" s="7" t="str">
        <f>TEXT(multilingual_mobile_app_reviews_2025[[#This Row],[Review_date]],"dd-mm-yyyy")</f>
        <v>11-12-2024</v>
      </c>
      <c r="J1602" s="7" t="str">
        <f>TEXT(multilingual_mobile_app_reviews_2025[[#This Row],[Review_date]],"YYYY")</f>
        <v>2024</v>
      </c>
      <c r="K1602" s="7" t="str">
        <f>TEXT(multilingual_mobile_app_reviews_2025[[#This Row],[Review_date]],"MMMM")</f>
        <v>December</v>
      </c>
      <c r="L1602" s="4" t="b">
        <v>1</v>
      </c>
      <c r="M1602" s="4" t="s">
        <v>10</v>
      </c>
      <c r="N1602" s="5">
        <v>400</v>
      </c>
      <c r="O1602" s="5">
        <v>23</v>
      </c>
      <c r="P1602" s="4" t="s">
        <v>70</v>
      </c>
      <c r="Q1602" s="8" t="s">
        <v>5</v>
      </c>
      <c r="R1602" s="4" t="s">
        <v>876</v>
      </c>
      <c r="S1602" s="4"/>
      <c r="T1602"/>
      <c r="U1602" s="23"/>
    </row>
    <row r="1603" spans="1:21" ht="15.6" x14ac:dyDescent="0.3">
      <c r="A1603" s="4">
        <v>1602</v>
      </c>
      <c r="B1603" s="5">
        <v>7898939</v>
      </c>
      <c r="C1603" s="4" t="s">
        <v>199</v>
      </c>
      <c r="D1603" s="4" t="s">
        <v>111</v>
      </c>
      <c r="E1603" s="4" t="s">
        <v>130</v>
      </c>
      <c r="F1603" s="4" t="s">
        <v>2947</v>
      </c>
      <c r="G1603" s="6">
        <v>1.3</v>
      </c>
      <c r="H1603" s="7">
        <v>45223.63354166667</v>
      </c>
      <c r="I1603" s="7" t="str">
        <f>TEXT(multilingual_mobile_app_reviews_2025[[#This Row],[Review_date]],"dd-mm-yyyy")</f>
        <v>24-10-2023</v>
      </c>
      <c r="J1603" s="7" t="str">
        <f>TEXT(multilingual_mobile_app_reviews_2025[[#This Row],[Review_date]],"YYYY")</f>
        <v>2023</v>
      </c>
      <c r="K1603" s="7" t="str">
        <f>TEXT(multilingual_mobile_app_reviews_2025[[#This Row],[Review_date]],"MMMM")</f>
        <v>October</v>
      </c>
      <c r="L1603" s="4" t="b">
        <v>1</v>
      </c>
      <c r="M1603" s="4" t="s">
        <v>3</v>
      </c>
      <c r="N1603" s="5">
        <v>675</v>
      </c>
      <c r="O1603" s="5">
        <v>69</v>
      </c>
      <c r="P1603" s="4" t="s">
        <v>23</v>
      </c>
      <c r="Q1603" s="8" t="s">
        <v>2963</v>
      </c>
      <c r="R1603" s="4" t="s">
        <v>1927</v>
      </c>
      <c r="S1603" s="4"/>
      <c r="T1603"/>
      <c r="U1603" s="23"/>
    </row>
    <row r="1604" spans="1:21" ht="15.6" x14ac:dyDescent="0.3">
      <c r="A1604" s="4">
        <v>1603</v>
      </c>
      <c r="B1604" s="5">
        <v>3124485</v>
      </c>
      <c r="C1604" s="4" t="s">
        <v>78</v>
      </c>
      <c r="D1604" s="4" t="s">
        <v>31</v>
      </c>
      <c r="E1604" s="4" t="s">
        <v>27</v>
      </c>
      <c r="F1604" s="4" t="s">
        <v>2945</v>
      </c>
      <c r="G1604" s="6">
        <v>4.9000000000000004</v>
      </c>
      <c r="H1604" s="7">
        <v>45707.267141203702</v>
      </c>
      <c r="I1604" s="7" t="str">
        <f>TEXT(multilingual_mobile_app_reviews_2025[[#This Row],[Review_date]],"dd-mm-yyyy")</f>
        <v>19-02-2025</v>
      </c>
      <c r="J1604" s="7" t="str">
        <f>TEXT(multilingual_mobile_app_reviews_2025[[#This Row],[Review_date]],"YYYY")</f>
        <v>2025</v>
      </c>
      <c r="K1604" s="7" t="str">
        <f>TEXT(multilingual_mobile_app_reviews_2025[[#This Row],[Review_date]],"MMMM")</f>
        <v>February</v>
      </c>
      <c r="L1604" s="4" t="b">
        <v>1</v>
      </c>
      <c r="M1604" s="4" t="s">
        <v>10</v>
      </c>
      <c r="N1604" s="5">
        <v>738</v>
      </c>
      <c r="O1604" s="5">
        <v>49</v>
      </c>
      <c r="P1604" s="4" t="s">
        <v>230</v>
      </c>
      <c r="Q1604" s="8" t="s">
        <v>29</v>
      </c>
      <c r="R1604" s="4" t="s">
        <v>1928</v>
      </c>
      <c r="S1604" s="4"/>
      <c r="T1604"/>
      <c r="U1604" s="23"/>
    </row>
    <row r="1605" spans="1:21" ht="15.6" x14ac:dyDescent="0.3">
      <c r="A1605" s="4">
        <v>1604</v>
      </c>
      <c r="B1605" s="5">
        <v>6759629</v>
      </c>
      <c r="C1605" s="4" t="s">
        <v>137</v>
      </c>
      <c r="D1605" s="4" t="s">
        <v>20</v>
      </c>
      <c r="E1605" s="4" t="s">
        <v>130</v>
      </c>
      <c r="F1605" s="4" t="s">
        <v>2961</v>
      </c>
      <c r="G1605" s="6">
        <v>2.6</v>
      </c>
      <c r="H1605" s="7">
        <v>45735.569780092592</v>
      </c>
      <c r="I1605" s="7" t="str">
        <f>TEXT(multilingual_mobile_app_reviews_2025[[#This Row],[Review_date]],"dd-mm-yyyy")</f>
        <v>19-03-2025</v>
      </c>
      <c r="J1605" s="7" t="str">
        <f>TEXT(multilingual_mobile_app_reviews_2025[[#This Row],[Review_date]],"YYYY")</f>
        <v>2025</v>
      </c>
      <c r="K1605" s="7" t="str">
        <f>TEXT(multilingual_mobile_app_reviews_2025[[#This Row],[Review_date]],"MMMM")</f>
        <v>March</v>
      </c>
      <c r="L1605" s="4" t="b">
        <v>1</v>
      </c>
      <c r="M1605" s="4" t="s">
        <v>22</v>
      </c>
      <c r="N1605" s="5">
        <v>345</v>
      </c>
      <c r="O1605" s="5">
        <v>68</v>
      </c>
      <c r="P1605" s="4" t="s">
        <v>180</v>
      </c>
      <c r="Q1605" s="8" t="s">
        <v>2963</v>
      </c>
      <c r="R1605" s="4" t="s">
        <v>1929</v>
      </c>
      <c r="S1605" s="4"/>
      <c r="T1605"/>
      <c r="U1605" s="23"/>
    </row>
    <row r="1606" spans="1:21" ht="15.6" x14ac:dyDescent="0.3">
      <c r="A1606" s="4">
        <v>1605</v>
      </c>
      <c r="B1606" s="5">
        <v>3446568</v>
      </c>
      <c r="C1606" s="4" t="s">
        <v>7</v>
      </c>
      <c r="D1606" s="4" t="s">
        <v>51</v>
      </c>
      <c r="E1606" s="4" t="s">
        <v>9</v>
      </c>
      <c r="F1606" s="4" t="s">
        <v>2954</v>
      </c>
      <c r="G1606" s="6">
        <v>3.3</v>
      </c>
      <c r="H1606" s="7">
        <v>45450.748437499999</v>
      </c>
      <c r="I1606" s="7" t="str">
        <f>TEXT(multilingual_mobile_app_reviews_2025[[#This Row],[Review_date]],"dd-mm-yyyy")</f>
        <v>07-06-2024</v>
      </c>
      <c r="J1606" s="7" t="str">
        <f>TEXT(multilingual_mobile_app_reviews_2025[[#This Row],[Review_date]],"YYYY")</f>
        <v>2024</v>
      </c>
      <c r="K1606" s="7" t="str">
        <f>TEXT(multilingual_mobile_app_reviews_2025[[#This Row],[Review_date]],"MMMM")</f>
        <v>June</v>
      </c>
      <c r="L1606" s="4" t="b">
        <v>1</v>
      </c>
      <c r="M1606" s="4" t="s">
        <v>98</v>
      </c>
      <c r="N1606" s="5">
        <v>258</v>
      </c>
      <c r="O1606" s="5">
        <v>75</v>
      </c>
      <c r="P1606" s="4" t="s">
        <v>90</v>
      </c>
      <c r="Q1606" s="8" t="s">
        <v>5</v>
      </c>
      <c r="R1606" s="4" t="s">
        <v>1930</v>
      </c>
      <c r="S1606" s="4"/>
      <c r="T1606"/>
      <c r="U1606" s="23"/>
    </row>
    <row r="1607" spans="1:21" ht="15.6" x14ac:dyDescent="0.3">
      <c r="A1607" s="4">
        <v>1606</v>
      </c>
      <c r="B1607" s="5">
        <v>1181652</v>
      </c>
      <c r="C1607" s="4" t="s">
        <v>123</v>
      </c>
      <c r="D1607" s="4" t="s">
        <v>220</v>
      </c>
      <c r="E1607" s="4" t="s">
        <v>93</v>
      </c>
      <c r="F1607" s="4" t="s">
        <v>2940</v>
      </c>
      <c r="G1607" s="6">
        <v>2.1</v>
      </c>
      <c r="H1607" s="7">
        <v>45385.320706018516</v>
      </c>
      <c r="I1607" s="7" t="str">
        <f>TEXT(multilingual_mobile_app_reviews_2025[[#This Row],[Review_date]],"dd-mm-yyyy")</f>
        <v>03-04-2024</v>
      </c>
      <c r="J1607" s="7" t="str">
        <f>TEXT(multilingual_mobile_app_reviews_2025[[#This Row],[Review_date]],"YYYY")</f>
        <v>2024</v>
      </c>
      <c r="K1607" s="7" t="str">
        <f>TEXT(multilingual_mobile_app_reviews_2025[[#This Row],[Review_date]],"MMMM")</f>
        <v>April</v>
      </c>
      <c r="L1607" s="4" t="b">
        <v>1</v>
      </c>
      <c r="M1607" s="4" t="s">
        <v>3</v>
      </c>
      <c r="N1607" s="5">
        <v>72</v>
      </c>
      <c r="O1607" s="5">
        <v>14</v>
      </c>
      <c r="P1607" s="4" t="s">
        <v>85</v>
      </c>
      <c r="Q1607" s="8" t="s">
        <v>5</v>
      </c>
      <c r="R1607" s="4" t="s">
        <v>170</v>
      </c>
      <c r="S1607" s="4"/>
      <c r="T1607"/>
      <c r="U1607" s="23"/>
    </row>
    <row r="1608" spans="1:21" ht="15.6" x14ac:dyDescent="0.3">
      <c r="A1608" s="4">
        <v>1607</v>
      </c>
      <c r="B1608" s="5">
        <v>8258676</v>
      </c>
      <c r="C1608" s="4" t="s">
        <v>199</v>
      </c>
      <c r="D1608" s="4" t="s">
        <v>157</v>
      </c>
      <c r="E1608" s="4" t="s">
        <v>93</v>
      </c>
      <c r="F1608" s="4" t="s">
        <v>2946</v>
      </c>
      <c r="G1608" s="6">
        <v>2.5</v>
      </c>
      <c r="H1608" s="7">
        <v>45304.036898148152</v>
      </c>
      <c r="I1608" s="7" t="str">
        <f>TEXT(multilingual_mobile_app_reviews_2025[[#This Row],[Review_date]],"dd-mm-yyyy")</f>
        <v>13-01-2024</v>
      </c>
      <c r="J1608" s="7" t="str">
        <f>TEXT(multilingual_mobile_app_reviews_2025[[#This Row],[Review_date]],"YYYY")</f>
        <v>2024</v>
      </c>
      <c r="K1608" s="7" t="str">
        <f>TEXT(multilingual_mobile_app_reviews_2025[[#This Row],[Review_date]],"MMMM")</f>
        <v>January</v>
      </c>
      <c r="L1608" s="4" t="b">
        <v>0</v>
      </c>
      <c r="M1608" s="4" t="s">
        <v>10</v>
      </c>
      <c r="N1608" s="5">
        <v>47</v>
      </c>
      <c r="O1608" s="5">
        <v>38</v>
      </c>
      <c r="P1608" s="4" t="s">
        <v>80</v>
      </c>
      <c r="Q1608" s="8" t="s">
        <v>29</v>
      </c>
      <c r="R1608" s="4" t="s">
        <v>897</v>
      </c>
      <c r="S1608" s="4"/>
      <c r="T1608"/>
      <c r="U1608" s="23"/>
    </row>
    <row r="1609" spans="1:21" ht="15.6" x14ac:dyDescent="0.3">
      <c r="A1609" s="4">
        <v>1608</v>
      </c>
      <c r="B1609" s="5">
        <v>8089636</v>
      </c>
      <c r="C1609" s="4" t="s">
        <v>264</v>
      </c>
      <c r="D1609" s="4" t="s">
        <v>26</v>
      </c>
      <c r="E1609" s="4" t="s">
        <v>27</v>
      </c>
      <c r="F1609" s="4" t="s">
        <v>2944</v>
      </c>
      <c r="G1609" s="6">
        <v>2.2000000000000002</v>
      </c>
      <c r="H1609" s="7">
        <v>45227.678240740737</v>
      </c>
      <c r="I1609" s="7" t="str">
        <f>TEXT(multilingual_mobile_app_reviews_2025[[#This Row],[Review_date]],"dd-mm-yyyy")</f>
        <v>28-10-2023</v>
      </c>
      <c r="J1609" s="7" t="str">
        <f>TEXT(multilingual_mobile_app_reviews_2025[[#This Row],[Review_date]],"YYYY")</f>
        <v>2023</v>
      </c>
      <c r="K1609" s="7" t="str">
        <f>TEXT(multilingual_mobile_app_reviews_2025[[#This Row],[Review_date]],"MMMM")</f>
        <v>October</v>
      </c>
      <c r="L1609" s="4" t="b">
        <v>1</v>
      </c>
      <c r="M1609" s="4" t="s">
        <v>98</v>
      </c>
      <c r="N1609" s="5">
        <v>936</v>
      </c>
      <c r="O1609" s="5">
        <v>40</v>
      </c>
      <c r="P1609" s="4" t="s">
        <v>144</v>
      </c>
      <c r="Q1609" s="8" t="s">
        <v>29</v>
      </c>
      <c r="R1609" s="4" t="s">
        <v>1931</v>
      </c>
      <c r="S1609" s="4"/>
      <c r="T1609"/>
      <c r="U1609" s="23"/>
    </row>
    <row r="1610" spans="1:21" ht="15.6" x14ac:dyDescent="0.3">
      <c r="A1610" s="4">
        <v>1609</v>
      </c>
      <c r="B1610" s="5">
        <v>7726564</v>
      </c>
      <c r="C1610" s="4" t="s">
        <v>89</v>
      </c>
      <c r="D1610" s="4" t="s">
        <v>8</v>
      </c>
      <c r="E1610" s="4" t="s">
        <v>2938</v>
      </c>
      <c r="F1610" s="4" t="s">
        <v>2956</v>
      </c>
      <c r="G1610" s="6">
        <v>3.4</v>
      </c>
      <c r="H1610" s="7">
        <v>45168.613043981481</v>
      </c>
      <c r="I1610" s="7" t="str">
        <f>TEXT(multilingual_mobile_app_reviews_2025[[#This Row],[Review_date]],"dd-mm-yyyy")</f>
        <v>30-08-2023</v>
      </c>
      <c r="J1610" s="7" t="str">
        <f>TEXT(multilingual_mobile_app_reviews_2025[[#This Row],[Review_date]],"YYYY")</f>
        <v>2023</v>
      </c>
      <c r="K1610" s="7" t="str">
        <f>TEXT(multilingual_mobile_app_reviews_2025[[#This Row],[Review_date]],"MMMM")</f>
        <v>August</v>
      </c>
      <c r="L1610" s="4" t="b">
        <v>1</v>
      </c>
      <c r="M1610" s="4" t="s">
        <v>98</v>
      </c>
      <c r="N1610" s="5">
        <v>5</v>
      </c>
      <c r="O1610" s="5">
        <v>67</v>
      </c>
      <c r="P1610" s="4" t="s">
        <v>73</v>
      </c>
      <c r="Q1610" s="8" t="s">
        <v>5</v>
      </c>
      <c r="R1610" s="4" t="s">
        <v>1932</v>
      </c>
      <c r="S1610" s="4"/>
      <c r="T1610"/>
      <c r="U1610" s="23"/>
    </row>
    <row r="1611" spans="1:21" ht="15.6" x14ac:dyDescent="0.3">
      <c r="A1611" s="4">
        <v>1610</v>
      </c>
      <c r="B1611" s="5">
        <v>2712902</v>
      </c>
      <c r="C1611" s="4" t="s">
        <v>46</v>
      </c>
      <c r="D1611" s="4" t="s">
        <v>31</v>
      </c>
      <c r="E1611" s="4" t="s">
        <v>21</v>
      </c>
      <c r="F1611" s="4" t="s">
        <v>2952</v>
      </c>
      <c r="G1611" s="6">
        <v>2.8</v>
      </c>
      <c r="H1611" s="7">
        <v>45503.912858796299</v>
      </c>
      <c r="I1611" s="7" t="str">
        <f>TEXT(multilingual_mobile_app_reviews_2025[[#This Row],[Review_date]],"dd-mm-yyyy")</f>
        <v>30-07-2024</v>
      </c>
      <c r="J1611" s="7" t="str">
        <f>TEXT(multilingual_mobile_app_reviews_2025[[#This Row],[Review_date]],"YYYY")</f>
        <v>2024</v>
      </c>
      <c r="K1611" s="7" t="str">
        <f>TEXT(multilingual_mobile_app_reviews_2025[[#This Row],[Review_date]],"MMMM")</f>
        <v>July</v>
      </c>
      <c r="L1611" s="4" t="b">
        <v>1</v>
      </c>
      <c r="M1611" s="4" t="s">
        <v>98</v>
      </c>
      <c r="N1611" s="5">
        <v>646</v>
      </c>
      <c r="O1611" s="5">
        <v>31</v>
      </c>
      <c r="P1611" s="4" t="s">
        <v>144</v>
      </c>
      <c r="Q1611" s="8" t="s">
        <v>2963</v>
      </c>
      <c r="R1611" s="4" t="s">
        <v>1933</v>
      </c>
      <c r="S1611" s="4"/>
      <c r="T1611"/>
      <c r="U1611" s="23"/>
    </row>
    <row r="1612" spans="1:21" ht="15.6" x14ac:dyDescent="0.3">
      <c r="A1612" s="4">
        <v>1611</v>
      </c>
      <c r="B1612" s="5">
        <v>3681434</v>
      </c>
      <c r="C1612" s="4" t="s">
        <v>46</v>
      </c>
      <c r="D1612" s="4" t="s">
        <v>31</v>
      </c>
      <c r="E1612" s="4" t="s">
        <v>64</v>
      </c>
      <c r="F1612" s="4" t="s">
        <v>2958</v>
      </c>
      <c r="G1612" s="6">
        <v>4</v>
      </c>
      <c r="H1612" s="7">
        <v>45387.574571759258</v>
      </c>
      <c r="I1612" s="7" t="str">
        <f>TEXT(multilingual_mobile_app_reviews_2025[[#This Row],[Review_date]],"dd-mm-yyyy")</f>
        <v>05-04-2024</v>
      </c>
      <c r="J1612" s="7" t="str">
        <f>TEXT(multilingual_mobile_app_reviews_2025[[#This Row],[Review_date]],"YYYY")</f>
        <v>2024</v>
      </c>
      <c r="K1612" s="7" t="str">
        <f>TEXT(multilingual_mobile_app_reviews_2025[[#This Row],[Review_date]],"MMMM")</f>
        <v>April</v>
      </c>
      <c r="L1612" s="4" t="b">
        <v>1</v>
      </c>
      <c r="M1612" s="4" t="s">
        <v>98</v>
      </c>
      <c r="N1612" s="5">
        <v>162</v>
      </c>
      <c r="O1612" s="5">
        <v>75</v>
      </c>
      <c r="P1612" s="4" t="s">
        <v>65</v>
      </c>
      <c r="Q1612" s="8" t="s">
        <v>29</v>
      </c>
      <c r="R1612" s="4" t="s">
        <v>890</v>
      </c>
      <c r="S1612" s="4"/>
      <c r="T1612"/>
      <c r="U1612" s="23"/>
    </row>
    <row r="1613" spans="1:21" ht="15.6" x14ac:dyDescent="0.3">
      <c r="A1613" s="4">
        <v>1612</v>
      </c>
      <c r="B1613" s="5">
        <v>625516</v>
      </c>
      <c r="C1613" s="4" t="s">
        <v>258</v>
      </c>
      <c r="D1613" s="4" t="s">
        <v>97</v>
      </c>
      <c r="E1613" s="4" t="s">
        <v>93</v>
      </c>
      <c r="F1613" s="4" t="s">
        <v>2945</v>
      </c>
      <c r="G1613" s="6">
        <v>4.3</v>
      </c>
      <c r="H1613" s="7">
        <v>45605.748900462961</v>
      </c>
      <c r="I1613" s="7" t="str">
        <f>TEXT(multilingual_mobile_app_reviews_2025[[#This Row],[Review_date]],"dd-mm-yyyy")</f>
        <v>09-11-2024</v>
      </c>
      <c r="J1613" s="7" t="str">
        <f>TEXT(multilingual_mobile_app_reviews_2025[[#This Row],[Review_date]],"YYYY")</f>
        <v>2024</v>
      </c>
      <c r="K1613" s="7" t="str">
        <f>TEXT(multilingual_mobile_app_reviews_2025[[#This Row],[Review_date]],"MMMM")</f>
        <v>November</v>
      </c>
      <c r="L1613" s="4" t="b">
        <v>0</v>
      </c>
      <c r="M1613" s="4" t="s">
        <v>98</v>
      </c>
      <c r="N1613" s="5">
        <v>873</v>
      </c>
      <c r="O1613" s="5">
        <v>69</v>
      </c>
      <c r="P1613" s="4" t="s">
        <v>230</v>
      </c>
      <c r="Q1613" s="8" t="s">
        <v>29</v>
      </c>
      <c r="R1613" s="4" t="s">
        <v>1934</v>
      </c>
      <c r="S1613" s="4"/>
      <c r="T1613"/>
      <c r="U1613" s="23"/>
    </row>
    <row r="1614" spans="1:21" ht="15.6" x14ac:dyDescent="0.3">
      <c r="A1614" s="4">
        <v>1613</v>
      </c>
      <c r="B1614" s="5">
        <v>6480120</v>
      </c>
      <c r="C1614" s="4" t="s">
        <v>69</v>
      </c>
      <c r="D1614" s="4" t="s">
        <v>220</v>
      </c>
      <c r="E1614" s="4" t="s">
        <v>64</v>
      </c>
      <c r="F1614" s="4" t="s">
        <v>2944</v>
      </c>
      <c r="G1614" s="6">
        <v>1.1000000000000001</v>
      </c>
      <c r="H1614" s="7">
        <v>45187.345983796295</v>
      </c>
      <c r="I1614" s="7" t="str">
        <f>TEXT(multilingual_mobile_app_reviews_2025[[#This Row],[Review_date]],"dd-mm-yyyy")</f>
        <v>18-09-2023</v>
      </c>
      <c r="J1614" s="7" t="str">
        <f>TEXT(multilingual_mobile_app_reviews_2025[[#This Row],[Review_date]],"YYYY")</f>
        <v>2023</v>
      </c>
      <c r="K1614" s="7" t="str">
        <f>TEXT(multilingual_mobile_app_reviews_2025[[#This Row],[Review_date]],"MMMM")</f>
        <v>September</v>
      </c>
      <c r="L1614" s="4" t="b">
        <v>1</v>
      </c>
      <c r="M1614" s="4" t="s">
        <v>98</v>
      </c>
      <c r="N1614" s="5">
        <v>1241</v>
      </c>
      <c r="O1614" s="5">
        <v>30</v>
      </c>
      <c r="P1614" s="4" t="s">
        <v>90</v>
      </c>
      <c r="Q1614" s="8" t="s">
        <v>39</v>
      </c>
      <c r="R1614" s="4" t="s">
        <v>1935</v>
      </c>
      <c r="S1614" s="4"/>
      <c r="T1614"/>
      <c r="U1614" s="23"/>
    </row>
    <row r="1615" spans="1:21" ht="15.6" x14ac:dyDescent="0.3">
      <c r="A1615" s="4">
        <v>1614</v>
      </c>
      <c r="B1615" s="5">
        <v>7316043</v>
      </c>
      <c r="C1615" s="4" t="s">
        <v>147</v>
      </c>
      <c r="D1615" s="4" t="s">
        <v>97</v>
      </c>
      <c r="E1615" s="4" t="s">
        <v>32</v>
      </c>
      <c r="F1615" s="4" t="s">
        <v>2948</v>
      </c>
      <c r="G1615" s="6">
        <v>1.2</v>
      </c>
      <c r="H1615" s="7">
        <v>45506.586412037039</v>
      </c>
      <c r="I1615" s="7" t="str">
        <f>TEXT(multilingual_mobile_app_reviews_2025[[#This Row],[Review_date]],"dd-mm-yyyy")</f>
        <v>02-08-2024</v>
      </c>
      <c r="J1615" s="7" t="str">
        <f>TEXT(multilingual_mobile_app_reviews_2025[[#This Row],[Review_date]],"YYYY")</f>
        <v>2024</v>
      </c>
      <c r="K1615" s="7" t="str">
        <f>TEXT(multilingual_mobile_app_reviews_2025[[#This Row],[Review_date]],"MMMM")</f>
        <v>August</v>
      </c>
      <c r="L1615" s="4" t="b">
        <v>1</v>
      </c>
      <c r="M1615" s="4" t="s">
        <v>33</v>
      </c>
      <c r="N1615" s="5">
        <v>279</v>
      </c>
      <c r="O1615" s="5">
        <v>45</v>
      </c>
      <c r="P1615" s="4" t="s">
        <v>180</v>
      </c>
      <c r="Q1615" s="8" t="s">
        <v>29</v>
      </c>
      <c r="R1615" s="4" t="s">
        <v>1936</v>
      </c>
      <c r="S1615" s="4"/>
      <c r="T1615"/>
      <c r="U1615" s="23"/>
    </row>
    <row r="1616" spans="1:21" ht="15.6" x14ac:dyDescent="0.3">
      <c r="A1616" s="4">
        <v>1615</v>
      </c>
      <c r="B1616" s="5">
        <v>1007270</v>
      </c>
      <c r="C1616" s="4" t="s">
        <v>132</v>
      </c>
      <c r="D1616" s="4" t="s">
        <v>42</v>
      </c>
      <c r="E1616" s="4" t="s">
        <v>1937</v>
      </c>
      <c r="F1616" s="4" t="s">
        <v>2960</v>
      </c>
      <c r="G1616" s="6">
        <v>3.9</v>
      </c>
      <c r="H1616" s="7">
        <v>45489.507268518515</v>
      </c>
      <c r="I1616" s="7" t="str">
        <f>TEXT(multilingual_mobile_app_reviews_2025[[#This Row],[Review_date]],"dd-mm-yyyy")</f>
        <v>16-07-2024</v>
      </c>
      <c r="J1616" s="7" t="str">
        <f>TEXT(multilingual_mobile_app_reviews_2025[[#This Row],[Review_date]],"YYYY")</f>
        <v>2024</v>
      </c>
      <c r="K1616" s="7" t="str">
        <f>TEXT(multilingual_mobile_app_reviews_2025[[#This Row],[Review_date]],"MMMM")</f>
        <v>July</v>
      </c>
      <c r="L1616" s="4" t="b">
        <v>1</v>
      </c>
      <c r="M1616" s="4" t="s">
        <v>3</v>
      </c>
      <c r="N1616" s="5">
        <v>1111</v>
      </c>
      <c r="O1616" s="5">
        <v>45</v>
      </c>
      <c r="P1616" s="4" t="s">
        <v>118</v>
      </c>
      <c r="Q1616" s="8" t="s">
        <v>5</v>
      </c>
      <c r="R1616" s="4" t="s">
        <v>1938</v>
      </c>
      <c r="S1616" s="4"/>
      <c r="T1616"/>
      <c r="U1616" s="23"/>
    </row>
    <row r="1617" spans="1:21" ht="15.6" x14ac:dyDescent="0.3">
      <c r="A1617" s="4">
        <v>1616</v>
      </c>
      <c r="B1617" s="5">
        <v>8904312</v>
      </c>
      <c r="C1617" s="4" t="s">
        <v>25</v>
      </c>
      <c r="D1617" s="4" t="s">
        <v>79</v>
      </c>
      <c r="E1617" s="4" t="s">
        <v>16</v>
      </c>
      <c r="F1617" s="4" t="s">
        <v>2952</v>
      </c>
      <c r="G1617" s="6">
        <v>4</v>
      </c>
      <c r="H1617" s="7">
        <v>45305.178460648145</v>
      </c>
      <c r="I1617" s="7" t="str">
        <f>TEXT(multilingual_mobile_app_reviews_2025[[#This Row],[Review_date]],"dd-mm-yyyy")</f>
        <v>14-01-2024</v>
      </c>
      <c r="J1617" s="7" t="str">
        <f>TEXT(multilingual_mobile_app_reviews_2025[[#This Row],[Review_date]],"YYYY")</f>
        <v>2024</v>
      </c>
      <c r="K1617" s="7" t="str">
        <f>TEXT(multilingual_mobile_app_reviews_2025[[#This Row],[Review_date]],"MMMM")</f>
        <v>January</v>
      </c>
      <c r="L1617" s="4" t="b">
        <v>0</v>
      </c>
      <c r="M1617" s="4" t="s">
        <v>10</v>
      </c>
      <c r="N1617" s="5">
        <v>273</v>
      </c>
      <c r="O1617" s="5">
        <v>48</v>
      </c>
      <c r="P1617" s="4" t="s">
        <v>94</v>
      </c>
      <c r="Q1617" s="8" t="s">
        <v>39</v>
      </c>
      <c r="R1617" s="4" t="s">
        <v>1939</v>
      </c>
      <c r="S1617" s="4"/>
      <c r="T1617"/>
      <c r="U1617" s="23"/>
    </row>
    <row r="1618" spans="1:21" ht="15.6" x14ac:dyDescent="0.3">
      <c r="A1618" s="4">
        <v>1617</v>
      </c>
      <c r="B1618" s="5">
        <v>4452802</v>
      </c>
      <c r="C1618" s="4" t="s">
        <v>132</v>
      </c>
      <c r="D1618" s="4" t="s">
        <v>20</v>
      </c>
      <c r="E1618" s="4" t="s">
        <v>64</v>
      </c>
      <c r="F1618" s="4" t="s">
        <v>2946</v>
      </c>
      <c r="G1618" s="6">
        <v>1</v>
      </c>
      <c r="H1618" s="7">
        <v>45281.856099537035</v>
      </c>
      <c r="I1618" s="7" t="str">
        <f>TEXT(multilingual_mobile_app_reviews_2025[[#This Row],[Review_date]],"dd-mm-yyyy")</f>
        <v>21-12-2023</v>
      </c>
      <c r="J1618" s="7" t="str">
        <f>TEXT(multilingual_mobile_app_reviews_2025[[#This Row],[Review_date]],"YYYY")</f>
        <v>2023</v>
      </c>
      <c r="K1618" s="7" t="str">
        <f>TEXT(multilingual_mobile_app_reviews_2025[[#This Row],[Review_date]],"MMMM")</f>
        <v>December</v>
      </c>
      <c r="L1618" s="4" t="b">
        <v>1</v>
      </c>
      <c r="M1618" s="4" t="s">
        <v>98</v>
      </c>
      <c r="N1618" s="5">
        <v>965</v>
      </c>
      <c r="O1618" s="5">
        <v>13</v>
      </c>
      <c r="P1618" s="4" t="s">
        <v>61</v>
      </c>
      <c r="Q1618" s="8" t="s">
        <v>2963</v>
      </c>
      <c r="R1618" s="4" t="s">
        <v>1940</v>
      </c>
      <c r="S1618" s="4"/>
      <c r="T1618"/>
      <c r="U1618" s="23"/>
    </row>
    <row r="1619" spans="1:21" ht="15.6" x14ac:dyDescent="0.3">
      <c r="A1619" s="4">
        <v>1618</v>
      </c>
      <c r="B1619" s="5">
        <v>1650906</v>
      </c>
      <c r="C1619" s="4" t="s">
        <v>78</v>
      </c>
      <c r="D1619" s="4" t="s">
        <v>60</v>
      </c>
      <c r="E1619" s="4" t="s">
        <v>1941</v>
      </c>
      <c r="F1619" s="4" t="s">
        <v>2953</v>
      </c>
      <c r="G1619" s="6">
        <v>1.9</v>
      </c>
      <c r="H1619" s="7">
        <v>45778.133460648147</v>
      </c>
      <c r="I1619" s="7" t="str">
        <f>TEXT(multilingual_mobile_app_reviews_2025[[#This Row],[Review_date]],"dd-mm-yyyy")</f>
        <v>01-05-2025</v>
      </c>
      <c r="J1619" s="7" t="str">
        <f>TEXT(multilingual_mobile_app_reviews_2025[[#This Row],[Review_date]],"YYYY")</f>
        <v>2025</v>
      </c>
      <c r="K1619" s="7" t="str">
        <f>TEXT(multilingual_mobile_app_reviews_2025[[#This Row],[Review_date]],"MMMM")</f>
        <v>May</v>
      </c>
      <c r="L1619" s="4" t="b">
        <v>1</v>
      </c>
      <c r="M1619" s="4" t="s">
        <v>33</v>
      </c>
      <c r="N1619" s="5">
        <v>1185</v>
      </c>
      <c r="O1619" s="5">
        <v>36</v>
      </c>
      <c r="P1619" s="4" t="s">
        <v>44</v>
      </c>
      <c r="Q1619" s="8" t="s">
        <v>29</v>
      </c>
      <c r="R1619" s="4" t="s">
        <v>1942</v>
      </c>
      <c r="S1619" s="4"/>
      <c r="T1619"/>
      <c r="U1619" s="23"/>
    </row>
    <row r="1620" spans="1:21" ht="15.6" x14ac:dyDescent="0.3">
      <c r="A1620" s="4">
        <v>1619</v>
      </c>
      <c r="B1620" s="5">
        <v>9510482</v>
      </c>
      <c r="C1620" s="4" t="s">
        <v>75</v>
      </c>
      <c r="D1620" s="4" t="s">
        <v>26</v>
      </c>
      <c r="E1620" s="4" t="s">
        <v>130</v>
      </c>
      <c r="F1620" s="4" t="s">
        <v>2940</v>
      </c>
      <c r="G1620" s="6">
        <v>3</v>
      </c>
      <c r="H1620" s="7">
        <v>45747.108564814815</v>
      </c>
      <c r="I1620" s="7" t="str">
        <f>TEXT(multilingual_mobile_app_reviews_2025[[#This Row],[Review_date]],"dd-mm-yyyy")</f>
        <v>31-03-2025</v>
      </c>
      <c r="J1620" s="7" t="str">
        <f>TEXT(multilingual_mobile_app_reviews_2025[[#This Row],[Review_date]],"YYYY")</f>
        <v>2025</v>
      </c>
      <c r="K1620" s="7" t="str">
        <f>TEXT(multilingual_mobile_app_reviews_2025[[#This Row],[Review_date]],"MMMM")</f>
        <v>March</v>
      </c>
      <c r="L1620" s="4" t="b">
        <v>1</v>
      </c>
      <c r="M1620" s="4" t="s">
        <v>3</v>
      </c>
      <c r="N1620" s="5">
        <v>1137</v>
      </c>
      <c r="O1620" s="5">
        <v>60</v>
      </c>
      <c r="P1620" s="4" t="s">
        <v>162</v>
      </c>
      <c r="Q1620" s="8" t="s">
        <v>12</v>
      </c>
      <c r="R1620" s="4" t="s">
        <v>1943</v>
      </c>
      <c r="S1620" s="4"/>
      <c r="T1620"/>
      <c r="U1620" s="23"/>
    </row>
    <row r="1621" spans="1:21" ht="15.6" x14ac:dyDescent="0.3">
      <c r="A1621" s="4">
        <v>1620</v>
      </c>
      <c r="B1621" s="5">
        <v>3431283</v>
      </c>
      <c r="C1621" s="4" t="s">
        <v>54</v>
      </c>
      <c r="D1621" s="4" t="s">
        <v>47</v>
      </c>
      <c r="E1621" s="4" t="s">
        <v>76</v>
      </c>
      <c r="F1621" s="4" t="s">
        <v>2955</v>
      </c>
      <c r="G1621" s="6">
        <v>4.5999999999999996</v>
      </c>
      <c r="H1621" s="7">
        <v>45199.314085648148</v>
      </c>
      <c r="I1621" s="7" t="str">
        <f>TEXT(multilingual_mobile_app_reviews_2025[[#This Row],[Review_date]],"dd-mm-yyyy")</f>
        <v>30-09-2023</v>
      </c>
      <c r="J1621" s="7" t="str">
        <f>TEXT(multilingual_mobile_app_reviews_2025[[#This Row],[Review_date]],"YYYY")</f>
        <v>2023</v>
      </c>
      <c r="K1621" s="7" t="str">
        <f>TEXT(multilingual_mobile_app_reviews_2025[[#This Row],[Review_date]],"MMMM")</f>
        <v>September</v>
      </c>
      <c r="L1621" s="4" t="b">
        <v>0</v>
      </c>
      <c r="M1621" s="4" t="s">
        <v>3</v>
      </c>
      <c r="N1621" s="5">
        <v>746</v>
      </c>
      <c r="O1621" s="5">
        <v>70</v>
      </c>
      <c r="P1621" s="4" t="s">
        <v>144</v>
      </c>
      <c r="Q1621" s="8" t="s">
        <v>2963</v>
      </c>
      <c r="R1621" s="4" t="s">
        <v>1944</v>
      </c>
      <c r="S1621" s="4"/>
      <c r="T1621"/>
      <c r="U1621" s="23"/>
    </row>
    <row r="1622" spans="1:21" ht="15.6" x14ac:dyDescent="0.3">
      <c r="A1622" s="4">
        <v>1621</v>
      </c>
      <c r="B1622" s="5">
        <v>9805440</v>
      </c>
      <c r="C1622" s="4" t="s">
        <v>36</v>
      </c>
      <c r="D1622" s="4" t="s">
        <v>8</v>
      </c>
      <c r="E1622" s="4" t="s">
        <v>1945</v>
      </c>
      <c r="F1622" s="4" t="s">
        <v>2962</v>
      </c>
      <c r="G1622" s="6">
        <v>2</v>
      </c>
      <c r="H1622" s="7">
        <v>45487.882152777776</v>
      </c>
      <c r="I1622" s="7" t="str">
        <f>TEXT(multilingual_mobile_app_reviews_2025[[#This Row],[Review_date]],"dd-mm-yyyy")</f>
        <v>14-07-2024</v>
      </c>
      <c r="J1622" s="7" t="str">
        <f>TEXT(multilingual_mobile_app_reviews_2025[[#This Row],[Review_date]],"YYYY")</f>
        <v>2024</v>
      </c>
      <c r="K1622" s="7" t="str">
        <f>TEXT(multilingual_mobile_app_reviews_2025[[#This Row],[Review_date]],"MMMM")</f>
        <v>July</v>
      </c>
      <c r="L1622" s="4" t="b">
        <v>0</v>
      </c>
      <c r="M1622" s="4" t="s">
        <v>22</v>
      </c>
      <c r="N1622" s="5">
        <v>709</v>
      </c>
      <c r="O1622" s="5">
        <v>22</v>
      </c>
      <c r="P1622" s="4" t="s">
        <v>11</v>
      </c>
      <c r="Q1622" s="8" t="s">
        <v>2963</v>
      </c>
      <c r="R1622" s="4" t="s">
        <v>1946</v>
      </c>
      <c r="S1622" s="4"/>
      <c r="T1622"/>
      <c r="U1622" s="23"/>
    </row>
    <row r="1623" spans="1:21" ht="15.6" x14ac:dyDescent="0.3">
      <c r="A1623" s="4">
        <v>1622</v>
      </c>
      <c r="B1623" s="5">
        <v>9803556</v>
      </c>
      <c r="C1623" s="4" t="s">
        <v>96</v>
      </c>
      <c r="D1623" s="4" t="s">
        <v>1</v>
      </c>
      <c r="E1623" s="4" t="s">
        <v>1947</v>
      </c>
      <c r="F1623" s="4" t="s">
        <v>2943</v>
      </c>
      <c r="G1623" s="6">
        <v>1.4</v>
      </c>
      <c r="H1623" s="7">
        <v>45526.564513888887</v>
      </c>
      <c r="I1623" s="7" t="str">
        <f>TEXT(multilingual_mobile_app_reviews_2025[[#This Row],[Review_date]],"dd-mm-yyyy")</f>
        <v>22-08-2024</v>
      </c>
      <c r="J1623" s="7" t="str">
        <f>TEXT(multilingual_mobile_app_reviews_2025[[#This Row],[Review_date]],"YYYY")</f>
        <v>2024</v>
      </c>
      <c r="K1623" s="7" t="str">
        <f>TEXT(multilingual_mobile_app_reviews_2025[[#This Row],[Review_date]],"MMMM")</f>
        <v>August</v>
      </c>
      <c r="L1623" s="4" t="b">
        <v>0</v>
      </c>
      <c r="M1623" s="4" t="s">
        <v>22</v>
      </c>
      <c r="N1623" s="5">
        <v>488</v>
      </c>
      <c r="O1623" s="5">
        <v>42</v>
      </c>
      <c r="P1623" s="4" t="s">
        <v>144</v>
      </c>
      <c r="Q1623" s="8" t="s">
        <v>5</v>
      </c>
      <c r="R1623" s="4" t="s">
        <v>1948</v>
      </c>
      <c r="S1623" s="4"/>
      <c r="T1623"/>
      <c r="U1623" s="23"/>
    </row>
    <row r="1624" spans="1:21" ht="15.6" x14ac:dyDescent="0.3">
      <c r="A1624" s="4">
        <v>1623</v>
      </c>
      <c r="B1624" s="5">
        <v>7750368</v>
      </c>
      <c r="C1624" s="4" t="s">
        <v>137</v>
      </c>
      <c r="D1624" s="4" t="s">
        <v>57</v>
      </c>
      <c r="E1624" s="4" t="s">
        <v>1949</v>
      </c>
      <c r="F1624" s="4" t="s">
        <v>2947</v>
      </c>
      <c r="G1624" s="6">
        <v>4.0999999999999996</v>
      </c>
      <c r="H1624" s="7">
        <v>45477.433298611111</v>
      </c>
      <c r="I1624" s="7" t="str">
        <f>TEXT(multilingual_mobile_app_reviews_2025[[#This Row],[Review_date]],"dd-mm-yyyy")</f>
        <v>04-07-2024</v>
      </c>
      <c r="J1624" s="7" t="str">
        <f>TEXT(multilingual_mobile_app_reviews_2025[[#This Row],[Review_date]],"YYYY")</f>
        <v>2024</v>
      </c>
      <c r="K1624" s="7" t="str">
        <f>TEXT(multilingual_mobile_app_reviews_2025[[#This Row],[Review_date]],"MMMM")</f>
        <v>July</v>
      </c>
      <c r="L1624" s="4" t="b">
        <v>1</v>
      </c>
      <c r="M1624" s="4" t="s">
        <v>3</v>
      </c>
      <c r="N1624" s="5">
        <v>616</v>
      </c>
      <c r="O1624" s="5">
        <v>51</v>
      </c>
      <c r="P1624" s="4" t="s">
        <v>94</v>
      </c>
      <c r="Q1624" s="8" t="s">
        <v>12</v>
      </c>
      <c r="R1624" s="4" t="s">
        <v>1950</v>
      </c>
      <c r="S1624" s="4"/>
      <c r="T1624"/>
      <c r="U1624" s="23"/>
    </row>
    <row r="1625" spans="1:21" ht="15.6" x14ac:dyDescent="0.3">
      <c r="A1625" s="4">
        <v>1624</v>
      </c>
      <c r="B1625" s="5">
        <v>4881975</v>
      </c>
      <c r="C1625" s="4" t="s">
        <v>19</v>
      </c>
      <c r="D1625" s="4" t="s">
        <v>111</v>
      </c>
      <c r="E1625" s="4" t="s">
        <v>9</v>
      </c>
      <c r="F1625" s="4" t="s">
        <v>2948</v>
      </c>
      <c r="G1625" s="6">
        <v>2.6</v>
      </c>
      <c r="H1625" s="7">
        <v>45795.280324074076</v>
      </c>
      <c r="I1625" s="7" t="str">
        <f>TEXT(multilingual_mobile_app_reviews_2025[[#This Row],[Review_date]],"dd-mm-yyyy")</f>
        <v>18-05-2025</v>
      </c>
      <c r="J1625" s="7" t="str">
        <f>TEXT(multilingual_mobile_app_reviews_2025[[#This Row],[Review_date]],"YYYY")</f>
        <v>2025</v>
      </c>
      <c r="K1625" s="7" t="str">
        <f>TEXT(multilingual_mobile_app_reviews_2025[[#This Row],[Review_date]],"MMMM")</f>
        <v>May</v>
      </c>
      <c r="L1625" s="4" t="b">
        <v>0</v>
      </c>
      <c r="M1625" s="4" t="s">
        <v>10</v>
      </c>
      <c r="N1625" s="5">
        <v>92</v>
      </c>
      <c r="O1625" s="5">
        <v>56</v>
      </c>
      <c r="P1625" s="4" t="s">
        <v>162</v>
      </c>
      <c r="Q1625" s="8" t="s">
        <v>29</v>
      </c>
      <c r="R1625" s="4" t="s">
        <v>1951</v>
      </c>
      <c r="S1625" s="4"/>
      <c r="T1625"/>
      <c r="U1625" s="23"/>
    </row>
    <row r="1626" spans="1:21" ht="15.6" x14ac:dyDescent="0.3">
      <c r="A1626" s="4">
        <v>1625</v>
      </c>
      <c r="B1626" s="5">
        <v>7439925</v>
      </c>
      <c r="C1626" s="4" t="s">
        <v>92</v>
      </c>
      <c r="D1626" s="4" t="s">
        <v>111</v>
      </c>
      <c r="E1626" s="4" t="s">
        <v>1952</v>
      </c>
      <c r="F1626" s="4" t="s">
        <v>2942</v>
      </c>
      <c r="G1626" s="6">
        <v>1.4</v>
      </c>
      <c r="H1626" s="7">
        <v>45789.177546296298</v>
      </c>
      <c r="I1626" s="7" t="str">
        <f>TEXT(multilingual_mobile_app_reviews_2025[[#This Row],[Review_date]],"dd-mm-yyyy")</f>
        <v>12-05-2025</v>
      </c>
      <c r="J1626" s="7" t="str">
        <f>TEXT(multilingual_mobile_app_reviews_2025[[#This Row],[Review_date]],"YYYY")</f>
        <v>2025</v>
      </c>
      <c r="K1626" s="7" t="str">
        <f>TEXT(multilingual_mobile_app_reviews_2025[[#This Row],[Review_date]],"MMMM")</f>
        <v>May</v>
      </c>
      <c r="L1626" s="4" t="b">
        <v>1</v>
      </c>
      <c r="M1626" s="4" t="s">
        <v>98</v>
      </c>
      <c r="N1626" s="5">
        <v>1061</v>
      </c>
      <c r="O1626" s="5">
        <v>36</v>
      </c>
      <c r="P1626" s="4" t="s">
        <v>61</v>
      </c>
      <c r="Q1626" s="8" t="s">
        <v>12</v>
      </c>
      <c r="R1626" s="4" t="s">
        <v>1953</v>
      </c>
      <c r="S1626" s="4"/>
      <c r="T1626"/>
      <c r="U1626" s="23"/>
    </row>
    <row r="1627" spans="1:21" ht="15.6" x14ac:dyDescent="0.3">
      <c r="A1627" s="4">
        <v>1626</v>
      </c>
      <c r="B1627" s="5">
        <v>1603875</v>
      </c>
      <c r="C1627" s="4" t="s">
        <v>208</v>
      </c>
      <c r="D1627" s="4" t="s">
        <v>8</v>
      </c>
      <c r="E1627" s="4" t="s">
        <v>1954</v>
      </c>
      <c r="F1627" s="4" t="s">
        <v>2948</v>
      </c>
      <c r="G1627" s="6">
        <v>3.7</v>
      </c>
      <c r="H1627" s="7">
        <v>45722.761701388888</v>
      </c>
      <c r="I1627" s="7" t="str">
        <f>TEXT(multilingual_mobile_app_reviews_2025[[#This Row],[Review_date]],"dd-mm-yyyy")</f>
        <v>06-03-2025</v>
      </c>
      <c r="J1627" s="7" t="str">
        <f>TEXT(multilingual_mobile_app_reviews_2025[[#This Row],[Review_date]],"YYYY")</f>
        <v>2025</v>
      </c>
      <c r="K1627" s="7" t="str">
        <f>TEXT(multilingual_mobile_app_reviews_2025[[#This Row],[Review_date]],"MMMM")</f>
        <v>March</v>
      </c>
      <c r="L1627" s="4" t="b">
        <v>0</v>
      </c>
      <c r="M1627" s="4" t="s">
        <v>98</v>
      </c>
      <c r="N1627" s="5">
        <v>929</v>
      </c>
      <c r="O1627" s="5">
        <v>59</v>
      </c>
      <c r="P1627" s="4" t="s">
        <v>61</v>
      </c>
      <c r="Q1627" s="8" t="s">
        <v>2963</v>
      </c>
      <c r="R1627" s="4" t="s">
        <v>1955</v>
      </c>
      <c r="S1627" s="4"/>
      <c r="T1627"/>
      <c r="U1627" s="23"/>
    </row>
    <row r="1628" spans="1:21" ht="15.6" x14ac:dyDescent="0.3">
      <c r="A1628" s="4">
        <v>1627</v>
      </c>
      <c r="B1628" s="5">
        <v>9239115</v>
      </c>
      <c r="C1628" s="4" t="s">
        <v>199</v>
      </c>
      <c r="D1628" s="4" t="s">
        <v>31</v>
      </c>
      <c r="E1628" s="4" t="s">
        <v>130</v>
      </c>
      <c r="F1628" s="4" t="s">
        <v>2957</v>
      </c>
      <c r="G1628" s="6">
        <v>4.7</v>
      </c>
      <c r="H1628" s="7">
        <v>45216.319155092591</v>
      </c>
      <c r="I1628" s="7" t="str">
        <f>TEXT(multilingual_mobile_app_reviews_2025[[#This Row],[Review_date]],"dd-mm-yyyy")</f>
        <v>17-10-2023</v>
      </c>
      <c r="J1628" s="7" t="str">
        <f>TEXT(multilingual_mobile_app_reviews_2025[[#This Row],[Review_date]],"YYYY")</f>
        <v>2023</v>
      </c>
      <c r="K1628" s="7" t="str">
        <f>TEXT(multilingual_mobile_app_reviews_2025[[#This Row],[Review_date]],"MMMM")</f>
        <v>October</v>
      </c>
      <c r="L1628" s="4" t="b">
        <v>0</v>
      </c>
      <c r="M1628" s="4" t="s">
        <v>98</v>
      </c>
      <c r="N1628" s="5">
        <v>685</v>
      </c>
      <c r="O1628" s="5">
        <v>67</v>
      </c>
      <c r="P1628" s="4" t="s">
        <v>73</v>
      </c>
      <c r="Q1628" s="8" t="s">
        <v>39</v>
      </c>
      <c r="R1628" s="4" t="s">
        <v>1956</v>
      </c>
      <c r="S1628" s="4"/>
      <c r="T1628"/>
      <c r="U1628" s="23"/>
    </row>
    <row r="1629" spans="1:21" ht="15.6" x14ac:dyDescent="0.3">
      <c r="A1629" s="4">
        <v>1628</v>
      </c>
      <c r="B1629" s="5">
        <v>7550817</v>
      </c>
      <c r="C1629" s="4" t="s">
        <v>46</v>
      </c>
      <c r="D1629" s="4" t="s">
        <v>1</v>
      </c>
      <c r="E1629" s="4" t="s">
        <v>21</v>
      </c>
      <c r="F1629" s="4" t="s">
        <v>2955</v>
      </c>
      <c r="G1629" s="6">
        <v>3.9</v>
      </c>
      <c r="H1629" s="7">
        <v>45529.850717592592</v>
      </c>
      <c r="I1629" s="7" t="str">
        <f>TEXT(multilingual_mobile_app_reviews_2025[[#This Row],[Review_date]],"dd-mm-yyyy")</f>
        <v>25-08-2024</v>
      </c>
      <c r="J1629" s="7" t="str">
        <f>TEXT(multilingual_mobile_app_reviews_2025[[#This Row],[Review_date]],"YYYY")</f>
        <v>2024</v>
      </c>
      <c r="K1629" s="7" t="str">
        <f>TEXT(multilingual_mobile_app_reviews_2025[[#This Row],[Review_date]],"MMMM")</f>
        <v>August</v>
      </c>
      <c r="L1629" s="4" t="b">
        <v>1</v>
      </c>
      <c r="M1629" s="4" t="s">
        <v>10</v>
      </c>
      <c r="N1629" s="5">
        <v>915</v>
      </c>
      <c r="O1629" s="5">
        <v>32</v>
      </c>
      <c r="P1629" s="4" t="s">
        <v>11</v>
      </c>
      <c r="Q1629" s="8" t="s">
        <v>12</v>
      </c>
      <c r="R1629" s="4" t="s">
        <v>1957</v>
      </c>
      <c r="S1629" s="4"/>
      <c r="T1629"/>
      <c r="U1629" s="23"/>
    </row>
    <row r="1630" spans="1:21" ht="15.6" x14ac:dyDescent="0.3">
      <c r="A1630" s="4">
        <v>1629</v>
      </c>
      <c r="B1630" s="5">
        <v>647533</v>
      </c>
      <c r="C1630" s="4" t="s">
        <v>46</v>
      </c>
      <c r="D1630" s="4" t="s">
        <v>111</v>
      </c>
      <c r="E1630" s="4" t="s">
        <v>130</v>
      </c>
      <c r="F1630" s="4" t="s">
        <v>2952</v>
      </c>
      <c r="G1630" s="6">
        <v>3</v>
      </c>
      <c r="H1630" s="7">
        <v>45657.504062499997</v>
      </c>
      <c r="I1630" s="7" t="str">
        <f>TEXT(multilingual_mobile_app_reviews_2025[[#This Row],[Review_date]],"dd-mm-yyyy")</f>
        <v>31-12-2024</v>
      </c>
      <c r="J1630" s="7" t="str">
        <f>TEXT(multilingual_mobile_app_reviews_2025[[#This Row],[Review_date]],"YYYY")</f>
        <v>2024</v>
      </c>
      <c r="K1630" s="7" t="str">
        <f>TEXT(multilingual_mobile_app_reviews_2025[[#This Row],[Review_date]],"MMMM")</f>
        <v>December</v>
      </c>
      <c r="L1630" s="4" t="b">
        <v>1</v>
      </c>
      <c r="M1630" s="4" t="s">
        <v>33</v>
      </c>
      <c r="N1630" s="5">
        <v>97</v>
      </c>
      <c r="O1630" s="5">
        <v>64</v>
      </c>
      <c r="P1630" s="4" t="s">
        <v>230</v>
      </c>
      <c r="Q1630" s="8" t="s">
        <v>39</v>
      </c>
      <c r="R1630" s="4" t="s">
        <v>1958</v>
      </c>
      <c r="S1630" s="4"/>
      <c r="T1630"/>
      <c r="U1630" s="23"/>
    </row>
    <row r="1631" spans="1:21" ht="15.6" x14ac:dyDescent="0.3">
      <c r="A1631" s="4">
        <v>1630</v>
      </c>
      <c r="B1631" s="5">
        <v>7157182</v>
      </c>
      <c r="C1631" s="4" t="s">
        <v>165</v>
      </c>
      <c r="D1631" s="4" t="s">
        <v>97</v>
      </c>
      <c r="E1631" s="4" t="s">
        <v>130</v>
      </c>
      <c r="F1631" s="4" t="s">
        <v>2954</v>
      </c>
      <c r="G1631" s="6">
        <v>2.2000000000000002</v>
      </c>
      <c r="H1631" s="7">
        <v>45303.443437499998</v>
      </c>
      <c r="I1631" s="7" t="str">
        <f>TEXT(multilingual_mobile_app_reviews_2025[[#This Row],[Review_date]],"dd-mm-yyyy")</f>
        <v>12-01-2024</v>
      </c>
      <c r="J1631" s="7" t="str">
        <f>TEXT(multilingual_mobile_app_reviews_2025[[#This Row],[Review_date]],"YYYY")</f>
        <v>2024</v>
      </c>
      <c r="K1631" s="7" t="str">
        <f>TEXT(multilingual_mobile_app_reviews_2025[[#This Row],[Review_date]],"MMMM")</f>
        <v>January</v>
      </c>
      <c r="L1631" s="4" t="b">
        <v>1</v>
      </c>
      <c r="M1631" s="4" t="s">
        <v>10</v>
      </c>
      <c r="N1631" s="5">
        <v>1050</v>
      </c>
      <c r="O1631" s="5">
        <v>29</v>
      </c>
      <c r="P1631" s="4" t="s">
        <v>2963</v>
      </c>
      <c r="Q1631" s="8" t="s">
        <v>39</v>
      </c>
      <c r="R1631" s="4" t="s">
        <v>1959</v>
      </c>
      <c r="S1631" s="4"/>
      <c r="T1631"/>
      <c r="U1631" s="23"/>
    </row>
    <row r="1632" spans="1:21" ht="15.6" x14ac:dyDescent="0.3">
      <c r="A1632" s="4">
        <v>1631</v>
      </c>
      <c r="B1632" s="5">
        <v>7727423</v>
      </c>
      <c r="C1632" s="4" t="s">
        <v>174</v>
      </c>
      <c r="D1632" s="4" t="s">
        <v>220</v>
      </c>
      <c r="E1632" s="4" t="s">
        <v>130</v>
      </c>
      <c r="F1632" s="4" t="s">
        <v>2954</v>
      </c>
      <c r="G1632" s="6">
        <v>3.7</v>
      </c>
      <c r="H1632" s="7">
        <v>45567.309270833335</v>
      </c>
      <c r="I1632" s="7" t="str">
        <f>TEXT(multilingual_mobile_app_reviews_2025[[#This Row],[Review_date]],"dd-mm-yyyy")</f>
        <v>02-10-2024</v>
      </c>
      <c r="J1632" s="7" t="str">
        <f>TEXT(multilingual_mobile_app_reviews_2025[[#This Row],[Review_date]],"YYYY")</f>
        <v>2024</v>
      </c>
      <c r="K1632" s="7" t="str">
        <f>TEXT(multilingual_mobile_app_reviews_2025[[#This Row],[Review_date]],"MMMM")</f>
        <v>October</v>
      </c>
      <c r="L1632" s="4" t="b">
        <v>1</v>
      </c>
      <c r="M1632" s="4" t="s">
        <v>98</v>
      </c>
      <c r="N1632" s="5">
        <v>1190</v>
      </c>
      <c r="O1632" s="5">
        <v>26</v>
      </c>
      <c r="P1632" s="4" t="s">
        <v>230</v>
      </c>
      <c r="Q1632" s="8" t="s">
        <v>29</v>
      </c>
      <c r="R1632" s="4" t="s">
        <v>1960</v>
      </c>
      <c r="S1632" s="4"/>
      <c r="T1632"/>
      <c r="U1632" s="23"/>
    </row>
    <row r="1633" spans="1:21" ht="15.6" x14ac:dyDescent="0.3">
      <c r="A1633" s="4">
        <v>1632</v>
      </c>
      <c r="B1633" s="5">
        <v>2021009</v>
      </c>
      <c r="C1633" s="4" t="s">
        <v>41</v>
      </c>
      <c r="D1633" s="4" t="s">
        <v>71</v>
      </c>
      <c r="E1633" s="4" t="s">
        <v>9</v>
      </c>
      <c r="F1633" s="4" t="s">
        <v>2945</v>
      </c>
      <c r="G1633" s="6">
        <v>1.5</v>
      </c>
      <c r="H1633" s="7">
        <v>45290.774398148147</v>
      </c>
      <c r="I1633" s="7" t="str">
        <f>TEXT(multilingual_mobile_app_reviews_2025[[#This Row],[Review_date]],"dd-mm-yyyy")</f>
        <v>30-12-2023</v>
      </c>
      <c r="J1633" s="7" t="str">
        <f>TEXT(multilingual_mobile_app_reviews_2025[[#This Row],[Review_date]],"YYYY")</f>
        <v>2023</v>
      </c>
      <c r="K1633" s="7" t="str">
        <f>TEXT(multilingual_mobile_app_reviews_2025[[#This Row],[Review_date]],"MMMM")</f>
        <v>December</v>
      </c>
      <c r="L1633" s="4" t="b">
        <v>1</v>
      </c>
      <c r="M1633" s="4" t="s">
        <v>98</v>
      </c>
      <c r="N1633" s="5">
        <v>737</v>
      </c>
      <c r="O1633" s="5">
        <v>39</v>
      </c>
      <c r="P1633" s="4" t="s">
        <v>34</v>
      </c>
      <c r="Q1633" s="8" t="s">
        <v>29</v>
      </c>
      <c r="R1633" s="4" t="s">
        <v>1114</v>
      </c>
      <c r="S1633" s="4"/>
      <c r="T1633"/>
      <c r="U1633" s="23"/>
    </row>
    <row r="1634" spans="1:21" ht="15.6" x14ac:dyDescent="0.3">
      <c r="A1634" s="4">
        <v>1633</v>
      </c>
      <c r="B1634" s="5">
        <v>2187766</v>
      </c>
      <c r="C1634" s="4" t="s">
        <v>69</v>
      </c>
      <c r="D1634" s="4" t="s">
        <v>42</v>
      </c>
      <c r="E1634" s="4" t="s">
        <v>9</v>
      </c>
      <c r="F1634" s="4" t="s">
        <v>2953</v>
      </c>
      <c r="G1634" s="6">
        <v>1.4</v>
      </c>
      <c r="H1634" s="7">
        <v>45411.207962962966</v>
      </c>
      <c r="I1634" s="7" t="str">
        <f>TEXT(multilingual_mobile_app_reviews_2025[[#This Row],[Review_date]],"dd-mm-yyyy")</f>
        <v>29-04-2024</v>
      </c>
      <c r="J1634" s="7" t="str">
        <f>TEXT(multilingual_mobile_app_reviews_2025[[#This Row],[Review_date]],"YYYY")</f>
        <v>2024</v>
      </c>
      <c r="K1634" s="7" t="str">
        <f>TEXT(multilingual_mobile_app_reviews_2025[[#This Row],[Review_date]],"MMMM")</f>
        <v>April</v>
      </c>
      <c r="L1634" s="4" t="b">
        <v>1</v>
      </c>
      <c r="M1634" s="4" t="s">
        <v>98</v>
      </c>
      <c r="N1634" s="5">
        <v>268</v>
      </c>
      <c r="O1634" s="5">
        <v>58</v>
      </c>
      <c r="P1634" s="4" t="s">
        <v>180</v>
      </c>
      <c r="Q1634" s="8" t="s">
        <v>29</v>
      </c>
      <c r="R1634" s="4" t="s">
        <v>1961</v>
      </c>
      <c r="S1634" s="4"/>
      <c r="T1634"/>
      <c r="U1634" s="23"/>
    </row>
    <row r="1635" spans="1:21" ht="15.6" x14ac:dyDescent="0.3">
      <c r="A1635" s="4">
        <v>1634</v>
      </c>
      <c r="B1635" s="5">
        <v>7027895</v>
      </c>
      <c r="C1635" s="4" t="s">
        <v>92</v>
      </c>
      <c r="D1635" s="4" t="s">
        <v>60</v>
      </c>
      <c r="E1635" s="4" t="s">
        <v>9</v>
      </c>
      <c r="F1635" s="4" t="s">
        <v>2945</v>
      </c>
      <c r="G1635" s="6">
        <v>1.8</v>
      </c>
      <c r="H1635" s="7">
        <v>45844.137719907405</v>
      </c>
      <c r="I1635" s="7" t="str">
        <f>TEXT(multilingual_mobile_app_reviews_2025[[#This Row],[Review_date]],"dd-mm-yyyy")</f>
        <v>06-07-2025</v>
      </c>
      <c r="J1635" s="7" t="str">
        <f>TEXT(multilingual_mobile_app_reviews_2025[[#This Row],[Review_date]],"YYYY")</f>
        <v>2025</v>
      </c>
      <c r="K1635" s="7" t="str">
        <f>TEXT(multilingual_mobile_app_reviews_2025[[#This Row],[Review_date]],"MMMM")</f>
        <v>July</v>
      </c>
      <c r="L1635" s="4" t="b">
        <v>0</v>
      </c>
      <c r="M1635" s="4" t="s">
        <v>98</v>
      </c>
      <c r="N1635" s="5">
        <v>215</v>
      </c>
      <c r="O1635" s="5">
        <v>21</v>
      </c>
      <c r="P1635" s="4" t="s">
        <v>38</v>
      </c>
      <c r="Q1635" s="8" t="s">
        <v>12</v>
      </c>
      <c r="R1635" s="4" t="s">
        <v>1962</v>
      </c>
      <c r="S1635" s="4"/>
      <c r="T1635"/>
      <c r="U1635" s="23"/>
    </row>
    <row r="1636" spans="1:21" ht="15.6" x14ac:dyDescent="0.3">
      <c r="A1636" s="4">
        <v>1635</v>
      </c>
      <c r="B1636" s="5">
        <v>6740565</v>
      </c>
      <c r="C1636" s="4" t="s">
        <v>59</v>
      </c>
      <c r="D1636" s="4" t="s">
        <v>51</v>
      </c>
      <c r="E1636" s="4" t="s">
        <v>21</v>
      </c>
      <c r="F1636" s="4" t="s">
        <v>2943</v>
      </c>
      <c r="G1636" s="6">
        <v>3.5</v>
      </c>
      <c r="H1636" s="7">
        <v>45144.78534722222</v>
      </c>
      <c r="I1636" s="7" t="str">
        <f>TEXT(multilingual_mobile_app_reviews_2025[[#This Row],[Review_date]],"dd-mm-yyyy")</f>
        <v>06-08-2023</v>
      </c>
      <c r="J1636" s="7" t="str">
        <f>TEXT(multilingual_mobile_app_reviews_2025[[#This Row],[Review_date]],"YYYY")</f>
        <v>2023</v>
      </c>
      <c r="K1636" s="7" t="str">
        <f>TEXT(multilingual_mobile_app_reviews_2025[[#This Row],[Review_date]],"MMMM")</f>
        <v>August</v>
      </c>
      <c r="L1636" s="4" t="b">
        <v>1</v>
      </c>
      <c r="M1636" s="4" t="s">
        <v>33</v>
      </c>
      <c r="N1636" s="5">
        <v>678</v>
      </c>
      <c r="O1636" s="5">
        <v>45</v>
      </c>
      <c r="P1636" s="4" t="s">
        <v>11</v>
      </c>
      <c r="Q1636" s="8" t="s">
        <v>29</v>
      </c>
      <c r="R1636" s="4" t="s">
        <v>1963</v>
      </c>
      <c r="S1636" s="4"/>
      <c r="T1636"/>
      <c r="U1636" s="23"/>
    </row>
    <row r="1637" spans="1:21" ht="15.6" x14ac:dyDescent="0.3">
      <c r="A1637" s="4">
        <v>1636</v>
      </c>
      <c r="B1637" s="5">
        <v>3857032</v>
      </c>
      <c r="C1637" s="4" t="s">
        <v>132</v>
      </c>
      <c r="D1637" s="4" t="s">
        <v>47</v>
      </c>
      <c r="E1637" s="4" t="s">
        <v>16</v>
      </c>
      <c r="F1637" s="4" t="s">
        <v>2952</v>
      </c>
      <c r="G1637" s="6">
        <v>4.7</v>
      </c>
      <c r="H1637" s="7">
        <v>45533.112407407411</v>
      </c>
      <c r="I1637" s="7" t="str">
        <f>TEXT(multilingual_mobile_app_reviews_2025[[#This Row],[Review_date]],"dd-mm-yyyy")</f>
        <v>29-08-2024</v>
      </c>
      <c r="J1637" s="7" t="str">
        <f>TEXT(multilingual_mobile_app_reviews_2025[[#This Row],[Review_date]],"YYYY")</f>
        <v>2024</v>
      </c>
      <c r="K1637" s="7" t="str">
        <f>TEXT(multilingual_mobile_app_reviews_2025[[#This Row],[Review_date]],"MMMM")</f>
        <v>August</v>
      </c>
      <c r="L1637" s="4" t="b">
        <v>1</v>
      </c>
      <c r="M1637" s="4" t="s">
        <v>33</v>
      </c>
      <c r="N1637" s="5">
        <v>1106</v>
      </c>
      <c r="O1637" s="5">
        <v>37</v>
      </c>
      <c r="P1637" s="4" t="s">
        <v>90</v>
      </c>
      <c r="Q1637" s="8" t="s">
        <v>2963</v>
      </c>
      <c r="R1637" s="4" t="s">
        <v>1014</v>
      </c>
      <c r="S1637" s="4"/>
      <c r="T1637"/>
      <c r="U1637" s="23"/>
    </row>
    <row r="1638" spans="1:21" ht="15.6" x14ac:dyDescent="0.3">
      <c r="A1638" s="4">
        <v>1637</v>
      </c>
      <c r="B1638" s="5">
        <v>4589736</v>
      </c>
      <c r="C1638" s="4" t="s">
        <v>137</v>
      </c>
      <c r="D1638" s="4" t="s">
        <v>97</v>
      </c>
      <c r="E1638" s="4" t="s">
        <v>1964</v>
      </c>
      <c r="F1638" s="4" t="s">
        <v>2962</v>
      </c>
      <c r="G1638" s="6">
        <v>2.8</v>
      </c>
      <c r="H1638" s="7">
        <v>45639.42523148148</v>
      </c>
      <c r="I1638" s="7" t="str">
        <f>TEXT(multilingual_mobile_app_reviews_2025[[#This Row],[Review_date]],"dd-mm-yyyy")</f>
        <v>13-12-2024</v>
      </c>
      <c r="J1638" s="7" t="str">
        <f>TEXT(multilingual_mobile_app_reviews_2025[[#This Row],[Review_date]],"YYYY")</f>
        <v>2024</v>
      </c>
      <c r="K1638" s="7" t="str">
        <f>TEXT(multilingual_mobile_app_reviews_2025[[#This Row],[Review_date]],"MMMM")</f>
        <v>December</v>
      </c>
      <c r="L1638" s="4" t="b">
        <v>1</v>
      </c>
      <c r="M1638" s="4" t="s">
        <v>98</v>
      </c>
      <c r="N1638" s="5">
        <v>672</v>
      </c>
      <c r="O1638" s="5">
        <v>22</v>
      </c>
      <c r="P1638" s="4" t="s">
        <v>23</v>
      </c>
      <c r="Q1638" s="8" t="s">
        <v>5</v>
      </c>
      <c r="R1638" s="4" t="s">
        <v>1965</v>
      </c>
      <c r="S1638" s="4"/>
      <c r="T1638"/>
      <c r="U1638" s="23"/>
    </row>
    <row r="1639" spans="1:21" ht="15.6" x14ac:dyDescent="0.3">
      <c r="A1639" s="4">
        <v>1638</v>
      </c>
      <c r="B1639" s="5">
        <v>965385</v>
      </c>
      <c r="C1639" s="4" t="s">
        <v>69</v>
      </c>
      <c r="D1639" s="4" t="s">
        <v>20</v>
      </c>
      <c r="E1639" s="4" t="s">
        <v>32</v>
      </c>
      <c r="F1639" s="4" t="s">
        <v>2960</v>
      </c>
      <c r="G1639" s="6">
        <v>3.1</v>
      </c>
      <c r="H1639" s="7">
        <v>45761.290960648148</v>
      </c>
      <c r="I1639" s="7" t="str">
        <f>TEXT(multilingual_mobile_app_reviews_2025[[#This Row],[Review_date]],"dd-mm-yyyy")</f>
        <v>14-04-2025</v>
      </c>
      <c r="J1639" s="7" t="str">
        <f>TEXT(multilingual_mobile_app_reviews_2025[[#This Row],[Review_date]],"YYYY")</f>
        <v>2025</v>
      </c>
      <c r="K1639" s="7" t="str">
        <f>TEXT(multilingual_mobile_app_reviews_2025[[#This Row],[Review_date]],"MMMM")</f>
        <v>April</v>
      </c>
      <c r="L1639" s="4" t="b">
        <v>1</v>
      </c>
      <c r="M1639" s="4" t="s">
        <v>10</v>
      </c>
      <c r="N1639" s="5">
        <v>259</v>
      </c>
      <c r="O1639" s="5">
        <v>63</v>
      </c>
      <c r="P1639" s="4" t="s">
        <v>70</v>
      </c>
      <c r="Q1639" s="8" t="s">
        <v>29</v>
      </c>
      <c r="R1639" s="4" t="s">
        <v>1966</v>
      </c>
      <c r="S1639" s="4"/>
      <c r="T1639"/>
      <c r="U1639" s="23"/>
    </row>
    <row r="1640" spans="1:21" ht="15.6" x14ac:dyDescent="0.3">
      <c r="A1640" s="4">
        <v>1639</v>
      </c>
      <c r="B1640" s="5">
        <v>7299144</v>
      </c>
      <c r="C1640" s="4" t="s">
        <v>92</v>
      </c>
      <c r="D1640" s="4" t="s">
        <v>60</v>
      </c>
      <c r="E1640" s="4" t="s">
        <v>1967</v>
      </c>
      <c r="F1640" s="4" t="s">
        <v>2948</v>
      </c>
      <c r="G1640" s="6">
        <v>5</v>
      </c>
      <c r="H1640" s="7">
        <v>45385.973217592589</v>
      </c>
      <c r="I1640" s="7" t="str">
        <f>TEXT(multilingual_mobile_app_reviews_2025[[#This Row],[Review_date]],"dd-mm-yyyy")</f>
        <v>03-04-2024</v>
      </c>
      <c r="J1640" s="7" t="str">
        <f>TEXT(multilingual_mobile_app_reviews_2025[[#This Row],[Review_date]],"YYYY")</f>
        <v>2024</v>
      </c>
      <c r="K1640" s="7" t="str">
        <f>TEXT(multilingual_mobile_app_reviews_2025[[#This Row],[Review_date]],"MMMM")</f>
        <v>April</v>
      </c>
      <c r="L1640" s="4" t="b">
        <v>1</v>
      </c>
      <c r="M1640" s="4" t="s">
        <v>3</v>
      </c>
      <c r="N1640" s="5">
        <v>919</v>
      </c>
      <c r="O1640" s="5">
        <v>48</v>
      </c>
      <c r="P1640" s="4" t="s">
        <v>17</v>
      </c>
      <c r="Q1640" s="8" t="s">
        <v>39</v>
      </c>
      <c r="R1640" s="4" t="s">
        <v>1968</v>
      </c>
      <c r="S1640" s="4"/>
      <c r="T1640"/>
      <c r="U1640" s="23"/>
    </row>
    <row r="1641" spans="1:21" ht="15.6" x14ac:dyDescent="0.3">
      <c r="A1641" s="4">
        <v>1640</v>
      </c>
      <c r="B1641" s="5">
        <v>2758243</v>
      </c>
      <c r="C1641" s="4" t="s">
        <v>154</v>
      </c>
      <c r="D1641" s="4" t="s">
        <v>8</v>
      </c>
      <c r="E1641" s="4" t="s">
        <v>32</v>
      </c>
      <c r="F1641" s="4" t="s">
        <v>2952</v>
      </c>
      <c r="G1641" s="6">
        <v>1.8</v>
      </c>
      <c r="H1641" s="7">
        <v>45478.618125000001</v>
      </c>
      <c r="I1641" s="7" t="str">
        <f>TEXT(multilingual_mobile_app_reviews_2025[[#This Row],[Review_date]],"dd-mm-yyyy")</f>
        <v>05-07-2024</v>
      </c>
      <c r="J1641" s="7" t="str">
        <f>TEXT(multilingual_mobile_app_reviews_2025[[#This Row],[Review_date]],"YYYY")</f>
        <v>2024</v>
      </c>
      <c r="K1641" s="7" t="str">
        <f>TEXT(multilingual_mobile_app_reviews_2025[[#This Row],[Review_date]],"MMMM")</f>
        <v>July</v>
      </c>
      <c r="L1641" s="4" t="b">
        <v>1</v>
      </c>
      <c r="M1641" s="4" t="s">
        <v>22</v>
      </c>
      <c r="N1641" s="5">
        <v>927</v>
      </c>
      <c r="O1641" s="5">
        <v>44</v>
      </c>
      <c r="P1641" s="4" t="s">
        <v>38</v>
      </c>
      <c r="Q1641" s="8" t="s">
        <v>12</v>
      </c>
      <c r="R1641" s="4" t="s">
        <v>1969</v>
      </c>
      <c r="S1641" s="4"/>
      <c r="T1641"/>
      <c r="U1641" s="23"/>
    </row>
    <row r="1642" spans="1:21" ht="15.6" x14ac:dyDescent="0.3">
      <c r="A1642" s="4">
        <v>1641</v>
      </c>
      <c r="B1642" s="5">
        <v>1770640</v>
      </c>
      <c r="C1642" s="4" t="s">
        <v>113</v>
      </c>
      <c r="D1642" s="4" t="s">
        <v>63</v>
      </c>
      <c r="E1642" s="4" t="s">
        <v>130</v>
      </c>
      <c r="F1642" s="4" t="s">
        <v>2939</v>
      </c>
      <c r="G1642" s="6">
        <v>2.2000000000000002</v>
      </c>
      <c r="H1642" s="7">
        <v>45690.370879629627</v>
      </c>
      <c r="I1642" s="7" t="str">
        <f>TEXT(multilingual_mobile_app_reviews_2025[[#This Row],[Review_date]],"dd-mm-yyyy")</f>
        <v>02-02-2025</v>
      </c>
      <c r="J1642" s="7" t="str">
        <f>TEXT(multilingual_mobile_app_reviews_2025[[#This Row],[Review_date]],"YYYY")</f>
        <v>2025</v>
      </c>
      <c r="K1642" s="7" t="str">
        <f>TEXT(multilingual_mobile_app_reviews_2025[[#This Row],[Review_date]],"MMMM")</f>
        <v>February</v>
      </c>
      <c r="L1642" s="4" t="b">
        <v>1</v>
      </c>
      <c r="M1642" s="4" t="s">
        <v>22</v>
      </c>
      <c r="N1642" s="5">
        <v>521</v>
      </c>
      <c r="O1642" s="5">
        <v>15</v>
      </c>
      <c r="P1642" s="4" t="s">
        <v>44</v>
      </c>
      <c r="Q1642" s="8" t="s">
        <v>5</v>
      </c>
      <c r="R1642" s="4" t="s">
        <v>225</v>
      </c>
      <c r="S1642" s="4"/>
      <c r="T1642"/>
      <c r="U1642" s="23"/>
    </row>
    <row r="1643" spans="1:21" ht="15.6" x14ac:dyDescent="0.3">
      <c r="A1643" s="4">
        <v>1642</v>
      </c>
      <c r="B1643" s="5">
        <v>8560029</v>
      </c>
      <c r="C1643" s="4" t="s">
        <v>154</v>
      </c>
      <c r="D1643" s="4" t="s">
        <v>57</v>
      </c>
      <c r="E1643" s="4" t="s">
        <v>32</v>
      </c>
      <c r="F1643" s="4" t="s">
        <v>2947</v>
      </c>
      <c r="G1643" s="6">
        <v>4.9000000000000004</v>
      </c>
      <c r="H1643" s="7">
        <v>45230.821087962962</v>
      </c>
      <c r="I1643" s="7" t="str">
        <f>TEXT(multilingual_mobile_app_reviews_2025[[#This Row],[Review_date]],"dd-mm-yyyy")</f>
        <v>31-10-2023</v>
      </c>
      <c r="J1643" s="7" t="str">
        <f>TEXT(multilingual_mobile_app_reviews_2025[[#This Row],[Review_date]],"YYYY")</f>
        <v>2023</v>
      </c>
      <c r="K1643" s="7" t="str">
        <f>TEXT(multilingual_mobile_app_reviews_2025[[#This Row],[Review_date]],"MMMM")</f>
        <v>October</v>
      </c>
      <c r="L1643" s="4" t="b">
        <v>0</v>
      </c>
      <c r="M1643" s="4" t="s">
        <v>33</v>
      </c>
      <c r="N1643" s="5">
        <v>141</v>
      </c>
      <c r="O1643" s="5">
        <v>36</v>
      </c>
      <c r="P1643" s="4" t="s">
        <v>28</v>
      </c>
      <c r="Q1643" s="8" t="s">
        <v>29</v>
      </c>
      <c r="R1643" s="4" t="s">
        <v>1970</v>
      </c>
      <c r="S1643" s="4"/>
      <c r="T1643"/>
      <c r="U1643" s="23"/>
    </row>
    <row r="1644" spans="1:21" ht="15.6" x14ac:dyDescent="0.3">
      <c r="A1644" s="4">
        <v>1643</v>
      </c>
      <c r="B1644" s="5">
        <v>9779342</v>
      </c>
      <c r="C1644" s="4" t="s">
        <v>159</v>
      </c>
      <c r="D1644" s="4" t="s">
        <v>26</v>
      </c>
      <c r="E1644" s="4" t="s">
        <v>21</v>
      </c>
      <c r="F1644" s="4" t="s">
        <v>2961</v>
      </c>
      <c r="G1644" s="6">
        <v>3.7</v>
      </c>
      <c r="H1644" s="7">
        <v>45748.04755787037</v>
      </c>
      <c r="I1644" s="7" t="str">
        <f>TEXT(multilingual_mobile_app_reviews_2025[[#This Row],[Review_date]],"dd-mm-yyyy")</f>
        <v>01-04-2025</v>
      </c>
      <c r="J1644" s="7" t="str">
        <f>TEXT(multilingual_mobile_app_reviews_2025[[#This Row],[Review_date]],"YYYY")</f>
        <v>2025</v>
      </c>
      <c r="K1644" s="7" t="str">
        <f>TEXT(multilingual_mobile_app_reviews_2025[[#This Row],[Review_date]],"MMMM")</f>
        <v>April</v>
      </c>
      <c r="L1644" s="4" t="b">
        <v>1</v>
      </c>
      <c r="M1644" s="4" t="s">
        <v>3</v>
      </c>
      <c r="N1644" s="5">
        <v>467</v>
      </c>
      <c r="O1644" s="5">
        <v>26</v>
      </c>
      <c r="P1644" s="4" t="s">
        <v>65</v>
      </c>
      <c r="Q1644" s="8" t="s">
        <v>5</v>
      </c>
      <c r="R1644" s="4" t="s">
        <v>1971</v>
      </c>
      <c r="S1644" s="4"/>
      <c r="T1644"/>
      <c r="U1644" s="23"/>
    </row>
    <row r="1645" spans="1:21" ht="15.6" x14ac:dyDescent="0.3">
      <c r="A1645" s="4">
        <v>1644</v>
      </c>
      <c r="B1645" s="5">
        <v>4465936</v>
      </c>
      <c r="C1645" s="4" t="s">
        <v>84</v>
      </c>
      <c r="D1645" s="4" t="s">
        <v>51</v>
      </c>
      <c r="E1645" s="4" t="s">
        <v>1972</v>
      </c>
      <c r="F1645" s="4" t="s">
        <v>2955</v>
      </c>
      <c r="G1645" s="6">
        <v>2</v>
      </c>
      <c r="H1645" s="7">
        <v>45765.76935185185</v>
      </c>
      <c r="I1645" s="7" t="str">
        <f>TEXT(multilingual_mobile_app_reviews_2025[[#This Row],[Review_date]],"dd-mm-yyyy")</f>
        <v>18-04-2025</v>
      </c>
      <c r="J1645" s="7" t="str">
        <f>TEXT(multilingual_mobile_app_reviews_2025[[#This Row],[Review_date]],"YYYY")</f>
        <v>2025</v>
      </c>
      <c r="K1645" s="7" t="str">
        <f>TEXT(multilingual_mobile_app_reviews_2025[[#This Row],[Review_date]],"MMMM")</f>
        <v>April</v>
      </c>
      <c r="L1645" s="4" t="b">
        <v>1</v>
      </c>
      <c r="M1645" s="4" t="s">
        <v>10</v>
      </c>
      <c r="N1645" s="5">
        <v>1193</v>
      </c>
      <c r="O1645" s="5">
        <v>66</v>
      </c>
      <c r="P1645" s="4" t="s">
        <v>28</v>
      </c>
      <c r="Q1645" s="8" t="s">
        <v>39</v>
      </c>
      <c r="R1645" s="4" t="s">
        <v>1973</v>
      </c>
      <c r="S1645" s="4"/>
      <c r="T1645"/>
      <c r="U1645" s="23"/>
    </row>
    <row r="1646" spans="1:21" ht="15.6" x14ac:dyDescent="0.3">
      <c r="A1646" s="4">
        <v>1645</v>
      </c>
      <c r="B1646" s="5">
        <v>4470124</v>
      </c>
      <c r="C1646" s="4" t="s">
        <v>137</v>
      </c>
      <c r="D1646" s="4" t="s">
        <v>26</v>
      </c>
      <c r="E1646" s="4" t="s">
        <v>27</v>
      </c>
      <c r="F1646" s="4" t="s">
        <v>2950</v>
      </c>
      <c r="G1646" s="6">
        <v>3</v>
      </c>
      <c r="H1646" s="7">
        <v>45650.93886574074</v>
      </c>
      <c r="I1646" s="7" t="str">
        <f>TEXT(multilingual_mobile_app_reviews_2025[[#This Row],[Review_date]],"dd-mm-yyyy")</f>
        <v>24-12-2024</v>
      </c>
      <c r="J1646" s="7" t="str">
        <f>TEXT(multilingual_mobile_app_reviews_2025[[#This Row],[Review_date]],"YYYY")</f>
        <v>2024</v>
      </c>
      <c r="K1646" s="7" t="str">
        <f>TEXT(multilingual_mobile_app_reviews_2025[[#This Row],[Review_date]],"MMMM")</f>
        <v>December</v>
      </c>
      <c r="L1646" s="4" t="b">
        <v>1</v>
      </c>
      <c r="M1646" s="4" t="s">
        <v>98</v>
      </c>
      <c r="N1646" s="5">
        <v>494</v>
      </c>
      <c r="O1646" s="5">
        <v>59</v>
      </c>
      <c r="P1646" s="4" t="s">
        <v>85</v>
      </c>
      <c r="Q1646" s="8" t="s">
        <v>29</v>
      </c>
      <c r="R1646" s="4" t="s">
        <v>1974</v>
      </c>
      <c r="S1646" s="4"/>
      <c r="T1646"/>
      <c r="U1646" s="23"/>
    </row>
    <row r="1647" spans="1:21" ht="15.6" x14ac:dyDescent="0.3">
      <c r="A1647" s="4">
        <v>1646</v>
      </c>
      <c r="B1647" s="5">
        <v>4713144</v>
      </c>
      <c r="C1647" s="4" t="s">
        <v>46</v>
      </c>
      <c r="D1647" s="4" t="s">
        <v>63</v>
      </c>
      <c r="E1647" s="4" t="s">
        <v>109</v>
      </c>
      <c r="F1647" s="4" t="s">
        <v>2942</v>
      </c>
      <c r="G1647" s="6">
        <v>2.5</v>
      </c>
      <c r="H1647" s="7">
        <v>45203.317824074074</v>
      </c>
      <c r="I1647" s="7" t="str">
        <f>TEXT(multilingual_mobile_app_reviews_2025[[#This Row],[Review_date]],"dd-mm-yyyy")</f>
        <v>04-10-2023</v>
      </c>
      <c r="J1647" s="7" t="str">
        <f>TEXT(multilingual_mobile_app_reviews_2025[[#This Row],[Review_date]],"YYYY")</f>
        <v>2023</v>
      </c>
      <c r="K1647" s="7" t="str">
        <f>TEXT(multilingual_mobile_app_reviews_2025[[#This Row],[Review_date]],"MMMM")</f>
        <v>October</v>
      </c>
      <c r="L1647" s="4" t="b">
        <v>1</v>
      </c>
      <c r="M1647" s="4" t="s">
        <v>22</v>
      </c>
      <c r="N1647" s="5">
        <v>423</v>
      </c>
      <c r="O1647" s="5">
        <v>42</v>
      </c>
      <c r="P1647" s="4" t="s">
        <v>230</v>
      </c>
      <c r="Q1647" s="8" t="s">
        <v>5</v>
      </c>
      <c r="R1647" s="4" t="s">
        <v>1975</v>
      </c>
      <c r="S1647" s="4"/>
      <c r="T1647"/>
      <c r="U1647" s="23"/>
    </row>
    <row r="1648" spans="1:21" ht="15.6" x14ac:dyDescent="0.3">
      <c r="A1648" s="4">
        <v>1647</v>
      </c>
      <c r="B1648" s="5">
        <v>488238</v>
      </c>
      <c r="C1648" s="4" t="s">
        <v>192</v>
      </c>
      <c r="D1648" s="4" t="s">
        <v>57</v>
      </c>
      <c r="E1648" s="4" t="s">
        <v>93</v>
      </c>
      <c r="F1648" s="4" t="s">
        <v>2943</v>
      </c>
      <c r="G1648" s="6">
        <v>2.9</v>
      </c>
      <c r="H1648" s="7">
        <v>45634.727777777778</v>
      </c>
      <c r="I1648" s="7" t="str">
        <f>TEXT(multilingual_mobile_app_reviews_2025[[#This Row],[Review_date]],"dd-mm-yyyy")</f>
        <v>08-12-2024</v>
      </c>
      <c r="J1648" s="7" t="str">
        <f>TEXT(multilingual_mobile_app_reviews_2025[[#This Row],[Review_date]],"YYYY")</f>
        <v>2024</v>
      </c>
      <c r="K1648" s="7" t="str">
        <f>TEXT(multilingual_mobile_app_reviews_2025[[#This Row],[Review_date]],"MMMM")</f>
        <v>December</v>
      </c>
      <c r="L1648" s="4" t="b">
        <v>1</v>
      </c>
      <c r="M1648" s="4" t="s">
        <v>33</v>
      </c>
      <c r="N1648" s="5">
        <v>605</v>
      </c>
      <c r="O1648" s="5">
        <v>35</v>
      </c>
      <c r="P1648" s="4" t="s">
        <v>99</v>
      </c>
      <c r="Q1648" s="8" t="s">
        <v>39</v>
      </c>
      <c r="R1648" s="4" t="s">
        <v>1976</v>
      </c>
      <c r="S1648" s="4"/>
      <c r="T1648"/>
      <c r="U1648" s="23"/>
    </row>
    <row r="1649" spans="1:21" ht="15.6" x14ac:dyDescent="0.3">
      <c r="A1649" s="4">
        <v>1648</v>
      </c>
      <c r="B1649" s="5">
        <v>1835086</v>
      </c>
      <c r="C1649" s="4" t="s">
        <v>208</v>
      </c>
      <c r="D1649" s="4" t="s">
        <v>8</v>
      </c>
      <c r="E1649" s="4" t="s">
        <v>21</v>
      </c>
      <c r="F1649" s="4" t="s">
        <v>2948</v>
      </c>
      <c r="G1649" s="6">
        <v>2.5</v>
      </c>
      <c r="H1649" s="7">
        <v>45225.041331018518</v>
      </c>
      <c r="I1649" s="7" t="str">
        <f>TEXT(multilingual_mobile_app_reviews_2025[[#This Row],[Review_date]],"dd-mm-yyyy")</f>
        <v>26-10-2023</v>
      </c>
      <c r="J1649" s="7" t="str">
        <f>TEXT(multilingual_mobile_app_reviews_2025[[#This Row],[Review_date]],"YYYY")</f>
        <v>2023</v>
      </c>
      <c r="K1649" s="7" t="str">
        <f>TEXT(multilingual_mobile_app_reviews_2025[[#This Row],[Review_date]],"MMMM")</f>
        <v>October</v>
      </c>
      <c r="L1649" s="4" t="b">
        <v>1</v>
      </c>
      <c r="M1649" s="4" t="s">
        <v>10</v>
      </c>
      <c r="N1649" s="5">
        <v>152</v>
      </c>
      <c r="O1649" s="5">
        <v>48</v>
      </c>
      <c r="P1649" s="4" t="s">
        <v>17</v>
      </c>
      <c r="Q1649" s="8" t="s">
        <v>2963</v>
      </c>
      <c r="R1649" s="4" t="s">
        <v>1977</v>
      </c>
      <c r="S1649" s="4"/>
      <c r="T1649"/>
      <c r="U1649" s="23"/>
    </row>
    <row r="1650" spans="1:21" ht="15.6" x14ac:dyDescent="0.3">
      <c r="A1650" s="4">
        <v>1649</v>
      </c>
      <c r="B1650" s="5">
        <v>2158301</v>
      </c>
      <c r="C1650" s="4" t="s">
        <v>258</v>
      </c>
      <c r="D1650" s="4" t="s">
        <v>31</v>
      </c>
      <c r="E1650" s="4" t="s">
        <v>16</v>
      </c>
      <c r="F1650" s="4" t="s">
        <v>2960</v>
      </c>
      <c r="G1650" s="6">
        <v>3.6</v>
      </c>
      <c r="H1650" s="7">
        <v>45222.047164351854</v>
      </c>
      <c r="I1650" s="7" t="str">
        <f>TEXT(multilingual_mobile_app_reviews_2025[[#This Row],[Review_date]],"dd-mm-yyyy")</f>
        <v>23-10-2023</v>
      </c>
      <c r="J1650" s="7" t="str">
        <f>TEXT(multilingual_mobile_app_reviews_2025[[#This Row],[Review_date]],"YYYY")</f>
        <v>2023</v>
      </c>
      <c r="K1650" s="7" t="str">
        <f>TEXT(multilingual_mobile_app_reviews_2025[[#This Row],[Review_date]],"MMMM")</f>
        <v>October</v>
      </c>
      <c r="L1650" s="4" t="b">
        <v>1</v>
      </c>
      <c r="M1650" s="4" t="s">
        <v>98</v>
      </c>
      <c r="N1650" s="5">
        <v>137</v>
      </c>
      <c r="O1650" s="5">
        <v>52</v>
      </c>
      <c r="P1650" s="4" t="s">
        <v>38</v>
      </c>
      <c r="Q1650" s="8" t="s">
        <v>5</v>
      </c>
      <c r="R1650" s="4" t="s">
        <v>1978</v>
      </c>
      <c r="S1650" s="4"/>
      <c r="T1650"/>
      <c r="U1650" s="23"/>
    </row>
    <row r="1651" spans="1:21" ht="15.6" x14ac:dyDescent="0.3">
      <c r="A1651" s="4">
        <v>1650</v>
      </c>
      <c r="B1651" s="5">
        <v>4838943</v>
      </c>
      <c r="C1651" s="4" t="s">
        <v>199</v>
      </c>
      <c r="D1651" s="4" t="s">
        <v>63</v>
      </c>
      <c r="E1651" s="4" t="s">
        <v>93</v>
      </c>
      <c r="F1651" s="4" t="s">
        <v>2944</v>
      </c>
      <c r="G1651" s="6">
        <v>2.9</v>
      </c>
      <c r="H1651" s="7">
        <v>45342.375543981485</v>
      </c>
      <c r="I1651" s="7" t="str">
        <f>TEXT(multilingual_mobile_app_reviews_2025[[#This Row],[Review_date]],"dd-mm-yyyy")</f>
        <v>20-02-2024</v>
      </c>
      <c r="J1651" s="7" t="str">
        <f>TEXT(multilingual_mobile_app_reviews_2025[[#This Row],[Review_date]],"YYYY")</f>
        <v>2024</v>
      </c>
      <c r="K1651" s="7" t="str">
        <f>TEXT(multilingual_mobile_app_reviews_2025[[#This Row],[Review_date]],"MMMM")</f>
        <v>February</v>
      </c>
      <c r="L1651" s="4" t="b">
        <v>1</v>
      </c>
      <c r="M1651" s="4" t="s">
        <v>98</v>
      </c>
      <c r="N1651" s="5">
        <v>1050</v>
      </c>
      <c r="O1651" s="5">
        <v>59</v>
      </c>
      <c r="P1651" s="4" t="s">
        <v>34</v>
      </c>
      <c r="Q1651" s="8" t="s">
        <v>5</v>
      </c>
      <c r="R1651" s="4" t="s">
        <v>1979</v>
      </c>
      <c r="S1651" s="4"/>
      <c r="T1651"/>
      <c r="U1651" s="23"/>
    </row>
    <row r="1652" spans="1:21" ht="15.6" x14ac:dyDescent="0.3">
      <c r="A1652" s="4">
        <v>1651</v>
      </c>
      <c r="B1652" s="5">
        <v>1656542</v>
      </c>
      <c r="C1652" s="4" t="s">
        <v>92</v>
      </c>
      <c r="D1652" s="4" t="s">
        <v>20</v>
      </c>
      <c r="E1652" s="4" t="s">
        <v>76</v>
      </c>
      <c r="F1652" s="4" t="s">
        <v>2950</v>
      </c>
      <c r="G1652" s="6">
        <v>1.8</v>
      </c>
      <c r="H1652" s="7">
        <v>45198.982199074075</v>
      </c>
      <c r="I1652" s="7" t="str">
        <f>TEXT(multilingual_mobile_app_reviews_2025[[#This Row],[Review_date]],"dd-mm-yyyy")</f>
        <v>29-09-2023</v>
      </c>
      <c r="J1652" s="7" t="str">
        <f>TEXT(multilingual_mobile_app_reviews_2025[[#This Row],[Review_date]],"YYYY")</f>
        <v>2023</v>
      </c>
      <c r="K1652" s="7" t="str">
        <f>TEXT(multilingual_mobile_app_reviews_2025[[#This Row],[Review_date]],"MMMM")</f>
        <v>September</v>
      </c>
      <c r="L1652" s="4" t="b">
        <v>1</v>
      </c>
      <c r="M1652" s="4" t="s">
        <v>3</v>
      </c>
      <c r="N1652" s="5">
        <v>478</v>
      </c>
      <c r="O1652" s="5">
        <v>31</v>
      </c>
      <c r="P1652" s="4" t="s">
        <v>38</v>
      </c>
      <c r="Q1652" s="8" t="s">
        <v>12</v>
      </c>
      <c r="R1652" s="4" t="s">
        <v>1980</v>
      </c>
      <c r="S1652" s="4"/>
      <c r="T1652"/>
      <c r="U1652" s="23"/>
    </row>
    <row r="1653" spans="1:21" ht="15.6" x14ac:dyDescent="0.3">
      <c r="A1653" s="4">
        <v>1652</v>
      </c>
      <c r="B1653" s="5">
        <v>6163240</v>
      </c>
      <c r="C1653" s="4" t="s">
        <v>78</v>
      </c>
      <c r="D1653" s="4" t="s">
        <v>79</v>
      </c>
      <c r="E1653" s="4" t="s">
        <v>93</v>
      </c>
      <c r="F1653" s="4" t="s">
        <v>2940</v>
      </c>
      <c r="G1653" s="6">
        <v>3.8</v>
      </c>
      <c r="H1653" s="7">
        <v>45847.808171296296</v>
      </c>
      <c r="I1653" s="7" t="str">
        <f>TEXT(multilingual_mobile_app_reviews_2025[[#This Row],[Review_date]],"dd-mm-yyyy")</f>
        <v>09-07-2025</v>
      </c>
      <c r="J1653" s="7" t="str">
        <f>TEXT(multilingual_mobile_app_reviews_2025[[#This Row],[Review_date]],"YYYY")</f>
        <v>2025</v>
      </c>
      <c r="K1653" s="7" t="str">
        <f>TEXT(multilingual_mobile_app_reviews_2025[[#This Row],[Review_date]],"MMMM")</f>
        <v>July</v>
      </c>
      <c r="L1653" s="4" t="b">
        <v>1</v>
      </c>
      <c r="M1653" s="4" t="s">
        <v>10</v>
      </c>
      <c r="N1653" s="5">
        <v>979</v>
      </c>
      <c r="O1653" s="5">
        <v>51</v>
      </c>
      <c r="P1653" s="4" t="s">
        <v>230</v>
      </c>
      <c r="Q1653" s="8" t="s">
        <v>12</v>
      </c>
      <c r="R1653" s="4" t="s">
        <v>1981</v>
      </c>
      <c r="S1653" s="4"/>
      <c r="T1653"/>
      <c r="U1653" s="23"/>
    </row>
    <row r="1654" spans="1:21" ht="15.6" x14ac:dyDescent="0.3">
      <c r="A1654" s="4">
        <v>1653</v>
      </c>
      <c r="B1654" s="5">
        <v>6656539</v>
      </c>
      <c r="C1654" s="4" t="s">
        <v>244</v>
      </c>
      <c r="D1654" s="4" t="s">
        <v>20</v>
      </c>
      <c r="E1654" s="4" t="s">
        <v>1982</v>
      </c>
      <c r="F1654" s="4" t="s">
        <v>2953</v>
      </c>
      <c r="G1654" s="6">
        <v>2</v>
      </c>
      <c r="H1654" s="7">
        <v>45405.147013888891</v>
      </c>
      <c r="I1654" s="7" t="str">
        <f>TEXT(multilingual_mobile_app_reviews_2025[[#This Row],[Review_date]],"dd-mm-yyyy")</f>
        <v>23-04-2024</v>
      </c>
      <c r="J1654" s="7" t="str">
        <f>TEXT(multilingual_mobile_app_reviews_2025[[#This Row],[Review_date]],"YYYY")</f>
        <v>2024</v>
      </c>
      <c r="K1654" s="7" t="str">
        <f>TEXT(multilingual_mobile_app_reviews_2025[[#This Row],[Review_date]],"MMMM")</f>
        <v>April</v>
      </c>
      <c r="L1654" s="4" t="b">
        <v>1</v>
      </c>
      <c r="M1654" s="4" t="s">
        <v>33</v>
      </c>
      <c r="N1654" s="5">
        <v>751</v>
      </c>
      <c r="O1654" s="5">
        <v>43</v>
      </c>
      <c r="P1654" s="4" t="s">
        <v>4</v>
      </c>
      <c r="Q1654" s="8" t="s">
        <v>5</v>
      </c>
      <c r="R1654" s="4" t="s">
        <v>440</v>
      </c>
      <c r="S1654" s="4"/>
      <c r="T1654"/>
      <c r="U1654" s="23"/>
    </row>
    <row r="1655" spans="1:21" ht="15.6" x14ac:dyDescent="0.3">
      <c r="A1655" s="4">
        <v>1654</v>
      </c>
      <c r="B1655" s="5">
        <v>8218679</v>
      </c>
      <c r="C1655" s="4" t="s">
        <v>165</v>
      </c>
      <c r="D1655" s="4" t="s">
        <v>51</v>
      </c>
      <c r="E1655" s="4" t="s">
        <v>76</v>
      </c>
      <c r="F1655" s="4" t="s">
        <v>2942</v>
      </c>
      <c r="G1655" s="6">
        <v>4.0999999999999996</v>
      </c>
      <c r="H1655" s="7">
        <v>45615.790046296293</v>
      </c>
      <c r="I1655" s="7" t="str">
        <f>TEXT(multilingual_mobile_app_reviews_2025[[#This Row],[Review_date]],"dd-mm-yyyy")</f>
        <v>19-11-2024</v>
      </c>
      <c r="J1655" s="7" t="str">
        <f>TEXT(multilingual_mobile_app_reviews_2025[[#This Row],[Review_date]],"YYYY")</f>
        <v>2024</v>
      </c>
      <c r="K1655" s="7" t="str">
        <f>TEXT(multilingual_mobile_app_reviews_2025[[#This Row],[Review_date]],"MMMM")</f>
        <v>November</v>
      </c>
      <c r="L1655" s="4" t="b">
        <v>1</v>
      </c>
      <c r="M1655" s="4" t="s">
        <v>22</v>
      </c>
      <c r="N1655" s="5">
        <v>53</v>
      </c>
      <c r="O1655" s="5">
        <v>62</v>
      </c>
      <c r="P1655" s="4" t="s">
        <v>65</v>
      </c>
      <c r="Q1655" s="8" t="s">
        <v>2963</v>
      </c>
      <c r="R1655" s="4" t="s">
        <v>1053</v>
      </c>
      <c r="S1655" s="4"/>
      <c r="T1655"/>
      <c r="U1655" s="23"/>
    </row>
    <row r="1656" spans="1:21" ht="15.6" x14ac:dyDescent="0.3">
      <c r="A1656" s="4">
        <v>1655</v>
      </c>
      <c r="B1656" s="5">
        <v>9268459</v>
      </c>
      <c r="C1656" s="4" t="s">
        <v>106</v>
      </c>
      <c r="D1656" s="4" t="s">
        <v>71</v>
      </c>
      <c r="E1656" s="4" t="s">
        <v>93</v>
      </c>
      <c r="F1656" s="4" t="s">
        <v>2940</v>
      </c>
      <c r="G1656" s="6">
        <v>3.2</v>
      </c>
      <c r="H1656" s="7">
        <v>45142.773194444446</v>
      </c>
      <c r="I1656" s="7" t="str">
        <f>TEXT(multilingual_mobile_app_reviews_2025[[#This Row],[Review_date]],"dd-mm-yyyy")</f>
        <v>04-08-2023</v>
      </c>
      <c r="J1656" s="7" t="str">
        <f>TEXT(multilingual_mobile_app_reviews_2025[[#This Row],[Review_date]],"YYYY")</f>
        <v>2023</v>
      </c>
      <c r="K1656" s="7" t="str">
        <f>TEXT(multilingual_mobile_app_reviews_2025[[#This Row],[Review_date]],"MMMM")</f>
        <v>August</v>
      </c>
      <c r="L1656" s="4" t="b">
        <v>1</v>
      </c>
      <c r="M1656" s="4" t="s">
        <v>33</v>
      </c>
      <c r="N1656" s="5">
        <v>143</v>
      </c>
      <c r="O1656" s="5">
        <v>50</v>
      </c>
      <c r="P1656" s="4" t="s">
        <v>11</v>
      </c>
      <c r="Q1656" s="8" t="s">
        <v>29</v>
      </c>
      <c r="R1656" s="4" t="s">
        <v>1625</v>
      </c>
      <c r="S1656" s="4"/>
      <c r="T1656"/>
      <c r="U1656" s="23"/>
    </row>
    <row r="1657" spans="1:21" ht="15.6" x14ac:dyDescent="0.3">
      <c r="A1657" s="4">
        <v>1656</v>
      </c>
      <c r="B1657" s="5">
        <v>8853488</v>
      </c>
      <c r="C1657" s="4" t="s">
        <v>25</v>
      </c>
      <c r="D1657" s="4" t="s">
        <v>63</v>
      </c>
      <c r="E1657" s="4" t="s">
        <v>64</v>
      </c>
      <c r="F1657" s="4" t="s">
        <v>2961</v>
      </c>
      <c r="G1657" s="6">
        <v>4.3</v>
      </c>
      <c r="H1657" s="7">
        <v>45714.971226851849</v>
      </c>
      <c r="I1657" s="7" t="str">
        <f>TEXT(multilingual_mobile_app_reviews_2025[[#This Row],[Review_date]],"dd-mm-yyyy")</f>
        <v>26-02-2025</v>
      </c>
      <c r="J1657" s="7" t="str">
        <f>TEXT(multilingual_mobile_app_reviews_2025[[#This Row],[Review_date]],"YYYY")</f>
        <v>2025</v>
      </c>
      <c r="K1657" s="7" t="str">
        <f>TEXT(multilingual_mobile_app_reviews_2025[[#This Row],[Review_date]],"MMMM")</f>
        <v>February</v>
      </c>
      <c r="L1657" s="4" t="b">
        <v>1</v>
      </c>
      <c r="M1657" s="4" t="s">
        <v>22</v>
      </c>
      <c r="N1657" s="5">
        <v>192</v>
      </c>
      <c r="O1657" s="5">
        <v>41</v>
      </c>
      <c r="P1657" s="4" t="s">
        <v>180</v>
      </c>
      <c r="Q1657" s="8" t="s">
        <v>5</v>
      </c>
      <c r="R1657" s="4" t="s">
        <v>205</v>
      </c>
      <c r="S1657" s="4"/>
      <c r="T1657"/>
      <c r="U1657" s="23"/>
    </row>
    <row r="1658" spans="1:21" ht="15.6" x14ac:dyDescent="0.3">
      <c r="A1658" s="4">
        <v>1657</v>
      </c>
      <c r="B1658" s="5">
        <v>2140002</v>
      </c>
      <c r="C1658" s="4" t="s">
        <v>264</v>
      </c>
      <c r="D1658" s="4" t="s">
        <v>60</v>
      </c>
      <c r="E1658" s="4" t="s">
        <v>1983</v>
      </c>
      <c r="F1658" s="4" t="s">
        <v>2942</v>
      </c>
      <c r="G1658" s="6">
        <v>4.5999999999999996</v>
      </c>
      <c r="H1658" s="7">
        <v>45501.641875000001</v>
      </c>
      <c r="I1658" s="7" t="str">
        <f>TEXT(multilingual_mobile_app_reviews_2025[[#This Row],[Review_date]],"dd-mm-yyyy")</f>
        <v>28-07-2024</v>
      </c>
      <c r="J1658" s="7" t="str">
        <f>TEXT(multilingual_mobile_app_reviews_2025[[#This Row],[Review_date]],"YYYY")</f>
        <v>2024</v>
      </c>
      <c r="K1658" s="7" t="str">
        <f>TEXT(multilingual_mobile_app_reviews_2025[[#This Row],[Review_date]],"MMMM")</f>
        <v>July</v>
      </c>
      <c r="L1658" s="4" t="b">
        <v>0</v>
      </c>
      <c r="M1658" s="4" t="s">
        <v>3</v>
      </c>
      <c r="N1658" s="5">
        <v>595</v>
      </c>
      <c r="O1658" s="5">
        <v>15</v>
      </c>
      <c r="P1658" s="4" t="s">
        <v>73</v>
      </c>
      <c r="Q1658" s="8" t="s">
        <v>2963</v>
      </c>
      <c r="R1658" s="4" t="s">
        <v>1984</v>
      </c>
      <c r="S1658" s="4"/>
      <c r="T1658"/>
      <c r="U1658" s="23"/>
    </row>
    <row r="1659" spans="1:21" ht="15.6" x14ac:dyDescent="0.3">
      <c r="A1659" s="4">
        <v>1658</v>
      </c>
      <c r="B1659" s="5">
        <v>8418172</v>
      </c>
      <c r="C1659" s="4" t="s">
        <v>67</v>
      </c>
      <c r="D1659" s="4" t="s">
        <v>111</v>
      </c>
      <c r="E1659" s="4" t="s">
        <v>130</v>
      </c>
      <c r="F1659" s="4" t="s">
        <v>2941</v>
      </c>
      <c r="G1659" s="6">
        <v>2</v>
      </c>
      <c r="H1659" s="7">
        <v>45477.577627314815</v>
      </c>
      <c r="I1659" s="7" t="str">
        <f>TEXT(multilingual_mobile_app_reviews_2025[[#This Row],[Review_date]],"dd-mm-yyyy")</f>
        <v>04-07-2024</v>
      </c>
      <c r="J1659" s="7" t="str">
        <f>TEXT(multilingual_mobile_app_reviews_2025[[#This Row],[Review_date]],"YYYY")</f>
        <v>2024</v>
      </c>
      <c r="K1659" s="7" t="str">
        <f>TEXT(multilingual_mobile_app_reviews_2025[[#This Row],[Review_date]],"MMMM")</f>
        <v>July</v>
      </c>
      <c r="L1659" s="4" t="b">
        <v>1</v>
      </c>
      <c r="M1659" s="4" t="s">
        <v>33</v>
      </c>
      <c r="N1659" s="5">
        <v>972</v>
      </c>
      <c r="O1659" s="5">
        <v>62</v>
      </c>
      <c r="P1659" s="4" t="s">
        <v>11</v>
      </c>
      <c r="Q1659" s="8" t="s">
        <v>39</v>
      </c>
      <c r="R1659" s="4" t="s">
        <v>1985</v>
      </c>
      <c r="S1659" s="4"/>
      <c r="T1659"/>
      <c r="U1659" s="23"/>
    </row>
    <row r="1660" spans="1:21" ht="15.6" x14ac:dyDescent="0.3">
      <c r="A1660" s="4">
        <v>1659</v>
      </c>
      <c r="B1660" s="5">
        <v>6809915</v>
      </c>
      <c r="C1660" s="4" t="s">
        <v>69</v>
      </c>
      <c r="D1660" s="4" t="s">
        <v>31</v>
      </c>
      <c r="E1660" s="4" t="s">
        <v>27</v>
      </c>
      <c r="F1660" s="4" t="s">
        <v>2957</v>
      </c>
      <c r="G1660" s="6">
        <v>3</v>
      </c>
      <c r="H1660" s="7">
        <v>45855.287222222221</v>
      </c>
      <c r="I1660" s="7" t="str">
        <f>TEXT(multilingual_mobile_app_reviews_2025[[#This Row],[Review_date]],"dd-mm-yyyy")</f>
        <v>17-07-2025</v>
      </c>
      <c r="J1660" s="7" t="str">
        <f>TEXT(multilingual_mobile_app_reviews_2025[[#This Row],[Review_date]],"YYYY")</f>
        <v>2025</v>
      </c>
      <c r="K1660" s="7" t="str">
        <f>TEXT(multilingual_mobile_app_reviews_2025[[#This Row],[Review_date]],"MMMM")</f>
        <v>July</v>
      </c>
      <c r="L1660" s="4" t="b">
        <v>1</v>
      </c>
      <c r="M1660" s="4" t="s">
        <v>33</v>
      </c>
      <c r="N1660" s="5">
        <v>157</v>
      </c>
      <c r="O1660" s="5">
        <v>18</v>
      </c>
      <c r="P1660" s="4" t="s">
        <v>38</v>
      </c>
      <c r="Q1660" s="8" t="s">
        <v>12</v>
      </c>
      <c r="R1660" s="4" t="s">
        <v>1986</v>
      </c>
      <c r="S1660" s="4"/>
      <c r="T1660"/>
      <c r="U1660" s="23"/>
    </row>
    <row r="1661" spans="1:21" ht="15.6" x14ac:dyDescent="0.3">
      <c r="A1661" s="4">
        <v>1660</v>
      </c>
      <c r="B1661" s="5">
        <v>4295866</v>
      </c>
      <c r="C1661" s="4" t="s">
        <v>89</v>
      </c>
      <c r="D1661" s="4" t="s">
        <v>15</v>
      </c>
      <c r="E1661" s="4" t="s">
        <v>1987</v>
      </c>
      <c r="F1661" s="4" t="s">
        <v>2943</v>
      </c>
      <c r="G1661" s="6">
        <v>3.4</v>
      </c>
      <c r="H1661" s="7">
        <v>45218.79886574074</v>
      </c>
      <c r="I1661" s="7" t="str">
        <f>TEXT(multilingual_mobile_app_reviews_2025[[#This Row],[Review_date]],"dd-mm-yyyy")</f>
        <v>19-10-2023</v>
      </c>
      <c r="J1661" s="7" t="str">
        <f>TEXT(multilingual_mobile_app_reviews_2025[[#This Row],[Review_date]],"YYYY")</f>
        <v>2023</v>
      </c>
      <c r="K1661" s="7" t="str">
        <f>TEXT(multilingual_mobile_app_reviews_2025[[#This Row],[Review_date]],"MMMM")</f>
        <v>October</v>
      </c>
      <c r="L1661" s="4" t="b">
        <v>1</v>
      </c>
      <c r="M1661" s="4" t="s">
        <v>10</v>
      </c>
      <c r="N1661" s="5">
        <v>824</v>
      </c>
      <c r="O1661" s="5">
        <v>71</v>
      </c>
      <c r="P1661" s="4" t="s">
        <v>144</v>
      </c>
      <c r="Q1661" s="8" t="s">
        <v>29</v>
      </c>
      <c r="R1661" s="4" t="s">
        <v>1988</v>
      </c>
      <c r="S1661" s="4"/>
      <c r="T1661"/>
      <c r="U1661" s="23"/>
    </row>
    <row r="1662" spans="1:21" ht="15.6" x14ac:dyDescent="0.3">
      <c r="A1662" s="4">
        <v>1661</v>
      </c>
      <c r="B1662" s="5">
        <v>9957937</v>
      </c>
      <c r="C1662" s="4" t="s">
        <v>113</v>
      </c>
      <c r="D1662" s="4" t="s">
        <v>57</v>
      </c>
      <c r="E1662" s="4" t="s">
        <v>109</v>
      </c>
      <c r="F1662" s="4" t="s">
        <v>2939</v>
      </c>
      <c r="G1662" s="6">
        <v>3.3</v>
      </c>
      <c r="H1662" s="7">
        <v>45380.893599537034</v>
      </c>
      <c r="I1662" s="7" t="str">
        <f>TEXT(multilingual_mobile_app_reviews_2025[[#This Row],[Review_date]],"dd-mm-yyyy")</f>
        <v>29-03-2024</v>
      </c>
      <c r="J1662" s="7" t="str">
        <f>TEXT(multilingual_mobile_app_reviews_2025[[#This Row],[Review_date]],"YYYY")</f>
        <v>2024</v>
      </c>
      <c r="K1662" s="7" t="str">
        <f>TEXT(multilingual_mobile_app_reviews_2025[[#This Row],[Review_date]],"MMMM")</f>
        <v>March</v>
      </c>
      <c r="L1662" s="4" t="b">
        <v>1</v>
      </c>
      <c r="M1662" s="4" t="s">
        <v>98</v>
      </c>
      <c r="N1662" s="5">
        <v>561</v>
      </c>
      <c r="O1662" s="5">
        <v>54</v>
      </c>
      <c r="P1662" s="4" t="s">
        <v>23</v>
      </c>
      <c r="Q1662" s="8" t="s">
        <v>2963</v>
      </c>
      <c r="R1662" s="4" t="s">
        <v>1989</v>
      </c>
      <c r="S1662" s="4"/>
      <c r="T1662"/>
      <c r="U1662" s="23"/>
    </row>
    <row r="1663" spans="1:21" ht="15.6" x14ac:dyDescent="0.3">
      <c r="A1663" s="4">
        <v>1662</v>
      </c>
      <c r="B1663" s="5">
        <v>3553284</v>
      </c>
      <c r="C1663" s="4" t="s">
        <v>159</v>
      </c>
      <c r="D1663" s="4" t="s">
        <v>26</v>
      </c>
      <c r="E1663" s="4" t="s">
        <v>64</v>
      </c>
      <c r="F1663" s="4" t="s">
        <v>2958</v>
      </c>
      <c r="G1663" s="6">
        <v>3</v>
      </c>
      <c r="H1663" s="7">
        <v>45699.71912037037</v>
      </c>
      <c r="I1663" s="7" t="str">
        <f>TEXT(multilingual_mobile_app_reviews_2025[[#This Row],[Review_date]],"dd-mm-yyyy")</f>
        <v>11-02-2025</v>
      </c>
      <c r="J1663" s="7" t="str">
        <f>TEXT(multilingual_mobile_app_reviews_2025[[#This Row],[Review_date]],"YYYY")</f>
        <v>2025</v>
      </c>
      <c r="K1663" s="7" t="str">
        <f>TEXT(multilingual_mobile_app_reviews_2025[[#This Row],[Review_date]],"MMMM")</f>
        <v>February</v>
      </c>
      <c r="L1663" s="4" t="b">
        <v>1</v>
      </c>
      <c r="M1663" s="4" t="s">
        <v>22</v>
      </c>
      <c r="N1663" s="5">
        <v>350</v>
      </c>
      <c r="O1663" s="5">
        <v>28</v>
      </c>
      <c r="P1663" s="4" t="s">
        <v>70</v>
      </c>
      <c r="Q1663" s="8" t="s">
        <v>39</v>
      </c>
      <c r="R1663" s="4" t="s">
        <v>1990</v>
      </c>
      <c r="S1663" s="4"/>
      <c r="T1663"/>
      <c r="U1663" s="23"/>
    </row>
    <row r="1664" spans="1:21" ht="15.6" x14ac:dyDescent="0.3">
      <c r="A1664" s="4">
        <v>1663</v>
      </c>
      <c r="B1664" s="5">
        <v>7372447</v>
      </c>
      <c r="C1664" s="4" t="s">
        <v>208</v>
      </c>
      <c r="D1664" s="4" t="s">
        <v>51</v>
      </c>
      <c r="E1664" s="4" t="s">
        <v>1991</v>
      </c>
      <c r="F1664" s="4" t="s">
        <v>2943</v>
      </c>
      <c r="G1664" s="6">
        <v>2.2999999999999998</v>
      </c>
      <c r="H1664" s="7">
        <v>45457.185763888891</v>
      </c>
      <c r="I1664" s="7" t="str">
        <f>TEXT(multilingual_mobile_app_reviews_2025[[#This Row],[Review_date]],"dd-mm-yyyy")</f>
        <v>14-06-2024</v>
      </c>
      <c r="J1664" s="7" t="str">
        <f>TEXT(multilingual_mobile_app_reviews_2025[[#This Row],[Review_date]],"YYYY")</f>
        <v>2024</v>
      </c>
      <c r="K1664" s="7" t="str">
        <f>TEXT(multilingual_mobile_app_reviews_2025[[#This Row],[Review_date]],"MMMM")</f>
        <v>June</v>
      </c>
      <c r="L1664" s="4" t="b">
        <v>1</v>
      </c>
      <c r="M1664" s="4" t="s">
        <v>98</v>
      </c>
      <c r="N1664" s="5">
        <v>433</v>
      </c>
      <c r="O1664" s="5">
        <v>52</v>
      </c>
      <c r="P1664" s="4" t="s">
        <v>80</v>
      </c>
      <c r="Q1664" s="8" t="s">
        <v>2963</v>
      </c>
      <c r="R1664" s="4" t="s">
        <v>1992</v>
      </c>
      <c r="S1664" s="4"/>
      <c r="T1664"/>
      <c r="U1664" s="23"/>
    </row>
    <row r="1665" spans="1:21" ht="15.6" x14ac:dyDescent="0.3">
      <c r="A1665" s="4">
        <v>1664</v>
      </c>
      <c r="B1665" s="5">
        <v>9000282</v>
      </c>
      <c r="C1665" s="4" t="s">
        <v>176</v>
      </c>
      <c r="D1665" s="4" t="s">
        <v>8</v>
      </c>
      <c r="E1665" s="4" t="s">
        <v>2938</v>
      </c>
      <c r="F1665" s="4" t="s">
        <v>2959</v>
      </c>
      <c r="G1665" s="6">
        <v>2.6</v>
      </c>
      <c r="H1665" s="7">
        <v>45412.481527777774</v>
      </c>
      <c r="I1665" s="7" t="str">
        <f>TEXT(multilingual_mobile_app_reviews_2025[[#This Row],[Review_date]],"dd-mm-yyyy")</f>
        <v>30-04-2024</v>
      </c>
      <c r="J1665" s="7" t="str">
        <f>TEXT(multilingual_mobile_app_reviews_2025[[#This Row],[Review_date]],"YYYY")</f>
        <v>2024</v>
      </c>
      <c r="K1665" s="7" t="str">
        <f>TEXT(multilingual_mobile_app_reviews_2025[[#This Row],[Review_date]],"MMMM")</f>
        <v>April</v>
      </c>
      <c r="L1665" s="4" t="b">
        <v>1</v>
      </c>
      <c r="M1665" s="4" t="s">
        <v>33</v>
      </c>
      <c r="N1665" s="5">
        <v>394</v>
      </c>
      <c r="O1665" s="5">
        <v>22</v>
      </c>
      <c r="P1665" s="4" t="s">
        <v>17</v>
      </c>
      <c r="Q1665" s="8" t="s">
        <v>2963</v>
      </c>
      <c r="R1665" s="4" t="s">
        <v>1082</v>
      </c>
      <c r="S1665" s="4"/>
      <c r="T1665"/>
      <c r="U1665" s="23"/>
    </row>
    <row r="1666" spans="1:21" ht="15.6" x14ac:dyDescent="0.3">
      <c r="A1666" s="4">
        <v>1665</v>
      </c>
      <c r="B1666" s="5">
        <v>602309</v>
      </c>
      <c r="C1666" s="4" t="s">
        <v>123</v>
      </c>
      <c r="D1666" s="4" t="s">
        <v>157</v>
      </c>
      <c r="E1666" s="4" t="s">
        <v>1993</v>
      </c>
      <c r="F1666" s="4" t="s">
        <v>2960</v>
      </c>
      <c r="G1666" s="6">
        <v>1.9</v>
      </c>
      <c r="H1666" s="7">
        <v>45195.299687500003</v>
      </c>
      <c r="I1666" s="7" t="str">
        <f>TEXT(multilingual_mobile_app_reviews_2025[[#This Row],[Review_date]],"dd-mm-yyyy")</f>
        <v>26-09-2023</v>
      </c>
      <c r="J1666" s="7" t="str">
        <f>TEXT(multilingual_mobile_app_reviews_2025[[#This Row],[Review_date]],"YYYY")</f>
        <v>2023</v>
      </c>
      <c r="K1666" s="7" t="str">
        <f>TEXT(multilingual_mobile_app_reviews_2025[[#This Row],[Review_date]],"MMMM")</f>
        <v>September</v>
      </c>
      <c r="L1666" s="4" t="b">
        <v>1</v>
      </c>
      <c r="M1666" s="4" t="s">
        <v>98</v>
      </c>
      <c r="N1666" s="5">
        <v>266</v>
      </c>
      <c r="O1666" s="5">
        <v>15</v>
      </c>
      <c r="P1666" s="4" t="s">
        <v>11</v>
      </c>
      <c r="Q1666" s="8" t="s">
        <v>5</v>
      </c>
      <c r="R1666" s="4" t="s">
        <v>1994</v>
      </c>
      <c r="S1666" s="4"/>
      <c r="T1666"/>
      <c r="U1666" s="23"/>
    </row>
    <row r="1667" spans="1:21" ht="15.6" x14ac:dyDescent="0.3">
      <c r="A1667" s="4">
        <v>1666</v>
      </c>
      <c r="B1667" s="5">
        <v>6335425</v>
      </c>
      <c r="C1667" s="4" t="s">
        <v>78</v>
      </c>
      <c r="D1667" s="4" t="s">
        <v>1</v>
      </c>
      <c r="E1667" s="4" t="s">
        <v>16</v>
      </c>
      <c r="F1667" s="4" t="s">
        <v>2961</v>
      </c>
      <c r="G1667" s="6">
        <v>4.0999999999999996</v>
      </c>
      <c r="H1667" s="7">
        <v>45427.79146990741</v>
      </c>
      <c r="I1667" s="7" t="str">
        <f>TEXT(multilingual_mobile_app_reviews_2025[[#This Row],[Review_date]],"dd-mm-yyyy")</f>
        <v>15-05-2024</v>
      </c>
      <c r="J1667" s="7" t="str">
        <f>TEXT(multilingual_mobile_app_reviews_2025[[#This Row],[Review_date]],"YYYY")</f>
        <v>2024</v>
      </c>
      <c r="K1667" s="7" t="str">
        <f>TEXT(multilingual_mobile_app_reviews_2025[[#This Row],[Review_date]],"MMMM")</f>
        <v>May</v>
      </c>
      <c r="L1667" s="4" t="b">
        <v>1</v>
      </c>
      <c r="M1667" s="4" t="s">
        <v>10</v>
      </c>
      <c r="N1667" s="5">
        <v>162</v>
      </c>
      <c r="O1667" s="5">
        <v>36</v>
      </c>
      <c r="P1667" s="4" t="s">
        <v>70</v>
      </c>
      <c r="Q1667" s="8" t="s">
        <v>5</v>
      </c>
      <c r="R1667" s="4" t="s">
        <v>1995</v>
      </c>
      <c r="S1667" s="4"/>
      <c r="T1667"/>
      <c r="U1667" s="23"/>
    </row>
    <row r="1668" spans="1:21" ht="15.6" x14ac:dyDescent="0.3">
      <c r="A1668" s="4">
        <v>1667</v>
      </c>
      <c r="B1668" s="5">
        <v>5375644</v>
      </c>
      <c r="C1668" s="4" t="s">
        <v>264</v>
      </c>
      <c r="D1668" s="4" t="s">
        <v>157</v>
      </c>
      <c r="E1668" s="4" t="s">
        <v>109</v>
      </c>
      <c r="F1668" s="4" t="s">
        <v>2959</v>
      </c>
      <c r="G1668" s="6">
        <v>4.5</v>
      </c>
      <c r="H1668" s="7">
        <v>45233.874293981484</v>
      </c>
      <c r="I1668" s="7" t="str">
        <f>TEXT(multilingual_mobile_app_reviews_2025[[#This Row],[Review_date]],"dd-mm-yyyy")</f>
        <v>03-11-2023</v>
      </c>
      <c r="J1668" s="7" t="str">
        <f>TEXT(multilingual_mobile_app_reviews_2025[[#This Row],[Review_date]],"YYYY")</f>
        <v>2023</v>
      </c>
      <c r="K1668" s="7" t="str">
        <f>TEXT(multilingual_mobile_app_reviews_2025[[#This Row],[Review_date]],"MMMM")</f>
        <v>November</v>
      </c>
      <c r="L1668" s="4" t="b">
        <v>1</v>
      </c>
      <c r="M1668" s="4" t="s">
        <v>98</v>
      </c>
      <c r="N1668" s="5">
        <v>182</v>
      </c>
      <c r="O1668" s="5">
        <v>46</v>
      </c>
      <c r="P1668" s="4" t="s">
        <v>144</v>
      </c>
      <c r="Q1668" s="8" t="s">
        <v>5</v>
      </c>
      <c r="R1668" s="4" t="s">
        <v>1996</v>
      </c>
      <c r="S1668" s="4"/>
      <c r="T1668"/>
      <c r="U1668" s="23"/>
    </row>
    <row r="1669" spans="1:21" ht="15.6" x14ac:dyDescent="0.3">
      <c r="A1669" s="4">
        <v>1668</v>
      </c>
      <c r="B1669" s="5">
        <v>5445038</v>
      </c>
      <c r="C1669" s="4" t="s">
        <v>19</v>
      </c>
      <c r="D1669" s="4" t="s">
        <v>15</v>
      </c>
      <c r="E1669" s="4" t="s">
        <v>1997</v>
      </c>
      <c r="F1669" s="4" t="s">
        <v>2944</v>
      </c>
      <c r="G1669" s="6">
        <v>4.7</v>
      </c>
      <c r="H1669" s="7">
        <v>45640.851111111115</v>
      </c>
      <c r="I1669" s="7" t="str">
        <f>TEXT(multilingual_mobile_app_reviews_2025[[#This Row],[Review_date]],"dd-mm-yyyy")</f>
        <v>14-12-2024</v>
      </c>
      <c r="J1669" s="7" t="str">
        <f>TEXT(multilingual_mobile_app_reviews_2025[[#This Row],[Review_date]],"YYYY")</f>
        <v>2024</v>
      </c>
      <c r="K1669" s="7" t="str">
        <f>TEXT(multilingual_mobile_app_reviews_2025[[#This Row],[Review_date]],"MMMM")</f>
        <v>December</v>
      </c>
      <c r="L1669" s="4" t="b">
        <v>1</v>
      </c>
      <c r="M1669" s="4" t="s">
        <v>22</v>
      </c>
      <c r="N1669" s="5">
        <v>1023</v>
      </c>
      <c r="O1669" s="5">
        <v>41</v>
      </c>
      <c r="P1669" s="4" t="s">
        <v>4</v>
      </c>
      <c r="Q1669" s="8" t="s">
        <v>39</v>
      </c>
      <c r="R1669" s="4" t="s">
        <v>1998</v>
      </c>
      <c r="S1669" s="4"/>
      <c r="T1669"/>
      <c r="U1669" s="23"/>
    </row>
    <row r="1670" spans="1:21" ht="15.6" x14ac:dyDescent="0.3">
      <c r="A1670" s="4">
        <v>1669</v>
      </c>
      <c r="B1670" s="5">
        <v>7401537</v>
      </c>
      <c r="C1670" s="4" t="s">
        <v>208</v>
      </c>
      <c r="D1670" s="4" t="s">
        <v>111</v>
      </c>
      <c r="E1670" s="4" t="s">
        <v>27</v>
      </c>
      <c r="F1670" s="4" t="s">
        <v>2939</v>
      </c>
      <c r="G1670" s="6">
        <v>4.4000000000000004</v>
      </c>
      <c r="H1670" s="7">
        <v>45385.70784722222</v>
      </c>
      <c r="I1670" s="7" t="str">
        <f>TEXT(multilingual_mobile_app_reviews_2025[[#This Row],[Review_date]],"dd-mm-yyyy")</f>
        <v>03-04-2024</v>
      </c>
      <c r="J1670" s="7" t="str">
        <f>TEXT(multilingual_mobile_app_reviews_2025[[#This Row],[Review_date]],"YYYY")</f>
        <v>2024</v>
      </c>
      <c r="K1670" s="7" t="str">
        <f>TEXT(multilingual_mobile_app_reviews_2025[[#This Row],[Review_date]],"MMMM")</f>
        <v>April</v>
      </c>
      <c r="L1670" s="4" t="b">
        <v>1</v>
      </c>
      <c r="M1670" s="4" t="s">
        <v>98</v>
      </c>
      <c r="N1670" s="5">
        <v>1230</v>
      </c>
      <c r="O1670" s="5">
        <v>74</v>
      </c>
      <c r="P1670" s="4" t="s">
        <v>90</v>
      </c>
      <c r="Q1670" s="8" t="s">
        <v>5</v>
      </c>
      <c r="R1670" s="4" t="s">
        <v>1999</v>
      </c>
      <c r="S1670" s="4"/>
      <c r="T1670"/>
      <c r="U1670" s="23"/>
    </row>
    <row r="1671" spans="1:21" ht="15.6" x14ac:dyDescent="0.3">
      <c r="A1671" s="4">
        <v>1670</v>
      </c>
      <c r="B1671" s="5">
        <v>3424412</v>
      </c>
      <c r="C1671" s="4" t="s">
        <v>50</v>
      </c>
      <c r="D1671" s="4" t="s">
        <v>60</v>
      </c>
      <c r="E1671" s="4" t="s">
        <v>130</v>
      </c>
      <c r="F1671" s="4" t="s">
        <v>2961</v>
      </c>
      <c r="G1671" s="6">
        <v>4.5</v>
      </c>
      <c r="H1671" s="7">
        <v>45291.988425925927</v>
      </c>
      <c r="I1671" s="7" t="str">
        <f>TEXT(multilingual_mobile_app_reviews_2025[[#This Row],[Review_date]],"dd-mm-yyyy")</f>
        <v>31-12-2023</v>
      </c>
      <c r="J1671" s="7" t="str">
        <f>TEXT(multilingual_mobile_app_reviews_2025[[#This Row],[Review_date]],"YYYY")</f>
        <v>2023</v>
      </c>
      <c r="K1671" s="7" t="str">
        <f>TEXT(multilingual_mobile_app_reviews_2025[[#This Row],[Review_date]],"MMMM")</f>
        <v>December</v>
      </c>
      <c r="L1671" s="4" t="b">
        <v>1</v>
      </c>
      <c r="M1671" s="4" t="s">
        <v>22</v>
      </c>
      <c r="N1671" s="5">
        <v>799</v>
      </c>
      <c r="O1671" s="5">
        <v>64</v>
      </c>
      <c r="P1671" s="4" t="s">
        <v>85</v>
      </c>
      <c r="Q1671" s="8" t="s">
        <v>5</v>
      </c>
      <c r="R1671" s="4" t="s">
        <v>2000</v>
      </c>
      <c r="S1671" s="4"/>
      <c r="T1671"/>
      <c r="U1671" s="23"/>
    </row>
    <row r="1672" spans="1:21" ht="15.6" x14ac:dyDescent="0.3">
      <c r="A1672" s="4">
        <v>1671</v>
      </c>
      <c r="B1672" s="5">
        <v>8386841</v>
      </c>
      <c r="C1672" s="4" t="s">
        <v>0</v>
      </c>
      <c r="D1672" s="4" t="s">
        <v>57</v>
      </c>
      <c r="E1672" s="4" t="s">
        <v>2001</v>
      </c>
      <c r="F1672" s="4" t="s">
        <v>2941</v>
      </c>
      <c r="G1672" s="6">
        <v>2.6</v>
      </c>
      <c r="H1672" s="7">
        <v>45451.750659722224</v>
      </c>
      <c r="I1672" s="7" t="str">
        <f>TEXT(multilingual_mobile_app_reviews_2025[[#This Row],[Review_date]],"dd-mm-yyyy")</f>
        <v>08-06-2024</v>
      </c>
      <c r="J1672" s="7" t="str">
        <f>TEXT(multilingual_mobile_app_reviews_2025[[#This Row],[Review_date]],"YYYY")</f>
        <v>2024</v>
      </c>
      <c r="K1672" s="7" t="str">
        <f>TEXT(multilingual_mobile_app_reviews_2025[[#This Row],[Review_date]],"MMMM")</f>
        <v>June</v>
      </c>
      <c r="L1672" s="4" t="b">
        <v>1</v>
      </c>
      <c r="M1672" s="4" t="s">
        <v>10</v>
      </c>
      <c r="N1672" s="5">
        <v>67</v>
      </c>
      <c r="O1672" s="5">
        <v>47</v>
      </c>
      <c r="P1672" s="4" t="s">
        <v>80</v>
      </c>
      <c r="Q1672" s="8" t="s">
        <v>12</v>
      </c>
      <c r="R1672" s="4" t="s">
        <v>2002</v>
      </c>
      <c r="S1672" s="4"/>
      <c r="T1672"/>
      <c r="U1672" s="23"/>
    </row>
    <row r="1673" spans="1:21" ht="15.6" x14ac:dyDescent="0.3">
      <c r="A1673" s="4">
        <v>1672</v>
      </c>
      <c r="B1673" s="5">
        <v>9050091</v>
      </c>
      <c r="C1673" s="4" t="s">
        <v>132</v>
      </c>
      <c r="D1673" s="4" t="s">
        <v>8</v>
      </c>
      <c r="E1673" s="4" t="s">
        <v>130</v>
      </c>
      <c r="F1673" s="4" t="s">
        <v>2946</v>
      </c>
      <c r="G1673" s="6">
        <v>1.1000000000000001</v>
      </c>
      <c r="H1673" s="7">
        <v>45851.936736111114</v>
      </c>
      <c r="I1673" s="7" t="str">
        <f>TEXT(multilingual_mobile_app_reviews_2025[[#This Row],[Review_date]],"dd-mm-yyyy")</f>
        <v>13-07-2025</v>
      </c>
      <c r="J1673" s="7" t="str">
        <f>TEXT(multilingual_mobile_app_reviews_2025[[#This Row],[Review_date]],"YYYY")</f>
        <v>2025</v>
      </c>
      <c r="K1673" s="7" t="str">
        <f>TEXT(multilingual_mobile_app_reviews_2025[[#This Row],[Review_date]],"MMMM")</f>
        <v>July</v>
      </c>
      <c r="L1673" s="4" t="b">
        <v>1</v>
      </c>
      <c r="M1673" s="4" t="s">
        <v>3</v>
      </c>
      <c r="N1673" s="5">
        <v>353</v>
      </c>
      <c r="O1673" s="5">
        <v>64</v>
      </c>
      <c r="P1673" s="4" t="s">
        <v>99</v>
      </c>
      <c r="Q1673" s="8" t="s">
        <v>2963</v>
      </c>
      <c r="R1673" s="4" t="s">
        <v>2003</v>
      </c>
      <c r="S1673" s="4"/>
      <c r="T1673"/>
      <c r="U1673" s="23"/>
    </row>
    <row r="1674" spans="1:21" ht="15.6" x14ac:dyDescent="0.3">
      <c r="A1674" s="4">
        <v>1673</v>
      </c>
      <c r="B1674" s="5">
        <v>756328</v>
      </c>
      <c r="C1674" s="4" t="s">
        <v>92</v>
      </c>
      <c r="D1674" s="4" t="s">
        <v>79</v>
      </c>
      <c r="E1674" s="4" t="s">
        <v>21</v>
      </c>
      <c r="F1674" s="4" t="s">
        <v>2951</v>
      </c>
      <c r="G1674" s="6">
        <v>4.3</v>
      </c>
      <c r="H1674" s="7">
        <v>45400.936724537038</v>
      </c>
      <c r="I1674" s="7" t="str">
        <f>TEXT(multilingual_mobile_app_reviews_2025[[#This Row],[Review_date]],"dd-mm-yyyy")</f>
        <v>18-04-2024</v>
      </c>
      <c r="J1674" s="7" t="str">
        <f>TEXT(multilingual_mobile_app_reviews_2025[[#This Row],[Review_date]],"YYYY")</f>
        <v>2024</v>
      </c>
      <c r="K1674" s="7" t="str">
        <f>TEXT(multilingual_mobile_app_reviews_2025[[#This Row],[Review_date]],"MMMM")</f>
        <v>April</v>
      </c>
      <c r="L1674" s="4" t="b">
        <v>0</v>
      </c>
      <c r="M1674" s="4" t="s">
        <v>3</v>
      </c>
      <c r="N1674" s="5">
        <v>724</v>
      </c>
      <c r="O1674" s="5">
        <v>67</v>
      </c>
      <c r="P1674" s="4" t="s">
        <v>2963</v>
      </c>
      <c r="Q1674" s="8" t="s">
        <v>2963</v>
      </c>
      <c r="R1674" s="4" t="s">
        <v>2004</v>
      </c>
      <c r="S1674" s="4"/>
      <c r="T1674"/>
      <c r="U1674" s="23"/>
    </row>
    <row r="1675" spans="1:21" ht="15.6" x14ac:dyDescent="0.3">
      <c r="A1675" s="4">
        <v>1674</v>
      </c>
      <c r="B1675" s="5">
        <v>373003</v>
      </c>
      <c r="C1675" s="4" t="s">
        <v>264</v>
      </c>
      <c r="D1675" s="4" t="s">
        <v>57</v>
      </c>
      <c r="E1675" s="4" t="s">
        <v>21</v>
      </c>
      <c r="F1675" s="4" t="s">
        <v>2958</v>
      </c>
      <c r="G1675" s="6">
        <v>4</v>
      </c>
      <c r="H1675" s="7">
        <v>45192.824872685182</v>
      </c>
      <c r="I1675" s="7" t="str">
        <f>TEXT(multilingual_mobile_app_reviews_2025[[#This Row],[Review_date]],"dd-mm-yyyy")</f>
        <v>23-09-2023</v>
      </c>
      <c r="J1675" s="7" t="str">
        <f>TEXT(multilingual_mobile_app_reviews_2025[[#This Row],[Review_date]],"YYYY")</f>
        <v>2023</v>
      </c>
      <c r="K1675" s="7" t="str">
        <f>TEXT(multilingual_mobile_app_reviews_2025[[#This Row],[Review_date]],"MMMM")</f>
        <v>September</v>
      </c>
      <c r="L1675" s="4" t="b">
        <v>1</v>
      </c>
      <c r="M1675" s="4" t="s">
        <v>33</v>
      </c>
      <c r="N1675" s="5">
        <v>377</v>
      </c>
      <c r="O1675" s="5">
        <v>27</v>
      </c>
      <c r="P1675" s="4" t="s">
        <v>73</v>
      </c>
      <c r="Q1675" s="8" t="s">
        <v>12</v>
      </c>
      <c r="R1675" s="4" t="s">
        <v>2005</v>
      </c>
      <c r="S1675" s="4"/>
      <c r="T1675"/>
      <c r="U1675" s="23"/>
    </row>
    <row r="1676" spans="1:21" ht="15.6" x14ac:dyDescent="0.3">
      <c r="A1676" s="4">
        <v>1675</v>
      </c>
      <c r="B1676" s="5">
        <v>1695845</v>
      </c>
      <c r="C1676" s="4" t="s">
        <v>192</v>
      </c>
      <c r="D1676" s="4" t="s">
        <v>60</v>
      </c>
      <c r="E1676" s="4" t="s">
        <v>109</v>
      </c>
      <c r="F1676" s="4" t="s">
        <v>2946</v>
      </c>
      <c r="G1676" s="6">
        <v>3.2</v>
      </c>
      <c r="H1676" s="7">
        <v>45783.441990740743</v>
      </c>
      <c r="I1676" s="7" t="str">
        <f>TEXT(multilingual_mobile_app_reviews_2025[[#This Row],[Review_date]],"dd-mm-yyyy")</f>
        <v>06-05-2025</v>
      </c>
      <c r="J1676" s="7" t="str">
        <f>TEXT(multilingual_mobile_app_reviews_2025[[#This Row],[Review_date]],"YYYY")</f>
        <v>2025</v>
      </c>
      <c r="K1676" s="7" t="str">
        <f>TEXT(multilingual_mobile_app_reviews_2025[[#This Row],[Review_date]],"MMMM")</f>
        <v>May</v>
      </c>
      <c r="L1676" s="4" t="b">
        <v>1</v>
      </c>
      <c r="M1676" s="4" t="s">
        <v>98</v>
      </c>
      <c r="N1676" s="5">
        <v>256</v>
      </c>
      <c r="O1676" s="5">
        <v>56</v>
      </c>
      <c r="P1676" s="4" t="s">
        <v>61</v>
      </c>
      <c r="Q1676" s="8" t="s">
        <v>2963</v>
      </c>
      <c r="R1676" s="4" t="s">
        <v>2006</v>
      </c>
      <c r="S1676" s="4"/>
      <c r="T1676"/>
      <c r="U1676" s="23"/>
    </row>
    <row r="1677" spans="1:21" ht="15.6" x14ac:dyDescent="0.3">
      <c r="A1677" s="4">
        <v>1676</v>
      </c>
      <c r="B1677" s="5">
        <v>5149913</v>
      </c>
      <c r="C1677" s="4" t="s">
        <v>67</v>
      </c>
      <c r="D1677" s="4" t="s">
        <v>63</v>
      </c>
      <c r="E1677" s="4" t="s">
        <v>16</v>
      </c>
      <c r="F1677" s="4" t="s">
        <v>2958</v>
      </c>
      <c r="G1677" s="6">
        <v>4.7</v>
      </c>
      <c r="H1677" s="7">
        <v>45352.22351851852</v>
      </c>
      <c r="I1677" s="7" t="str">
        <f>TEXT(multilingual_mobile_app_reviews_2025[[#This Row],[Review_date]],"dd-mm-yyyy")</f>
        <v>01-03-2024</v>
      </c>
      <c r="J1677" s="7" t="str">
        <f>TEXT(multilingual_mobile_app_reviews_2025[[#This Row],[Review_date]],"YYYY")</f>
        <v>2024</v>
      </c>
      <c r="K1677" s="7" t="str">
        <f>TEXT(multilingual_mobile_app_reviews_2025[[#This Row],[Review_date]],"MMMM")</f>
        <v>March</v>
      </c>
      <c r="L1677" s="4" t="b">
        <v>1</v>
      </c>
      <c r="M1677" s="4" t="s">
        <v>10</v>
      </c>
      <c r="N1677" s="5">
        <v>355</v>
      </c>
      <c r="O1677" s="5">
        <v>53</v>
      </c>
      <c r="P1677" s="4" t="s">
        <v>61</v>
      </c>
      <c r="Q1677" s="8" t="s">
        <v>5</v>
      </c>
      <c r="R1677" s="4" t="s">
        <v>2007</v>
      </c>
      <c r="S1677" s="4"/>
      <c r="T1677"/>
      <c r="U1677" s="23"/>
    </row>
    <row r="1678" spans="1:21" ht="15.6" x14ac:dyDescent="0.3">
      <c r="A1678" s="4">
        <v>1677</v>
      </c>
      <c r="B1678" s="5">
        <v>5901971</v>
      </c>
      <c r="C1678" s="4" t="s">
        <v>56</v>
      </c>
      <c r="D1678" s="4" t="s">
        <v>220</v>
      </c>
      <c r="E1678" s="4" t="s">
        <v>2008</v>
      </c>
      <c r="F1678" s="4" t="s">
        <v>2960</v>
      </c>
      <c r="G1678" s="6">
        <v>3.6</v>
      </c>
      <c r="H1678" s="7">
        <v>45146.953101851854</v>
      </c>
      <c r="I1678" s="7" t="str">
        <f>TEXT(multilingual_mobile_app_reviews_2025[[#This Row],[Review_date]],"dd-mm-yyyy")</f>
        <v>08-08-2023</v>
      </c>
      <c r="J1678" s="7" t="str">
        <f>TEXT(multilingual_mobile_app_reviews_2025[[#This Row],[Review_date]],"YYYY")</f>
        <v>2023</v>
      </c>
      <c r="K1678" s="7" t="str">
        <f>TEXT(multilingual_mobile_app_reviews_2025[[#This Row],[Review_date]],"MMMM")</f>
        <v>August</v>
      </c>
      <c r="L1678" s="4" t="b">
        <v>1</v>
      </c>
      <c r="M1678" s="4" t="s">
        <v>33</v>
      </c>
      <c r="N1678" s="5">
        <v>1136</v>
      </c>
      <c r="O1678" s="5">
        <v>20</v>
      </c>
      <c r="P1678" s="4" t="s">
        <v>94</v>
      </c>
      <c r="Q1678" s="8" t="s">
        <v>5</v>
      </c>
      <c r="R1678" s="4" t="s">
        <v>2009</v>
      </c>
      <c r="S1678" s="4"/>
      <c r="T1678"/>
      <c r="U1678" s="23"/>
    </row>
    <row r="1679" spans="1:21" ht="15.6" x14ac:dyDescent="0.3">
      <c r="A1679" s="4">
        <v>1678</v>
      </c>
      <c r="B1679" s="5">
        <v>1863884</v>
      </c>
      <c r="C1679" s="4" t="s">
        <v>54</v>
      </c>
      <c r="D1679" s="4" t="s">
        <v>1</v>
      </c>
      <c r="E1679" s="4" t="s">
        <v>16</v>
      </c>
      <c r="F1679" s="4" t="s">
        <v>2948</v>
      </c>
      <c r="G1679" s="6">
        <v>4.5</v>
      </c>
      <c r="H1679" s="7">
        <v>45389.650300925925</v>
      </c>
      <c r="I1679" s="7" t="str">
        <f>TEXT(multilingual_mobile_app_reviews_2025[[#This Row],[Review_date]],"dd-mm-yyyy")</f>
        <v>07-04-2024</v>
      </c>
      <c r="J1679" s="7" t="str">
        <f>TEXT(multilingual_mobile_app_reviews_2025[[#This Row],[Review_date]],"YYYY")</f>
        <v>2024</v>
      </c>
      <c r="K1679" s="7" t="str">
        <f>TEXT(multilingual_mobile_app_reviews_2025[[#This Row],[Review_date]],"MMMM")</f>
        <v>April</v>
      </c>
      <c r="L1679" s="4" t="b">
        <v>0</v>
      </c>
      <c r="M1679" s="4" t="s">
        <v>3</v>
      </c>
      <c r="N1679" s="5">
        <v>76</v>
      </c>
      <c r="O1679" s="5">
        <v>56</v>
      </c>
      <c r="P1679" s="4" t="s">
        <v>85</v>
      </c>
      <c r="Q1679" s="8" t="s">
        <v>2963</v>
      </c>
      <c r="R1679" s="4" t="s">
        <v>2010</v>
      </c>
      <c r="S1679" s="4"/>
      <c r="T1679"/>
      <c r="U1679" s="23"/>
    </row>
    <row r="1680" spans="1:21" ht="15.6" x14ac:dyDescent="0.3">
      <c r="A1680" s="4">
        <v>1679</v>
      </c>
      <c r="B1680" s="5">
        <v>7409538</v>
      </c>
      <c r="C1680" s="4" t="s">
        <v>14</v>
      </c>
      <c r="D1680" s="4" t="s">
        <v>157</v>
      </c>
      <c r="E1680" s="4" t="s">
        <v>16</v>
      </c>
      <c r="F1680" s="4" t="s">
        <v>2942</v>
      </c>
      <c r="G1680" s="6">
        <v>5</v>
      </c>
      <c r="H1680" s="7">
        <v>45314.682719907411</v>
      </c>
      <c r="I1680" s="7" t="str">
        <f>TEXT(multilingual_mobile_app_reviews_2025[[#This Row],[Review_date]],"dd-mm-yyyy")</f>
        <v>23-01-2024</v>
      </c>
      <c r="J1680" s="7" t="str">
        <f>TEXT(multilingual_mobile_app_reviews_2025[[#This Row],[Review_date]],"YYYY")</f>
        <v>2024</v>
      </c>
      <c r="K1680" s="7" t="str">
        <f>TEXT(multilingual_mobile_app_reviews_2025[[#This Row],[Review_date]],"MMMM")</f>
        <v>January</v>
      </c>
      <c r="L1680" s="4" t="b">
        <v>1</v>
      </c>
      <c r="M1680" s="4" t="s">
        <v>33</v>
      </c>
      <c r="N1680" s="5">
        <v>493</v>
      </c>
      <c r="O1680" s="5">
        <v>16</v>
      </c>
      <c r="P1680" s="4" t="s">
        <v>28</v>
      </c>
      <c r="Q1680" s="8" t="s">
        <v>29</v>
      </c>
      <c r="R1680" s="4" t="s">
        <v>2011</v>
      </c>
      <c r="S1680" s="4"/>
      <c r="T1680"/>
      <c r="U1680" s="23"/>
    </row>
    <row r="1681" spans="1:21" ht="15.6" x14ac:dyDescent="0.3">
      <c r="A1681" s="4">
        <v>1680</v>
      </c>
      <c r="B1681" s="5">
        <v>1576675</v>
      </c>
      <c r="C1681" s="4" t="s">
        <v>113</v>
      </c>
      <c r="D1681" s="4" t="s">
        <v>97</v>
      </c>
      <c r="E1681" s="4" t="s">
        <v>130</v>
      </c>
      <c r="F1681" s="4" t="s">
        <v>2962</v>
      </c>
      <c r="G1681" s="6">
        <v>3.2</v>
      </c>
      <c r="H1681" s="7">
        <v>45287.356388888889</v>
      </c>
      <c r="I1681" s="7" t="str">
        <f>TEXT(multilingual_mobile_app_reviews_2025[[#This Row],[Review_date]],"dd-mm-yyyy")</f>
        <v>27-12-2023</v>
      </c>
      <c r="J1681" s="7" t="str">
        <f>TEXT(multilingual_mobile_app_reviews_2025[[#This Row],[Review_date]],"YYYY")</f>
        <v>2023</v>
      </c>
      <c r="K1681" s="7" t="str">
        <f>TEXT(multilingual_mobile_app_reviews_2025[[#This Row],[Review_date]],"MMMM")</f>
        <v>December</v>
      </c>
      <c r="L1681" s="4" t="b">
        <v>0</v>
      </c>
      <c r="M1681" s="4" t="s">
        <v>3</v>
      </c>
      <c r="N1681" s="5">
        <v>938</v>
      </c>
      <c r="O1681" s="5">
        <v>13</v>
      </c>
      <c r="P1681" s="4" t="s">
        <v>23</v>
      </c>
      <c r="Q1681" s="8" t="s">
        <v>29</v>
      </c>
      <c r="R1681" s="4" t="s">
        <v>1772</v>
      </c>
      <c r="S1681" s="4"/>
      <c r="T1681"/>
      <c r="U1681" s="23"/>
    </row>
    <row r="1682" spans="1:21" ht="15.6" x14ac:dyDescent="0.3">
      <c r="A1682" s="4">
        <v>1681</v>
      </c>
      <c r="B1682" s="5">
        <v>6288771</v>
      </c>
      <c r="C1682" s="4" t="s">
        <v>134</v>
      </c>
      <c r="D1682" s="4" t="s">
        <v>47</v>
      </c>
      <c r="E1682" s="4" t="s">
        <v>2012</v>
      </c>
      <c r="F1682" s="4" t="s">
        <v>2950</v>
      </c>
      <c r="G1682" s="6">
        <v>4.9000000000000004</v>
      </c>
      <c r="H1682" s="7">
        <v>45681.547291666669</v>
      </c>
      <c r="I1682" s="7" t="str">
        <f>TEXT(multilingual_mobile_app_reviews_2025[[#This Row],[Review_date]],"dd-mm-yyyy")</f>
        <v>24-01-2025</v>
      </c>
      <c r="J1682" s="7" t="str">
        <f>TEXT(multilingual_mobile_app_reviews_2025[[#This Row],[Review_date]],"YYYY")</f>
        <v>2025</v>
      </c>
      <c r="K1682" s="7" t="str">
        <f>TEXT(multilingual_mobile_app_reviews_2025[[#This Row],[Review_date]],"MMMM")</f>
        <v>January</v>
      </c>
      <c r="L1682" s="4" t="b">
        <v>1</v>
      </c>
      <c r="M1682" s="4" t="s">
        <v>98</v>
      </c>
      <c r="N1682" s="5">
        <v>837</v>
      </c>
      <c r="O1682" s="5">
        <v>55</v>
      </c>
      <c r="P1682" s="4" t="s">
        <v>11</v>
      </c>
      <c r="Q1682" s="8" t="s">
        <v>29</v>
      </c>
      <c r="R1682" s="4" t="s">
        <v>1247</v>
      </c>
      <c r="S1682" s="4"/>
      <c r="T1682"/>
      <c r="U1682" s="23"/>
    </row>
    <row r="1683" spans="1:21" ht="15.6" x14ac:dyDescent="0.3">
      <c r="A1683" s="4">
        <v>1682</v>
      </c>
      <c r="B1683" s="5">
        <v>2411285</v>
      </c>
      <c r="C1683" s="4" t="s">
        <v>46</v>
      </c>
      <c r="D1683" s="4" t="s">
        <v>220</v>
      </c>
      <c r="E1683" s="4" t="s">
        <v>21</v>
      </c>
      <c r="F1683" s="4" t="s">
        <v>2960</v>
      </c>
      <c r="G1683" s="6">
        <v>4</v>
      </c>
      <c r="H1683" s="7">
        <v>45592.05976851852</v>
      </c>
      <c r="I1683" s="7" t="str">
        <f>TEXT(multilingual_mobile_app_reviews_2025[[#This Row],[Review_date]],"dd-mm-yyyy")</f>
        <v>27-10-2024</v>
      </c>
      <c r="J1683" s="7" t="str">
        <f>TEXT(multilingual_mobile_app_reviews_2025[[#This Row],[Review_date]],"YYYY")</f>
        <v>2024</v>
      </c>
      <c r="K1683" s="7" t="str">
        <f>TEXT(multilingual_mobile_app_reviews_2025[[#This Row],[Review_date]],"MMMM")</f>
        <v>October</v>
      </c>
      <c r="L1683" s="4" t="b">
        <v>1</v>
      </c>
      <c r="M1683" s="4" t="s">
        <v>33</v>
      </c>
      <c r="N1683" s="5">
        <v>273</v>
      </c>
      <c r="O1683" s="5">
        <v>75</v>
      </c>
      <c r="P1683" s="4" t="s">
        <v>80</v>
      </c>
      <c r="Q1683" s="8" t="s">
        <v>12</v>
      </c>
      <c r="R1683" s="4" t="s">
        <v>2013</v>
      </c>
      <c r="S1683" s="4"/>
      <c r="T1683"/>
      <c r="U1683" s="23"/>
    </row>
    <row r="1684" spans="1:21" ht="15.6" x14ac:dyDescent="0.3">
      <c r="A1684" s="4">
        <v>1683</v>
      </c>
      <c r="B1684" s="5">
        <v>2111612</v>
      </c>
      <c r="C1684" s="4" t="s">
        <v>50</v>
      </c>
      <c r="D1684" s="4" t="s">
        <v>42</v>
      </c>
      <c r="E1684" s="4" t="s">
        <v>2014</v>
      </c>
      <c r="F1684" s="4" t="s">
        <v>2948</v>
      </c>
      <c r="G1684" s="6">
        <v>4</v>
      </c>
      <c r="H1684" s="7">
        <v>45203.186481481483</v>
      </c>
      <c r="I1684" s="7" t="str">
        <f>TEXT(multilingual_mobile_app_reviews_2025[[#This Row],[Review_date]],"dd-mm-yyyy")</f>
        <v>04-10-2023</v>
      </c>
      <c r="J1684" s="7" t="str">
        <f>TEXT(multilingual_mobile_app_reviews_2025[[#This Row],[Review_date]],"YYYY")</f>
        <v>2023</v>
      </c>
      <c r="K1684" s="7" t="str">
        <f>TEXT(multilingual_mobile_app_reviews_2025[[#This Row],[Review_date]],"MMMM")</f>
        <v>October</v>
      </c>
      <c r="L1684" s="4" t="b">
        <v>1</v>
      </c>
      <c r="M1684" s="4" t="s">
        <v>3</v>
      </c>
      <c r="N1684" s="5">
        <v>890</v>
      </c>
      <c r="O1684" s="5">
        <v>61</v>
      </c>
      <c r="P1684" s="4" t="s">
        <v>28</v>
      </c>
      <c r="Q1684" s="8" t="s">
        <v>5</v>
      </c>
      <c r="R1684" s="4" t="s">
        <v>2015</v>
      </c>
      <c r="S1684" s="4"/>
      <c r="T1684"/>
      <c r="U1684" s="23"/>
    </row>
    <row r="1685" spans="1:21" ht="15.6" x14ac:dyDescent="0.3">
      <c r="A1685" s="4">
        <v>1684</v>
      </c>
      <c r="B1685" s="5">
        <v>9470330</v>
      </c>
      <c r="C1685" s="4" t="s">
        <v>192</v>
      </c>
      <c r="D1685" s="4" t="s">
        <v>8</v>
      </c>
      <c r="E1685" s="4" t="s">
        <v>32</v>
      </c>
      <c r="F1685" s="4" t="s">
        <v>2947</v>
      </c>
      <c r="G1685" s="6">
        <v>3.9</v>
      </c>
      <c r="H1685" s="7">
        <v>45787.862997685188</v>
      </c>
      <c r="I1685" s="7" t="str">
        <f>TEXT(multilingual_mobile_app_reviews_2025[[#This Row],[Review_date]],"dd-mm-yyyy")</f>
        <v>10-05-2025</v>
      </c>
      <c r="J1685" s="7" t="str">
        <f>TEXT(multilingual_mobile_app_reviews_2025[[#This Row],[Review_date]],"YYYY")</f>
        <v>2025</v>
      </c>
      <c r="K1685" s="7" t="str">
        <f>TEXT(multilingual_mobile_app_reviews_2025[[#This Row],[Review_date]],"MMMM")</f>
        <v>May</v>
      </c>
      <c r="L1685" s="4" t="b">
        <v>1</v>
      </c>
      <c r="M1685" s="4" t="s">
        <v>33</v>
      </c>
      <c r="N1685" s="5">
        <v>901</v>
      </c>
      <c r="O1685" s="5">
        <v>68</v>
      </c>
      <c r="P1685" s="4" t="s">
        <v>90</v>
      </c>
      <c r="Q1685" s="8" t="s">
        <v>5</v>
      </c>
      <c r="R1685" s="4" t="s">
        <v>49</v>
      </c>
      <c r="S1685" s="4"/>
      <c r="T1685"/>
      <c r="U1685" s="23"/>
    </row>
    <row r="1686" spans="1:21" ht="15.6" x14ac:dyDescent="0.3">
      <c r="A1686" s="4">
        <v>1685</v>
      </c>
      <c r="B1686" s="5">
        <v>3554281</v>
      </c>
      <c r="C1686" s="4" t="s">
        <v>19</v>
      </c>
      <c r="D1686" s="4" t="s">
        <v>26</v>
      </c>
      <c r="E1686" s="4" t="s">
        <v>9</v>
      </c>
      <c r="F1686" s="4" t="s">
        <v>2957</v>
      </c>
      <c r="G1686" s="6">
        <v>2.1</v>
      </c>
      <c r="H1686" s="7">
        <v>45678.67359953704</v>
      </c>
      <c r="I1686" s="7" t="str">
        <f>TEXT(multilingual_mobile_app_reviews_2025[[#This Row],[Review_date]],"dd-mm-yyyy")</f>
        <v>21-01-2025</v>
      </c>
      <c r="J1686" s="7" t="str">
        <f>TEXT(multilingual_mobile_app_reviews_2025[[#This Row],[Review_date]],"YYYY")</f>
        <v>2025</v>
      </c>
      <c r="K1686" s="7" t="str">
        <f>TEXT(multilingual_mobile_app_reviews_2025[[#This Row],[Review_date]],"MMMM")</f>
        <v>January</v>
      </c>
      <c r="L1686" s="4" t="b">
        <v>1</v>
      </c>
      <c r="M1686" s="4" t="s">
        <v>33</v>
      </c>
      <c r="N1686" s="5">
        <v>1044</v>
      </c>
      <c r="O1686" s="5">
        <v>23</v>
      </c>
      <c r="P1686" s="4" t="s">
        <v>85</v>
      </c>
      <c r="Q1686" s="8" t="s">
        <v>12</v>
      </c>
      <c r="R1686" s="4" t="s">
        <v>2963</v>
      </c>
      <c r="S1686" s="4"/>
      <c r="T1686"/>
      <c r="U1686" s="23"/>
    </row>
    <row r="1687" spans="1:21" ht="15.6" x14ac:dyDescent="0.3">
      <c r="A1687" s="4">
        <v>1686</v>
      </c>
      <c r="B1687" s="5">
        <v>1360713</v>
      </c>
      <c r="C1687" s="4" t="s">
        <v>78</v>
      </c>
      <c r="D1687" s="4" t="s">
        <v>220</v>
      </c>
      <c r="E1687" s="4" t="s">
        <v>32</v>
      </c>
      <c r="F1687" s="4" t="s">
        <v>2952</v>
      </c>
      <c r="G1687" s="6">
        <v>2.6</v>
      </c>
      <c r="H1687" s="7">
        <v>45523.04991898148</v>
      </c>
      <c r="I1687" s="7" t="str">
        <f>TEXT(multilingual_mobile_app_reviews_2025[[#This Row],[Review_date]],"dd-mm-yyyy")</f>
        <v>19-08-2024</v>
      </c>
      <c r="J1687" s="7" t="str">
        <f>TEXT(multilingual_mobile_app_reviews_2025[[#This Row],[Review_date]],"YYYY")</f>
        <v>2024</v>
      </c>
      <c r="K1687" s="7" t="str">
        <f>TEXT(multilingual_mobile_app_reviews_2025[[#This Row],[Review_date]],"MMMM")</f>
        <v>August</v>
      </c>
      <c r="L1687" s="4" t="b">
        <v>1</v>
      </c>
      <c r="M1687" s="4" t="s">
        <v>22</v>
      </c>
      <c r="N1687" s="5">
        <v>119</v>
      </c>
      <c r="O1687" s="5">
        <v>26</v>
      </c>
      <c r="P1687" s="4" t="s">
        <v>180</v>
      </c>
      <c r="Q1687" s="8" t="s">
        <v>29</v>
      </c>
      <c r="R1687" s="4" t="s">
        <v>1089</v>
      </c>
      <c r="S1687" s="4"/>
      <c r="T1687"/>
      <c r="U1687" s="23"/>
    </row>
    <row r="1688" spans="1:21" ht="15.6" x14ac:dyDescent="0.3">
      <c r="A1688" s="4">
        <v>1687</v>
      </c>
      <c r="B1688" s="5">
        <v>3664746</v>
      </c>
      <c r="C1688" s="4" t="s">
        <v>104</v>
      </c>
      <c r="D1688" s="4" t="s">
        <v>8</v>
      </c>
      <c r="E1688" s="4" t="s">
        <v>2016</v>
      </c>
      <c r="F1688" s="4" t="s">
        <v>2940</v>
      </c>
      <c r="G1688" s="6">
        <v>3.9</v>
      </c>
      <c r="H1688" s="7">
        <v>45491.527557870373</v>
      </c>
      <c r="I1688" s="7" t="str">
        <f>TEXT(multilingual_mobile_app_reviews_2025[[#This Row],[Review_date]],"dd-mm-yyyy")</f>
        <v>18-07-2024</v>
      </c>
      <c r="J1688" s="7" t="str">
        <f>TEXT(multilingual_mobile_app_reviews_2025[[#This Row],[Review_date]],"YYYY")</f>
        <v>2024</v>
      </c>
      <c r="K1688" s="7" t="str">
        <f>TEXT(multilingual_mobile_app_reviews_2025[[#This Row],[Review_date]],"MMMM")</f>
        <v>July</v>
      </c>
      <c r="L1688" s="4" t="b">
        <v>0</v>
      </c>
      <c r="M1688" s="4" t="s">
        <v>22</v>
      </c>
      <c r="N1688" s="5">
        <v>686</v>
      </c>
      <c r="O1688" s="5">
        <v>18</v>
      </c>
      <c r="P1688" s="4" t="s">
        <v>90</v>
      </c>
      <c r="Q1688" s="8" t="s">
        <v>2963</v>
      </c>
      <c r="R1688" s="4" t="s">
        <v>2017</v>
      </c>
      <c r="S1688" s="4"/>
      <c r="T1688"/>
      <c r="U1688" s="23"/>
    </row>
    <row r="1689" spans="1:21" ht="15.6" x14ac:dyDescent="0.3">
      <c r="A1689" s="4">
        <v>1688</v>
      </c>
      <c r="B1689" s="5">
        <v>2683673</v>
      </c>
      <c r="C1689" s="4" t="s">
        <v>14</v>
      </c>
      <c r="D1689" s="4" t="s">
        <v>31</v>
      </c>
      <c r="E1689" s="4" t="s">
        <v>109</v>
      </c>
      <c r="F1689" s="4" t="s">
        <v>2940</v>
      </c>
      <c r="G1689" s="6">
        <v>3.9</v>
      </c>
      <c r="H1689" s="7">
        <v>45797.389421296299</v>
      </c>
      <c r="I1689" s="7" t="str">
        <f>TEXT(multilingual_mobile_app_reviews_2025[[#This Row],[Review_date]],"dd-mm-yyyy")</f>
        <v>20-05-2025</v>
      </c>
      <c r="J1689" s="7" t="str">
        <f>TEXT(multilingual_mobile_app_reviews_2025[[#This Row],[Review_date]],"YYYY")</f>
        <v>2025</v>
      </c>
      <c r="K1689" s="7" t="str">
        <f>TEXT(multilingual_mobile_app_reviews_2025[[#This Row],[Review_date]],"MMMM")</f>
        <v>May</v>
      </c>
      <c r="L1689" s="4" t="b">
        <v>1</v>
      </c>
      <c r="M1689" s="4" t="s">
        <v>10</v>
      </c>
      <c r="N1689" s="5">
        <v>429</v>
      </c>
      <c r="O1689" s="5">
        <v>38</v>
      </c>
      <c r="P1689" s="4" t="s">
        <v>44</v>
      </c>
      <c r="Q1689" s="8" t="s">
        <v>29</v>
      </c>
      <c r="R1689" s="4" t="s">
        <v>2018</v>
      </c>
      <c r="S1689" s="4"/>
      <c r="T1689"/>
      <c r="U1689" s="23"/>
    </row>
    <row r="1690" spans="1:21" ht="15.6" x14ac:dyDescent="0.3">
      <c r="A1690" s="4">
        <v>1689</v>
      </c>
      <c r="B1690" s="5">
        <v>1872688</v>
      </c>
      <c r="C1690" s="4" t="s">
        <v>87</v>
      </c>
      <c r="D1690" s="4" t="s">
        <v>31</v>
      </c>
      <c r="E1690" s="4" t="s">
        <v>2019</v>
      </c>
      <c r="F1690" s="4" t="s">
        <v>2953</v>
      </c>
      <c r="G1690" s="6">
        <v>2.9</v>
      </c>
      <c r="H1690" s="7">
        <v>45833.344756944447</v>
      </c>
      <c r="I1690" s="7" t="str">
        <f>TEXT(multilingual_mobile_app_reviews_2025[[#This Row],[Review_date]],"dd-mm-yyyy")</f>
        <v>25-06-2025</v>
      </c>
      <c r="J1690" s="7" t="str">
        <f>TEXT(multilingual_mobile_app_reviews_2025[[#This Row],[Review_date]],"YYYY")</f>
        <v>2025</v>
      </c>
      <c r="K1690" s="7" t="str">
        <f>TEXT(multilingual_mobile_app_reviews_2025[[#This Row],[Review_date]],"MMMM")</f>
        <v>June</v>
      </c>
      <c r="L1690" s="4" t="b">
        <v>1</v>
      </c>
      <c r="M1690" s="4" t="s">
        <v>22</v>
      </c>
      <c r="N1690" s="5">
        <v>1018</v>
      </c>
      <c r="O1690" s="5">
        <v>56</v>
      </c>
      <c r="P1690" s="4" t="s">
        <v>65</v>
      </c>
      <c r="Q1690" s="8" t="s">
        <v>5</v>
      </c>
      <c r="R1690" s="4" t="s">
        <v>1339</v>
      </c>
      <c r="S1690" s="4"/>
      <c r="T1690"/>
      <c r="U1690" s="23"/>
    </row>
    <row r="1691" spans="1:21" ht="15.6" x14ac:dyDescent="0.3">
      <c r="A1691" s="4">
        <v>1690</v>
      </c>
      <c r="B1691" s="5">
        <v>3237838</v>
      </c>
      <c r="C1691" s="4" t="s">
        <v>54</v>
      </c>
      <c r="D1691" s="4" t="s">
        <v>63</v>
      </c>
      <c r="E1691" s="4" t="s">
        <v>27</v>
      </c>
      <c r="F1691" s="4" t="s">
        <v>2944</v>
      </c>
      <c r="G1691" s="6">
        <v>4.7</v>
      </c>
      <c r="H1691" s="7">
        <v>45346.074305555558</v>
      </c>
      <c r="I1691" s="7" t="str">
        <f>TEXT(multilingual_mobile_app_reviews_2025[[#This Row],[Review_date]],"dd-mm-yyyy")</f>
        <v>24-02-2024</v>
      </c>
      <c r="J1691" s="7" t="str">
        <f>TEXT(multilingual_mobile_app_reviews_2025[[#This Row],[Review_date]],"YYYY")</f>
        <v>2024</v>
      </c>
      <c r="K1691" s="7" t="str">
        <f>TEXT(multilingual_mobile_app_reviews_2025[[#This Row],[Review_date]],"MMMM")</f>
        <v>February</v>
      </c>
      <c r="L1691" s="4" t="b">
        <v>1</v>
      </c>
      <c r="M1691" s="4" t="s">
        <v>98</v>
      </c>
      <c r="N1691" s="5">
        <v>418</v>
      </c>
      <c r="O1691" s="5">
        <v>60</v>
      </c>
      <c r="P1691" s="4" t="s">
        <v>70</v>
      </c>
      <c r="Q1691" s="8" t="s">
        <v>12</v>
      </c>
      <c r="R1691" s="4" t="s">
        <v>2020</v>
      </c>
      <c r="S1691" s="4"/>
      <c r="T1691"/>
      <c r="U1691" s="23"/>
    </row>
    <row r="1692" spans="1:21" ht="15.6" x14ac:dyDescent="0.3">
      <c r="A1692" s="4">
        <v>1691</v>
      </c>
      <c r="B1692" s="5">
        <v>8089988</v>
      </c>
      <c r="C1692" s="4" t="s">
        <v>0</v>
      </c>
      <c r="D1692" s="4" t="s">
        <v>51</v>
      </c>
      <c r="E1692" s="4" t="s">
        <v>16</v>
      </c>
      <c r="F1692" s="4" t="s">
        <v>2951</v>
      </c>
      <c r="G1692" s="6">
        <v>2.4</v>
      </c>
      <c r="H1692" s="7">
        <v>45652.979942129627</v>
      </c>
      <c r="I1692" s="7" t="str">
        <f>TEXT(multilingual_mobile_app_reviews_2025[[#This Row],[Review_date]],"dd-mm-yyyy")</f>
        <v>26-12-2024</v>
      </c>
      <c r="J1692" s="7" t="str">
        <f>TEXT(multilingual_mobile_app_reviews_2025[[#This Row],[Review_date]],"YYYY")</f>
        <v>2024</v>
      </c>
      <c r="K1692" s="7" t="str">
        <f>TEXT(multilingual_mobile_app_reviews_2025[[#This Row],[Review_date]],"MMMM")</f>
        <v>December</v>
      </c>
      <c r="L1692" s="4" t="b">
        <v>1</v>
      </c>
      <c r="M1692" s="4" t="s">
        <v>3</v>
      </c>
      <c r="N1692" s="5">
        <v>1121</v>
      </c>
      <c r="O1692" s="5">
        <v>53</v>
      </c>
      <c r="P1692" s="4" t="s">
        <v>118</v>
      </c>
      <c r="Q1692" s="8" t="s">
        <v>39</v>
      </c>
      <c r="R1692" s="4" t="s">
        <v>2021</v>
      </c>
      <c r="S1692" s="4"/>
      <c r="T1692"/>
      <c r="U1692" s="23"/>
    </row>
    <row r="1693" spans="1:21" ht="15.6" x14ac:dyDescent="0.3">
      <c r="A1693" s="4">
        <v>1692</v>
      </c>
      <c r="B1693" s="5">
        <v>7694054</v>
      </c>
      <c r="C1693" s="4" t="s">
        <v>258</v>
      </c>
      <c r="D1693" s="4" t="s">
        <v>1</v>
      </c>
      <c r="E1693" s="4" t="s">
        <v>32</v>
      </c>
      <c r="F1693" s="4" t="s">
        <v>2962</v>
      </c>
      <c r="G1693" s="6">
        <v>2.5</v>
      </c>
      <c r="H1693" s="7">
        <v>45412.251215277778</v>
      </c>
      <c r="I1693" s="7" t="str">
        <f>TEXT(multilingual_mobile_app_reviews_2025[[#This Row],[Review_date]],"dd-mm-yyyy")</f>
        <v>30-04-2024</v>
      </c>
      <c r="J1693" s="7" t="str">
        <f>TEXT(multilingual_mobile_app_reviews_2025[[#This Row],[Review_date]],"YYYY")</f>
        <v>2024</v>
      </c>
      <c r="K1693" s="7" t="str">
        <f>TEXT(multilingual_mobile_app_reviews_2025[[#This Row],[Review_date]],"MMMM")</f>
        <v>April</v>
      </c>
      <c r="L1693" s="4" t="b">
        <v>1</v>
      </c>
      <c r="M1693" s="4" t="s">
        <v>10</v>
      </c>
      <c r="N1693" s="5">
        <v>629</v>
      </c>
      <c r="O1693" s="5">
        <v>32</v>
      </c>
      <c r="P1693" s="4" t="s">
        <v>44</v>
      </c>
      <c r="Q1693" s="8" t="s">
        <v>5</v>
      </c>
      <c r="R1693" s="4" t="s">
        <v>2022</v>
      </c>
      <c r="S1693" s="4"/>
      <c r="T1693"/>
      <c r="U1693" s="23"/>
    </row>
    <row r="1694" spans="1:21" ht="15.6" x14ac:dyDescent="0.3">
      <c r="A1694" s="4">
        <v>1693</v>
      </c>
      <c r="B1694" s="5">
        <v>2085184</v>
      </c>
      <c r="C1694" s="4" t="s">
        <v>176</v>
      </c>
      <c r="D1694" s="4" t="s">
        <v>157</v>
      </c>
      <c r="E1694" s="4" t="s">
        <v>130</v>
      </c>
      <c r="F1694" s="4" t="s">
        <v>2959</v>
      </c>
      <c r="G1694" s="6">
        <v>3.6</v>
      </c>
      <c r="H1694" s="7">
        <v>45858.844317129631</v>
      </c>
      <c r="I1694" s="7" t="str">
        <f>TEXT(multilingual_mobile_app_reviews_2025[[#This Row],[Review_date]],"dd-mm-yyyy")</f>
        <v>20-07-2025</v>
      </c>
      <c r="J1694" s="7" t="str">
        <f>TEXT(multilingual_mobile_app_reviews_2025[[#This Row],[Review_date]],"YYYY")</f>
        <v>2025</v>
      </c>
      <c r="K1694" s="7" t="str">
        <f>TEXT(multilingual_mobile_app_reviews_2025[[#This Row],[Review_date]],"MMMM")</f>
        <v>July</v>
      </c>
      <c r="L1694" s="4" t="b">
        <v>1</v>
      </c>
      <c r="M1694" s="4" t="s">
        <v>33</v>
      </c>
      <c r="N1694" s="5">
        <v>877</v>
      </c>
      <c r="O1694" s="5">
        <v>46</v>
      </c>
      <c r="P1694" s="4" t="s">
        <v>85</v>
      </c>
      <c r="Q1694" s="8" t="s">
        <v>39</v>
      </c>
      <c r="R1694" s="4" t="s">
        <v>708</v>
      </c>
      <c r="S1694" s="4"/>
      <c r="T1694"/>
      <c r="U1694" s="23"/>
    </row>
    <row r="1695" spans="1:21" ht="15.6" x14ac:dyDescent="0.3">
      <c r="A1695" s="4">
        <v>1694</v>
      </c>
      <c r="B1695" s="5">
        <v>1510406</v>
      </c>
      <c r="C1695" s="4" t="s">
        <v>0</v>
      </c>
      <c r="D1695" s="4" t="s">
        <v>63</v>
      </c>
      <c r="E1695" s="4" t="s">
        <v>2023</v>
      </c>
      <c r="F1695" s="4" t="s">
        <v>2948</v>
      </c>
      <c r="G1695" s="6">
        <v>4.5</v>
      </c>
      <c r="H1695" s="7">
        <v>45667.951296296298</v>
      </c>
      <c r="I1695" s="7" t="str">
        <f>TEXT(multilingual_mobile_app_reviews_2025[[#This Row],[Review_date]],"dd-mm-yyyy")</f>
        <v>10-01-2025</v>
      </c>
      <c r="J1695" s="7" t="str">
        <f>TEXT(multilingual_mobile_app_reviews_2025[[#This Row],[Review_date]],"YYYY")</f>
        <v>2025</v>
      </c>
      <c r="K1695" s="7" t="str">
        <f>TEXT(multilingual_mobile_app_reviews_2025[[#This Row],[Review_date]],"MMMM")</f>
        <v>January</v>
      </c>
      <c r="L1695" s="4" t="b">
        <v>1</v>
      </c>
      <c r="M1695" s="4" t="s">
        <v>22</v>
      </c>
      <c r="N1695" s="5">
        <v>164</v>
      </c>
      <c r="O1695" s="5">
        <v>57</v>
      </c>
      <c r="P1695" s="4" t="s">
        <v>162</v>
      </c>
      <c r="Q1695" s="8" t="s">
        <v>12</v>
      </c>
      <c r="R1695" s="4" t="s">
        <v>2024</v>
      </c>
      <c r="S1695" s="4"/>
      <c r="T1695"/>
      <c r="U1695" s="23"/>
    </row>
    <row r="1696" spans="1:21" ht="15.6" x14ac:dyDescent="0.3">
      <c r="A1696" s="4">
        <v>1695</v>
      </c>
      <c r="B1696" s="5">
        <v>4276591</v>
      </c>
      <c r="C1696" s="4" t="s">
        <v>7</v>
      </c>
      <c r="D1696" s="4" t="s">
        <v>79</v>
      </c>
      <c r="E1696" s="4" t="s">
        <v>109</v>
      </c>
      <c r="F1696" s="4" t="s">
        <v>2960</v>
      </c>
      <c r="G1696" s="6">
        <v>2.7</v>
      </c>
      <c r="H1696" s="7">
        <v>45225.158831018518</v>
      </c>
      <c r="I1696" s="7" t="str">
        <f>TEXT(multilingual_mobile_app_reviews_2025[[#This Row],[Review_date]],"dd-mm-yyyy")</f>
        <v>26-10-2023</v>
      </c>
      <c r="J1696" s="7" t="str">
        <f>TEXT(multilingual_mobile_app_reviews_2025[[#This Row],[Review_date]],"YYYY")</f>
        <v>2023</v>
      </c>
      <c r="K1696" s="7" t="str">
        <f>TEXT(multilingual_mobile_app_reviews_2025[[#This Row],[Review_date]],"MMMM")</f>
        <v>October</v>
      </c>
      <c r="L1696" s="4" t="b">
        <v>1</v>
      </c>
      <c r="M1696" s="4" t="s">
        <v>33</v>
      </c>
      <c r="N1696" s="5">
        <v>829</v>
      </c>
      <c r="O1696" s="5">
        <v>53</v>
      </c>
      <c r="P1696" s="4" t="s">
        <v>94</v>
      </c>
      <c r="Q1696" s="8" t="s">
        <v>12</v>
      </c>
      <c r="R1696" s="4" t="s">
        <v>2025</v>
      </c>
      <c r="S1696" s="4"/>
      <c r="T1696"/>
      <c r="U1696" s="23"/>
    </row>
    <row r="1697" spans="1:21" ht="15.6" x14ac:dyDescent="0.3">
      <c r="A1697" s="4">
        <v>1696</v>
      </c>
      <c r="B1697" s="5">
        <v>2032532</v>
      </c>
      <c r="C1697" s="4" t="s">
        <v>123</v>
      </c>
      <c r="D1697" s="4" t="s">
        <v>51</v>
      </c>
      <c r="E1697" s="4" t="s">
        <v>93</v>
      </c>
      <c r="F1697" s="4" t="s">
        <v>2941</v>
      </c>
      <c r="G1697" s="6">
        <v>4.5999999999999996</v>
      </c>
      <c r="H1697" s="7">
        <v>45180.151597222219</v>
      </c>
      <c r="I1697" s="7" t="str">
        <f>TEXT(multilingual_mobile_app_reviews_2025[[#This Row],[Review_date]],"dd-mm-yyyy")</f>
        <v>11-09-2023</v>
      </c>
      <c r="J1697" s="7" t="str">
        <f>TEXT(multilingual_mobile_app_reviews_2025[[#This Row],[Review_date]],"YYYY")</f>
        <v>2023</v>
      </c>
      <c r="K1697" s="7" t="str">
        <f>TEXT(multilingual_mobile_app_reviews_2025[[#This Row],[Review_date]],"MMMM")</f>
        <v>September</v>
      </c>
      <c r="L1697" s="4" t="b">
        <v>1</v>
      </c>
      <c r="M1697" s="4" t="s">
        <v>98</v>
      </c>
      <c r="N1697" s="5">
        <v>473</v>
      </c>
      <c r="O1697" s="5">
        <v>46</v>
      </c>
      <c r="P1697" s="4" t="s">
        <v>73</v>
      </c>
      <c r="Q1697" s="8" t="s">
        <v>5</v>
      </c>
      <c r="R1697" s="4" t="s">
        <v>2026</v>
      </c>
      <c r="S1697" s="4"/>
      <c r="T1697"/>
      <c r="U1697" s="23"/>
    </row>
    <row r="1698" spans="1:21" ht="15.6" x14ac:dyDescent="0.3">
      <c r="A1698" s="4">
        <v>1697</v>
      </c>
      <c r="B1698" s="5">
        <v>9750766</v>
      </c>
      <c r="C1698" s="4" t="s">
        <v>25</v>
      </c>
      <c r="D1698" s="4" t="s">
        <v>15</v>
      </c>
      <c r="E1698" s="4" t="s">
        <v>2938</v>
      </c>
      <c r="F1698" s="4" t="s">
        <v>2953</v>
      </c>
      <c r="G1698" s="6">
        <v>3.4</v>
      </c>
      <c r="H1698" s="7">
        <v>45345.625023148146</v>
      </c>
      <c r="I1698" s="7" t="str">
        <f>TEXT(multilingual_mobile_app_reviews_2025[[#This Row],[Review_date]],"dd-mm-yyyy")</f>
        <v>23-02-2024</v>
      </c>
      <c r="J1698" s="7" t="str">
        <f>TEXT(multilingual_mobile_app_reviews_2025[[#This Row],[Review_date]],"YYYY")</f>
        <v>2024</v>
      </c>
      <c r="K1698" s="7" t="str">
        <f>TEXT(multilingual_mobile_app_reviews_2025[[#This Row],[Review_date]],"MMMM")</f>
        <v>February</v>
      </c>
      <c r="L1698" s="4" t="b">
        <v>1</v>
      </c>
      <c r="M1698" s="4" t="s">
        <v>10</v>
      </c>
      <c r="N1698" s="5">
        <v>689</v>
      </c>
      <c r="O1698" s="5">
        <v>71</v>
      </c>
      <c r="P1698" s="4" t="s">
        <v>144</v>
      </c>
      <c r="Q1698" s="8" t="s">
        <v>39</v>
      </c>
      <c r="R1698" s="4" t="s">
        <v>2027</v>
      </c>
      <c r="S1698" s="4"/>
      <c r="T1698"/>
      <c r="U1698" s="23"/>
    </row>
    <row r="1699" spans="1:21" ht="15.6" x14ac:dyDescent="0.3">
      <c r="A1699" s="4">
        <v>1698</v>
      </c>
      <c r="B1699" s="5">
        <v>1204735</v>
      </c>
      <c r="C1699" s="4" t="s">
        <v>258</v>
      </c>
      <c r="D1699" s="4" t="s">
        <v>157</v>
      </c>
      <c r="E1699" s="4" t="s">
        <v>130</v>
      </c>
      <c r="F1699" s="4" t="s">
        <v>2959</v>
      </c>
      <c r="G1699" s="6">
        <v>1.1000000000000001</v>
      </c>
      <c r="H1699" s="7">
        <v>45552.197199074071</v>
      </c>
      <c r="I1699" s="7" t="str">
        <f>TEXT(multilingual_mobile_app_reviews_2025[[#This Row],[Review_date]],"dd-mm-yyyy")</f>
        <v>17-09-2024</v>
      </c>
      <c r="J1699" s="7" t="str">
        <f>TEXT(multilingual_mobile_app_reviews_2025[[#This Row],[Review_date]],"YYYY")</f>
        <v>2024</v>
      </c>
      <c r="K1699" s="7" t="str">
        <f>TEXT(multilingual_mobile_app_reviews_2025[[#This Row],[Review_date]],"MMMM")</f>
        <v>September</v>
      </c>
      <c r="L1699" s="4" t="b">
        <v>1</v>
      </c>
      <c r="M1699" s="4" t="s">
        <v>22</v>
      </c>
      <c r="N1699" s="5">
        <v>186</v>
      </c>
      <c r="O1699" s="5">
        <v>14</v>
      </c>
      <c r="P1699" s="4" t="s">
        <v>94</v>
      </c>
      <c r="Q1699" s="8" t="s">
        <v>5</v>
      </c>
      <c r="R1699" s="4" t="s">
        <v>2028</v>
      </c>
      <c r="S1699" s="4"/>
      <c r="T1699"/>
      <c r="U1699" s="23"/>
    </row>
    <row r="1700" spans="1:21" ht="15.6" x14ac:dyDescent="0.3">
      <c r="A1700" s="4">
        <v>1699</v>
      </c>
      <c r="B1700" s="5">
        <v>4721443</v>
      </c>
      <c r="C1700" s="4" t="s">
        <v>176</v>
      </c>
      <c r="D1700" s="4" t="s">
        <v>79</v>
      </c>
      <c r="E1700" s="4" t="s">
        <v>2029</v>
      </c>
      <c r="F1700" s="4" t="s">
        <v>2952</v>
      </c>
      <c r="G1700" s="6">
        <v>4.8</v>
      </c>
      <c r="H1700" s="7">
        <v>45778.951319444444</v>
      </c>
      <c r="I1700" s="7" t="str">
        <f>TEXT(multilingual_mobile_app_reviews_2025[[#This Row],[Review_date]],"dd-mm-yyyy")</f>
        <v>01-05-2025</v>
      </c>
      <c r="J1700" s="7" t="str">
        <f>TEXT(multilingual_mobile_app_reviews_2025[[#This Row],[Review_date]],"YYYY")</f>
        <v>2025</v>
      </c>
      <c r="K1700" s="7" t="str">
        <f>TEXT(multilingual_mobile_app_reviews_2025[[#This Row],[Review_date]],"MMMM")</f>
        <v>May</v>
      </c>
      <c r="L1700" s="4" t="b">
        <v>0</v>
      </c>
      <c r="M1700" s="4" t="s">
        <v>22</v>
      </c>
      <c r="N1700" s="5">
        <v>583</v>
      </c>
      <c r="O1700" s="5">
        <v>71</v>
      </c>
      <c r="P1700" s="4" t="s">
        <v>85</v>
      </c>
      <c r="Q1700" s="8" t="s">
        <v>29</v>
      </c>
      <c r="R1700" s="4" t="s">
        <v>153</v>
      </c>
      <c r="S1700" s="4"/>
      <c r="T1700"/>
      <c r="U1700" s="23"/>
    </row>
    <row r="1701" spans="1:21" ht="15.6" x14ac:dyDescent="0.3">
      <c r="A1701" s="4">
        <v>1700</v>
      </c>
      <c r="B1701" s="5">
        <v>4600772</v>
      </c>
      <c r="C1701" s="4" t="s">
        <v>134</v>
      </c>
      <c r="D1701" s="4" t="s">
        <v>1</v>
      </c>
      <c r="E1701" s="4" t="s">
        <v>32</v>
      </c>
      <c r="F1701" s="4" t="s">
        <v>2961</v>
      </c>
      <c r="G1701" s="6">
        <v>4.9000000000000004</v>
      </c>
      <c r="H1701" s="7">
        <v>45523.48946759259</v>
      </c>
      <c r="I1701" s="7" t="str">
        <f>TEXT(multilingual_mobile_app_reviews_2025[[#This Row],[Review_date]],"dd-mm-yyyy")</f>
        <v>19-08-2024</v>
      </c>
      <c r="J1701" s="7" t="str">
        <f>TEXT(multilingual_mobile_app_reviews_2025[[#This Row],[Review_date]],"YYYY")</f>
        <v>2024</v>
      </c>
      <c r="K1701" s="7" t="str">
        <f>TEXT(multilingual_mobile_app_reviews_2025[[#This Row],[Review_date]],"MMMM")</f>
        <v>August</v>
      </c>
      <c r="L1701" s="4" t="b">
        <v>1</v>
      </c>
      <c r="M1701" s="4" t="s">
        <v>98</v>
      </c>
      <c r="N1701" s="5">
        <v>905</v>
      </c>
      <c r="O1701" s="5">
        <v>26</v>
      </c>
      <c r="P1701" s="4" t="s">
        <v>44</v>
      </c>
      <c r="Q1701" s="8" t="s">
        <v>5</v>
      </c>
      <c r="R1701" s="4" t="s">
        <v>2030</v>
      </c>
      <c r="S1701" s="4"/>
      <c r="T1701"/>
      <c r="U1701" s="23"/>
    </row>
    <row r="1702" spans="1:21" ht="15.6" x14ac:dyDescent="0.3">
      <c r="A1702" s="4">
        <v>1701</v>
      </c>
      <c r="B1702" s="5">
        <v>2969392</v>
      </c>
      <c r="C1702" s="4" t="s">
        <v>25</v>
      </c>
      <c r="D1702" s="4" t="s">
        <v>220</v>
      </c>
      <c r="E1702" s="4" t="s">
        <v>21</v>
      </c>
      <c r="F1702" s="4" t="s">
        <v>2941</v>
      </c>
      <c r="G1702" s="6">
        <v>2.9</v>
      </c>
      <c r="H1702" s="7">
        <v>45749.170983796299</v>
      </c>
      <c r="I1702" s="7" t="str">
        <f>TEXT(multilingual_mobile_app_reviews_2025[[#This Row],[Review_date]],"dd-mm-yyyy")</f>
        <v>02-04-2025</v>
      </c>
      <c r="J1702" s="7" t="str">
        <f>TEXT(multilingual_mobile_app_reviews_2025[[#This Row],[Review_date]],"YYYY")</f>
        <v>2025</v>
      </c>
      <c r="K1702" s="7" t="str">
        <f>TEXT(multilingual_mobile_app_reviews_2025[[#This Row],[Review_date]],"MMMM")</f>
        <v>April</v>
      </c>
      <c r="L1702" s="4" t="b">
        <v>1</v>
      </c>
      <c r="M1702" s="4" t="s">
        <v>3</v>
      </c>
      <c r="N1702" s="5">
        <v>119</v>
      </c>
      <c r="O1702" s="5">
        <v>63</v>
      </c>
      <c r="P1702" s="4" t="s">
        <v>144</v>
      </c>
      <c r="Q1702" s="8" t="s">
        <v>12</v>
      </c>
      <c r="R1702" s="4" t="s">
        <v>2031</v>
      </c>
      <c r="S1702" s="4"/>
      <c r="T1702"/>
      <c r="U1702" s="23"/>
    </row>
    <row r="1703" spans="1:21" ht="15.6" x14ac:dyDescent="0.3">
      <c r="A1703" s="4">
        <v>1702</v>
      </c>
      <c r="B1703" s="5">
        <v>5932315</v>
      </c>
      <c r="C1703" s="4" t="s">
        <v>258</v>
      </c>
      <c r="D1703" s="4" t="s">
        <v>51</v>
      </c>
      <c r="E1703" s="4" t="s">
        <v>2032</v>
      </c>
      <c r="F1703" s="4" t="s">
        <v>2945</v>
      </c>
      <c r="G1703" s="6">
        <v>2.7</v>
      </c>
      <c r="H1703" s="7">
        <v>45249.043726851851</v>
      </c>
      <c r="I1703" s="7" t="str">
        <f>TEXT(multilingual_mobile_app_reviews_2025[[#This Row],[Review_date]],"dd-mm-yyyy")</f>
        <v>19-11-2023</v>
      </c>
      <c r="J1703" s="7" t="str">
        <f>TEXT(multilingual_mobile_app_reviews_2025[[#This Row],[Review_date]],"YYYY")</f>
        <v>2023</v>
      </c>
      <c r="K1703" s="7" t="str">
        <f>TEXT(multilingual_mobile_app_reviews_2025[[#This Row],[Review_date]],"MMMM")</f>
        <v>November</v>
      </c>
      <c r="L1703" s="4" t="b">
        <v>1</v>
      </c>
      <c r="M1703" s="4" t="s">
        <v>33</v>
      </c>
      <c r="N1703" s="5">
        <v>614</v>
      </c>
      <c r="O1703" s="5">
        <v>29</v>
      </c>
      <c r="P1703" s="4" t="s">
        <v>99</v>
      </c>
      <c r="Q1703" s="8" t="s">
        <v>5</v>
      </c>
      <c r="R1703" s="4" t="s">
        <v>2033</v>
      </c>
      <c r="S1703" s="4"/>
      <c r="T1703"/>
      <c r="U1703" s="23"/>
    </row>
    <row r="1704" spans="1:21" ht="15.6" x14ac:dyDescent="0.3">
      <c r="A1704" s="4">
        <v>1703</v>
      </c>
      <c r="B1704" s="5">
        <v>8062478</v>
      </c>
      <c r="C1704" s="4" t="s">
        <v>208</v>
      </c>
      <c r="D1704" s="4" t="s">
        <v>31</v>
      </c>
      <c r="E1704" s="4" t="s">
        <v>16</v>
      </c>
      <c r="F1704" s="4" t="s">
        <v>2949</v>
      </c>
      <c r="G1704" s="6">
        <v>1.8</v>
      </c>
      <c r="H1704" s="7">
        <v>45471.255543981482</v>
      </c>
      <c r="I1704" s="7" t="str">
        <f>TEXT(multilingual_mobile_app_reviews_2025[[#This Row],[Review_date]],"dd-mm-yyyy")</f>
        <v>28-06-2024</v>
      </c>
      <c r="J1704" s="7" t="str">
        <f>TEXT(multilingual_mobile_app_reviews_2025[[#This Row],[Review_date]],"YYYY")</f>
        <v>2024</v>
      </c>
      <c r="K1704" s="7" t="str">
        <f>TEXT(multilingual_mobile_app_reviews_2025[[#This Row],[Review_date]],"MMMM")</f>
        <v>June</v>
      </c>
      <c r="L1704" s="4" t="b">
        <v>1</v>
      </c>
      <c r="M1704" s="4" t="s">
        <v>33</v>
      </c>
      <c r="N1704" s="5">
        <v>620</v>
      </c>
      <c r="O1704" s="5">
        <v>60</v>
      </c>
      <c r="P1704" s="4" t="s">
        <v>70</v>
      </c>
      <c r="Q1704" s="8" t="s">
        <v>29</v>
      </c>
      <c r="R1704" s="4" t="s">
        <v>2034</v>
      </c>
      <c r="S1704" s="4"/>
      <c r="T1704"/>
      <c r="U1704" s="23"/>
    </row>
    <row r="1705" spans="1:21" ht="15.6" x14ac:dyDescent="0.3">
      <c r="A1705" s="4">
        <v>1704</v>
      </c>
      <c r="B1705" s="5">
        <v>449416</v>
      </c>
      <c r="C1705" s="4" t="s">
        <v>19</v>
      </c>
      <c r="D1705" s="4" t="s">
        <v>8</v>
      </c>
      <c r="E1705" s="4" t="s">
        <v>2035</v>
      </c>
      <c r="F1705" s="4" t="s">
        <v>2955</v>
      </c>
      <c r="G1705" s="6">
        <v>1.9</v>
      </c>
      <c r="H1705" s="7">
        <v>45518.157789351855</v>
      </c>
      <c r="I1705" s="7" t="str">
        <f>TEXT(multilingual_mobile_app_reviews_2025[[#This Row],[Review_date]],"dd-mm-yyyy")</f>
        <v>14-08-2024</v>
      </c>
      <c r="J1705" s="7" t="str">
        <f>TEXT(multilingual_mobile_app_reviews_2025[[#This Row],[Review_date]],"YYYY")</f>
        <v>2024</v>
      </c>
      <c r="K1705" s="7" t="str">
        <f>TEXT(multilingual_mobile_app_reviews_2025[[#This Row],[Review_date]],"MMMM")</f>
        <v>August</v>
      </c>
      <c r="L1705" s="4" t="b">
        <v>1</v>
      </c>
      <c r="M1705" s="4" t="s">
        <v>98</v>
      </c>
      <c r="N1705" s="5">
        <v>809</v>
      </c>
      <c r="O1705" s="5">
        <v>23</v>
      </c>
      <c r="P1705" s="4" t="s">
        <v>44</v>
      </c>
      <c r="Q1705" s="8" t="s">
        <v>39</v>
      </c>
      <c r="R1705" s="4" t="s">
        <v>2036</v>
      </c>
      <c r="S1705" s="4"/>
      <c r="T1705"/>
      <c r="U1705" s="23"/>
    </row>
    <row r="1706" spans="1:21" ht="15.6" x14ac:dyDescent="0.3">
      <c r="A1706" s="4">
        <v>1705</v>
      </c>
      <c r="B1706" s="5">
        <v>8028379</v>
      </c>
      <c r="C1706" s="4" t="s">
        <v>101</v>
      </c>
      <c r="D1706" s="4" t="s">
        <v>111</v>
      </c>
      <c r="E1706" s="4" t="s">
        <v>2037</v>
      </c>
      <c r="F1706" s="4" t="s">
        <v>2943</v>
      </c>
      <c r="G1706" s="6">
        <v>2</v>
      </c>
      <c r="H1706" s="7">
        <v>45316.194548611114</v>
      </c>
      <c r="I1706" s="7" t="str">
        <f>TEXT(multilingual_mobile_app_reviews_2025[[#This Row],[Review_date]],"dd-mm-yyyy")</f>
        <v>25-01-2024</v>
      </c>
      <c r="J1706" s="7" t="str">
        <f>TEXT(multilingual_mobile_app_reviews_2025[[#This Row],[Review_date]],"YYYY")</f>
        <v>2024</v>
      </c>
      <c r="K1706" s="7" t="str">
        <f>TEXT(multilingual_mobile_app_reviews_2025[[#This Row],[Review_date]],"MMMM")</f>
        <v>January</v>
      </c>
      <c r="L1706" s="4" t="b">
        <v>1</v>
      </c>
      <c r="M1706" s="4" t="s">
        <v>3</v>
      </c>
      <c r="N1706" s="5">
        <v>1218</v>
      </c>
      <c r="O1706" s="5">
        <v>34</v>
      </c>
      <c r="P1706" s="4" t="s">
        <v>65</v>
      </c>
      <c r="Q1706" s="8" t="s">
        <v>2963</v>
      </c>
      <c r="R1706" s="4" t="s">
        <v>2038</v>
      </c>
      <c r="S1706" s="4"/>
      <c r="T1706"/>
      <c r="U1706" s="23"/>
    </row>
    <row r="1707" spans="1:21" ht="15.6" x14ac:dyDescent="0.3">
      <c r="A1707" s="4">
        <v>1706</v>
      </c>
      <c r="B1707" s="5">
        <v>8541397</v>
      </c>
      <c r="C1707" s="4" t="s">
        <v>104</v>
      </c>
      <c r="D1707" s="4" t="s">
        <v>20</v>
      </c>
      <c r="E1707" s="4" t="s">
        <v>21</v>
      </c>
      <c r="F1707" s="4" t="s">
        <v>2945</v>
      </c>
      <c r="G1707" s="6">
        <v>3.5</v>
      </c>
      <c r="H1707" s="7">
        <v>45268.827696759261</v>
      </c>
      <c r="I1707" s="7" t="str">
        <f>TEXT(multilingual_mobile_app_reviews_2025[[#This Row],[Review_date]],"dd-mm-yyyy")</f>
        <v>08-12-2023</v>
      </c>
      <c r="J1707" s="7" t="str">
        <f>TEXT(multilingual_mobile_app_reviews_2025[[#This Row],[Review_date]],"YYYY")</f>
        <v>2023</v>
      </c>
      <c r="K1707" s="7" t="str">
        <f>TEXT(multilingual_mobile_app_reviews_2025[[#This Row],[Review_date]],"MMMM")</f>
        <v>December</v>
      </c>
      <c r="L1707" s="4" t="b">
        <v>0</v>
      </c>
      <c r="M1707" s="4" t="s">
        <v>3</v>
      </c>
      <c r="N1707" s="5">
        <v>874</v>
      </c>
      <c r="O1707" s="5">
        <v>13</v>
      </c>
      <c r="P1707" s="4" t="s">
        <v>114</v>
      </c>
      <c r="Q1707" s="8" t="s">
        <v>2963</v>
      </c>
      <c r="R1707" s="4" t="s">
        <v>191</v>
      </c>
      <c r="S1707" s="4"/>
      <c r="T1707"/>
      <c r="U1707" s="23"/>
    </row>
    <row r="1708" spans="1:21" ht="15.6" x14ac:dyDescent="0.3">
      <c r="A1708" s="4">
        <v>1707</v>
      </c>
      <c r="B1708" s="5">
        <v>2559253</v>
      </c>
      <c r="C1708" s="4" t="s">
        <v>50</v>
      </c>
      <c r="D1708" s="4" t="s">
        <v>1</v>
      </c>
      <c r="E1708" s="4" t="s">
        <v>9</v>
      </c>
      <c r="F1708" s="4" t="s">
        <v>2940</v>
      </c>
      <c r="G1708" s="6">
        <v>4.9000000000000004</v>
      </c>
      <c r="H1708" s="7">
        <v>45741.037835648145</v>
      </c>
      <c r="I1708" s="7" t="str">
        <f>TEXT(multilingual_mobile_app_reviews_2025[[#This Row],[Review_date]],"dd-mm-yyyy")</f>
        <v>25-03-2025</v>
      </c>
      <c r="J1708" s="7" t="str">
        <f>TEXT(multilingual_mobile_app_reviews_2025[[#This Row],[Review_date]],"YYYY")</f>
        <v>2025</v>
      </c>
      <c r="K1708" s="7" t="str">
        <f>TEXT(multilingual_mobile_app_reviews_2025[[#This Row],[Review_date]],"MMMM")</f>
        <v>March</v>
      </c>
      <c r="L1708" s="4" t="b">
        <v>1</v>
      </c>
      <c r="M1708" s="4" t="s">
        <v>22</v>
      </c>
      <c r="N1708" s="5">
        <v>1176</v>
      </c>
      <c r="O1708" s="5">
        <v>65</v>
      </c>
      <c r="P1708" s="4" t="s">
        <v>94</v>
      </c>
      <c r="Q1708" s="8" t="s">
        <v>29</v>
      </c>
      <c r="R1708" s="4" t="s">
        <v>644</v>
      </c>
      <c r="S1708" s="4"/>
      <c r="T1708"/>
      <c r="U1708" s="23"/>
    </row>
    <row r="1709" spans="1:21" ht="15.6" x14ac:dyDescent="0.3">
      <c r="A1709" s="4">
        <v>1708</v>
      </c>
      <c r="B1709" s="5">
        <v>1777595</v>
      </c>
      <c r="C1709" s="4" t="s">
        <v>264</v>
      </c>
      <c r="D1709" s="4" t="s">
        <v>63</v>
      </c>
      <c r="E1709" s="4" t="s">
        <v>2938</v>
      </c>
      <c r="F1709" s="4" t="s">
        <v>2959</v>
      </c>
      <c r="G1709" s="6">
        <v>2.5</v>
      </c>
      <c r="H1709" s="7">
        <v>45375.469849537039</v>
      </c>
      <c r="I1709" s="7" t="str">
        <f>TEXT(multilingual_mobile_app_reviews_2025[[#This Row],[Review_date]],"dd-mm-yyyy")</f>
        <v>24-03-2024</v>
      </c>
      <c r="J1709" s="7" t="str">
        <f>TEXT(multilingual_mobile_app_reviews_2025[[#This Row],[Review_date]],"YYYY")</f>
        <v>2024</v>
      </c>
      <c r="K1709" s="7" t="str">
        <f>TEXT(multilingual_mobile_app_reviews_2025[[#This Row],[Review_date]],"MMMM")</f>
        <v>March</v>
      </c>
      <c r="L1709" s="4" t="b">
        <v>0</v>
      </c>
      <c r="M1709" s="4" t="s">
        <v>33</v>
      </c>
      <c r="N1709" s="5">
        <v>851</v>
      </c>
      <c r="O1709" s="5">
        <v>58</v>
      </c>
      <c r="P1709" s="4" t="s">
        <v>61</v>
      </c>
      <c r="Q1709" s="8" t="s">
        <v>29</v>
      </c>
      <c r="R1709" s="4" t="s">
        <v>2963</v>
      </c>
      <c r="S1709" s="4"/>
      <c r="T1709"/>
      <c r="U1709" s="23"/>
    </row>
    <row r="1710" spans="1:21" ht="15.6" x14ac:dyDescent="0.3">
      <c r="A1710" s="4">
        <v>1709</v>
      </c>
      <c r="B1710" s="5">
        <v>5731731</v>
      </c>
      <c r="C1710" s="4" t="s">
        <v>132</v>
      </c>
      <c r="D1710" s="4" t="s">
        <v>47</v>
      </c>
      <c r="E1710" s="4" t="s">
        <v>109</v>
      </c>
      <c r="F1710" s="4" t="s">
        <v>2941</v>
      </c>
      <c r="G1710" s="6">
        <v>1.7</v>
      </c>
      <c r="H1710" s="7">
        <v>45490.435787037037</v>
      </c>
      <c r="I1710" s="7" t="str">
        <f>TEXT(multilingual_mobile_app_reviews_2025[[#This Row],[Review_date]],"dd-mm-yyyy")</f>
        <v>17-07-2024</v>
      </c>
      <c r="J1710" s="7" t="str">
        <f>TEXT(multilingual_mobile_app_reviews_2025[[#This Row],[Review_date]],"YYYY")</f>
        <v>2024</v>
      </c>
      <c r="K1710" s="7" t="str">
        <f>TEXT(multilingual_mobile_app_reviews_2025[[#This Row],[Review_date]],"MMMM")</f>
        <v>July</v>
      </c>
      <c r="L1710" s="4" t="b">
        <v>1</v>
      </c>
      <c r="M1710" s="4" t="s">
        <v>10</v>
      </c>
      <c r="N1710" s="5">
        <v>724</v>
      </c>
      <c r="O1710" s="5">
        <v>67</v>
      </c>
      <c r="P1710" s="4" t="s">
        <v>70</v>
      </c>
      <c r="Q1710" s="8" t="s">
        <v>12</v>
      </c>
      <c r="R1710" s="4" t="s">
        <v>2039</v>
      </c>
      <c r="S1710" s="4"/>
      <c r="T1710"/>
      <c r="U1710" s="23"/>
    </row>
    <row r="1711" spans="1:21" ht="15.6" x14ac:dyDescent="0.3">
      <c r="A1711" s="4">
        <v>1710</v>
      </c>
      <c r="B1711" s="5">
        <v>5985129</v>
      </c>
      <c r="C1711" s="4" t="s">
        <v>106</v>
      </c>
      <c r="D1711" s="4" t="s">
        <v>71</v>
      </c>
      <c r="E1711" s="4" t="s">
        <v>32</v>
      </c>
      <c r="F1711" s="4" t="s">
        <v>2956</v>
      </c>
      <c r="G1711" s="6">
        <v>4.0999999999999996</v>
      </c>
      <c r="H1711" s="7">
        <v>45562.747696759259</v>
      </c>
      <c r="I1711" s="7" t="str">
        <f>TEXT(multilingual_mobile_app_reviews_2025[[#This Row],[Review_date]],"dd-mm-yyyy")</f>
        <v>27-09-2024</v>
      </c>
      <c r="J1711" s="7" t="str">
        <f>TEXT(multilingual_mobile_app_reviews_2025[[#This Row],[Review_date]],"YYYY")</f>
        <v>2024</v>
      </c>
      <c r="K1711" s="7" t="str">
        <f>TEXT(multilingual_mobile_app_reviews_2025[[#This Row],[Review_date]],"MMMM")</f>
        <v>September</v>
      </c>
      <c r="L1711" s="4" t="b">
        <v>1</v>
      </c>
      <c r="M1711" s="4" t="s">
        <v>10</v>
      </c>
      <c r="N1711" s="5">
        <v>74</v>
      </c>
      <c r="O1711" s="5">
        <v>69</v>
      </c>
      <c r="P1711" s="4" t="s">
        <v>162</v>
      </c>
      <c r="Q1711" s="8" t="s">
        <v>39</v>
      </c>
      <c r="R1711" s="4" t="s">
        <v>2040</v>
      </c>
      <c r="S1711" s="4"/>
      <c r="T1711"/>
      <c r="U1711" s="23"/>
    </row>
    <row r="1712" spans="1:21" ht="15.6" x14ac:dyDescent="0.3">
      <c r="A1712" s="4">
        <v>1711</v>
      </c>
      <c r="B1712" s="5">
        <v>8262003</v>
      </c>
      <c r="C1712" s="4" t="s">
        <v>25</v>
      </c>
      <c r="D1712" s="4" t="s">
        <v>157</v>
      </c>
      <c r="E1712" s="4" t="s">
        <v>2041</v>
      </c>
      <c r="F1712" s="4" t="s">
        <v>2947</v>
      </c>
      <c r="G1712" s="6">
        <v>1</v>
      </c>
      <c r="H1712" s="7">
        <v>45740.470625000002</v>
      </c>
      <c r="I1712" s="7" t="str">
        <f>TEXT(multilingual_mobile_app_reviews_2025[[#This Row],[Review_date]],"dd-mm-yyyy")</f>
        <v>24-03-2025</v>
      </c>
      <c r="J1712" s="7" t="str">
        <f>TEXT(multilingual_mobile_app_reviews_2025[[#This Row],[Review_date]],"YYYY")</f>
        <v>2025</v>
      </c>
      <c r="K1712" s="7" t="str">
        <f>TEXT(multilingual_mobile_app_reviews_2025[[#This Row],[Review_date]],"MMMM")</f>
        <v>March</v>
      </c>
      <c r="L1712" s="4" t="b">
        <v>0</v>
      </c>
      <c r="M1712" s="4" t="s">
        <v>98</v>
      </c>
      <c r="N1712" s="5">
        <v>637</v>
      </c>
      <c r="O1712" s="5">
        <v>52</v>
      </c>
      <c r="P1712" s="4" t="s">
        <v>180</v>
      </c>
      <c r="Q1712" s="8" t="s">
        <v>2963</v>
      </c>
      <c r="R1712" s="4" t="s">
        <v>2042</v>
      </c>
      <c r="S1712" s="4"/>
      <c r="T1712"/>
      <c r="U1712" s="23"/>
    </row>
    <row r="1713" spans="1:21" ht="15.6" x14ac:dyDescent="0.3">
      <c r="A1713" s="4">
        <v>1712</v>
      </c>
      <c r="B1713" s="5">
        <v>8226125</v>
      </c>
      <c r="C1713" s="4" t="s">
        <v>258</v>
      </c>
      <c r="D1713" s="4" t="s">
        <v>42</v>
      </c>
      <c r="E1713" s="4" t="s">
        <v>93</v>
      </c>
      <c r="F1713" s="4" t="s">
        <v>2953</v>
      </c>
      <c r="G1713" s="6">
        <v>1.8</v>
      </c>
      <c r="H1713" s="7">
        <v>45226.462384259263</v>
      </c>
      <c r="I1713" s="7" t="str">
        <f>TEXT(multilingual_mobile_app_reviews_2025[[#This Row],[Review_date]],"dd-mm-yyyy")</f>
        <v>27-10-2023</v>
      </c>
      <c r="J1713" s="7" t="str">
        <f>TEXT(multilingual_mobile_app_reviews_2025[[#This Row],[Review_date]],"YYYY")</f>
        <v>2023</v>
      </c>
      <c r="K1713" s="7" t="str">
        <f>TEXT(multilingual_mobile_app_reviews_2025[[#This Row],[Review_date]],"MMMM")</f>
        <v>October</v>
      </c>
      <c r="L1713" s="4" t="b">
        <v>1</v>
      </c>
      <c r="M1713" s="4" t="s">
        <v>22</v>
      </c>
      <c r="N1713" s="5">
        <v>152</v>
      </c>
      <c r="O1713" s="5">
        <v>61</v>
      </c>
      <c r="P1713" s="4" t="s">
        <v>127</v>
      </c>
      <c r="Q1713" s="8" t="s">
        <v>39</v>
      </c>
      <c r="R1713" s="4" t="s">
        <v>2043</v>
      </c>
      <c r="S1713" s="4"/>
      <c r="T1713"/>
      <c r="U1713" s="23"/>
    </row>
    <row r="1714" spans="1:21" ht="15.6" x14ac:dyDescent="0.3">
      <c r="A1714" s="4">
        <v>1713</v>
      </c>
      <c r="B1714" s="5">
        <v>8812557</v>
      </c>
      <c r="C1714" s="4" t="s">
        <v>87</v>
      </c>
      <c r="D1714" s="4" t="s">
        <v>63</v>
      </c>
      <c r="E1714" s="4" t="s">
        <v>2044</v>
      </c>
      <c r="F1714" s="4" t="s">
        <v>2943</v>
      </c>
      <c r="G1714" s="6">
        <v>3</v>
      </c>
      <c r="H1714" s="7">
        <v>45473.428784722222</v>
      </c>
      <c r="I1714" s="7" t="str">
        <f>TEXT(multilingual_mobile_app_reviews_2025[[#This Row],[Review_date]],"dd-mm-yyyy")</f>
        <v>30-06-2024</v>
      </c>
      <c r="J1714" s="7" t="str">
        <f>TEXT(multilingual_mobile_app_reviews_2025[[#This Row],[Review_date]],"YYYY")</f>
        <v>2024</v>
      </c>
      <c r="K1714" s="7" t="str">
        <f>TEXT(multilingual_mobile_app_reviews_2025[[#This Row],[Review_date]],"MMMM")</f>
        <v>June</v>
      </c>
      <c r="L1714" s="4" t="b">
        <v>1</v>
      </c>
      <c r="M1714" s="4" t="s">
        <v>10</v>
      </c>
      <c r="N1714" s="5">
        <v>789</v>
      </c>
      <c r="O1714" s="5">
        <v>22</v>
      </c>
      <c r="P1714" s="4" t="s">
        <v>61</v>
      </c>
      <c r="Q1714" s="8" t="s">
        <v>29</v>
      </c>
      <c r="R1714" s="4" t="s">
        <v>2045</v>
      </c>
      <c r="S1714" s="4"/>
      <c r="T1714"/>
      <c r="U1714" s="23"/>
    </row>
    <row r="1715" spans="1:21" ht="15.6" x14ac:dyDescent="0.3">
      <c r="A1715" s="4">
        <v>1714</v>
      </c>
      <c r="B1715" s="5">
        <v>3561265</v>
      </c>
      <c r="C1715" s="4" t="s">
        <v>92</v>
      </c>
      <c r="D1715" s="4" t="s">
        <v>157</v>
      </c>
      <c r="E1715" s="4" t="s">
        <v>2046</v>
      </c>
      <c r="F1715" s="4" t="s">
        <v>2943</v>
      </c>
      <c r="G1715" s="6">
        <v>4.8</v>
      </c>
      <c r="H1715" s="7">
        <v>45786.798483796294</v>
      </c>
      <c r="I1715" s="7" t="str">
        <f>TEXT(multilingual_mobile_app_reviews_2025[[#This Row],[Review_date]],"dd-mm-yyyy")</f>
        <v>09-05-2025</v>
      </c>
      <c r="J1715" s="7" t="str">
        <f>TEXT(multilingual_mobile_app_reviews_2025[[#This Row],[Review_date]],"YYYY")</f>
        <v>2025</v>
      </c>
      <c r="K1715" s="7" t="str">
        <f>TEXT(multilingual_mobile_app_reviews_2025[[#This Row],[Review_date]],"MMMM")</f>
        <v>May</v>
      </c>
      <c r="L1715" s="4" t="b">
        <v>0</v>
      </c>
      <c r="M1715" s="4" t="s">
        <v>3</v>
      </c>
      <c r="N1715" s="5">
        <v>651</v>
      </c>
      <c r="O1715" s="5">
        <v>44</v>
      </c>
      <c r="P1715" s="4" t="s">
        <v>94</v>
      </c>
      <c r="Q1715" s="8" t="s">
        <v>12</v>
      </c>
      <c r="R1715" s="4" t="s">
        <v>83</v>
      </c>
      <c r="S1715" s="4"/>
      <c r="T1715"/>
      <c r="U1715" s="23"/>
    </row>
    <row r="1716" spans="1:21" ht="15.6" x14ac:dyDescent="0.3">
      <c r="A1716" s="4">
        <v>1715</v>
      </c>
      <c r="B1716" s="5">
        <v>2162947</v>
      </c>
      <c r="C1716" s="4" t="s">
        <v>106</v>
      </c>
      <c r="D1716" s="4" t="s">
        <v>1</v>
      </c>
      <c r="E1716" s="4" t="s">
        <v>2047</v>
      </c>
      <c r="F1716" s="4" t="s">
        <v>2940</v>
      </c>
      <c r="G1716" s="6">
        <v>1.7</v>
      </c>
      <c r="H1716" s="7">
        <v>45859.081458333334</v>
      </c>
      <c r="I1716" s="7" t="str">
        <f>TEXT(multilingual_mobile_app_reviews_2025[[#This Row],[Review_date]],"dd-mm-yyyy")</f>
        <v>21-07-2025</v>
      </c>
      <c r="J1716" s="7" t="str">
        <f>TEXT(multilingual_mobile_app_reviews_2025[[#This Row],[Review_date]],"YYYY")</f>
        <v>2025</v>
      </c>
      <c r="K1716" s="7" t="str">
        <f>TEXT(multilingual_mobile_app_reviews_2025[[#This Row],[Review_date]],"MMMM")</f>
        <v>July</v>
      </c>
      <c r="L1716" s="4" t="b">
        <v>0</v>
      </c>
      <c r="M1716" s="4" t="s">
        <v>10</v>
      </c>
      <c r="N1716" s="5">
        <v>1195</v>
      </c>
      <c r="O1716" s="5">
        <v>68</v>
      </c>
      <c r="P1716" s="4" t="s">
        <v>44</v>
      </c>
      <c r="Q1716" s="8" t="s">
        <v>2963</v>
      </c>
      <c r="R1716" s="4" t="s">
        <v>2048</v>
      </c>
      <c r="S1716" s="4"/>
      <c r="T1716"/>
      <c r="U1716" s="23"/>
    </row>
    <row r="1717" spans="1:21" ht="15.6" x14ac:dyDescent="0.3">
      <c r="A1717" s="4">
        <v>1716</v>
      </c>
      <c r="B1717" s="5">
        <v>2568450</v>
      </c>
      <c r="C1717" s="4" t="s">
        <v>154</v>
      </c>
      <c r="D1717" s="4" t="s">
        <v>1</v>
      </c>
      <c r="E1717" s="4" t="s">
        <v>64</v>
      </c>
      <c r="F1717" s="4" t="s">
        <v>2958</v>
      </c>
      <c r="G1717" s="6">
        <v>3.4</v>
      </c>
      <c r="H1717" s="7">
        <v>45501.07775462963</v>
      </c>
      <c r="I1717" s="7" t="str">
        <f>TEXT(multilingual_mobile_app_reviews_2025[[#This Row],[Review_date]],"dd-mm-yyyy")</f>
        <v>28-07-2024</v>
      </c>
      <c r="J1717" s="7" t="str">
        <f>TEXT(multilingual_mobile_app_reviews_2025[[#This Row],[Review_date]],"YYYY")</f>
        <v>2024</v>
      </c>
      <c r="K1717" s="7" t="str">
        <f>TEXT(multilingual_mobile_app_reviews_2025[[#This Row],[Review_date]],"MMMM")</f>
        <v>July</v>
      </c>
      <c r="L1717" s="4" t="b">
        <v>0</v>
      </c>
      <c r="M1717" s="4" t="s">
        <v>98</v>
      </c>
      <c r="N1717" s="5">
        <v>41</v>
      </c>
      <c r="O1717" s="5">
        <v>69</v>
      </c>
      <c r="P1717" s="4" t="s">
        <v>28</v>
      </c>
      <c r="Q1717" s="8" t="s">
        <v>29</v>
      </c>
      <c r="R1717" s="4" t="s">
        <v>2049</v>
      </c>
      <c r="S1717" s="4"/>
      <c r="T1717"/>
      <c r="U1717" s="23"/>
    </row>
    <row r="1718" spans="1:21" ht="15.6" x14ac:dyDescent="0.3">
      <c r="A1718" s="4">
        <v>1717</v>
      </c>
      <c r="B1718" s="5">
        <v>2620403</v>
      </c>
      <c r="C1718" s="4" t="s">
        <v>84</v>
      </c>
      <c r="D1718" s="4" t="s">
        <v>42</v>
      </c>
      <c r="E1718" s="4" t="s">
        <v>2050</v>
      </c>
      <c r="F1718" s="4" t="s">
        <v>2945</v>
      </c>
      <c r="G1718" s="6">
        <v>1</v>
      </c>
      <c r="H1718" s="7">
        <v>45170.687476851854</v>
      </c>
      <c r="I1718" s="7" t="str">
        <f>TEXT(multilingual_mobile_app_reviews_2025[[#This Row],[Review_date]],"dd-mm-yyyy")</f>
        <v>01-09-2023</v>
      </c>
      <c r="J1718" s="7" t="str">
        <f>TEXT(multilingual_mobile_app_reviews_2025[[#This Row],[Review_date]],"YYYY")</f>
        <v>2023</v>
      </c>
      <c r="K1718" s="7" t="str">
        <f>TEXT(multilingual_mobile_app_reviews_2025[[#This Row],[Review_date]],"MMMM")</f>
        <v>September</v>
      </c>
      <c r="L1718" s="4" t="b">
        <v>1</v>
      </c>
      <c r="M1718" s="4" t="s">
        <v>98</v>
      </c>
      <c r="N1718" s="5">
        <v>829</v>
      </c>
      <c r="O1718" s="5">
        <v>63</v>
      </c>
      <c r="P1718" s="4" t="s">
        <v>230</v>
      </c>
      <c r="Q1718" s="8" t="s">
        <v>12</v>
      </c>
      <c r="R1718" s="4" t="s">
        <v>394</v>
      </c>
      <c r="S1718" s="4"/>
      <c r="T1718"/>
      <c r="U1718" s="23"/>
    </row>
    <row r="1719" spans="1:21" ht="15.6" x14ac:dyDescent="0.3">
      <c r="A1719" s="4">
        <v>1718</v>
      </c>
      <c r="B1719" s="5">
        <v>4848242</v>
      </c>
      <c r="C1719" s="4" t="s">
        <v>7</v>
      </c>
      <c r="D1719" s="4" t="s">
        <v>63</v>
      </c>
      <c r="E1719" s="4" t="s">
        <v>16</v>
      </c>
      <c r="F1719" s="4" t="s">
        <v>2944</v>
      </c>
      <c r="G1719" s="6">
        <v>1.2</v>
      </c>
      <c r="H1719" s="7">
        <v>45780.040243055555</v>
      </c>
      <c r="I1719" s="7" t="str">
        <f>TEXT(multilingual_mobile_app_reviews_2025[[#This Row],[Review_date]],"dd-mm-yyyy")</f>
        <v>03-05-2025</v>
      </c>
      <c r="J1719" s="7" t="str">
        <f>TEXT(multilingual_mobile_app_reviews_2025[[#This Row],[Review_date]],"YYYY")</f>
        <v>2025</v>
      </c>
      <c r="K1719" s="7" t="str">
        <f>TEXT(multilingual_mobile_app_reviews_2025[[#This Row],[Review_date]],"MMMM")</f>
        <v>May</v>
      </c>
      <c r="L1719" s="4" t="b">
        <v>1</v>
      </c>
      <c r="M1719" s="4" t="s">
        <v>33</v>
      </c>
      <c r="N1719" s="5">
        <v>483</v>
      </c>
      <c r="O1719" s="5">
        <v>30</v>
      </c>
      <c r="P1719" s="4" t="s">
        <v>90</v>
      </c>
      <c r="Q1719" s="8" t="s">
        <v>2963</v>
      </c>
      <c r="R1719" s="4" t="s">
        <v>2051</v>
      </c>
      <c r="S1719" s="4"/>
      <c r="T1719"/>
      <c r="U1719" s="23"/>
    </row>
    <row r="1720" spans="1:21" ht="15.6" x14ac:dyDescent="0.3">
      <c r="A1720" s="4">
        <v>1719</v>
      </c>
      <c r="B1720" s="5">
        <v>2170908</v>
      </c>
      <c r="C1720" s="4" t="s">
        <v>50</v>
      </c>
      <c r="D1720" s="4" t="s">
        <v>26</v>
      </c>
      <c r="E1720" s="4" t="s">
        <v>130</v>
      </c>
      <c r="F1720" s="4" t="s">
        <v>2944</v>
      </c>
      <c r="G1720" s="6">
        <v>2.4</v>
      </c>
      <c r="H1720" s="7">
        <v>45180.194710648146</v>
      </c>
      <c r="I1720" s="7" t="str">
        <f>TEXT(multilingual_mobile_app_reviews_2025[[#This Row],[Review_date]],"dd-mm-yyyy")</f>
        <v>11-09-2023</v>
      </c>
      <c r="J1720" s="7" t="str">
        <f>TEXT(multilingual_mobile_app_reviews_2025[[#This Row],[Review_date]],"YYYY")</f>
        <v>2023</v>
      </c>
      <c r="K1720" s="7" t="str">
        <f>TEXT(multilingual_mobile_app_reviews_2025[[#This Row],[Review_date]],"MMMM")</f>
        <v>September</v>
      </c>
      <c r="L1720" s="4" t="b">
        <v>1</v>
      </c>
      <c r="M1720" s="4" t="s">
        <v>3</v>
      </c>
      <c r="N1720" s="5">
        <v>1216</v>
      </c>
      <c r="O1720" s="5">
        <v>48</v>
      </c>
      <c r="P1720" s="4" t="s">
        <v>17</v>
      </c>
      <c r="Q1720" s="8" t="s">
        <v>2963</v>
      </c>
      <c r="R1720" s="4" t="s">
        <v>272</v>
      </c>
      <c r="S1720" s="4"/>
      <c r="T1720"/>
      <c r="U1720" s="23"/>
    </row>
    <row r="1721" spans="1:21" ht="15.6" x14ac:dyDescent="0.3">
      <c r="A1721" s="4">
        <v>1720</v>
      </c>
      <c r="B1721" s="5">
        <v>5230833</v>
      </c>
      <c r="C1721" s="4" t="s">
        <v>199</v>
      </c>
      <c r="D1721" s="4" t="s">
        <v>111</v>
      </c>
      <c r="E1721" s="4" t="s">
        <v>130</v>
      </c>
      <c r="F1721" s="4" t="s">
        <v>2956</v>
      </c>
      <c r="G1721" s="6">
        <v>2.8</v>
      </c>
      <c r="H1721" s="7">
        <v>45142.831979166665</v>
      </c>
      <c r="I1721" s="7" t="str">
        <f>TEXT(multilingual_mobile_app_reviews_2025[[#This Row],[Review_date]],"dd-mm-yyyy")</f>
        <v>04-08-2023</v>
      </c>
      <c r="J1721" s="7" t="str">
        <f>TEXT(multilingual_mobile_app_reviews_2025[[#This Row],[Review_date]],"YYYY")</f>
        <v>2023</v>
      </c>
      <c r="K1721" s="7" t="str">
        <f>TEXT(multilingual_mobile_app_reviews_2025[[#This Row],[Review_date]],"MMMM")</f>
        <v>August</v>
      </c>
      <c r="L1721" s="4" t="b">
        <v>1</v>
      </c>
      <c r="M1721" s="4" t="s">
        <v>3</v>
      </c>
      <c r="N1721" s="5">
        <v>366</v>
      </c>
      <c r="O1721" s="5">
        <v>33</v>
      </c>
      <c r="P1721" s="4" t="s">
        <v>127</v>
      </c>
      <c r="Q1721" s="8" t="s">
        <v>2963</v>
      </c>
      <c r="R1721" s="4" t="s">
        <v>2052</v>
      </c>
      <c r="S1721" s="4"/>
      <c r="T1721"/>
      <c r="U1721" s="23"/>
    </row>
    <row r="1722" spans="1:21" ht="15.6" x14ac:dyDescent="0.3">
      <c r="A1722" s="4">
        <v>1721</v>
      </c>
      <c r="B1722" s="5">
        <v>6009866</v>
      </c>
      <c r="C1722" s="4" t="s">
        <v>84</v>
      </c>
      <c r="D1722" s="4" t="s">
        <v>220</v>
      </c>
      <c r="E1722" s="4" t="s">
        <v>32</v>
      </c>
      <c r="F1722" s="4" t="s">
        <v>2942</v>
      </c>
      <c r="G1722" s="6">
        <v>3</v>
      </c>
      <c r="H1722" s="7">
        <v>45651.712175925924</v>
      </c>
      <c r="I1722" s="7" t="str">
        <f>TEXT(multilingual_mobile_app_reviews_2025[[#This Row],[Review_date]],"dd-mm-yyyy")</f>
        <v>25-12-2024</v>
      </c>
      <c r="J1722" s="7" t="str">
        <f>TEXT(multilingual_mobile_app_reviews_2025[[#This Row],[Review_date]],"YYYY")</f>
        <v>2024</v>
      </c>
      <c r="K1722" s="7" t="str">
        <f>TEXT(multilingual_mobile_app_reviews_2025[[#This Row],[Review_date]],"MMMM")</f>
        <v>December</v>
      </c>
      <c r="L1722" s="4" t="b">
        <v>1</v>
      </c>
      <c r="M1722" s="4" t="s">
        <v>10</v>
      </c>
      <c r="N1722" s="5">
        <v>768</v>
      </c>
      <c r="O1722" s="5">
        <v>69</v>
      </c>
      <c r="P1722" s="4" t="s">
        <v>85</v>
      </c>
      <c r="Q1722" s="8" t="s">
        <v>39</v>
      </c>
      <c r="R1722" s="4" t="s">
        <v>2053</v>
      </c>
      <c r="S1722" s="4"/>
      <c r="T1722"/>
      <c r="U1722" s="23"/>
    </row>
    <row r="1723" spans="1:21" ht="15.6" x14ac:dyDescent="0.3">
      <c r="A1723" s="4">
        <v>1722</v>
      </c>
      <c r="B1723" s="5">
        <v>937217</v>
      </c>
      <c r="C1723" s="4" t="s">
        <v>137</v>
      </c>
      <c r="D1723" s="4" t="s">
        <v>57</v>
      </c>
      <c r="E1723" s="4" t="s">
        <v>64</v>
      </c>
      <c r="F1723" s="4" t="s">
        <v>2960</v>
      </c>
      <c r="G1723" s="6">
        <v>2.7</v>
      </c>
      <c r="H1723" s="7">
        <v>45334.172418981485</v>
      </c>
      <c r="I1723" s="7" t="str">
        <f>TEXT(multilingual_mobile_app_reviews_2025[[#This Row],[Review_date]],"dd-mm-yyyy")</f>
        <v>12-02-2024</v>
      </c>
      <c r="J1723" s="7" t="str">
        <f>TEXT(multilingual_mobile_app_reviews_2025[[#This Row],[Review_date]],"YYYY")</f>
        <v>2024</v>
      </c>
      <c r="K1723" s="7" t="str">
        <f>TEXT(multilingual_mobile_app_reviews_2025[[#This Row],[Review_date]],"MMMM")</f>
        <v>February</v>
      </c>
      <c r="L1723" s="4" t="b">
        <v>1</v>
      </c>
      <c r="M1723" s="4" t="s">
        <v>22</v>
      </c>
      <c r="N1723" s="5">
        <v>631</v>
      </c>
      <c r="O1723" s="5">
        <v>51</v>
      </c>
      <c r="P1723" s="4" t="s">
        <v>85</v>
      </c>
      <c r="Q1723" s="8" t="s">
        <v>5</v>
      </c>
      <c r="R1723" s="4" t="s">
        <v>2054</v>
      </c>
      <c r="S1723" s="4"/>
      <c r="T1723"/>
      <c r="U1723" s="23"/>
    </row>
    <row r="1724" spans="1:21" ht="15.6" x14ac:dyDescent="0.3">
      <c r="A1724" s="4">
        <v>1723</v>
      </c>
      <c r="B1724" s="5">
        <v>5975686</v>
      </c>
      <c r="C1724" s="4" t="s">
        <v>7</v>
      </c>
      <c r="D1724" s="4" t="s">
        <v>60</v>
      </c>
      <c r="E1724" s="4" t="s">
        <v>130</v>
      </c>
      <c r="F1724" s="4" t="s">
        <v>2961</v>
      </c>
      <c r="G1724" s="6">
        <v>3</v>
      </c>
      <c r="H1724" s="7">
        <v>45821.401898148149</v>
      </c>
      <c r="I1724" s="7" t="str">
        <f>TEXT(multilingual_mobile_app_reviews_2025[[#This Row],[Review_date]],"dd-mm-yyyy")</f>
        <v>13-06-2025</v>
      </c>
      <c r="J1724" s="7" t="str">
        <f>TEXT(multilingual_mobile_app_reviews_2025[[#This Row],[Review_date]],"YYYY")</f>
        <v>2025</v>
      </c>
      <c r="K1724" s="7" t="str">
        <f>TEXT(multilingual_mobile_app_reviews_2025[[#This Row],[Review_date]],"MMMM")</f>
        <v>June</v>
      </c>
      <c r="L1724" s="4" t="b">
        <v>1</v>
      </c>
      <c r="M1724" s="4" t="s">
        <v>10</v>
      </c>
      <c r="N1724" s="5">
        <v>91</v>
      </c>
      <c r="O1724" s="5">
        <v>23</v>
      </c>
      <c r="P1724" s="4" t="s">
        <v>4</v>
      </c>
      <c r="Q1724" s="8" t="s">
        <v>39</v>
      </c>
      <c r="R1724" s="4" t="s">
        <v>2055</v>
      </c>
      <c r="S1724" s="4"/>
      <c r="T1724"/>
      <c r="U1724" s="23"/>
    </row>
    <row r="1725" spans="1:21" ht="15.6" x14ac:dyDescent="0.3">
      <c r="A1725" s="4">
        <v>1724</v>
      </c>
      <c r="B1725" s="5">
        <v>8522048</v>
      </c>
      <c r="C1725" s="4" t="s">
        <v>208</v>
      </c>
      <c r="D1725" s="4" t="s">
        <v>31</v>
      </c>
      <c r="E1725" s="4" t="s">
        <v>32</v>
      </c>
      <c r="F1725" s="4" t="s">
        <v>2940</v>
      </c>
      <c r="G1725" s="6">
        <v>1</v>
      </c>
      <c r="H1725" s="7">
        <v>45655.652245370373</v>
      </c>
      <c r="I1725" s="7" t="str">
        <f>TEXT(multilingual_mobile_app_reviews_2025[[#This Row],[Review_date]],"dd-mm-yyyy")</f>
        <v>29-12-2024</v>
      </c>
      <c r="J1725" s="7" t="str">
        <f>TEXT(multilingual_mobile_app_reviews_2025[[#This Row],[Review_date]],"YYYY")</f>
        <v>2024</v>
      </c>
      <c r="K1725" s="7" t="str">
        <f>TEXT(multilingual_mobile_app_reviews_2025[[#This Row],[Review_date]],"MMMM")</f>
        <v>December</v>
      </c>
      <c r="L1725" s="4" t="b">
        <v>0</v>
      </c>
      <c r="M1725" s="4" t="s">
        <v>10</v>
      </c>
      <c r="N1725" s="5">
        <v>1070</v>
      </c>
      <c r="O1725" s="5">
        <v>66</v>
      </c>
      <c r="P1725" s="4" t="s">
        <v>144</v>
      </c>
      <c r="Q1725" s="8" t="s">
        <v>39</v>
      </c>
      <c r="R1725" s="4" t="s">
        <v>569</v>
      </c>
      <c r="S1725" s="4"/>
      <c r="T1725"/>
      <c r="U1725" s="23"/>
    </row>
    <row r="1726" spans="1:21" ht="15.6" x14ac:dyDescent="0.3">
      <c r="A1726" s="4">
        <v>1725</v>
      </c>
      <c r="B1726" s="5">
        <v>9507809</v>
      </c>
      <c r="C1726" s="4" t="s">
        <v>75</v>
      </c>
      <c r="D1726" s="4" t="s">
        <v>26</v>
      </c>
      <c r="E1726" s="4" t="s">
        <v>16</v>
      </c>
      <c r="F1726" s="4" t="s">
        <v>2959</v>
      </c>
      <c r="G1726" s="6">
        <v>3.9</v>
      </c>
      <c r="H1726" s="7">
        <v>45259.299074074072</v>
      </c>
      <c r="I1726" s="7" t="str">
        <f>TEXT(multilingual_mobile_app_reviews_2025[[#This Row],[Review_date]],"dd-mm-yyyy")</f>
        <v>29-11-2023</v>
      </c>
      <c r="J1726" s="7" t="str">
        <f>TEXT(multilingual_mobile_app_reviews_2025[[#This Row],[Review_date]],"YYYY")</f>
        <v>2023</v>
      </c>
      <c r="K1726" s="7" t="str">
        <f>TEXT(multilingual_mobile_app_reviews_2025[[#This Row],[Review_date]],"MMMM")</f>
        <v>November</v>
      </c>
      <c r="L1726" s="4" t="b">
        <v>1</v>
      </c>
      <c r="M1726" s="4" t="s">
        <v>33</v>
      </c>
      <c r="N1726" s="5">
        <v>557</v>
      </c>
      <c r="O1726" s="5">
        <v>36</v>
      </c>
      <c r="P1726" s="4" t="s">
        <v>90</v>
      </c>
      <c r="Q1726" s="8" t="s">
        <v>12</v>
      </c>
      <c r="R1726" s="4" t="s">
        <v>83</v>
      </c>
      <c r="S1726" s="4"/>
      <c r="T1726"/>
      <c r="U1726" s="23"/>
    </row>
    <row r="1727" spans="1:21" ht="15.6" x14ac:dyDescent="0.3">
      <c r="A1727" s="4">
        <v>1726</v>
      </c>
      <c r="B1727" s="5">
        <v>4641070</v>
      </c>
      <c r="C1727" s="4" t="s">
        <v>199</v>
      </c>
      <c r="D1727" s="4" t="s">
        <v>31</v>
      </c>
      <c r="E1727" s="4" t="s">
        <v>2056</v>
      </c>
      <c r="F1727" s="4" t="s">
        <v>2944</v>
      </c>
      <c r="G1727" s="6">
        <v>4.5999999999999996</v>
      </c>
      <c r="H1727" s="7">
        <v>45448.878969907404</v>
      </c>
      <c r="I1727" s="7" t="str">
        <f>TEXT(multilingual_mobile_app_reviews_2025[[#This Row],[Review_date]],"dd-mm-yyyy")</f>
        <v>05-06-2024</v>
      </c>
      <c r="J1727" s="7" t="str">
        <f>TEXT(multilingual_mobile_app_reviews_2025[[#This Row],[Review_date]],"YYYY")</f>
        <v>2024</v>
      </c>
      <c r="K1727" s="7" t="str">
        <f>TEXT(multilingual_mobile_app_reviews_2025[[#This Row],[Review_date]],"MMMM")</f>
        <v>June</v>
      </c>
      <c r="L1727" s="4" t="b">
        <v>1</v>
      </c>
      <c r="M1727" s="4" t="s">
        <v>22</v>
      </c>
      <c r="N1727" s="5">
        <v>223</v>
      </c>
      <c r="O1727" s="5">
        <v>63</v>
      </c>
      <c r="P1727" s="4" t="s">
        <v>230</v>
      </c>
      <c r="Q1727" s="8" t="s">
        <v>12</v>
      </c>
      <c r="R1727" s="4" t="s">
        <v>2057</v>
      </c>
      <c r="S1727" s="4"/>
      <c r="T1727"/>
      <c r="U1727" s="23"/>
    </row>
    <row r="1728" spans="1:21" ht="15.6" x14ac:dyDescent="0.3">
      <c r="A1728" s="4">
        <v>1727</v>
      </c>
      <c r="B1728" s="5">
        <v>4483230</v>
      </c>
      <c r="C1728" s="4" t="s">
        <v>154</v>
      </c>
      <c r="D1728" s="4" t="s">
        <v>111</v>
      </c>
      <c r="E1728" s="4" t="s">
        <v>64</v>
      </c>
      <c r="F1728" s="4" t="s">
        <v>2951</v>
      </c>
      <c r="G1728" s="6">
        <v>3.8</v>
      </c>
      <c r="H1728" s="7">
        <v>45853.614178240743</v>
      </c>
      <c r="I1728" s="7" t="str">
        <f>TEXT(multilingual_mobile_app_reviews_2025[[#This Row],[Review_date]],"dd-mm-yyyy")</f>
        <v>15-07-2025</v>
      </c>
      <c r="J1728" s="7" t="str">
        <f>TEXT(multilingual_mobile_app_reviews_2025[[#This Row],[Review_date]],"YYYY")</f>
        <v>2025</v>
      </c>
      <c r="K1728" s="7" t="str">
        <f>TEXT(multilingual_mobile_app_reviews_2025[[#This Row],[Review_date]],"MMMM")</f>
        <v>July</v>
      </c>
      <c r="L1728" s="4" t="b">
        <v>1</v>
      </c>
      <c r="M1728" s="4" t="s">
        <v>10</v>
      </c>
      <c r="N1728" s="5">
        <v>92</v>
      </c>
      <c r="O1728" s="5">
        <v>61</v>
      </c>
      <c r="P1728" s="4" t="s">
        <v>180</v>
      </c>
      <c r="Q1728" s="8" t="s">
        <v>12</v>
      </c>
      <c r="R1728" s="4" t="s">
        <v>1001</v>
      </c>
      <c r="S1728" s="4"/>
      <c r="T1728"/>
      <c r="U1728" s="23"/>
    </row>
    <row r="1729" spans="1:21" ht="15.6" x14ac:dyDescent="0.3">
      <c r="A1729" s="4">
        <v>1728</v>
      </c>
      <c r="B1729" s="5">
        <v>5313281</v>
      </c>
      <c r="C1729" s="4" t="s">
        <v>147</v>
      </c>
      <c r="D1729" s="4" t="s">
        <v>97</v>
      </c>
      <c r="E1729" s="4" t="s">
        <v>2058</v>
      </c>
      <c r="F1729" s="4" t="s">
        <v>2951</v>
      </c>
      <c r="G1729" s="6">
        <v>4.4000000000000004</v>
      </c>
      <c r="H1729" s="7">
        <v>45858.992615740739</v>
      </c>
      <c r="I1729" s="7" t="str">
        <f>TEXT(multilingual_mobile_app_reviews_2025[[#This Row],[Review_date]],"dd-mm-yyyy")</f>
        <v>20-07-2025</v>
      </c>
      <c r="J1729" s="7" t="str">
        <f>TEXT(multilingual_mobile_app_reviews_2025[[#This Row],[Review_date]],"YYYY")</f>
        <v>2025</v>
      </c>
      <c r="K1729" s="7" t="str">
        <f>TEXT(multilingual_mobile_app_reviews_2025[[#This Row],[Review_date]],"MMMM")</f>
        <v>July</v>
      </c>
      <c r="L1729" s="4" t="b">
        <v>0</v>
      </c>
      <c r="M1729" s="4" t="s">
        <v>22</v>
      </c>
      <c r="N1729" s="5">
        <v>836</v>
      </c>
      <c r="O1729" s="5">
        <v>35</v>
      </c>
      <c r="P1729" s="4" t="s">
        <v>70</v>
      </c>
      <c r="Q1729" s="8" t="s">
        <v>2963</v>
      </c>
      <c r="R1729" s="4" t="s">
        <v>2059</v>
      </c>
      <c r="S1729" s="4"/>
      <c r="T1729"/>
      <c r="U1729" s="23"/>
    </row>
    <row r="1730" spans="1:21" ht="15.6" x14ac:dyDescent="0.3">
      <c r="A1730" s="4">
        <v>1729</v>
      </c>
      <c r="B1730" s="5">
        <v>7836886</v>
      </c>
      <c r="C1730" s="4" t="s">
        <v>192</v>
      </c>
      <c r="D1730" s="4" t="s">
        <v>60</v>
      </c>
      <c r="E1730" s="4" t="s">
        <v>21</v>
      </c>
      <c r="F1730" s="4" t="s">
        <v>2948</v>
      </c>
      <c r="G1730" s="6">
        <v>3.1</v>
      </c>
      <c r="H1730" s="7">
        <v>45562.837488425925</v>
      </c>
      <c r="I1730" s="7" t="str">
        <f>TEXT(multilingual_mobile_app_reviews_2025[[#This Row],[Review_date]],"dd-mm-yyyy")</f>
        <v>27-09-2024</v>
      </c>
      <c r="J1730" s="7" t="str">
        <f>TEXT(multilingual_mobile_app_reviews_2025[[#This Row],[Review_date]],"YYYY")</f>
        <v>2024</v>
      </c>
      <c r="K1730" s="7" t="str">
        <f>TEXT(multilingual_mobile_app_reviews_2025[[#This Row],[Review_date]],"MMMM")</f>
        <v>September</v>
      </c>
      <c r="L1730" s="4" t="b">
        <v>1</v>
      </c>
      <c r="M1730" s="4" t="s">
        <v>33</v>
      </c>
      <c r="N1730" s="5">
        <v>294</v>
      </c>
      <c r="O1730" s="5">
        <v>25</v>
      </c>
      <c r="P1730" s="4" t="s">
        <v>44</v>
      </c>
      <c r="Q1730" s="8" t="s">
        <v>29</v>
      </c>
      <c r="R1730" s="4" t="s">
        <v>1056</v>
      </c>
      <c r="S1730" s="4"/>
      <c r="T1730"/>
      <c r="U1730" s="23"/>
    </row>
    <row r="1731" spans="1:21" ht="15.6" x14ac:dyDescent="0.3">
      <c r="A1731" s="4">
        <v>1730</v>
      </c>
      <c r="B1731" s="5">
        <v>6407661</v>
      </c>
      <c r="C1731" s="4" t="s">
        <v>208</v>
      </c>
      <c r="D1731" s="4" t="s">
        <v>220</v>
      </c>
      <c r="E1731" s="4" t="s">
        <v>76</v>
      </c>
      <c r="F1731" s="4" t="s">
        <v>2949</v>
      </c>
      <c r="G1731" s="6">
        <v>1.1000000000000001</v>
      </c>
      <c r="H1731" s="7">
        <v>45746.590763888889</v>
      </c>
      <c r="I1731" s="7" t="str">
        <f>TEXT(multilingual_mobile_app_reviews_2025[[#This Row],[Review_date]],"dd-mm-yyyy")</f>
        <v>30-03-2025</v>
      </c>
      <c r="J1731" s="7" t="str">
        <f>TEXT(multilingual_mobile_app_reviews_2025[[#This Row],[Review_date]],"YYYY")</f>
        <v>2025</v>
      </c>
      <c r="K1731" s="7" t="str">
        <f>TEXT(multilingual_mobile_app_reviews_2025[[#This Row],[Review_date]],"MMMM")</f>
        <v>March</v>
      </c>
      <c r="L1731" s="4" t="b">
        <v>1</v>
      </c>
      <c r="M1731" s="4" t="s">
        <v>98</v>
      </c>
      <c r="N1731" s="5">
        <v>511</v>
      </c>
      <c r="O1731" s="5">
        <v>29</v>
      </c>
      <c r="P1731" s="4" t="s">
        <v>73</v>
      </c>
      <c r="Q1731" s="8" t="s">
        <v>39</v>
      </c>
      <c r="R1731" s="4" t="s">
        <v>2060</v>
      </c>
      <c r="S1731" s="4"/>
      <c r="T1731"/>
      <c r="U1731" s="23"/>
    </row>
    <row r="1732" spans="1:21" ht="15.6" x14ac:dyDescent="0.3">
      <c r="A1732" s="4">
        <v>1731</v>
      </c>
      <c r="B1732" s="5">
        <v>1711322</v>
      </c>
      <c r="C1732" s="4" t="s">
        <v>87</v>
      </c>
      <c r="D1732" s="4" t="s">
        <v>57</v>
      </c>
      <c r="E1732" s="4" t="s">
        <v>2061</v>
      </c>
      <c r="F1732" s="4" t="s">
        <v>2949</v>
      </c>
      <c r="G1732" s="6">
        <v>3.2</v>
      </c>
      <c r="H1732" s="7">
        <v>45416.602546296293</v>
      </c>
      <c r="I1732" s="7" t="str">
        <f>TEXT(multilingual_mobile_app_reviews_2025[[#This Row],[Review_date]],"dd-mm-yyyy")</f>
        <v>04-05-2024</v>
      </c>
      <c r="J1732" s="7" t="str">
        <f>TEXT(multilingual_mobile_app_reviews_2025[[#This Row],[Review_date]],"YYYY")</f>
        <v>2024</v>
      </c>
      <c r="K1732" s="7" t="str">
        <f>TEXT(multilingual_mobile_app_reviews_2025[[#This Row],[Review_date]],"MMMM")</f>
        <v>May</v>
      </c>
      <c r="L1732" s="4" t="b">
        <v>1</v>
      </c>
      <c r="M1732" s="4" t="s">
        <v>3</v>
      </c>
      <c r="N1732" s="5">
        <v>612</v>
      </c>
      <c r="O1732" s="5">
        <v>33</v>
      </c>
      <c r="P1732" s="4" t="s">
        <v>61</v>
      </c>
      <c r="Q1732" s="8" t="s">
        <v>2963</v>
      </c>
      <c r="R1732" s="4" t="s">
        <v>2062</v>
      </c>
      <c r="S1732" s="4"/>
      <c r="T1732"/>
      <c r="U1732" s="23"/>
    </row>
    <row r="1733" spans="1:21" ht="15.6" x14ac:dyDescent="0.3">
      <c r="A1733" s="4">
        <v>1732</v>
      </c>
      <c r="B1733" s="5">
        <v>6042386</v>
      </c>
      <c r="C1733" s="4" t="s">
        <v>264</v>
      </c>
      <c r="D1733" s="4" t="s">
        <v>220</v>
      </c>
      <c r="E1733" s="4" t="s">
        <v>9</v>
      </c>
      <c r="F1733" s="4" t="s">
        <v>2958</v>
      </c>
      <c r="G1733" s="6">
        <v>1.5</v>
      </c>
      <c r="H1733" s="7">
        <v>45471.058738425927</v>
      </c>
      <c r="I1733" s="7" t="str">
        <f>TEXT(multilingual_mobile_app_reviews_2025[[#This Row],[Review_date]],"dd-mm-yyyy")</f>
        <v>28-06-2024</v>
      </c>
      <c r="J1733" s="7" t="str">
        <f>TEXT(multilingual_mobile_app_reviews_2025[[#This Row],[Review_date]],"YYYY")</f>
        <v>2024</v>
      </c>
      <c r="K1733" s="7" t="str">
        <f>TEXT(multilingual_mobile_app_reviews_2025[[#This Row],[Review_date]],"MMMM")</f>
        <v>June</v>
      </c>
      <c r="L1733" s="4" t="b">
        <v>1</v>
      </c>
      <c r="M1733" s="4" t="s">
        <v>22</v>
      </c>
      <c r="N1733" s="5">
        <v>195</v>
      </c>
      <c r="O1733" s="5">
        <v>55</v>
      </c>
      <c r="P1733" s="4" t="s">
        <v>38</v>
      </c>
      <c r="Q1733" s="8" t="s">
        <v>12</v>
      </c>
      <c r="R1733" s="4" t="s">
        <v>2063</v>
      </c>
      <c r="S1733" s="4"/>
      <c r="T1733"/>
      <c r="U1733" s="23"/>
    </row>
    <row r="1734" spans="1:21" ht="15.6" x14ac:dyDescent="0.3">
      <c r="A1734" s="4">
        <v>1733</v>
      </c>
      <c r="B1734" s="5">
        <v>7154914</v>
      </c>
      <c r="C1734" s="4" t="s">
        <v>87</v>
      </c>
      <c r="D1734" s="4" t="s">
        <v>8</v>
      </c>
      <c r="E1734" s="4" t="s">
        <v>21</v>
      </c>
      <c r="F1734" s="4" t="s">
        <v>2943</v>
      </c>
      <c r="G1734" s="6">
        <v>1.6</v>
      </c>
      <c r="H1734" s="7">
        <v>45457.535567129627</v>
      </c>
      <c r="I1734" s="7" t="str">
        <f>TEXT(multilingual_mobile_app_reviews_2025[[#This Row],[Review_date]],"dd-mm-yyyy")</f>
        <v>14-06-2024</v>
      </c>
      <c r="J1734" s="7" t="str">
        <f>TEXT(multilingual_mobile_app_reviews_2025[[#This Row],[Review_date]],"YYYY")</f>
        <v>2024</v>
      </c>
      <c r="K1734" s="7" t="str">
        <f>TEXT(multilingual_mobile_app_reviews_2025[[#This Row],[Review_date]],"MMMM")</f>
        <v>June</v>
      </c>
      <c r="L1734" s="4" t="b">
        <v>1</v>
      </c>
      <c r="M1734" s="4" t="s">
        <v>33</v>
      </c>
      <c r="N1734" s="5">
        <v>782</v>
      </c>
      <c r="O1734" s="5">
        <v>72</v>
      </c>
      <c r="P1734" s="4" t="s">
        <v>114</v>
      </c>
      <c r="Q1734" s="8" t="s">
        <v>39</v>
      </c>
      <c r="R1734" s="4" t="s">
        <v>2064</v>
      </c>
      <c r="S1734" s="4"/>
      <c r="T1734"/>
      <c r="U1734" s="23"/>
    </row>
    <row r="1735" spans="1:21" ht="15.6" x14ac:dyDescent="0.3">
      <c r="A1735" s="4">
        <v>1734</v>
      </c>
      <c r="B1735" s="5">
        <v>564274</v>
      </c>
      <c r="C1735" s="4" t="s">
        <v>147</v>
      </c>
      <c r="D1735" s="4" t="s">
        <v>60</v>
      </c>
      <c r="E1735" s="4" t="s">
        <v>27</v>
      </c>
      <c r="F1735" s="4" t="s">
        <v>2944</v>
      </c>
      <c r="G1735" s="6">
        <v>4.0999999999999996</v>
      </c>
      <c r="H1735" s="7">
        <v>45847.683252314811</v>
      </c>
      <c r="I1735" s="7" t="str">
        <f>TEXT(multilingual_mobile_app_reviews_2025[[#This Row],[Review_date]],"dd-mm-yyyy")</f>
        <v>09-07-2025</v>
      </c>
      <c r="J1735" s="7" t="str">
        <f>TEXT(multilingual_mobile_app_reviews_2025[[#This Row],[Review_date]],"YYYY")</f>
        <v>2025</v>
      </c>
      <c r="K1735" s="7" t="str">
        <f>TEXT(multilingual_mobile_app_reviews_2025[[#This Row],[Review_date]],"MMMM")</f>
        <v>July</v>
      </c>
      <c r="L1735" s="4" t="b">
        <v>1</v>
      </c>
      <c r="M1735" s="4" t="s">
        <v>3</v>
      </c>
      <c r="N1735" s="5">
        <v>337</v>
      </c>
      <c r="O1735" s="5">
        <v>52</v>
      </c>
      <c r="P1735" s="4" t="s">
        <v>90</v>
      </c>
      <c r="Q1735" s="8" t="s">
        <v>2963</v>
      </c>
      <c r="R1735" s="4" t="s">
        <v>246</v>
      </c>
      <c r="S1735" s="4"/>
      <c r="T1735"/>
      <c r="U1735" s="23"/>
    </row>
    <row r="1736" spans="1:21" ht="15.6" x14ac:dyDescent="0.3">
      <c r="A1736" s="4">
        <v>1735</v>
      </c>
      <c r="B1736" s="5">
        <v>543289</v>
      </c>
      <c r="C1736" s="4" t="s">
        <v>123</v>
      </c>
      <c r="D1736" s="4" t="s">
        <v>8</v>
      </c>
      <c r="E1736" s="4" t="s">
        <v>64</v>
      </c>
      <c r="F1736" s="4" t="s">
        <v>2958</v>
      </c>
      <c r="G1736" s="6">
        <v>2.4</v>
      </c>
      <c r="H1736" s="7">
        <v>45734.445902777778</v>
      </c>
      <c r="I1736" s="7" t="str">
        <f>TEXT(multilingual_mobile_app_reviews_2025[[#This Row],[Review_date]],"dd-mm-yyyy")</f>
        <v>18-03-2025</v>
      </c>
      <c r="J1736" s="7" t="str">
        <f>TEXT(multilingual_mobile_app_reviews_2025[[#This Row],[Review_date]],"YYYY")</f>
        <v>2025</v>
      </c>
      <c r="K1736" s="7" t="str">
        <f>TEXT(multilingual_mobile_app_reviews_2025[[#This Row],[Review_date]],"MMMM")</f>
        <v>March</v>
      </c>
      <c r="L1736" s="4" t="b">
        <v>1</v>
      </c>
      <c r="M1736" s="4" t="s">
        <v>33</v>
      </c>
      <c r="N1736" s="5">
        <v>846</v>
      </c>
      <c r="O1736" s="5">
        <v>53</v>
      </c>
      <c r="P1736" s="4" t="s">
        <v>4</v>
      </c>
      <c r="Q1736" s="8" t="s">
        <v>2963</v>
      </c>
      <c r="R1736" s="4" t="s">
        <v>2065</v>
      </c>
      <c r="S1736" s="4"/>
      <c r="T1736"/>
      <c r="U1736" s="23"/>
    </row>
    <row r="1737" spans="1:21" ht="15.6" x14ac:dyDescent="0.3">
      <c r="A1737" s="4">
        <v>1736</v>
      </c>
      <c r="B1737" s="5">
        <v>1583592</v>
      </c>
      <c r="C1737" s="4" t="s">
        <v>174</v>
      </c>
      <c r="D1737" s="4" t="s">
        <v>1</v>
      </c>
      <c r="E1737" s="4" t="s">
        <v>27</v>
      </c>
      <c r="F1737" s="4" t="s">
        <v>2946</v>
      </c>
      <c r="G1737" s="6">
        <v>2.7</v>
      </c>
      <c r="H1737" s="7">
        <v>45725.969340277778</v>
      </c>
      <c r="I1737" s="7" t="str">
        <f>TEXT(multilingual_mobile_app_reviews_2025[[#This Row],[Review_date]],"dd-mm-yyyy")</f>
        <v>09-03-2025</v>
      </c>
      <c r="J1737" s="7" t="str">
        <f>TEXT(multilingual_mobile_app_reviews_2025[[#This Row],[Review_date]],"YYYY")</f>
        <v>2025</v>
      </c>
      <c r="K1737" s="7" t="str">
        <f>TEXT(multilingual_mobile_app_reviews_2025[[#This Row],[Review_date]],"MMMM")</f>
        <v>March</v>
      </c>
      <c r="L1737" s="4" t="b">
        <v>1</v>
      </c>
      <c r="M1737" s="4" t="s">
        <v>22</v>
      </c>
      <c r="N1737" s="5">
        <v>1054</v>
      </c>
      <c r="O1737" s="5">
        <v>21</v>
      </c>
      <c r="P1737" s="4" t="s">
        <v>99</v>
      </c>
      <c r="Q1737" s="8" t="s">
        <v>39</v>
      </c>
      <c r="R1737" s="4" t="s">
        <v>2066</v>
      </c>
      <c r="S1737" s="4"/>
      <c r="T1737"/>
      <c r="U1737" s="23"/>
    </row>
    <row r="1738" spans="1:21" ht="15.6" x14ac:dyDescent="0.3">
      <c r="A1738" s="4">
        <v>1737</v>
      </c>
      <c r="B1738" s="5">
        <v>5173262</v>
      </c>
      <c r="C1738" s="4" t="s">
        <v>92</v>
      </c>
      <c r="D1738" s="4" t="s">
        <v>8</v>
      </c>
      <c r="E1738" s="4" t="s">
        <v>130</v>
      </c>
      <c r="F1738" s="4" t="s">
        <v>2939</v>
      </c>
      <c r="G1738" s="6">
        <v>2.2000000000000002</v>
      </c>
      <c r="H1738" s="7">
        <v>45749.873472222222</v>
      </c>
      <c r="I1738" s="7" t="str">
        <f>TEXT(multilingual_mobile_app_reviews_2025[[#This Row],[Review_date]],"dd-mm-yyyy")</f>
        <v>02-04-2025</v>
      </c>
      <c r="J1738" s="7" t="str">
        <f>TEXT(multilingual_mobile_app_reviews_2025[[#This Row],[Review_date]],"YYYY")</f>
        <v>2025</v>
      </c>
      <c r="K1738" s="7" t="str">
        <f>TEXT(multilingual_mobile_app_reviews_2025[[#This Row],[Review_date]],"MMMM")</f>
        <v>April</v>
      </c>
      <c r="L1738" s="4" t="b">
        <v>1</v>
      </c>
      <c r="M1738" s="4" t="s">
        <v>22</v>
      </c>
      <c r="N1738" s="5">
        <v>240</v>
      </c>
      <c r="O1738" s="5">
        <v>75</v>
      </c>
      <c r="P1738" s="4" t="s">
        <v>114</v>
      </c>
      <c r="Q1738" s="8" t="s">
        <v>2963</v>
      </c>
      <c r="R1738" s="4" t="s">
        <v>2067</v>
      </c>
      <c r="S1738" s="4"/>
      <c r="T1738"/>
      <c r="U1738" s="23"/>
    </row>
    <row r="1739" spans="1:21" ht="15.6" x14ac:dyDescent="0.3">
      <c r="A1739" s="4">
        <v>1738</v>
      </c>
      <c r="B1739" s="5">
        <v>9836194</v>
      </c>
      <c r="C1739" s="4" t="s">
        <v>59</v>
      </c>
      <c r="D1739" s="4" t="s">
        <v>111</v>
      </c>
      <c r="E1739" s="4" t="s">
        <v>9</v>
      </c>
      <c r="F1739" s="4" t="s">
        <v>2960</v>
      </c>
      <c r="G1739" s="6">
        <v>1.1000000000000001</v>
      </c>
      <c r="H1739" s="7">
        <v>45536.721053240741</v>
      </c>
      <c r="I1739" s="7" t="str">
        <f>TEXT(multilingual_mobile_app_reviews_2025[[#This Row],[Review_date]],"dd-mm-yyyy")</f>
        <v>01-09-2024</v>
      </c>
      <c r="J1739" s="7" t="str">
        <f>TEXT(multilingual_mobile_app_reviews_2025[[#This Row],[Review_date]],"YYYY")</f>
        <v>2024</v>
      </c>
      <c r="K1739" s="7" t="str">
        <f>TEXT(multilingual_mobile_app_reviews_2025[[#This Row],[Review_date]],"MMMM")</f>
        <v>September</v>
      </c>
      <c r="L1739" s="4" t="b">
        <v>1</v>
      </c>
      <c r="M1739" s="4" t="s">
        <v>3</v>
      </c>
      <c r="N1739" s="5">
        <v>773</v>
      </c>
      <c r="O1739" s="5">
        <v>74</v>
      </c>
      <c r="P1739" s="4" t="s">
        <v>61</v>
      </c>
      <c r="Q1739" s="8" t="s">
        <v>5</v>
      </c>
      <c r="R1739" s="4" t="s">
        <v>2068</v>
      </c>
      <c r="S1739" s="4"/>
      <c r="T1739"/>
      <c r="U1739" s="23"/>
    </row>
    <row r="1740" spans="1:21" ht="15.6" x14ac:dyDescent="0.3">
      <c r="A1740" s="4">
        <v>1739</v>
      </c>
      <c r="B1740" s="5">
        <v>2235317</v>
      </c>
      <c r="C1740" s="4" t="s">
        <v>56</v>
      </c>
      <c r="D1740" s="4" t="s">
        <v>31</v>
      </c>
      <c r="E1740" s="4" t="s">
        <v>2069</v>
      </c>
      <c r="F1740" s="4" t="s">
        <v>2947</v>
      </c>
      <c r="G1740" s="6">
        <v>3.2</v>
      </c>
      <c r="H1740" s="7">
        <v>45818.441631944443</v>
      </c>
      <c r="I1740" s="7" t="str">
        <f>TEXT(multilingual_mobile_app_reviews_2025[[#This Row],[Review_date]],"dd-mm-yyyy")</f>
        <v>10-06-2025</v>
      </c>
      <c r="J1740" s="7" t="str">
        <f>TEXT(multilingual_mobile_app_reviews_2025[[#This Row],[Review_date]],"YYYY")</f>
        <v>2025</v>
      </c>
      <c r="K1740" s="7" t="str">
        <f>TEXT(multilingual_mobile_app_reviews_2025[[#This Row],[Review_date]],"MMMM")</f>
        <v>June</v>
      </c>
      <c r="L1740" s="4" t="b">
        <v>1</v>
      </c>
      <c r="M1740" s="4" t="s">
        <v>10</v>
      </c>
      <c r="N1740" s="5">
        <v>901</v>
      </c>
      <c r="O1740" s="5">
        <v>21</v>
      </c>
      <c r="P1740" s="4" t="s">
        <v>90</v>
      </c>
      <c r="Q1740" s="8" t="s">
        <v>39</v>
      </c>
      <c r="R1740" s="4" t="s">
        <v>2070</v>
      </c>
      <c r="S1740" s="4"/>
      <c r="T1740"/>
      <c r="U1740" s="23"/>
    </row>
    <row r="1741" spans="1:21" ht="15.6" x14ac:dyDescent="0.3">
      <c r="A1741" s="4">
        <v>1740</v>
      </c>
      <c r="B1741" s="5">
        <v>7821222</v>
      </c>
      <c r="C1741" s="4" t="s">
        <v>258</v>
      </c>
      <c r="D1741" s="4" t="s">
        <v>157</v>
      </c>
      <c r="E1741" s="4" t="s">
        <v>32</v>
      </c>
      <c r="F1741" s="4" t="s">
        <v>2940</v>
      </c>
      <c r="G1741" s="6">
        <v>4.5</v>
      </c>
      <c r="H1741" s="7">
        <v>45790.702662037038</v>
      </c>
      <c r="I1741" s="7" t="str">
        <f>TEXT(multilingual_mobile_app_reviews_2025[[#This Row],[Review_date]],"dd-mm-yyyy")</f>
        <v>13-05-2025</v>
      </c>
      <c r="J1741" s="7" t="str">
        <f>TEXT(multilingual_mobile_app_reviews_2025[[#This Row],[Review_date]],"YYYY")</f>
        <v>2025</v>
      </c>
      <c r="K1741" s="7" t="str">
        <f>TEXT(multilingual_mobile_app_reviews_2025[[#This Row],[Review_date]],"MMMM")</f>
        <v>May</v>
      </c>
      <c r="L1741" s="4" t="b">
        <v>1</v>
      </c>
      <c r="M1741" s="4" t="s">
        <v>33</v>
      </c>
      <c r="N1741" s="5">
        <v>721</v>
      </c>
      <c r="O1741" s="5">
        <v>27</v>
      </c>
      <c r="P1741" s="4" t="s">
        <v>80</v>
      </c>
      <c r="Q1741" s="8" t="s">
        <v>5</v>
      </c>
      <c r="R1741" s="4" t="s">
        <v>2071</v>
      </c>
      <c r="S1741" s="4"/>
      <c r="T1741"/>
      <c r="U1741" s="23"/>
    </row>
    <row r="1742" spans="1:21" ht="15.6" x14ac:dyDescent="0.3">
      <c r="A1742" s="4">
        <v>1741</v>
      </c>
      <c r="B1742" s="5">
        <v>1520343</v>
      </c>
      <c r="C1742" s="4" t="s">
        <v>19</v>
      </c>
      <c r="D1742" s="4" t="s">
        <v>51</v>
      </c>
      <c r="E1742" s="4" t="s">
        <v>76</v>
      </c>
      <c r="F1742" s="4" t="s">
        <v>2944</v>
      </c>
      <c r="G1742" s="6">
        <v>1.7</v>
      </c>
      <c r="H1742" s="7">
        <v>45181.359386574077</v>
      </c>
      <c r="I1742" s="7" t="str">
        <f>TEXT(multilingual_mobile_app_reviews_2025[[#This Row],[Review_date]],"dd-mm-yyyy")</f>
        <v>12-09-2023</v>
      </c>
      <c r="J1742" s="7" t="str">
        <f>TEXT(multilingual_mobile_app_reviews_2025[[#This Row],[Review_date]],"YYYY")</f>
        <v>2023</v>
      </c>
      <c r="K1742" s="7" t="str">
        <f>TEXT(multilingual_mobile_app_reviews_2025[[#This Row],[Review_date]],"MMMM")</f>
        <v>September</v>
      </c>
      <c r="L1742" s="4" t="b">
        <v>1</v>
      </c>
      <c r="M1742" s="4" t="s">
        <v>98</v>
      </c>
      <c r="N1742" s="5">
        <v>796</v>
      </c>
      <c r="O1742" s="5">
        <v>60</v>
      </c>
      <c r="P1742" s="4" t="s">
        <v>17</v>
      </c>
      <c r="Q1742" s="8" t="s">
        <v>2963</v>
      </c>
      <c r="R1742" s="4" t="s">
        <v>2072</v>
      </c>
      <c r="S1742" s="4"/>
      <c r="T1742"/>
      <c r="U1742" s="23"/>
    </row>
    <row r="1743" spans="1:21" ht="15.6" x14ac:dyDescent="0.3">
      <c r="A1743" s="4">
        <v>1742</v>
      </c>
      <c r="B1743" s="5">
        <v>1895982</v>
      </c>
      <c r="C1743" s="4" t="s">
        <v>154</v>
      </c>
      <c r="D1743" s="4" t="s">
        <v>15</v>
      </c>
      <c r="E1743" s="4" t="s">
        <v>2073</v>
      </c>
      <c r="F1743" s="4" t="s">
        <v>2943</v>
      </c>
      <c r="G1743" s="6">
        <v>4</v>
      </c>
      <c r="H1743" s="7">
        <v>45663.695034722223</v>
      </c>
      <c r="I1743" s="7" t="str">
        <f>TEXT(multilingual_mobile_app_reviews_2025[[#This Row],[Review_date]],"dd-mm-yyyy")</f>
        <v>06-01-2025</v>
      </c>
      <c r="J1743" s="7" t="str">
        <f>TEXT(multilingual_mobile_app_reviews_2025[[#This Row],[Review_date]],"YYYY")</f>
        <v>2025</v>
      </c>
      <c r="K1743" s="7" t="str">
        <f>TEXT(multilingual_mobile_app_reviews_2025[[#This Row],[Review_date]],"MMMM")</f>
        <v>January</v>
      </c>
      <c r="L1743" s="4" t="b">
        <v>0</v>
      </c>
      <c r="M1743" s="4" t="s">
        <v>33</v>
      </c>
      <c r="N1743" s="5">
        <v>762</v>
      </c>
      <c r="O1743" s="5">
        <v>49</v>
      </c>
      <c r="P1743" s="4" t="s">
        <v>230</v>
      </c>
      <c r="Q1743" s="8" t="s">
        <v>5</v>
      </c>
      <c r="R1743" s="4" t="s">
        <v>2074</v>
      </c>
      <c r="S1743" s="4"/>
      <c r="T1743"/>
      <c r="U1743" s="23"/>
    </row>
    <row r="1744" spans="1:21" ht="15.6" x14ac:dyDescent="0.3">
      <c r="A1744" s="4">
        <v>1743</v>
      </c>
      <c r="B1744" s="5">
        <v>2696701</v>
      </c>
      <c r="C1744" s="4" t="s">
        <v>7</v>
      </c>
      <c r="D1744" s="4" t="s">
        <v>220</v>
      </c>
      <c r="E1744" s="4" t="s">
        <v>32</v>
      </c>
      <c r="F1744" s="4" t="s">
        <v>2946</v>
      </c>
      <c r="G1744" s="6">
        <v>2.7</v>
      </c>
      <c r="H1744" s="7">
        <v>45372.588159722225</v>
      </c>
      <c r="I1744" s="7" t="str">
        <f>TEXT(multilingual_mobile_app_reviews_2025[[#This Row],[Review_date]],"dd-mm-yyyy")</f>
        <v>21-03-2024</v>
      </c>
      <c r="J1744" s="7" t="str">
        <f>TEXT(multilingual_mobile_app_reviews_2025[[#This Row],[Review_date]],"YYYY")</f>
        <v>2024</v>
      </c>
      <c r="K1744" s="7" t="str">
        <f>TEXT(multilingual_mobile_app_reviews_2025[[#This Row],[Review_date]],"MMMM")</f>
        <v>March</v>
      </c>
      <c r="L1744" s="4" t="b">
        <v>0</v>
      </c>
      <c r="M1744" s="4" t="s">
        <v>3</v>
      </c>
      <c r="N1744" s="5">
        <v>975</v>
      </c>
      <c r="O1744" s="5">
        <v>44</v>
      </c>
      <c r="P1744" s="4" t="s">
        <v>162</v>
      </c>
      <c r="Q1744" s="8" t="s">
        <v>2963</v>
      </c>
      <c r="R1744" s="4" t="s">
        <v>2075</v>
      </c>
      <c r="S1744" s="4"/>
      <c r="T1744"/>
      <c r="U1744" s="23"/>
    </row>
    <row r="1745" spans="1:21" ht="15.6" x14ac:dyDescent="0.3">
      <c r="A1745" s="4">
        <v>1744</v>
      </c>
      <c r="B1745" s="5">
        <v>5315882</v>
      </c>
      <c r="C1745" s="4" t="s">
        <v>106</v>
      </c>
      <c r="D1745" s="4" t="s">
        <v>60</v>
      </c>
      <c r="E1745" s="4" t="s">
        <v>64</v>
      </c>
      <c r="F1745" s="4" t="s">
        <v>2939</v>
      </c>
      <c r="G1745" s="6">
        <v>4.8</v>
      </c>
      <c r="H1745" s="7">
        <v>45697.452407407407</v>
      </c>
      <c r="I1745" s="7" t="str">
        <f>TEXT(multilingual_mobile_app_reviews_2025[[#This Row],[Review_date]],"dd-mm-yyyy")</f>
        <v>09-02-2025</v>
      </c>
      <c r="J1745" s="7" t="str">
        <f>TEXT(multilingual_mobile_app_reviews_2025[[#This Row],[Review_date]],"YYYY")</f>
        <v>2025</v>
      </c>
      <c r="K1745" s="7" t="str">
        <f>TEXT(multilingual_mobile_app_reviews_2025[[#This Row],[Review_date]],"MMMM")</f>
        <v>February</v>
      </c>
      <c r="L1745" s="4" t="b">
        <v>1</v>
      </c>
      <c r="M1745" s="4" t="s">
        <v>33</v>
      </c>
      <c r="N1745" s="5">
        <v>609</v>
      </c>
      <c r="O1745" s="5">
        <v>24</v>
      </c>
      <c r="P1745" s="4" t="s">
        <v>90</v>
      </c>
      <c r="Q1745" s="8" t="s">
        <v>2963</v>
      </c>
      <c r="R1745" s="4" t="s">
        <v>2076</v>
      </c>
      <c r="S1745" s="4"/>
      <c r="T1745"/>
      <c r="U1745" s="23"/>
    </row>
    <row r="1746" spans="1:21" ht="15.6" x14ac:dyDescent="0.3">
      <c r="A1746" s="4">
        <v>1745</v>
      </c>
      <c r="B1746" s="5">
        <v>8236197</v>
      </c>
      <c r="C1746" s="4" t="s">
        <v>159</v>
      </c>
      <c r="D1746" s="4" t="s">
        <v>1</v>
      </c>
      <c r="E1746" s="4" t="s">
        <v>93</v>
      </c>
      <c r="F1746" s="4" t="s">
        <v>2942</v>
      </c>
      <c r="G1746" s="6">
        <v>2.2999999999999998</v>
      </c>
      <c r="H1746" s="7">
        <v>45623.292361111111</v>
      </c>
      <c r="I1746" s="7" t="str">
        <f>TEXT(multilingual_mobile_app_reviews_2025[[#This Row],[Review_date]],"dd-mm-yyyy")</f>
        <v>27-11-2024</v>
      </c>
      <c r="J1746" s="7" t="str">
        <f>TEXT(multilingual_mobile_app_reviews_2025[[#This Row],[Review_date]],"YYYY")</f>
        <v>2024</v>
      </c>
      <c r="K1746" s="7" t="str">
        <f>TEXT(multilingual_mobile_app_reviews_2025[[#This Row],[Review_date]],"MMMM")</f>
        <v>November</v>
      </c>
      <c r="L1746" s="4" t="b">
        <v>0</v>
      </c>
      <c r="M1746" s="4" t="s">
        <v>33</v>
      </c>
      <c r="N1746" s="5">
        <v>0</v>
      </c>
      <c r="O1746" s="5">
        <v>32</v>
      </c>
      <c r="P1746" s="4" t="s">
        <v>114</v>
      </c>
      <c r="Q1746" s="8" t="s">
        <v>5</v>
      </c>
      <c r="R1746" s="4" t="s">
        <v>2077</v>
      </c>
      <c r="S1746" s="4"/>
      <c r="T1746"/>
      <c r="U1746" s="23"/>
    </row>
    <row r="1747" spans="1:21" ht="15.6" x14ac:dyDescent="0.3">
      <c r="A1747" s="4">
        <v>1746</v>
      </c>
      <c r="B1747" s="5">
        <v>3467185</v>
      </c>
      <c r="C1747" s="4" t="s">
        <v>87</v>
      </c>
      <c r="D1747" s="4" t="s">
        <v>42</v>
      </c>
      <c r="E1747" s="4" t="s">
        <v>32</v>
      </c>
      <c r="F1747" s="4" t="s">
        <v>2944</v>
      </c>
      <c r="G1747" s="6">
        <v>4.3</v>
      </c>
      <c r="H1747" s="7">
        <v>45227.975277777776</v>
      </c>
      <c r="I1747" s="7" t="str">
        <f>TEXT(multilingual_mobile_app_reviews_2025[[#This Row],[Review_date]],"dd-mm-yyyy")</f>
        <v>28-10-2023</v>
      </c>
      <c r="J1747" s="7" t="str">
        <f>TEXT(multilingual_mobile_app_reviews_2025[[#This Row],[Review_date]],"YYYY")</f>
        <v>2023</v>
      </c>
      <c r="K1747" s="7" t="str">
        <f>TEXT(multilingual_mobile_app_reviews_2025[[#This Row],[Review_date]],"MMMM")</f>
        <v>October</v>
      </c>
      <c r="L1747" s="4" t="b">
        <v>1</v>
      </c>
      <c r="M1747" s="4" t="s">
        <v>33</v>
      </c>
      <c r="N1747" s="5">
        <v>37</v>
      </c>
      <c r="O1747" s="5">
        <v>32</v>
      </c>
      <c r="P1747" s="4" t="s">
        <v>38</v>
      </c>
      <c r="Q1747" s="8" t="s">
        <v>2963</v>
      </c>
      <c r="R1747" s="4" t="s">
        <v>2078</v>
      </c>
      <c r="S1747" s="4"/>
      <c r="T1747"/>
      <c r="U1747" s="23"/>
    </row>
    <row r="1748" spans="1:21" ht="15.6" x14ac:dyDescent="0.3">
      <c r="A1748" s="4">
        <v>1747</v>
      </c>
      <c r="B1748" s="5">
        <v>100599</v>
      </c>
      <c r="C1748" s="4" t="s">
        <v>132</v>
      </c>
      <c r="D1748" s="4" t="s">
        <v>15</v>
      </c>
      <c r="E1748" s="4" t="s">
        <v>32</v>
      </c>
      <c r="F1748" s="4" t="s">
        <v>2946</v>
      </c>
      <c r="G1748" s="6">
        <v>1.7</v>
      </c>
      <c r="H1748" s="7">
        <v>45257.734039351853</v>
      </c>
      <c r="I1748" s="7" t="str">
        <f>TEXT(multilingual_mobile_app_reviews_2025[[#This Row],[Review_date]],"dd-mm-yyyy")</f>
        <v>27-11-2023</v>
      </c>
      <c r="J1748" s="7" t="str">
        <f>TEXT(multilingual_mobile_app_reviews_2025[[#This Row],[Review_date]],"YYYY")</f>
        <v>2023</v>
      </c>
      <c r="K1748" s="7" t="str">
        <f>TEXT(multilingual_mobile_app_reviews_2025[[#This Row],[Review_date]],"MMMM")</f>
        <v>November</v>
      </c>
      <c r="L1748" s="4" t="b">
        <v>1</v>
      </c>
      <c r="M1748" s="4" t="s">
        <v>98</v>
      </c>
      <c r="N1748" s="5">
        <v>1196</v>
      </c>
      <c r="O1748" s="5">
        <v>56</v>
      </c>
      <c r="P1748" s="4" t="s">
        <v>11</v>
      </c>
      <c r="Q1748" s="8" t="s">
        <v>12</v>
      </c>
      <c r="R1748" s="4" t="s">
        <v>2079</v>
      </c>
      <c r="S1748" s="4"/>
      <c r="T1748"/>
      <c r="U1748" s="23"/>
    </row>
    <row r="1749" spans="1:21" ht="15.6" x14ac:dyDescent="0.3">
      <c r="A1749" s="4">
        <v>1748</v>
      </c>
      <c r="B1749" s="5">
        <v>2130620</v>
      </c>
      <c r="C1749" s="4" t="s">
        <v>92</v>
      </c>
      <c r="D1749" s="4" t="s">
        <v>63</v>
      </c>
      <c r="E1749" s="4" t="s">
        <v>76</v>
      </c>
      <c r="F1749" s="4" t="s">
        <v>2944</v>
      </c>
      <c r="G1749" s="6">
        <v>4.5999999999999996</v>
      </c>
      <c r="H1749" s="7">
        <v>45542.636388888888</v>
      </c>
      <c r="I1749" s="7" t="str">
        <f>TEXT(multilingual_mobile_app_reviews_2025[[#This Row],[Review_date]],"dd-mm-yyyy")</f>
        <v>07-09-2024</v>
      </c>
      <c r="J1749" s="7" t="str">
        <f>TEXT(multilingual_mobile_app_reviews_2025[[#This Row],[Review_date]],"YYYY")</f>
        <v>2024</v>
      </c>
      <c r="K1749" s="7" t="str">
        <f>TEXT(multilingual_mobile_app_reviews_2025[[#This Row],[Review_date]],"MMMM")</f>
        <v>September</v>
      </c>
      <c r="L1749" s="4" t="b">
        <v>1</v>
      </c>
      <c r="M1749" s="4" t="s">
        <v>33</v>
      </c>
      <c r="N1749" s="5">
        <v>960</v>
      </c>
      <c r="O1749" s="5">
        <v>19</v>
      </c>
      <c r="P1749" s="4" t="s">
        <v>94</v>
      </c>
      <c r="Q1749" s="8" t="s">
        <v>39</v>
      </c>
      <c r="R1749" s="4" t="s">
        <v>2080</v>
      </c>
      <c r="S1749" s="4"/>
      <c r="T1749"/>
      <c r="U1749" s="23"/>
    </row>
    <row r="1750" spans="1:21" ht="15.6" x14ac:dyDescent="0.3">
      <c r="A1750" s="4">
        <v>1749</v>
      </c>
      <c r="B1750" s="5">
        <v>4247429</v>
      </c>
      <c r="C1750" s="4" t="s">
        <v>69</v>
      </c>
      <c r="D1750" s="4" t="s">
        <v>42</v>
      </c>
      <c r="E1750" s="4" t="s">
        <v>16</v>
      </c>
      <c r="F1750" s="4" t="s">
        <v>2946</v>
      </c>
      <c r="G1750" s="6">
        <v>3.7</v>
      </c>
      <c r="H1750" s="7">
        <v>45297.557847222219</v>
      </c>
      <c r="I1750" s="7" t="str">
        <f>TEXT(multilingual_mobile_app_reviews_2025[[#This Row],[Review_date]],"dd-mm-yyyy")</f>
        <v>06-01-2024</v>
      </c>
      <c r="J1750" s="7" t="str">
        <f>TEXT(multilingual_mobile_app_reviews_2025[[#This Row],[Review_date]],"YYYY")</f>
        <v>2024</v>
      </c>
      <c r="K1750" s="7" t="str">
        <f>TEXT(multilingual_mobile_app_reviews_2025[[#This Row],[Review_date]],"MMMM")</f>
        <v>January</v>
      </c>
      <c r="L1750" s="4" t="b">
        <v>1</v>
      </c>
      <c r="M1750" s="4" t="s">
        <v>22</v>
      </c>
      <c r="N1750" s="5">
        <v>374</v>
      </c>
      <c r="O1750" s="5">
        <v>59</v>
      </c>
      <c r="P1750" s="4" t="s">
        <v>90</v>
      </c>
      <c r="Q1750" s="8" t="s">
        <v>12</v>
      </c>
      <c r="R1750" s="4" t="s">
        <v>2081</v>
      </c>
      <c r="S1750" s="4"/>
      <c r="T1750"/>
      <c r="U1750" s="23"/>
    </row>
    <row r="1751" spans="1:21" ht="15.6" x14ac:dyDescent="0.3">
      <c r="A1751" s="4">
        <v>1750</v>
      </c>
      <c r="B1751" s="5">
        <v>8048078</v>
      </c>
      <c r="C1751" s="4" t="s">
        <v>56</v>
      </c>
      <c r="D1751" s="4" t="s">
        <v>51</v>
      </c>
      <c r="E1751" s="4" t="s">
        <v>130</v>
      </c>
      <c r="F1751" s="4" t="s">
        <v>2959</v>
      </c>
      <c r="G1751" s="6">
        <v>4.8</v>
      </c>
      <c r="H1751" s="7">
        <v>45158.029444444444</v>
      </c>
      <c r="I1751" s="7" t="str">
        <f>TEXT(multilingual_mobile_app_reviews_2025[[#This Row],[Review_date]],"dd-mm-yyyy")</f>
        <v>20-08-2023</v>
      </c>
      <c r="J1751" s="7" t="str">
        <f>TEXT(multilingual_mobile_app_reviews_2025[[#This Row],[Review_date]],"YYYY")</f>
        <v>2023</v>
      </c>
      <c r="K1751" s="7" t="str">
        <f>TEXT(multilingual_mobile_app_reviews_2025[[#This Row],[Review_date]],"MMMM")</f>
        <v>August</v>
      </c>
      <c r="L1751" s="4" t="b">
        <v>1</v>
      </c>
      <c r="M1751" s="4" t="s">
        <v>33</v>
      </c>
      <c r="N1751" s="5">
        <v>775</v>
      </c>
      <c r="O1751" s="5">
        <v>74</v>
      </c>
      <c r="P1751" s="4" t="s">
        <v>99</v>
      </c>
      <c r="Q1751" s="8" t="s">
        <v>2963</v>
      </c>
      <c r="R1751" s="4" t="s">
        <v>2082</v>
      </c>
      <c r="S1751" s="4"/>
      <c r="T1751"/>
      <c r="U1751" s="23"/>
    </row>
    <row r="1752" spans="1:21" ht="15.6" x14ac:dyDescent="0.3">
      <c r="A1752" s="4">
        <v>1751</v>
      </c>
      <c r="B1752" s="5">
        <v>7545994</v>
      </c>
      <c r="C1752" s="4" t="s">
        <v>19</v>
      </c>
      <c r="D1752" s="4" t="s">
        <v>111</v>
      </c>
      <c r="E1752" s="4" t="s">
        <v>130</v>
      </c>
      <c r="F1752" s="4" t="s">
        <v>2960</v>
      </c>
      <c r="G1752" s="6">
        <v>4.4000000000000004</v>
      </c>
      <c r="H1752" s="7">
        <v>45442.354722222219</v>
      </c>
      <c r="I1752" s="7" t="str">
        <f>TEXT(multilingual_mobile_app_reviews_2025[[#This Row],[Review_date]],"dd-mm-yyyy")</f>
        <v>30-05-2024</v>
      </c>
      <c r="J1752" s="7" t="str">
        <f>TEXT(multilingual_mobile_app_reviews_2025[[#This Row],[Review_date]],"YYYY")</f>
        <v>2024</v>
      </c>
      <c r="K1752" s="7" t="str">
        <f>TEXT(multilingual_mobile_app_reviews_2025[[#This Row],[Review_date]],"MMMM")</f>
        <v>May</v>
      </c>
      <c r="L1752" s="4" t="b">
        <v>1</v>
      </c>
      <c r="M1752" s="4" t="s">
        <v>3</v>
      </c>
      <c r="N1752" s="5">
        <v>718</v>
      </c>
      <c r="O1752" s="5">
        <v>51</v>
      </c>
      <c r="P1752" s="4" t="s">
        <v>11</v>
      </c>
      <c r="Q1752" s="8" t="s">
        <v>39</v>
      </c>
      <c r="R1752" s="4" t="s">
        <v>2083</v>
      </c>
      <c r="S1752" s="4"/>
      <c r="T1752"/>
      <c r="U1752" s="23"/>
    </row>
    <row r="1753" spans="1:21" ht="15.6" x14ac:dyDescent="0.3">
      <c r="A1753" s="4">
        <v>1752</v>
      </c>
      <c r="B1753" s="5">
        <v>2143656</v>
      </c>
      <c r="C1753" s="4" t="s">
        <v>50</v>
      </c>
      <c r="D1753" s="4" t="s">
        <v>111</v>
      </c>
      <c r="E1753" s="4" t="s">
        <v>130</v>
      </c>
      <c r="F1753" s="4" t="s">
        <v>2944</v>
      </c>
      <c r="G1753" s="6">
        <v>4.5</v>
      </c>
      <c r="H1753" s="7">
        <v>45371.8359375</v>
      </c>
      <c r="I1753" s="7" t="str">
        <f>TEXT(multilingual_mobile_app_reviews_2025[[#This Row],[Review_date]],"dd-mm-yyyy")</f>
        <v>20-03-2024</v>
      </c>
      <c r="J1753" s="7" t="str">
        <f>TEXT(multilingual_mobile_app_reviews_2025[[#This Row],[Review_date]],"YYYY")</f>
        <v>2024</v>
      </c>
      <c r="K1753" s="7" t="str">
        <f>TEXT(multilingual_mobile_app_reviews_2025[[#This Row],[Review_date]],"MMMM")</f>
        <v>March</v>
      </c>
      <c r="L1753" s="4" t="b">
        <v>1</v>
      </c>
      <c r="M1753" s="4" t="s">
        <v>98</v>
      </c>
      <c r="N1753" s="5">
        <v>265</v>
      </c>
      <c r="O1753" s="5">
        <v>29</v>
      </c>
      <c r="P1753" s="4" t="s">
        <v>118</v>
      </c>
      <c r="Q1753" s="8" t="s">
        <v>2963</v>
      </c>
      <c r="R1753" s="4" t="s">
        <v>1195</v>
      </c>
      <c r="S1753" s="4"/>
      <c r="T1753"/>
      <c r="U1753" s="23"/>
    </row>
    <row r="1754" spans="1:21" ht="15.6" x14ac:dyDescent="0.3">
      <c r="A1754" s="4">
        <v>1753</v>
      </c>
      <c r="B1754" s="5">
        <v>8215466</v>
      </c>
      <c r="C1754" s="4" t="s">
        <v>41</v>
      </c>
      <c r="D1754" s="4" t="s">
        <v>15</v>
      </c>
      <c r="E1754" s="4" t="s">
        <v>2084</v>
      </c>
      <c r="F1754" s="4" t="s">
        <v>2943</v>
      </c>
      <c r="G1754" s="6">
        <v>2.1</v>
      </c>
      <c r="H1754" s="7">
        <v>45649.546712962961</v>
      </c>
      <c r="I1754" s="7" t="str">
        <f>TEXT(multilingual_mobile_app_reviews_2025[[#This Row],[Review_date]],"dd-mm-yyyy")</f>
        <v>23-12-2024</v>
      </c>
      <c r="J1754" s="7" t="str">
        <f>TEXT(multilingual_mobile_app_reviews_2025[[#This Row],[Review_date]],"YYYY")</f>
        <v>2024</v>
      </c>
      <c r="K1754" s="7" t="str">
        <f>TEXT(multilingual_mobile_app_reviews_2025[[#This Row],[Review_date]],"MMMM")</f>
        <v>December</v>
      </c>
      <c r="L1754" s="4" t="b">
        <v>1</v>
      </c>
      <c r="M1754" s="4" t="s">
        <v>98</v>
      </c>
      <c r="N1754" s="5">
        <v>987</v>
      </c>
      <c r="O1754" s="5">
        <v>46</v>
      </c>
      <c r="P1754" s="4" t="s">
        <v>118</v>
      </c>
      <c r="Q1754" s="8" t="s">
        <v>39</v>
      </c>
      <c r="R1754" s="4" t="s">
        <v>2085</v>
      </c>
      <c r="S1754" s="4"/>
      <c r="T1754"/>
      <c r="U1754" s="23"/>
    </row>
    <row r="1755" spans="1:21" ht="15.6" x14ac:dyDescent="0.3">
      <c r="A1755" s="4">
        <v>1754</v>
      </c>
      <c r="B1755" s="5">
        <v>2965137</v>
      </c>
      <c r="C1755" s="4" t="s">
        <v>89</v>
      </c>
      <c r="D1755" s="4" t="s">
        <v>47</v>
      </c>
      <c r="E1755" s="4" t="s">
        <v>21</v>
      </c>
      <c r="F1755" s="4" t="s">
        <v>2961</v>
      </c>
      <c r="G1755" s="6">
        <v>3.1</v>
      </c>
      <c r="H1755" s="7">
        <v>45536.183715277781</v>
      </c>
      <c r="I1755" s="7" t="str">
        <f>TEXT(multilingual_mobile_app_reviews_2025[[#This Row],[Review_date]],"dd-mm-yyyy")</f>
        <v>01-09-2024</v>
      </c>
      <c r="J1755" s="7" t="str">
        <f>TEXT(multilingual_mobile_app_reviews_2025[[#This Row],[Review_date]],"YYYY")</f>
        <v>2024</v>
      </c>
      <c r="K1755" s="7" t="str">
        <f>TEXT(multilingual_mobile_app_reviews_2025[[#This Row],[Review_date]],"MMMM")</f>
        <v>September</v>
      </c>
      <c r="L1755" s="4" t="b">
        <v>0</v>
      </c>
      <c r="M1755" s="4" t="s">
        <v>10</v>
      </c>
      <c r="N1755" s="5">
        <v>59</v>
      </c>
      <c r="O1755" s="5">
        <v>43</v>
      </c>
      <c r="P1755" s="4" t="s">
        <v>17</v>
      </c>
      <c r="Q1755" s="8" t="s">
        <v>29</v>
      </c>
      <c r="R1755" s="4" t="s">
        <v>2963</v>
      </c>
      <c r="S1755" s="4"/>
      <c r="T1755"/>
      <c r="U1755" s="23"/>
    </row>
    <row r="1756" spans="1:21" ht="15.6" x14ac:dyDescent="0.3">
      <c r="A1756" s="4">
        <v>1755</v>
      </c>
      <c r="B1756" s="5">
        <v>9271785</v>
      </c>
      <c r="C1756" s="4" t="s">
        <v>101</v>
      </c>
      <c r="D1756" s="4" t="s">
        <v>220</v>
      </c>
      <c r="E1756" s="4" t="s">
        <v>76</v>
      </c>
      <c r="F1756" s="4" t="s">
        <v>2945</v>
      </c>
      <c r="G1756" s="6">
        <v>2.4</v>
      </c>
      <c r="H1756" s="7">
        <v>45294.495520833334</v>
      </c>
      <c r="I1756" s="7" t="str">
        <f>TEXT(multilingual_mobile_app_reviews_2025[[#This Row],[Review_date]],"dd-mm-yyyy")</f>
        <v>03-01-2024</v>
      </c>
      <c r="J1756" s="7" t="str">
        <f>TEXT(multilingual_mobile_app_reviews_2025[[#This Row],[Review_date]],"YYYY")</f>
        <v>2024</v>
      </c>
      <c r="K1756" s="7" t="str">
        <f>TEXT(multilingual_mobile_app_reviews_2025[[#This Row],[Review_date]],"MMMM")</f>
        <v>January</v>
      </c>
      <c r="L1756" s="4" t="b">
        <v>1</v>
      </c>
      <c r="M1756" s="4" t="s">
        <v>22</v>
      </c>
      <c r="N1756" s="5">
        <v>1091</v>
      </c>
      <c r="O1756" s="5">
        <v>41</v>
      </c>
      <c r="P1756" s="4" t="s">
        <v>38</v>
      </c>
      <c r="Q1756" s="8" t="s">
        <v>2963</v>
      </c>
      <c r="R1756" s="4" t="s">
        <v>2086</v>
      </c>
      <c r="S1756" s="4"/>
      <c r="T1756"/>
      <c r="U1756" s="23"/>
    </row>
    <row r="1757" spans="1:21" ht="15.6" x14ac:dyDescent="0.3">
      <c r="A1757" s="4">
        <v>1756</v>
      </c>
      <c r="B1757" s="5">
        <v>8160889</v>
      </c>
      <c r="C1757" s="4" t="s">
        <v>165</v>
      </c>
      <c r="D1757" s="4" t="s">
        <v>111</v>
      </c>
      <c r="E1757" s="4" t="s">
        <v>76</v>
      </c>
      <c r="F1757" s="4" t="s">
        <v>2947</v>
      </c>
      <c r="G1757" s="6">
        <v>1.8</v>
      </c>
      <c r="H1757" s="7">
        <v>45364.156041666669</v>
      </c>
      <c r="I1757" s="7" t="str">
        <f>TEXT(multilingual_mobile_app_reviews_2025[[#This Row],[Review_date]],"dd-mm-yyyy")</f>
        <v>13-03-2024</v>
      </c>
      <c r="J1757" s="7" t="str">
        <f>TEXT(multilingual_mobile_app_reviews_2025[[#This Row],[Review_date]],"YYYY")</f>
        <v>2024</v>
      </c>
      <c r="K1757" s="7" t="str">
        <f>TEXT(multilingual_mobile_app_reviews_2025[[#This Row],[Review_date]],"MMMM")</f>
        <v>March</v>
      </c>
      <c r="L1757" s="4" t="b">
        <v>1</v>
      </c>
      <c r="M1757" s="4" t="s">
        <v>33</v>
      </c>
      <c r="N1757" s="5">
        <v>971</v>
      </c>
      <c r="O1757" s="5">
        <v>29</v>
      </c>
      <c r="P1757" s="4" t="s">
        <v>80</v>
      </c>
      <c r="Q1757" s="8" t="s">
        <v>39</v>
      </c>
      <c r="R1757" s="4" t="s">
        <v>153</v>
      </c>
      <c r="S1757" s="4"/>
      <c r="T1757"/>
      <c r="U1757" s="23"/>
    </row>
    <row r="1758" spans="1:21" ht="15.6" x14ac:dyDescent="0.3">
      <c r="A1758" s="4">
        <v>1757</v>
      </c>
      <c r="B1758" s="5">
        <v>1778051</v>
      </c>
      <c r="C1758" s="4" t="s">
        <v>264</v>
      </c>
      <c r="D1758" s="4" t="s">
        <v>63</v>
      </c>
      <c r="E1758" s="4" t="s">
        <v>130</v>
      </c>
      <c r="F1758" s="4" t="s">
        <v>2949</v>
      </c>
      <c r="G1758" s="6">
        <v>1.4</v>
      </c>
      <c r="H1758" s="7">
        <v>45596.184629629628</v>
      </c>
      <c r="I1758" s="7" t="str">
        <f>TEXT(multilingual_mobile_app_reviews_2025[[#This Row],[Review_date]],"dd-mm-yyyy")</f>
        <v>31-10-2024</v>
      </c>
      <c r="J1758" s="7" t="str">
        <f>TEXT(multilingual_mobile_app_reviews_2025[[#This Row],[Review_date]],"YYYY")</f>
        <v>2024</v>
      </c>
      <c r="K1758" s="7" t="str">
        <f>TEXT(multilingual_mobile_app_reviews_2025[[#This Row],[Review_date]],"MMMM")</f>
        <v>October</v>
      </c>
      <c r="L1758" s="4" t="b">
        <v>1</v>
      </c>
      <c r="M1758" s="4" t="s">
        <v>33</v>
      </c>
      <c r="N1758" s="5">
        <v>671</v>
      </c>
      <c r="O1758" s="5">
        <v>20</v>
      </c>
      <c r="P1758" s="4" t="s">
        <v>11</v>
      </c>
      <c r="Q1758" s="8" t="s">
        <v>39</v>
      </c>
      <c r="R1758" s="4" t="s">
        <v>2087</v>
      </c>
      <c r="S1758" s="4"/>
      <c r="T1758"/>
      <c r="U1758" s="23"/>
    </row>
    <row r="1759" spans="1:21" ht="15.6" x14ac:dyDescent="0.3">
      <c r="A1759" s="4">
        <v>1758</v>
      </c>
      <c r="B1759" s="5">
        <v>6262932</v>
      </c>
      <c r="C1759" s="4" t="s">
        <v>89</v>
      </c>
      <c r="D1759" s="4" t="s">
        <v>97</v>
      </c>
      <c r="E1759" s="4" t="s">
        <v>27</v>
      </c>
      <c r="F1759" s="4" t="s">
        <v>2954</v>
      </c>
      <c r="G1759" s="6">
        <v>2.8</v>
      </c>
      <c r="H1759" s="7">
        <v>45657.495925925927</v>
      </c>
      <c r="I1759" s="7" t="str">
        <f>TEXT(multilingual_mobile_app_reviews_2025[[#This Row],[Review_date]],"dd-mm-yyyy")</f>
        <v>31-12-2024</v>
      </c>
      <c r="J1759" s="7" t="str">
        <f>TEXT(multilingual_mobile_app_reviews_2025[[#This Row],[Review_date]],"YYYY")</f>
        <v>2024</v>
      </c>
      <c r="K1759" s="7" t="str">
        <f>TEXT(multilingual_mobile_app_reviews_2025[[#This Row],[Review_date]],"MMMM")</f>
        <v>December</v>
      </c>
      <c r="L1759" s="4" t="b">
        <v>1</v>
      </c>
      <c r="M1759" s="4" t="s">
        <v>10</v>
      </c>
      <c r="N1759" s="5">
        <v>552</v>
      </c>
      <c r="O1759" s="5">
        <v>58</v>
      </c>
      <c r="P1759" s="4" t="s">
        <v>99</v>
      </c>
      <c r="Q1759" s="8" t="s">
        <v>2963</v>
      </c>
      <c r="R1759" s="4" t="s">
        <v>2088</v>
      </c>
      <c r="S1759" s="4"/>
      <c r="T1759"/>
      <c r="U1759" s="23"/>
    </row>
    <row r="1760" spans="1:21" ht="15.6" x14ac:dyDescent="0.3">
      <c r="A1760" s="4">
        <v>1759</v>
      </c>
      <c r="B1760" s="5">
        <v>6663066</v>
      </c>
      <c r="C1760" s="4" t="s">
        <v>92</v>
      </c>
      <c r="D1760" s="4" t="s">
        <v>157</v>
      </c>
      <c r="E1760" s="4" t="s">
        <v>2089</v>
      </c>
      <c r="F1760" s="4" t="s">
        <v>2947</v>
      </c>
      <c r="G1760" s="6">
        <v>2.2999999999999998</v>
      </c>
      <c r="H1760" s="7">
        <v>45803.628518518519</v>
      </c>
      <c r="I1760" s="7" t="str">
        <f>TEXT(multilingual_mobile_app_reviews_2025[[#This Row],[Review_date]],"dd-mm-yyyy")</f>
        <v>26-05-2025</v>
      </c>
      <c r="J1760" s="7" t="str">
        <f>TEXT(multilingual_mobile_app_reviews_2025[[#This Row],[Review_date]],"YYYY")</f>
        <v>2025</v>
      </c>
      <c r="K1760" s="7" t="str">
        <f>TEXT(multilingual_mobile_app_reviews_2025[[#This Row],[Review_date]],"MMMM")</f>
        <v>May</v>
      </c>
      <c r="L1760" s="4" t="b">
        <v>1</v>
      </c>
      <c r="M1760" s="4" t="s">
        <v>3</v>
      </c>
      <c r="N1760" s="5">
        <v>123</v>
      </c>
      <c r="O1760" s="5">
        <v>43</v>
      </c>
      <c r="P1760" s="4" t="s">
        <v>4</v>
      </c>
      <c r="Q1760" s="8" t="s">
        <v>2963</v>
      </c>
      <c r="R1760" s="4" t="s">
        <v>2090</v>
      </c>
      <c r="S1760" s="4"/>
      <c r="T1760"/>
      <c r="U1760" s="23"/>
    </row>
    <row r="1761" spans="1:21" ht="15.6" x14ac:dyDescent="0.3">
      <c r="A1761" s="4">
        <v>1760</v>
      </c>
      <c r="B1761" s="5">
        <v>3636303</v>
      </c>
      <c r="C1761" s="4" t="s">
        <v>159</v>
      </c>
      <c r="D1761" s="4" t="s">
        <v>1</v>
      </c>
      <c r="E1761" s="4" t="s">
        <v>130</v>
      </c>
      <c r="F1761" s="4" t="s">
        <v>2944</v>
      </c>
      <c r="G1761" s="6">
        <v>2.5</v>
      </c>
      <c r="H1761" s="7">
        <v>45409.825706018521</v>
      </c>
      <c r="I1761" s="7" t="str">
        <f>TEXT(multilingual_mobile_app_reviews_2025[[#This Row],[Review_date]],"dd-mm-yyyy")</f>
        <v>27-04-2024</v>
      </c>
      <c r="J1761" s="7" t="str">
        <f>TEXT(multilingual_mobile_app_reviews_2025[[#This Row],[Review_date]],"YYYY")</f>
        <v>2024</v>
      </c>
      <c r="K1761" s="7" t="str">
        <f>TEXT(multilingual_mobile_app_reviews_2025[[#This Row],[Review_date]],"MMMM")</f>
        <v>April</v>
      </c>
      <c r="L1761" s="4" t="b">
        <v>0</v>
      </c>
      <c r="M1761" s="4" t="s">
        <v>33</v>
      </c>
      <c r="N1761" s="5">
        <v>1066</v>
      </c>
      <c r="O1761" s="5">
        <v>74</v>
      </c>
      <c r="P1761" s="4" t="s">
        <v>114</v>
      </c>
      <c r="Q1761" s="8" t="s">
        <v>12</v>
      </c>
      <c r="R1761" s="4" t="s">
        <v>86</v>
      </c>
      <c r="S1761" s="4"/>
      <c r="T1761"/>
      <c r="U1761" s="23"/>
    </row>
    <row r="1762" spans="1:21" ht="15.6" x14ac:dyDescent="0.3">
      <c r="A1762" s="4">
        <v>1761</v>
      </c>
      <c r="B1762" s="5">
        <v>8908972</v>
      </c>
      <c r="C1762" s="4" t="s">
        <v>192</v>
      </c>
      <c r="D1762" s="4" t="s">
        <v>57</v>
      </c>
      <c r="E1762" s="4" t="s">
        <v>16</v>
      </c>
      <c r="F1762" s="4" t="s">
        <v>2940</v>
      </c>
      <c r="G1762" s="6">
        <v>3.5</v>
      </c>
      <c r="H1762" s="7">
        <v>45442.285150462965</v>
      </c>
      <c r="I1762" s="7" t="str">
        <f>TEXT(multilingual_mobile_app_reviews_2025[[#This Row],[Review_date]],"dd-mm-yyyy")</f>
        <v>30-05-2024</v>
      </c>
      <c r="J1762" s="7" t="str">
        <f>TEXT(multilingual_mobile_app_reviews_2025[[#This Row],[Review_date]],"YYYY")</f>
        <v>2024</v>
      </c>
      <c r="K1762" s="7" t="str">
        <f>TEXT(multilingual_mobile_app_reviews_2025[[#This Row],[Review_date]],"MMMM")</f>
        <v>May</v>
      </c>
      <c r="L1762" s="4" t="b">
        <v>1</v>
      </c>
      <c r="M1762" s="4" t="s">
        <v>3</v>
      </c>
      <c r="N1762" s="5">
        <v>744</v>
      </c>
      <c r="O1762" s="5">
        <v>20</v>
      </c>
      <c r="P1762" s="4" t="s">
        <v>118</v>
      </c>
      <c r="Q1762" s="8" t="s">
        <v>29</v>
      </c>
      <c r="R1762" s="4" t="s">
        <v>2091</v>
      </c>
      <c r="S1762" s="4"/>
      <c r="T1762"/>
      <c r="U1762" s="23"/>
    </row>
    <row r="1763" spans="1:21" ht="15.6" x14ac:dyDescent="0.3">
      <c r="A1763" s="4">
        <v>1762</v>
      </c>
      <c r="B1763" s="5">
        <v>1153034</v>
      </c>
      <c r="C1763" s="4" t="s">
        <v>123</v>
      </c>
      <c r="D1763" s="4" t="s">
        <v>57</v>
      </c>
      <c r="E1763" s="4" t="s">
        <v>64</v>
      </c>
      <c r="F1763" s="4" t="s">
        <v>2943</v>
      </c>
      <c r="G1763" s="6">
        <v>2.8</v>
      </c>
      <c r="H1763" s="7">
        <v>45274.414004629631</v>
      </c>
      <c r="I1763" s="7" t="str">
        <f>TEXT(multilingual_mobile_app_reviews_2025[[#This Row],[Review_date]],"dd-mm-yyyy")</f>
        <v>14-12-2023</v>
      </c>
      <c r="J1763" s="7" t="str">
        <f>TEXT(multilingual_mobile_app_reviews_2025[[#This Row],[Review_date]],"YYYY")</f>
        <v>2023</v>
      </c>
      <c r="K1763" s="7" t="str">
        <f>TEXT(multilingual_mobile_app_reviews_2025[[#This Row],[Review_date]],"MMMM")</f>
        <v>December</v>
      </c>
      <c r="L1763" s="4" t="b">
        <v>0</v>
      </c>
      <c r="M1763" s="4" t="s">
        <v>3</v>
      </c>
      <c r="N1763" s="5">
        <v>672</v>
      </c>
      <c r="O1763" s="5">
        <v>55</v>
      </c>
      <c r="P1763" s="4" t="s">
        <v>114</v>
      </c>
      <c r="Q1763" s="8" t="s">
        <v>12</v>
      </c>
      <c r="R1763" s="4" t="s">
        <v>2092</v>
      </c>
      <c r="S1763" s="4"/>
      <c r="T1763"/>
      <c r="U1763" s="23"/>
    </row>
    <row r="1764" spans="1:21" ht="15.6" x14ac:dyDescent="0.3">
      <c r="A1764" s="4">
        <v>1763</v>
      </c>
      <c r="B1764" s="5">
        <v>2640116</v>
      </c>
      <c r="C1764" s="4" t="s">
        <v>147</v>
      </c>
      <c r="D1764" s="4" t="s">
        <v>42</v>
      </c>
      <c r="E1764" s="4" t="s">
        <v>32</v>
      </c>
      <c r="F1764" s="4" t="s">
        <v>2944</v>
      </c>
      <c r="G1764" s="6">
        <v>2</v>
      </c>
      <c r="H1764" s="7">
        <v>45412.181446759256</v>
      </c>
      <c r="I1764" s="7" t="str">
        <f>TEXT(multilingual_mobile_app_reviews_2025[[#This Row],[Review_date]],"dd-mm-yyyy")</f>
        <v>30-04-2024</v>
      </c>
      <c r="J1764" s="7" t="str">
        <f>TEXT(multilingual_mobile_app_reviews_2025[[#This Row],[Review_date]],"YYYY")</f>
        <v>2024</v>
      </c>
      <c r="K1764" s="7" t="str">
        <f>TEXT(multilingual_mobile_app_reviews_2025[[#This Row],[Review_date]],"MMMM")</f>
        <v>April</v>
      </c>
      <c r="L1764" s="4" t="b">
        <v>0</v>
      </c>
      <c r="M1764" s="4" t="s">
        <v>98</v>
      </c>
      <c r="N1764" s="5">
        <v>876</v>
      </c>
      <c r="O1764" s="5">
        <v>44</v>
      </c>
      <c r="P1764" s="4" t="s">
        <v>44</v>
      </c>
      <c r="Q1764" s="8" t="s">
        <v>2963</v>
      </c>
      <c r="R1764" s="4" t="s">
        <v>2093</v>
      </c>
      <c r="S1764" s="4"/>
      <c r="T1764"/>
      <c r="U1764" s="23"/>
    </row>
    <row r="1765" spans="1:21" ht="15.6" x14ac:dyDescent="0.3">
      <c r="A1765" s="4">
        <v>1764</v>
      </c>
      <c r="B1765" s="5">
        <v>9548051</v>
      </c>
      <c r="C1765" s="4" t="s">
        <v>78</v>
      </c>
      <c r="D1765" s="4" t="s">
        <v>51</v>
      </c>
      <c r="E1765" s="4" t="s">
        <v>76</v>
      </c>
      <c r="F1765" s="4" t="s">
        <v>2956</v>
      </c>
      <c r="G1765" s="6">
        <v>1.1000000000000001</v>
      </c>
      <c r="H1765" s="7">
        <v>45402.413437499999</v>
      </c>
      <c r="I1765" s="7" t="str">
        <f>TEXT(multilingual_mobile_app_reviews_2025[[#This Row],[Review_date]],"dd-mm-yyyy")</f>
        <v>20-04-2024</v>
      </c>
      <c r="J1765" s="7" t="str">
        <f>TEXT(multilingual_mobile_app_reviews_2025[[#This Row],[Review_date]],"YYYY")</f>
        <v>2024</v>
      </c>
      <c r="K1765" s="7" t="str">
        <f>TEXT(multilingual_mobile_app_reviews_2025[[#This Row],[Review_date]],"MMMM")</f>
        <v>April</v>
      </c>
      <c r="L1765" s="4" t="b">
        <v>1</v>
      </c>
      <c r="M1765" s="4" t="s">
        <v>10</v>
      </c>
      <c r="N1765" s="5">
        <v>892</v>
      </c>
      <c r="O1765" s="5">
        <v>13</v>
      </c>
      <c r="P1765" s="4" t="s">
        <v>61</v>
      </c>
      <c r="Q1765" s="8" t="s">
        <v>39</v>
      </c>
      <c r="R1765" s="4" t="s">
        <v>440</v>
      </c>
      <c r="S1765" s="4"/>
      <c r="T1765"/>
      <c r="U1765" s="23"/>
    </row>
    <row r="1766" spans="1:21" ht="15.6" x14ac:dyDescent="0.3">
      <c r="A1766" s="4">
        <v>1765</v>
      </c>
      <c r="B1766" s="5">
        <v>2449469</v>
      </c>
      <c r="C1766" s="4" t="s">
        <v>113</v>
      </c>
      <c r="D1766" s="4" t="s">
        <v>63</v>
      </c>
      <c r="E1766" s="4" t="s">
        <v>27</v>
      </c>
      <c r="F1766" s="4" t="s">
        <v>2953</v>
      </c>
      <c r="G1766" s="6">
        <v>1.1000000000000001</v>
      </c>
      <c r="H1766" s="7">
        <v>45355.071446759262</v>
      </c>
      <c r="I1766" s="7" t="str">
        <f>TEXT(multilingual_mobile_app_reviews_2025[[#This Row],[Review_date]],"dd-mm-yyyy")</f>
        <v>04-03-2024</v>
      </c>
      <c r="J1766" s="7" t="str">
        <f>TEXT(multilingual_mobile_app_reviews_2025[[#This Row],[Review_date]],"YYYY")</f>
        <v>2024</v>
      </c>
      <c r="K1766" s="7" t="str">
        <f>TEXT(multilingual_mobile_app_reviews_2025[[#This Row],[Review_date]],"MMMM")</f>
        <v>March</v>
      </c>
      <c r="L1766" s="4" t="b">
        <v>0</v>
      </c>
      <c r="M1766" s="4" t="s">
        <v>33</v>
      </c>
      <c r="N1766" s="5">
        <v>338</v>
      </c>
      <c r="O1766" s="5">
        <v>71</v>
      </c>
      <c r="P1766" s="4" t="s">
        <v>17</v>
      </c>
      <c r="Q1766" s="8" t="s">
        <v>2963</v>
      </c>
      <c r="R1766" s="4" t="s">
        <v>2094</v>
      </c>
      <c r="S1766" s="4"/>
      <c r="T1766"/>
      <c r="U1766" s="23"/>
    </row>
    <row r="1767" spans="1:21" ht="15.6" x14ac:dyDescent="0.3">
      <c r="A1767" s="4">
        <v>1766</v>
      </c>
      <c r="B1767" s="5">
        <v>5182320</v>
      </c>
      <c r="C1767" s="4" t="s">
        <v>104</v>
      </c>
      <c r="D1767" s="4" t="s">
        <v>1</v>
      </c>
      <c r="E1767" s="4" t="s">
        <v>27</v>
      </c>
      <c r="F1767" s="4" t="s">
        <v>2952</v>
      </c>
      <c r="G1767" s="6">
        <v>1.1000000000000001</v>
      </c>
      <c r="H1767" s="7">
        <v>45856.1640162037</v>
      </c>
      <c r="I1767" s="7" t="str">
        <f>TEXT(multilingual_mobile_app_reviews_2025[[#This Row],[Review_date]],"dd-mm-yyyy")</f>
        <v>18-07-2025</v>
      </c>
      <c r="J1767" s="7" t="str">
        <f>TEXT(multilingual_mobile_app_reviews_2025[[#This Row],[Review_date]],"YYYY")</f>
        <v>2025</v>
      </c>
      <c r="K1767" s="7" t="str">
        <f>TEXT(multilingual_mobile_app_reviews_2025[[#This Row],[Review_date]],"MMMM")</f>
        <v>July</v>
      </c>
      <c r="L1767" s="4" t="b">
        <v>1</v>
      </c>
      <c r="M1767" s="4" t="s">
        <v>22</v>
      </c>
      <c r="N1767" s="5">
        <v>1247</v>
      </c>
      <c r="O1767" s="5">
        <v>35</v>
      </c>
      <c r="P1767" s="4" t="s">
        <v>2963</v>
      </c>
      <c r="Q1767" s="8" t="s">
        <v>12</v>
      </c>
      <c r="R1767" s="4" t="s">
        <v>551</v>
      </c>
      <c r="S1767" s="4"/>
      <c r="T1767"/>
      <c r="U1767" s="23"/>
    </row>
    <row r="1768" spans="1:21" ht="15.6" x14ac:dyDescent="0.3">
      <c r="A1768" s="4">
        <v>1767</v>
      </c>
      <c r="B1768" s="5">
        <v>1244375</v>
      </c>
      <c r="C1768" s="4" t="s">
        <v>56</v>
      </c>
      <c r="D1768" s="4" t="s">
        <v>31</v>
      </c>
      <c r="E1768" s="4" t="s">
        <v>109</v>
      </c>
      <c r="F1768" s="4" t="s">
        <v>2962</v>
      </c>
      <c r="G1768" s="6">
        <v>3.1</v>
      </c>
      <c r="H1768" s="7">
        <v>45850.480798611112</v>
      </c>
      <c r="I1768" s="7" t="str">
        <f>TEXT(multilingual_mobile_app_reviews_2025[[#This Row],[Review_date]],"dd-mm-yyyy")</f>
        <v>12-07-2025</v>
      </c>
      <c r="J1768" s="7" t="str">
        <f>TEXT(multilingual_mobile_app_reviews_2025[[#This Row],[Review_date]],"YYYY")</f>
        <v>2025</v>
      </c>
      <c r="K1768" s="7" t="str">
        <f>TEXT(multilingual_mobile_app_reviews_2025[[#This Row],[Review_date]],"MMMM")</f>
        <v>July</v>
      </c>
      <c r="L1768" s="4" t="b">
        <v>0</v>
      </c>
      <c r="M1768" s="4" t="s">
        <v>98</v>
      </c>
      <c r="N1768" s="5">
        <v>66</v>
      </c>
      <c r="O1768" s="5">
        <v>49</v>
      </c>
      <c r="P1768" s="4" t="s">
        <v>17</v>
      </c>
      <c r="Q1768" s="8" t="s">
        <v>12</v>
      </c>
      <c r="R1768" s="4" t="s">
        <v>2095</v>
      </c>
      <c r="S1768" s="4"/>
      <c r="T1768"/>
      <c r="U1768" s="23"/>
    </row>
    <row r="1769" spans="1:21" ht="15.6" x14ac:dyDescent="0.3">
      <c r="A1769" s="4">
        <v>1768</v>
      </c>
      <c r="B1769" s="5">
        <v>8215888</v>
      </c>
      <c r="C1769" s="4" t="s">
        <v>41</v>
      </c>
      <c r="D1769" s="4" t="s">
        <v>79</v>
      </c>
      <c r="E1769" s="4" t="s">
        <v>64</v>
      </c>
      <c r="F1769" s="4" t="s">
        <v>2961</v>
      </c>
      <c r="G1769" s="6">
        <v>1.6</v>
      </c>
      <c r="H1769" s="7">
        <v>45431.332118055558</v>
      </c>
      <c r="I1769" s="7" t="str">
        <f>TEXT(multilingual_mobile_app_reviews_2025[[#This Row],[Review_date]],"dd-mm-yyyy")</f>
        <v>19-05-2024</v>
      </c>
      <c r="J1769" s="7" t="str">
        <f>TEXT(multilingual_mobile_app_reviews_2025[[#This Row],[Review_date]],"YYYY")</f>
        <v>2024</v>
      </c>
      <c r="K1769" s="7" t="str">
        <f>TEXT(multilingual_mobile_app_reviews_2025[[#This Row],[Review_date]],"MMMM")</f>
        <v>May</v>
      </c>
      <c r="L1769" s="4" t="b">
        <v>1</v>
      </c>
      <c r="M1769" s="4" t="s">
        <v>10</v>
      </c>
      <c r="N1769" s="5">
        <v>670</v>
      </c>
      <c r="O1769" s="5">
        <v>28</v>
      </c>
      <c r="P1769" s="4" t="s">
        <v>85</v>
      </c>
      <c r="Q1769" s="8" t="s">
        <v>12</v>
      </c>
      <c r="R1769" s="4" t="s">
        <v>779</v>
      </c>
      <c r="S1769" s="4"/>
      <c r="T1769"/>
      <c r="U1769" s="23"/>
    </row>
    <row r="1770" spans="1:21" ht="15.6" x14ac:dyDescent="0.3">
      <c r="A1770" s="4">
        <v>1769</v>
      </c>
      <c r="B1770" s="5">
        <v>3126182</v>
      </c>
      <c r="C1770" s="4" t="s">
        <v>192</v>
      </c>
      <c r="D1770" s="4" t="s">
        <v>31</v>
      </c>
      <c r="E1770" s="4" t="s">
        <v>2096</v>
      </c>
      <c r="F1770" s="4" t="s">
        <v>2954</v>
      </c>
      <c r="G1770" s="6">
        <v>1.7</v>
      </c>
      <c r="H1770" s="7">
        <v>45704.459317129629</v>
      </c>
      <c r="I1770" s="7" t="str">
        <f>TEXT(multilingual_mobile_app_reviews_2025[[#This Row],[Review_date]],"dd-mm-yyyy")</f>
        <v>16-02-2025</v>
      </c>
      <c r="J1770" s="7" t="str">
        <f>TEXT(multilingual_mobile_app_reviews_2025[[#This Row],[Review_date]],"YYYY")</f>
        <v>2025</v>
      </c>
      <c r="K1770" s="7" t="str">
        <f>TEXT(multilingual_mobile_app_reviews_2025[[#This Row],[Review_date]],"MMMM")</f>
        <v>February</v>
      </c>
      <c r="L1770" s="4" t="b">
        <v>1</v>
      </c>
      <c r="M1770" s="4" t="s">
        <v>10</v>
      </c>
      <c r="N1770" s="5">
        <v>747</v>
      </c>
      <c r="O1770" s="5">
        <v>54</v>
      </c>
      <c r="P1770" s="4" t="s">
        <v>70</v>
      </c>
      <c r="Q1770" s="8" t="s">
        <v>29</v>
      </c>
      <c r="R1770" s="4" t="s">
        <v>2097</v>
      </c>
      <c r="S1770" s="4"/>
      <c r="T1770"/>
      <c r="U1770" s="23"/>
    </row>
    <row r="1771" spans="1:21" ht="15.6" x14ac:dyDescent="0.3">
      <c r="A1771" s="4">
        <v>1770</v>
      </c>
      <c r="B1771" s="5">
        <v>7147372</v>
      </c>
      <c r="C1771" s="4" t="s">
        <v>50</v>
      </c>
      <c r="D1771" s="4" t="s">
        <v>63</v>
      </c>
      <c r="E1771" s="4" t="s">
        <v>93</v>
      </c>
      <c r="F1771" s="4" t="s">
        <v>2954</v>
      </c>
      <c r="G1771" s="6">
        <v>4.4000000000000004</v>
      </c>
      <c r="H1771" s="7">
        <v>45855.308738425927</v>
      </c>
      <c r="I1771" s="7" t="str">
        <f>TEXT(multilingual_mobile_app_reviews_2025[[#This Row],[Review_date]],"dd-mm-yyyy")</f>
        <v>17-07-2025</v>
      </c>
      <c r="J1771" s="7" t="str">
        <f>TEXT(multilingual_mobile_app_reviews_2025[[#This Row],[Review_date]],"YYYY")</f>
        <v>2025</v>
      </c>
      <c r="K1771" s="7" t="str">
        <f>TEXT(multilingual_mobile_app_reviews_2025[[#This Row],[Review_date]],"MMMM")</f>
        <v>July</v>
      </c>
      <c r="L1771" s="4" t="b">
        <v>1</v>
      </c>
      <c r="M1771" s="4" t="s">
        <v>10</v>
      </c>
      <c r="N1771" s="5">
        <v>1027</v>
      </c>
      <c r="O1771" s="5">
        <v>42</v>
      </c>
      <c r="P1771" s="4" t="s">
        <v>11</v>
      </c>
      <c r="Q1771" s="8" t="s">
        <v>12</v>
      </c>
      <c r="R1771" s="4" t="s">
        <v>2098</v>
      </c>
      <c r="S1771" s="4"/>
      <c r="T1771"/>
      <c r="U1771" s="23"/>
    </row>
    <row r="1772" spans="1:21" ht="15.6" x14ac:dyDescent="0.3">
      <c r="A1772" s="4">
        <v>1771</v>
      </c>
      <c r="B1772" s="5">
        <v>1138956</v>
      </c>
      <c r="C1772" s="4" t="s">
        <v>96</v>
      </c>
      <c r="D1772" s="4" t="s">
        <v>1</v>
      </c>
      <c r="E1772" s="4" t="s">
        <v>21</v>
      </c>
      <c r="F1772" s="4" t="s">
        <v>2962</v>
      </c>
      <c r="G1772" s="6">
        <v>2.6</v>
      </c>
      <c r="H1772" s="7">
        <v>45614.157870370371</v>
      </c>
      <c r="I1772" s="7" t="str">
        <f>TEXT(multilingual_mobile_app_reviews_2025[[#This Row],[Review_date]],"dd-mm-yyyy")</f>
        <v>18-11-2024</v>
      </c>
      <c r="J1772" s="7" t="str">
        <f>TEXT(multilingual_mobile_app_reviews_2025[[#This Row],[Review_date]],"YYYY")</f>
        <v>2024</v>
      </c>
      <c r="K1772" s="7" t="str">
        <f>TEXT(multilingual_mobile_app_reviews_2025[[#This Row],[Review_date]],"MMMM")</f>
        <v>November</v>
      </c>
      <c r="L1772" s="4" t="b">
        <v>1</v>
      </c>
      <c r="M1772" s="4" t="s">
        <v>10</v>
      </c>
      <c r="N1772" s="5">
        <v>84</v>
      </c>
      <c r="O1772" s="5">
        <v>28</v>
      </c>
      <c r="P1772" s="4" t="s">
        <v>73</v>
      </c>
      <c r="Q1772" s="8" t="s">
        <v>12</v>
      </c>
      <c r="R1772" s="4" t="s">
        <v>2099</v>
      </c>
      <c r="S1772" s="4"/>
      <c r="T1772"/>
      <c r="U1772" s="23"/>
    </row>
    <row r="1773" spans="1:21" ht="15.6" x14ac:dyDescent="0.3">
      <c r="A1773" s="4">
        <v>1772</v>
      </c>
      <c r="B1773" s="5">
        <v>2020551</v>
      </c>
      <c r="C1773" s="4" t="s">
        <v>137</v>
      </c>
      <c r="D1773" s="4" t="s">
        <v>220</v>
      </c>
      <c r="E1773" s="4" t="s">
        <v>2100</v>
      </c>
      <c r="F1773" s="4" t="s">
        <v>2951</v>
      </c>
      <c r="G1773" s="6">
        <v>3.7</v>
      </c>
      <c r="H1773" s="7">
        <v>45771.004733796297</v>
      </c>
      <c r="I1773" s="7" t="str">
        <f>TEXT(multilingual_mobile_app_reviews_2025[[#This Row],[Review_date]],"dd-mm-yyyy")</f>
        <v>24-04-2025</v>
      </c>
      <c r="J1773" s="7" t="str">
        <f>TEXT(multilingual_mobile_app_reviews_2025[[#This Row],[Review_date]],"YYYY")</f>
        <v>2025</v>
      </c>
      <c r="K1773" s="7" t="str">
        <f>TEXT(multilingual_mobile_app_reviews_2025[[#This Row],[Review_date]],"MMMM")</f>
        <v>April</v>
      </c>
      <c r="L1773" s="4" t="b">
        <v>1</v>
      </c>
      <c r="M1773" s="4" t="s">
        <v>3</v>
      </c>
      <c r="N1773" s="5">
        <v>898</v>
      </c>
      <c r="O1773" s="5">
        <v>62</v>
      </c>
      <c r="P1773" s="4" t="s">
        <v>73</v>
      </c>
      <c r="Q1773" s="8" t="s">
        <v>39</v>
      </c>
      <c r="R1773" s="4" t="s">
        <v>2101</v>
      </c>
      <c r="S1773" s="4"/>
      <c r="T1773"/>
      <c r="U1773" s="23"/>
    </row>
    <row r="1774" spans="1:21" ht="15.6" x14ac:dyDescent="0.3">
      <c r="A1774" s="4">
        <v>1773</v>
      </c>
      <c r="B1774" s="5">
        <v>3326188</v>
      </c>
      <c r="C1774" s="4" t="s">
        <v>25</v>
      </c>
      <c r="D1774" s="4" t="s">
        <v>47</v>
      </c>
      <c r="E1774" s="4" t="s">
        <v>130</v>
      </c>
      <c r="F1774" s="4" t="s">
        <v>2951</v>
      </c>
      <c r="G1774" s="6">
        <v>4.4000000000000004</v>
      </c>
      <c r="H1774" s="7">
        <v>45205.690659722219</v>
      </c>
      <c r="I1774" s="7" t="str">
        <f>TEXT(multilingual_mobile_app_reviews_2025[[#This Row],[Review_date]],"dd-mm-yyyy")</f>
        <v>06-10-2023</v>
      </c>
      <c r="J1774" s="7" t="str">
        <f>TEXT(multilingual_mobile_app_reviews_2025[[#This Row],[Review_date]],"YYYY")</f>
        <v>2023</v>
      </c>
      <c r="K1774" s="7" t="str">
        <f>TEXT(multilingual_mobile_app_reviews_2025[[#This Row],[Review_date]],"MMMM")</f>
        <v>October</v>
      </c>
      <c r="L1774" s="4" t="b">
        <v>1</v>
      </c>
      <c r="M1774" s="4" t="s">
        <v>33</v>
      </c>
      <c r="N1774" s="5">
        <v>508</v>
      </c>
      <c r="O1774" s="5">
        <v>43</v>
      </c>
      <c r="P1774" s="4" t="s">
        <v>144</v>
      </c>
      <c r="Q1774" s="8" t="s">
        <v>29</v>
      </c>
      <c r="R1774" s="4" t="s">
        <v>2102</v>
      </c>
      <c r="S1774" s="4"/>
      <c r="T1774"/>
      <c r="U1774" s="23"/>
    </row>
    <row r="1775" spans="1:21" ht="15.6" x14ac:dyDescent="0.3">
      <c r="A1775" s="4">
        <v>1774</v>
      </c>
      <c r="B1775" s="5">
        <v>506730</v>
      </c>
      <c r="C1775" s="4" t="s">
        <v>258</v>
      </c>
      <c r="D1775" s="4" t="s">
        <v>71</v>
      </c>
      <c r="E1775" s="4" t="s">
        <v>2103</v>
      </c>
      <c r="F1775" s="4" t="s">
        <v>2945</v>
      </c>
      <c r="G1775" s="6">
        <v>2.7</v>
      </c>
      <c r="H1775" s="7">
        <v>45403.516574074078</v>
      </c>
      <c r="I1775" s="7" t="str">
        <f>TEXT(multilingual_mobile_app_reviews_2025[[#This Row],[Review_date]],"dd-mm-yyyy")</f>
        <v>21-04-2024</v>
      </c>
      <c r="J1775" s="7" t="str">
        <f>TEXT(multilingual_mobile_app_reviews_2025[[#This Row],[Review_date]],"YYYY")</f>
        <v>2024</v>
      </c>
      <c r="K1775" s="7" t="str">
        <f>TEXT(multilingual_mobile_app_reviews_2025[[#This Row],[Review_date]],"MMMM")</f>
        <v>April</v>
      </c>
      <c r="L1775" s="4" t="b">
        <v>1</v>
      </c>
      <c r="M1775" s="4" t="s">
        <v>22</v>
      </c>
      <c r="N1775" s="5">
        <v>1154</v>
      </c>
      <c r="O1775" s="5">
        <v>34</v>
      </c>
      <c r="P1775" s="4" t="s">
        <v>90</v>
      </c>
      <c r="Q1775" s="8" t="s">
        <v>29</v>
      </c>
      <c r="R1775" s="4" t="s">
        <v>2104</v>
      </c>
      <c r="S1775" s="4"/>
      <c r="T1775"/>
      <c r="U1775" s="23"/>
    </row>
    <row r="1776" spans="1:21" ht="15.6" x14ac:dyDescent="0.3">
      <c r="A1776" s="4">
        <v>1775</v>
      </c>
      <c r="B1776" s="5">
        <v>8960962</v>
      </c>
      <c r="C1776" s="4" t="s">
        <v>176</v>
      </c>
      <c r="D1776" s="4" t="s">
        <v>57</v>
      </c>
      <c r="E1776" s="4" t="s">
        <v>76</v>
      </c>
      <c r="F1776" s="4" t="s">
        <v>2951</v>
      </c>
      <c r="G1776" s="6">
        <v>3</v>
      </c>
      <c r="H1776" s="7">
        <v>45524.269155092596</v>
      </c>
      <c r="I1776" s="7" t="str">
        <f>TEXT(multilingual_mobile_app_reviews_2025[[#This Row],[Review_date]],"dd-mm-yyyy")</f>
        <v>20-08-2024</v>
      </c>
      <c r="J1776" s="7" t="str">
        <f>TEXT(multilingual_mobile_app_reviews_2025[[#This Row],[Review_date]],"YYYY")</f>
        <v>2024</v>
      </c>
      <c r="K1776" s="7" t="str">
        <f>TEXT(multilingual_mobile_app_reviews_2025[[#This Row],[Review_date]],"MMMM")</f>
        <v>August</v>
      </c>
      <c r="L1776" s="4" t="b">
        <v>1</v>
      </c>
      <c r="M1776" s="4" t="s">
        <v>3</v>
      </c>
      <c r="N1776" s="5">
        <v>813</v>
      </c>
      <c r="O1776" s="5">
        <v>36</v>
      </c>
      <c r="P1776" s="4" t="s">
        <v>127</v>
      </c>
      <c r="Q1776" s="8" t="s">
        <v>12</v>
      </c>
      <c r="R1776" s="4" t="s">
        <v>2105</v>
      </c>
      <c r="S1776" s="4"/>
      <c r="T1776"/>
      <c r="U1776" s="23"/>
    </row>
    <row r="1777" spans="1:21" ht="15.6" x14ac:dyDescent="0.3">
      <c r="A1777" s="4">
        <v>1776</v>
      </c>
      <c r="B1777" s="5">
        <v>3580849</v>
      </c>
      <c r="C1777" s="4" t="s">
        <v>134</v>
      </c>
      <c r="D1777" s="4" t="s">
        <v>60</v>
      </c>
      <c r="E1777" s="4" t="s">
        <v>2106</v>
      </c>
      <c r="F1777" s="4" t="s">
        <v>2953</v>
      </c>
      <c r="G1777" s="6">
        <v>4.2</v>
      </c>
      <c r="H1777" s="7">
        <v>45816.524421296293</v>
      </c>
      <c r="I1777" s="7" t="str">
        <f>TEXT(multilingual_mobile_app_reviews_2025[[#This Row],[Review_date]],"dd-mm-yyyy")</f>
        <v>08-06-2025</v>
      </c>
      <c r="J1777" s="7" t="str">
        <f>TEXT(multilingual_mobile_app_reviews_2025[[#This Row],[Review_date]],"YYYY")</f>
        <v>2025</v>
      </c>
      <c r="K1777" s="7" t="str">
        <f>TEXT(multilingual_mobile_app_reviews_2025[[#This Row],[Review_date]],"MMMM")</f>
        <v>June</v>
      </c>
      <c r="L1777" s="4" t="b">
        <v>1</v>
      </c>
      <c r="M1777" s="4" t="s">
        <v>10</v>
      </c>
      <c r="N1777" s="5">
        <v>728</v>
      </c>
      <c r="O1777" s="5">
        <v>52</v>
      </c>
      <c r="P1777" s="4" t="s">
        <v>73</v>
      </c>
      <c r="Q1777" s="8" t="s">
        <v>39</v>
      </c>
      <c r="R1777" s="4" t="s">
        <v>2107</v>
      </c>
      <c r="S1777" s="4"/>
      <c r="T1777"/>
      <c r="U1777" s="23"/>
    </row>
    <row r="1778" spans="1:21" ht="15.6" x14ac:dyDescent="0.3">
      <c r="A1778" s="4">
        <v>1777</v>
      </c>
      <c r="B1778" s="5">
        <v>4932995</v>
      </c>
      <c r="C1778" s="4" t="s">
        <v>113</v>
      </c>
      <c r="D1778" s="4" t="s">
        <v>220</v>
      </c>
      <c r="E1778" s="4" t="s">
        <v>64</v>
      </c>
      <c r="F1778" s="4" t="s">
        <v>2955</v>
      </c>
      <c r="G1778" s="6">
        <v>2.4</v>
      </c>
      <c r="H1778" s="7">
        <v>45196.959374999999</v>
      </c>
      <c r="I1778" s="7" t="str">
        <f>TEXT(multilingual_mobile_app_reviews_2025[[#This Row],[Review_date]],"dd-mm-yyyy")</f>
        <v>27-09-2023</v>
      </c>
      <c r="J1778" s="7" t="str">
        <f>TEXT(multilingual_mobile_app_reviews_2025[[#This Row],[Review_date]],"YYYY")</f>
        <v>2023</v>
      </c>
      <c r="K1778" s="7" t="str">
        <f>TEXT(multilingual_mobile_app_reviews_2025[[#This Row],[Review_date]],"MMMM")</f>
        <v>September</v>
      </c>
      <c r="L1778" s="4" t="b">
        <v>1</v>
      </c>
      <c r="M1778" s="4" t="s">
        <v>98</v>
      </c>
      <c r="N1778" s="5">
        <v>617</v>
      </c>
      <c r="O1778" s="5">
        <v>64</v>
      </c>
      <c r="P1778" s="4" t="s">
        <v>44</v>
      </c>
      <c r="Q1778" s="8" t="s">
        <v>2963</v>
      </c>
      <c r="R1778" s="4" t="s">
        <v>2108</v>
      </c>
      <c r="S1778" s="4"/>
      <c r="T1778"/>
      <c r="U1778" s="23"/>
    </row>
    <row r="1779" spans="1:21" ht="15.6" x14ac:dyDescent="0.3">
      <c r="A1779" s="4">
        <v>1778</v>
      </c>
      <c r="B1779" s="5">
        <v>9752869</v>
      </c>
      <c r="C1779" s="4" t="s">
        <v>54</v>
      </c>
      <c r="D1779" s="4" t="s">
        <v>20</v>
      </c>
      <c r="E1779" s="4" t="s">
        <v>76</v>
      </c>
      <c r="F1779" s="4" t="s">
        <v>2941</v>
      </c>
      <c r="G1779" s="6">
        <v>3.5</v>
      </c>
      <c r="H1779" s="7">
        <v>45326.377951388888</v>
      </c>
      <c r="I1779" s="7" t="str">
        <f>TEXT(multilingual_mobile_app_reviews_2025[[#This Row],[Review_date]],"dd-mm-yyyy")</f>
        <v>04-02-2024</v>
      </c>
      <c r="J1779" s="7" t="str">
        <f>TEXT(multilingual_mobile_app_reviews_2025[[#This Row],[Review_date]],"YYYY")</f>
        <v>2024</v>
      </c>
      <c r="K1779" s="7" t="str">
        <f>TEXT(multilingual_mobile_app_reviews_2025[[#This Row],[Review_date]],"MMMM")</f>
        <v>February</v>
      </c>
      <c r="L1779" s="4" t="b">
        <v>1</v>
      </c>
      <c r="M1779" s="4" t="s">
        <v>33</v>
      </c>
      <c r="N1779" s="5">
        <v>935</v>
      </c>
      <c r="O1779" s="5">
        <v>50</v>
      </c>
      <c r="P1779" s="4" t="s">
        <v>17</v>
      </c>
      <c r="Q1779" s="8" t="s">
        <v>5</v>
      </c>
      <c r="R1779" s="4" t="s">
        <v>2109</v>
      </c>
      <c r="S1779" s="4"/>
      <c r="T1779"/>
      <c r="U1779" s="23"/>
    </row>
    <row r="1780" spans="1:21" ht="15.6" x14ac:dyDescent="0.3">
      <c r="A1780" s="4">
        <v>1779</v>
      </c>
      <c r="B1780" s="5">
        <v>8489396</v>
      </c>
      <c r="C1780" s="4" t="s">
        <v>67</v>
      </c>
      <c r="D1780" s="4" t="s">
        <v>20</v>
      </c>
      <c r="E1780" s="4" t="s">
        <v>2110</v>
      </c>
      <c r="F1780" s="4" t="s">
        <v>2949</v>
      </c>
      <c r="G1780" s="6">
        <v>2.4</v>
      </c>
      <c r="H1780" s="7">
        <v>45654.106666666667</v>
      </c>
      <c r="I1780" s="7" t="str">
        <f>TEXT(multilingual_mobile_app_reviews_2025[[#This Row],[Review_date]],"dd-mm-yyyy")</f>
        <v>28-12-2024</v>
      </c>
      <c r="J1780" s="7" t="str">
        <f>TEXT(multilingual_mobile_app_reviews_2025[[#This Row],[Review_date]],"YYYY")</f>
        <v>2024</v>
      </c>
      <c r="K1780" s="7" t="str">
        <f>TEXT(multilingual_mobile_app_reviews_2025[[#This Row],[Review_date]],"MMMM")</f>
        <v>December</v>
      </c>
      <c r="L1780" s="4" t="b">
        <v>1</v>
      </c>
      <c r="M1780" s="4" t="s">
        <v>98</v>
      </c>
      <c r="N1780" s="5">
        <v>180</v>
      </c>
      <c r="O1780" s="5">
        <v>15</v>
      </c>
      <c r="P1780" s="4" t="s">
        <v>162</v>
      </c>
      <c r="Q1780" s="8" t="s">
        <v>39</v>
      </c>
      <c r="R1780" s="4" t="s">
        <v>2111</v>
      </c>
      <c r="S1780" s="4"/>
      <c r="T1780"/>
      <c r="U1780" s="23"/>
    </row>
    <row r="1781" spans="1:21" ht="15.6" x14ac:dyDescent="0.3">
      <c r="A1781" s="4">
        <v>1780</v>
      </c>
      <c r="B1781" s="5">
        <v>4053000</v>
      </c>
      <c r="C1781" s="4" t="s">
        <v>113</v>
      </c>
      <c r="D1781" s="4" t="s">
        <v>47</v>
      </c>
      <c r="E1781" s="4" t="s">
        <v>27</v>
      </c>
      <c r="F1781" s="4" t="s">
        <v>2957</v>
      </c>
      <c r="G1781" s="6">
        <v>3.7</v>
      </c>
      <c r="H1781" s="7">
        <v>45522.233865740738</v>
      </c>
      <c r="I1781" s="7" t="str">
        <f>TEXT(multilingual_mobile_app_reviews_2025[[#This Row],[Review_date]],"dd-mm-yyyy")</f>
        <v>18-08-2024</v>
      </c>
      <c r="J1781" s="7" t="str">
        <f>TEXT(multilingual_mobile_app_reviews_2025[[#This Row],[Review_date]],"YYYY")</f>
        <v>2024</v>
      </c>
      <c r="K1781" s="7" t="str">
        <f>TEXT(multilingual_mobile_app_reviews_2025[[#This Row],[Review_date]],"MMMM")</f>
        <v>August</v>
      </c>
      <c r="L1781" s="4" t="b">
        <v>1</v>
      </c>
      <c r="M1781" s="4" t="s">
        <v>22</v>
      </c>
      <c r="N1781" s="5">
        <v>444</v>
      </c>
      <c r="O1781" s="5">
        <v>73</v>
      </c>
      <c r="P1781" s="4" t="s">
        <v>28</v>
      </c>
      <c r="Q1781" s="8" t="s">
        <v>2963</v>
      </c>
      <c r="R1781" s="4" t="s">
        <v>2112</v>
      </c>
      <c r="S1781" s="4"/>
      <c r="T1781"/>
      <c r="U1781" s="23"/>
    </row>
    <row r="1782" spans="1:21" ht="15.6" x14ac:dyDescent="0.3">
      <c r="A1782" s="4">
        <v>1781</v>
      </c>
      <c r="B1782" s="5">
        <v>9559937</v>
      </c>
      <c r="C1782" s="4" t="s">
        <v>67</v>
      </c>
      <c r="D1782" s="4" t="s">
        <v>51</v>
      </c>
      <c r="E1782" s="4" t="s">
        <v>93</v>
      </c>
      <c r="F1782" s="4" t="s">
        <v>2959</v>
      </c>
      <c r="G1782" s="6">
        <v>3.1</v>
      </c>
      <c r="H1782" s="7">
        <v>45841.28738425926</v>
      </c>
      <c r="I1782" s="7" t="str">
        <f>TEXT(multilingual_mobile_app_reviews_2025[[#This Row],[Review_date]],"dd-mm-yyyy")</f>
        <v>03-07-2025</v>
      </c>
      <c r="J1782" s="7" t="str">
        <f>TEXT(multilingual_mobile_app_reviews_2025[[#This Row],[Review_date]],"YYYY")</f>
        <v>2025</v>
      </c>
      <c r="K1782" s="7" t="str">
        <f>TEXT(multilingual_mobile_app_reviews_2025[[#This Row],[Review_date]],"MMMM")</f>
        <v>July</v>
      </c>
      <c r="L1782" s="4" t="b">
        <v>0</v>
      </c>
      <c r="M1782" s="4" t="s">
        <v>10</v>
      </c>
      <c r="N1782" s="5">
        <v>921</v>
      </c>
      <c r="O1782" s="5">
        <v>46</v>
      </c>
      <c r="P1782" s="4" t="s">
        <v>80</v>
      </c>
      <c r="Q1782" s="8" t="s">
        <v>29</v>
      </c>
      <c r="R1782" s="4" t="s">
        <v>2113</v>
      </c>
      <c r="S1782" s="4"/>
      <c r="T1782"/>
      <c r="U1782" s="23"/>
    </row>
    <row r="1783" spans="1:21" ht="15.6" x14ac:dyDescent="0.3">
      <c r="A1783" s="4">
        <v>1782</v>
      </c>
      <c r="B1783" s="5">
        <v>693277</v>
      </c>
      <c r="C1783" s="4" t="s">
        <v>174</v>
      </c>
      <c r="D1783" s="4" t="s">
        <v>42</v>
      </c>
      <c r="E1783" s="4" t="s">
        <v>76</v>
      </c>
      <c r="F1783" s="4" t="s">
        <v>2961</v>
      </c>
      <c r="G1783" s="6">
        <v>4.0999999999999996</v>
      </c>
      <c r="H1783" s="7">
        <v>45407.504467592589</v>
      </c>
      <c r="I1783" s="7" t="str">
        <f>TEXT(multilingual_mobile_app_reviews_2025[[#This Row],[Review_date]],"dd-mm-yyyy")</f>
        <v>25-04-2024</v>
      </c>
      <c r="J1783" s="7" t="str">
        <f>TEXT(multilingual_mobile_app_reviews_2025[[#This Row],[Review_date]],"YYYY")</f>
        <v>2024</v>
      </c>
      <c r="K1783" s="7" t="str">
        <f>TEXT(multilingual_mobile_app_reviews_2025[[#This Row],[Review_date]],"MMMM")</f>
        <v>April</v>
      </c>
      <c r="L1783" s="4" t="b">
        <v>1</v>
      </c>
      <c r="M1783" s="4" t="s">
        <v>3</v>
      </c>
      <c r="N1783" s="5">
        <v>598</v>
      </c>
      <c r="O1783" s="5">
        <v>43</v>
      </c>
      <c r="P1783" s="4" t="s">
        <v>230</v>
      </c>
      <c r="Q1783" s="8" t="s">
        <v>2963</v>
      </c>
      <c r="R1783" s="4" t="s">
        <v>2114</v>
      </c>
      <c r="S1783" s="4"/>
      <c r="T1783"/>
      <c r="U1783" s="23"/>
    </row>
    <row r="1784" spans="1:21" ht="15.6" x14ac:dyDescent="0.3">
      <c r="A1784" s="4">
        <v>1783</v>
      </c>
      <c r="B1784" s="5">
        <v>7083351</v>
      </c>
      <c r="C1784" s="4" t="s">
        <v>46</v>
      </c>
      <c r="D1784" s="4" t="s">
        <v>220</v>
      </c>
      <c r="E1784" s="4" t="s">
        <v>2115</v>
      </c>
      <c r="F1784" s="4" t="s">
        <v>2946</v>
      </c>
      <c r="G1784" s="6">
        <v>3.4</v>
      </c>
      <c r="H1784" s="7">
        <v>45313.831261574072</v>
      </c>
      <c r="I1784" s="7" t="str">
        <f>TEXT(multilingual_mobile_app_reviews_2025[[#This Row],[Review_date]],"dd-mm-yyyy")</f>
        <v>22-01-2024</v>
      </c>
      <c r="J1784" s="7" t="str">
        <f>TEXT(multilingual_mobile_app_reviews_2025[[#This Row],[Review_date]],"YYYY")</f>
        <v>2024</v>
      </c>
      <c r="K1784" s="7" t="str">
        <f>TEXT(multilingual_mobile_app_reviews_2025[[#This Row],[Review_date]],"MMMM")</f>
        <v>January</v>
      </c>
      <c r="L1784" s="4" t="b">
        <v>0</v>
      </c>
      <c r="M1784" s="4" t="s">
        <v>10</v>
      </c>
      <c r="N1784" s="5">
        <v>1061</v>
      </c>
      <c r="O1784" s="5">
        <v>18</v>
      </c>
      <c r="P1784" s="4" t="s">
        <v>94</v>
      </c>
      <c r="Q1784" s="8" t="s">
        <v>2963</v>
      </c>
      <c r="R1784" s="4" t="s">
        <v>2116</v>
      </c>
      <c r="S1784" s="4"/>
      <c r="T1784"/>
      <c r="U1784" s="23"/>
    </row>
    <row r="1785" spans="1:21" ht="15.6" x14ac:dyDescent="0.3">
      <c r="A1785" s="4">
        <v>1784</v>
      </c>
      <c r="B1785" s="5">
        <v>5976348</v>
      </c>
      <c r="C1785" s="4" t="s">
        <v>101</v>
      </c>
      <c r="D1785" s="4" t="s">
        <v>97</v>
      </c>
      <c r="E1785" s="4" t="s">
        <v>2117</v>
      </c>
      <c r="F1785" s="4" t="s">
        <v>2955</v>
      </c>
      <c r="G1785" s="6">
        <v>3.8</v>
      </c>
      <c r="H1785" s="7">
        <v>45683.623437499999</v>
      </c>
      <c r="I1785" s="7" t="str">
        <f>TEXT(multilingual_mobile_app_reviews_2025[[#This Row],[Review_date]],"dd-mm-yyyy")</f>
        <v>26-01-2025</v>
      </c>
      <c r="J1785" s="7" t="str">
        <f>TEXT(multilingual_mobile_app_reviews_2025[[#This Row],[Review_date]],"YYYY")</f>
        <v>2025</v>
      </c>
      <c r="K1785" s="7" t="str">
        <f>TEXT(multilingual_mobile_app_reviews_2025[[#This Row],[Review_date]],"MMMM")</f>
        <v>January</v>
      </c>
      <c r="L1785" s="4" t="b">
        <v>1</v>
      </c>
      <c r="M1785" s="4" t="s">
        <v>22</v>
      </c>
      <c r="N1785" s="5">
        <v>188</v>
      </c>
      <c r="O1785" s="5">
        <v>64</v>
      </c>
      <c r="P1785" s="4" t="s">
        <v>73</v>
      </c>
      <c r="Q1785" s="8" t="s">
        <v>39</v>
      </c>
      <c r="R1785" s="4" t="s">
        <v>2118</v>
      </c>
      <c r="S1785" s="4"/>
      <c r="T1785"/>
      <c r="U1785" s="23"/>
    </row>
    <row r="1786" spans="1:21" ht="15.6" x14ac:dyDescent="0.3">
      <c r="A1786" s="4">
        <v>1785</v>
      </c>
      <c r="B1786" s="5">
        <v>9319833</v>
      </c>
      <c r="C1786" s="4" t="s">
        <v>199</v>
      </c>
      <c r="D1786" s="4" t="s">
        <v>15</v>
      </c>
      <c r="E1786" s="4" t="s">
        <v>2119</v>
      </c>
      <c r="F1786" s="4" t="s">
        <v>2944</v>
      </c>
      <c r="G1786" s="6">
        <v>4.0999999999999996</v>
      </c>
      <c r="H1786" s="7">
        <v>45719.459803240738</v>
      </c>
      <c r="I1786" s="7" t="str">
        <f>TEXT(multilingual_mobile_app_reviews_2025[[#This Row],[Review_date]],"dd-mm-yyyy")</f>
        <v>03-03-2025</v>
      </c>
      <c r="J1786" s="7" t="str">
        <f>TEXT(multilingual_mobile_app_reviews_2025[[#This Row],[Review_date]],"YYYY")</f>
        <v>2025</v>
      </c>
      <c r="K1786" s="7" t="str">
        <f>TEXT(multilingual_mobile_app_reviews_2025[[#This Row],[Review_date]],"MMMM")</f>
        <v>March</v>
      </c>
      <c r="L1786" s="4" t="b">
        <v>0</v>
      </c>
      <c r="M1786" s="4" t="s">
        <v>33</v>
      </c>
      <c r="N1786" s="5">
        <v>795</v>
      </c>
      <c r="O1786" s="5">
        <v>37</v>
      </c>
      <c r="P1786" s="4" t="s">
        <v>90</v>
      </c>
      <c r="Q1786" s="8" t="s">
        <v>2963</v>
      </c>
      <c r="R1786" s="4" t="s">
        <v>2120</v>
      </c>
      <c r="S1786" s="4"/>
      <c r="T1786"/>
      <c r="U1786" s="23"/>
    </row>
    <row r="1787" spans="1:21" ht="15.6" x14ac:dyDescent="0.3">
      <c r="A1787" s="4">
        <v>1786</v>
      </c>
      <c r="B1787" s="5">
        <v>9096238</v>
      </c>
      <c r="C1787" s="4" t="s">
        <v>25</v>
      </c>
      <c r="D1787" s="4" t="s">
        <v>31</v>
      </c>
      <c r="E1787" s="4" t="s">
        <v>76</v>
      </c>
      <c r="F1787" s="4" t="s">
        <v>2940</v>
      </c>
      <c r="G1787" s="6">
        <v>1.9</v>
      </c>
      <c r="H1787" s="7">
        <v>45580.094675925924</v>
      </c>
      <c r="I1787" s="7" t="str">
        <f>TEXT(multilingual_mobile_app_reviews_2025[[#This Row],[Review_date]],"dd-mm-yyyy")</f>
        <v>15-10-2024</v>
      </c>
      <c r="J1787" s="7" t="str">
        <f>TEXT(multilingual_mobile_app_reviews_2025[[#This Row],[Review_date]],"YYYY")</f>
        <v>2024</v>
      </c>
      <c r="K1787" s="7" t="str">
        <f>TEXT(multilingual_mobile_app_reviews_2025[[#This Row],[Review_date]],"MMMM")</f>
        <v>October</v>
      </c>
      <c r="L1787" s="4" t="b">
        <v>1</v>
      </c>
      <c r="M1787" s="4" t="s">
        <v>22</v>
      </c>
      <c r="N1787" s="5">
        <v>471</v>
      </c>
      <c r="O1787" s="5">
        <v>44</v>
      </c>
      <c r="P1787" s="4" t="s">
        <v>61</v>
      </c>
      <c r="Q1787" s="8" t="s">
        <v>2963</v>
      </c>
      <c r="R1787" s="4" t="s">
        <v>2121</v>
      </c>
      <c r="S1787" s="4"/>
      <c r="T1787"/>
      <c r="U1787" s="23"/>
    </row>
    <row r="1788" spans="1:21" ht="15.6" x14ac:dyDescent="0.3">
      <c r="A1788" s="4">
        <v>1787</v>
      </c>
      <c r="B1788" s="5">
        <v>349956</v>
      </c>
      <c r="C1788" s="4" t="s">
        <v>7</v>
      </c>
      <c r="D1788" s="4" t="s">
        <v>60</v>
      </c>
      <c r="E1788" s="4" t="s">
        <v>27</v>
      </c>
      <c r="F1788" s="4" t="s">
        <v>2940</v>
      </c>
      <c r="G1788" s="6">
        <v>4.7</v>
      </c>
      <c r="H1788" s="7">
        <v>45817.156111111108</v>
      </c>
      <c r="I1788" s="7" t="str">
        <f>TEXT(multilingual_mobile_app_reviews_2025[[#This Row],[Review_date]],"dd-mm-yyyy")</f>
        <v>09-06-2025</v>
      </c>
      <c r="J1788" s="7" t="str">
        <f>TEXT(multilingual_mobile_app_reviews_2025[[#This Row],[Review_date]],"YYYY")</f>
        <v>2025</v>
      </c>
      <c r="K1788" s="7" t="str">
        <f>TEXT(multilingual_mobile_app_reviews_2025[[#This Row],[Review_date]],"MMMM")</f>
        <v>June</v>
      </c>
      <c r="L1788" s="4" t="b">
        <v>0</v>
      </c>
      <c r="M1788" s="4" t="s">
        <v>10</v>
      </c>
      <c r="N1788" s="5">
        <v>671</v>
      </c>
      <c r="O1788" s="5">
        <v>50</v>
      </c>
      <c r="P1788" s="4" t="s">
        <v>11</v>
      </c>
      <c r="Q1788" s="8" t="s">
        <v>39</v>
      </c>
      <c r="R1788" s="4" t="s">
        <v>2122</v>
      </c>
      <c r="S1788" s="4"/>
      <c r="T1788"/>
      <c r="U1788" s="23"/>
    </row>
    <row r="1789" spans="1:21" ht="15.6" x14ac:dyDescent="0.3">
      <c r="A1789" s="4">
        <v>1788</v>
      </c>
      <c r="B1789" s="5">
        <v>4293002</v>
      </c>
      <c r="C1789" s="4" t="s">
        <v>258</v>
      </c>
      <c r="D1789" s="4" t="s">
        <v>57</v>
      </c>
      <c r="E1789" s="4" t="s">
        <v>2123</v>
      </c>
      <c r="F1789" s="4" t="s">
        <v>2961</v>
      </c>
      <c r="G1789" s="6">
        <v>1.5</v>
      </c>
      <c r="H1789" s="7">
        <v>45410.473020833335</v>
      </c>
      <c r="I1789" s="7" t="str">
        <f>TEXT(multilingual_mobile_app_reviews_2025[[#This Row],[Review_date]],"dd-mm-yyyy")</f>
        <v>28-04-2024</v>
      </c>
      <c r="J1789" s="7" t="str">
        <f>TEXT(multilingual_mobile_app_reviews_2025[[#This Row],[Review_date]],"YYYY")</f>
        <v>2024</v>
      </c>
      <c r="K1789" s="7" t="str">
        <f>TEXT(multilingual_mobile_app_reviews_2025[[#This Row],[Review_date]],"MMMM")</f>
        <v>April</v>
      </c>
      <c r="L1789" s="4" t="b">
        <v>1</v>
      </c>
      <c r="M1789" s="4" t="s">
        <v>3</v>
      </c>
      <c r="N1789" s="5">
        <v>980</v>
      </c>
      <c r="O1789" s="5">
        <v>54</v>
      </c>
      <c r="P1789" s="4" t="s">
        <v>90</v>
      </c>
      <c r="Q1789" s="8" t="s">
        <v>39</v>
      </c>
      <c r="R1789" s="4" t="s">
        <v>2124</v>
      </c>
      <c r="S1789" s="4"/>
      <c r="T1789"/>
      <c r="U1789" s="23"/>
    </row>
    <row r="1790" spans="1:21" ht="15.6" x14ac:dyDescent="0.3">
      <c r="A1790" s="4">
        <v>1789</v>
      </c>
      <c r="B1790" s="5">
        <v>4197740</v>
      </c>
      <c r="C1790" s="4" t="s">
        <v>176</v>
      </c>
      <c r="D1790" s="4" t="s">
        <v>57</v>
      </c>
      <c r="E1790" s="4" t="s">
        <v>2125</v>
      </c>
      <c r="F1790" s="4" t="s">
        <v>2944</v>
      </c>
      <c r="G1790" s="6">
        <v>4.2</v>
      </c>
      <c r="H1790" s="7">
        <v>45867.731909722221</v>
      </c>
      <c r="I1790" s="7" t="str">
        <f>TEXT(multilingual_mobile_app_reviews_2025[[#This Row],[Review_date]],"dd-mm-yyyy")</f>
        <v>29-07-2025</v>
      </c>
      <c r="J1790" s="7" t="str">
        <f>TEXT(multilingual_mobile_app_reviews_2025[[#This Row],[Review_date]],"YYYY")</f>
        <v>2025</v>
      </c>
      <c r="K1790" s="7" t="str">
        <f>TEXT(multilingual_mobile_app_reviews_2025[[#This Row],[Review_date]],"MMMM")</f>
        <v>July</v>
      </c>
      <c r="L1790" s="4" t="b">
        <v>1</v>
      </c>
      <c r="M1790" s="4" t="s">
        <v>22</v>
      </c>
      <c r="N1790" s="5">
        <v>86</v>
      </c>
      <c r="O1790" s="5">
        <v>16</v>
      </c>
      <c r="P1790" s="4" t="s">
        <v>114</v>
      </c>
      <c r="Q1790" s="8" t="s">
        <v>5</v>
      </c>
      <c r="R1790" s="4" t="s">
        <v>2126</v>
      </c>
      <c r="S1790" s="4"/>
      <c r="T1790"/>
      <c r="U1790" s="23"/>
    </row>
    <row r="1791" spans="1:21" ht="15.6" x14ac:dyDescent="0.3">
      <c r="A1791" s="4">
        <v>1790</v>
      </c>
      <c r="B1791" s="5">
        <v>3553773</v>
      </c>
      <c r="C1791" s="4" t="s">
        <v>258</v>
      </c>
      <c r="D1791" s="4" t="s">
        <v>31</v>
      </c>
      <c r="E1791" s="4" t="s">
        <v>64</v>
      </c>
      <c r="F1791" s="4" t="s">
        <v>2943</v>
      </c>
      <c r="G1791" s="6">
        <v>3.7</v>
      </c>
      <c r="H1791" s="7">
        <v>45523.301180555558</v>
      </c>
      <c r="I1791" s="7" t="str">
        <f>TEXT(multilingual_mobile_app_reviews_2025[[#This Row],[Review_date]],"dd-mm-yyyy")</f>
        <v>19-08-2024</v>
      </c>
      <c r="J1791" s="7" t="str">
        <f>TEXT(multilingual_mobile_app_reviews_2025[[#This Row],[Review_date]],"YYYY")</f>
        <v>2024</v>
      </c>
      <c r="K1791" s="7" t="str">
        <f>TEXT(multilingual_mobile_app_reviews_2025[[#This Row],[Review_date]],"MMMM")</f>
        <v>August</v>
      </c>
      <c r="L1791" s="4" t="b">
        <v>0</v>
      </c>
      <c r="M1791" s="4" t="s">
        <v>98</v>
      </c>
      <c r="N1791" s="5">
        <v>696</v>
      </c>
      <c r="O1791" s="5">
        <v>39</v>
      </c>
      <c r="P1791" s="4" t="s">
        <v>162</v>
      </c>
      <c r="Q1791" s="8" t="s">
        <v>12</v>
      </c>
      <c r="R1791" s="4" t="s">
        <v>2127</v>
      </c>
      <c r="S1791" s="4"/>
      <c r="T1791"/>
      <c r="U1791" s="23"/>
    </row>
    <row r="1792" spans="1:21" ht="15.6" x14ac:dyDescent="0.3">
      <c r="A1792" s="4">
        <v>1791</v>
      </c>
      <c r="B1792" s="5">
        <v>6088766</v>
      </c>
      <c r="C1792" s="4" t="s">
        <v>0</v>
      </c>
      <c r="D1792" s="4" t="s">
        <v>111</v>
      </c>
      <c r="E1792" s="4" t="s">
        <v>2128</v>
      </c>
      <c r="F1792" s="4" t="s">
        <v>2945</v>
      </c>
      <c r="G1792" s="6">
        <v>3.8</v>
      </c>
      <c r="H1792" s="7">
        <v>45838.259340277778</v>
      </c>
      <c r="I1792" s="7" t="str">
        <f>TEXT(multilingual_mobile_app_reviews_2025[[#This Row],[Review_date]],"dd-mm-yyyy")</f>
        <v>30-06-2025</v>
      </c>
      <c r="J1792" s="7" t="str">
        <f>TEXT(multilingual_mobile_app_reviews_2025[[#This Row],[Review_date]],"YYYY")</f>
        <v>2025</v>
      </c>
      <c r="K1792" s="7" t="str">
        <f>TEXT(multilingual_mobile_app_reviews_2025[[#This Row],[Review_date]],"MMMM")</f>
        <v>June</v>
      </c>
      <c r="L1792" s="4" t="b">
        <v>1</v>
      </c>
      <c r="M1792" s="4" t="s">
        <v>22</v>
      </c>
      <c r="N1792" s="5">
        <v>381</v>
      </c>
      <c r="O1792" s="5">
        <v>67</v>
      </c>
      <c r="P1792" s="4" t="s">
        <v>99</v>
      </c>
      <c r="Q1792" s="8" t="s">
        <v>2963</v>
      </c>
      <c r="R1792" s="4" t="s">
        <v>2129</v>
      </c>
      <c r="S1792" s="4"/>
      <c r="T1792"/>
      <c r="U1792" s="23"/>
    </row>
    <row r="1793" spans="1:21" ht="15.6" x14ac:dyDescent="0.3">
      <c r="A1793" s="4">
        <v>1792</v>
      </c>
      <c r="B1793" s="5">
        <v>8257211</v>
      </c>
      <c r="C1793" s="4" t="s">
        <v>244</v>
      </c>
      <c r="D1793" s="4" t="s">
        <v>15</v>
      </c>
      <c r="E1793" s="4" t="s">
        <v>9</v>
      </c>
      <c r="F1793" s="4" t="s">
        <v>2951</v>
      </c>
      <c r="G1793" s="6">
        <v>1.5</v>
      </c>
      <c r="H1793" s="7">
        <v>45356.192812499998</v>
      </c>
      <c r="I1793" s="7" t="str">
        <f>TEXT(multilingual_mobile_app_reviews_2025[[#This Row],[Review_date]],"dd-mm-yyyy")</f>
        <v>05-03-2024</v>
      </c>
      <c r="J1793" s="7" t="str">
        <f>TEXT(multilingual_mobile_app_reviews_2025[[#This Row],[Review_date]],"YYYY")</f>
        <v>2024</v>
      </c>
      <c r="K1793" s="7" t="str">
        <f>TEXT(multilingual_mobile_app_reviews_2025[[#This Row],[Review_date]],"MMMM")</f>
        <v>March</v>
      </c>
      <c r="L1793" s="4" t="b">
        <v>1</v>
      </c>
      <c r="M1793" s="4" t="s">
        <v>98</v>
      </c>
      <c r="N1793" s="5">
        <v>1082</v>
      </c>
      <c r="O1793" s="5">
        <v>30</v>
      </c>
      <c r="P1793" s="4" t="s">
        <v>162</v>
      </c>
      <c r="Q1793" s="8" t="s">
        <v>29</v>
      </c>
      <c r="R1793" s="4" t="s">
        <v>2130</v>
      </c>
      <c r="S1793" s="4"/>
      <c r="T1793"/>
      <c r="U1793" s="23"/>
    </row>
    <row r="1794" spans="1:21" ht="15.6" x14ac:dyDescent="0.3">
      <c r="A1794" s="4">
        <v>1793</v>
      </c>
      <c r="B1794" s="5">
        <v>3515085</v>
      </c>
      <c r="C1794" s="4" t="s">
        <v>7</v>
      </c>
      <c r="D1794" s="4" t="s">
        <v>79</v>
      </c>
      <c r="E1794" s="4" t="s">
        <v>76</v>
      </c>
      <c r="F1794" s="4" t="s">
        <v>2943</v>
      </c>
      <c r="G1794" s="6">
        <v>3.5</v>
      </c>
      <c r="H1794" s="7">
        <v>45847.287835648145</v>
      </c>
      <c r="I1794" s="7" t="str">
        <f>TEXT(multilingual_mobile_app_reviews_2025[[#This Row],[Review_date]],"dd-mm-yyyy")</f>
        <v>09-07-2025</v>
      </c>
      <c r="J1794" s="7" t="str">
        <f>TEXT(multilingual_mobile_app_reviews_2025[[#This Row],[Review_date]],"YYYY")</f>
        <v>2025</v>
      </c>
      <c r="K1794" s="7" t="str">
        <f>TEXT(multilingual_mobile_app_reviews_2025[[#This Row],[Review_date]],"MMMM")</f>
        <v>July</v>
      </c>
      <c r="L1794" s="4" t="b">
        <v>1</v>
      </c>
      <c r="M1794" s="4" t="s">
        <v>3</v>
      </c>
      <c r="N1794" s="5">
        <v>195</v>
      </c>
      <c r="O1794" s="5">
        <v>74</v>
      </c>
      <c r="P1794" s="4" t="s">
        <v>80</v>
      </c>
      <c r="Q1794" s="8" t="s">
        <v>39</v>
      </c>
      <c r="R1794" s="4" t="s">
        <v>2131</v>
      </c>
      <c r="S1794" s="4"/>
      <c r="T1794"/>
      <c r="U1794" s="23"/>
    </row>
    <row r="1795" spans="1:21" ht="15.6" x14ac:dyDescent="0.3">
      <c r="A1795" s="4">
        <v>1794</v>
      </c>
      <c r="B1795" s="5">
        <v>8840844</v>
      </c>
      <c r="C1795" s="4" t="s">
        <v>244</v>
      </c>
      <c r="D1795" s="4" t="s">
        <v>60</v>
      </c>
      <c r="E1795" s="4" t="s">
        <v>109</v>
      </c>
      <c r="F1795" s="4" t="s">
        <v>2955</v>
      </c>
      <c r="G1795" s="6">
        <v>4</v>
      </c>
      <c r="H1795" s="7">
        <v>45317.940821759257</v>
      </c>
      <c r="I1795" s="7" t="str">
        <f>TEXT(multilingual_mobile_app_reviews_2025[[#This Row],[Review_date]],"dd-mm-yyyy")</f>
        <v>26-01-2024</v>
      </c>
      <c r="J1795" s="7" t="str">
        <f>TEXT(multilingual_mobile_app_reviews_2025[[#This Row],[Review_date]],"YYYY")</f>
        <v>2024</v>
      </c>
      <c r="K1795" s="7" t="str">
        <f>TEXT(multilingual_mobile_app_reviews_2025[[#This Row],[Review_date]],"MMMM")</f>
        <v>January</v>
      </c>
      <c r="L1795" s="4" t="b">
        <v>1</v>
      </c>
      <c r="M1795" s="4" t="s">
        <v>22</v>
      </c>
      <c r="N1795" s="5">
        <v>222</v>
      </c>
      <c r="O1795" s="5">
        <v>38</v>
      </c>
      <c r="P1795" s="4" t="s">
        <v>34</v>
      </c>
      <c r="Q1795" s="8" t="s">
        <v>2963</v>
      </c>
      <c r="R1795" s="4" t="s">
        <v>2132</v>
      </c>
      <c r="S1795" s="4"/>
      <c r="T1795"/>
      <c r="U1795" s="23"/>
    </row>
    <row r="1796" spans="1:21" ht="15.6" x14ac:dyDescent="0.3">
      <c r="A1796" s="4">
        <v>1795</v>
      </c>
      <c r="B1796" s="5">
        <v>9377224</v>
      </c>
      <c r="C1796" s="4" t="s">
        <v>104</v>
      </c>
      <c r="D1796" s="4" t="s">
        <v>8</v>
      </c>
      <c r="E1796" s="4" t="s">
        <v>76</v>
      </c>
      <c r="F1796" s="4" t="s">
        <v>2946</v>
      </c>
      <c r="G1796" s="6">
        <v>2.1</v>
      </c>
      <c r="H1796" s="7">
        <v>45302.587881944448</v>
      </c>
      <c r="I1796" s="7" t="str">
        <f>TEXT(multilingual_mobile_app_reviews_2025[[#This Row],[Review_date]],"dd-mm-yyyy")</f>
        <v>11-01-2024</v>
      </c>
      <c r="J1796" s="7" t="str">
        <f>TEXT(multilingual_mobile_app_reviews_2025[[#This Row],[Review_date]],"YYYY")</f>
        <v>2024</v>
      </c>
      <c r="K1796" s="7" t="str">
        <f>TEXT(multilingual_mobile_app_reviews_2025[[#This Row],[Review_date]],"MMMM")</f>
        <v>January</v>
      </c>
      <c r="L1796" s="4" t="b">
        <v>1</v>
      </c>
      <c r="M1796" s="4" t="s">
        <v>98</v>
      </c>
      <c r="N1796" s="5">
        <v>367</v>
      </c>
      <c r="O1796" s="5">
        <v>39</v>
      </c>
      <c r="P1796" s="4" t="s">
        <v>90</v>
      </c>
      <c r="Q1796" s="8" t="s">
        <v>29</v>
      </c>
      <c r="R1796" s="4" t="s">
        <v>2133</v>
      </c>
      <c r="S1796" s="4"/>
      <c r="T1796"/>
      <c r="U1796" s="23"/>
    </row>
    <row r="1797" spans="1:21" ht="15.6" x14ac:dyDescent="0.3">
      <c r="A1797" s="4">
        <v>1796</v>
      </c>
      <c r="B1797" s="5">
        <v>6347667</v>
      </c>
      <c r="C1797" s="4" t="s">
        <v>7</v>
      </c>
      <c r="D1797" s="4" t="s">
        <v>79</v>
      </c>
      <c r="E1797" s="4" t="s">
        <v>9</v>
      </c>
      <c r="F1797" s="4" t="s">
        <v>2954</v>
      </c>
      <c r="G1797" s="6">
        <v>2.4</v>
      </c>
      <c r="H1797" s="7">
        <v>45701.93310185185</v>
      </c>
      <c r="I1797" s="7" t="str">
        <f>TEXT(multilingual_mobile_app_reviews_2025[[#This Row],[Review_date]],"dd-mm-yyyy")</f>
        <v>13-02-2025</v>
      </c>
      <c r="J1797" s="7" t="str">
        <f>TEXT(multilingual_mobile_app_reviews_2025[[#This Row],[Review_date]],"YYYY")</f>
        <v>2025</v>
      </c>
      <c r="K1797" s="7" t="str">
        <f>TEXT(multilingual_mobile_app_reviews_2025[[#This Row],[Review_date]],"MMMM")</f>
        <v>February</v>
      </c>
      <c r="L1797" s="4" t="b">
        <v>1</v>
      </c>
      <c r="M1797" s="4" t="s">
        <v>3</v>
      </c>
      <c r="N1797" s="5">
        <v>935</v>
      </c>
      <c r="O1797" s="5">
        <v>73</v>
      </c>
      <c r="P1797" s="4" t="s">
        <v>180</v>
      </c>
      <c r="Q1797" s="8" t="s">
        <v>12</v>
      </c>
      <c r="R1797" s="4" t="s">
        <v>2134</v>
      </c>
      <c r="S1797" s="4"/>
      <c r="T1797"/>
      <c r="U1797" s="23"/>
    </row>
    <row r="1798" spans="1:21" ht="15.6" x14ac:dyDescent="0.3">
      <c r="A1798" s="4">
        <v>1797</v>
      </c>
      <c r="B1798" s="5">
        <v>701759</v>
      </c>
      <c r="C1798" s="4" t="s">
        <v>208</v>
      </c>
      <c r="D1798" s="4" t="s">
        <v>1</v>
      </c>
      <c r="E1798" s="4" t="s">
        <v>32</v>
      </c>
      <c r="F1798" s="4" t="s">
        <v>2950</v>
      </c>
      <c r="G1798" s="6">
        <v>1</v>
      </c>
      <c r="H1798" s="7">
        <v>45321.489907407406</v>
      </c>
      <c r="I1798" s="7" t="str">
        <f>TEXT(multilingual_mobile_app_reviews_2025[[#This Row],[Review_date]],"dd-mm-yyyy")</f>
        <v>30-01-2024</v>
      </c>
      <c r="J1798" s="7" t="str">
        <f>TEXT(multilingual_mobile_app_reviews_2025[[#This Row],[Review_date]],"YYYY")</f>
        <v>2024</v>
      </c>
      <c r="K1798" s="7" t="str">
        <f>TEXT(multilingual_mobile_app_reviews_2025[[#This Row],[Review_date]],"MMMM")</f>
        <v>January</v>
      </c>
      <c r="L1798" s="4" t="b">
        <v>0</v>
      </c>
      <c r="M1798" s="4" t="s">
        <v>3</v>
      </c>
      <c r="N1798" s="5">
        <v>155</v>
      </c>
      <c r="O1798" s="5">
        <v>62</v>
      </c>
      <c r="P1798" s="4" t="s">
        <v>4</v>
      </c>
      <c r="Q1798" s="8" t="s">
        <v>5</v>
      </c>
      <c r="R1798" s="4" t="s">
        <v>2135</v>
      </c>
      <c r="S1798" s="4"/>
      <c r="T1798"/>
      <c r="U1798" s="23"/>
    </row>
    <row r="1799" spans="1:21" ht="15.6" x14ac:dyDescent="0.3">
      <c r="A1799" s="4">
        <v>1798</v>
      </c>
      <c r="B1799" s="5">
        <v>7486629</v>
      </c>
      <c r="C1799" s="4" t="s">
        <v>89</v>
      </c>
      <c r="D1799" s="4" t="s">
        <v>47</v>
      </c>
      <c r="E1799" s="4" t="s">
        <v>2136</v>
      </c>
      <c r="F1799" s="4" t="s">
        <v>2956</v>
      </c>
      <c r="G1799" s="6">
        <v>4.5</v>
      </c>
      <c r="H1799" s="7">
        <v>45185.264201388891</v>
      </c>
      <c r="I1799" s="7" t="str">
        <f>TEXT(multilingual_mobile_app_reviews_2025[[#This Row],[Review_date]],"dd-mm-yyyy")</f>
        <v>16-09-2023</v>
      </c>
      <c r="J1799" s="7" t="str">
        <f>TEXT(multilingual_mobile_app_reviews_2025[[#This Row],[Review_date]],"YYYY")</f>
        <v>2023</v>
      </c>
      <c r="K1799" s="7" t="str">
        <f>TEXT(multilingual_mobile_app_reviews_2025[[#This Row],[Review_date]],"MMMM")</f>
        <v>September</v>
      </c>
      <c r="L1799" s="4" t="b">
        <v>1</v>
      </c>
      <c r="M1799" s="4" t="s">
        <v>10</v>
      </c>
      <c r="N1799" s="5">
        <v>1084</v>
      </c>
      <c r="O1799" s="5">
        <v>31</v>
      </c>
      <c r="P1799" s="4" t="s">
        <v>44</v>
      </c>
      <c r="Q1799" s="8" t="s">
        <v>2963</v>
      </c>
      <c r="R1799" s="4" t="s">
        <v>543</v>
      </c>
      <c r="S1799" s="4"/>
      <c r="T1799"/>
      <c r="U1799" s="23"/>
    </row>
    <row r="1800" spans="1:21" ht="15.6" x14ac:dyDescent="0.3">
      <c r="A1800" s="4">
        <v>1799</v>
      </c>
      <c r="B1800" s="5">
        <v>6541381</v>
      </c>
      <c r="C1800" s="4" t="s">
        <v>75</v>
      </c>
      <c r="D1800" s="4" t="s">
        <v>57</v>
      </c>
      <c r="E1800" s="4" t="s">
        <v>2137</v>
      </c>
      <c r="F1800" s="4" t="s">
        <v>2951</v>
      </c>
      <c r="G1800" s="6">
        <v>2.1</v>
      </c>
      <c r="H1800" s="7">
        <v>45651.828020833331</v>
      </c>
      <c r="I1800" s="7" t="str">
        <f>TEXT(multilingual_mobile_app_reviews_2025[[#This Row],[Review_date]],"dd-mm-yyyy")</f>
        <v>25-12-2024</v>
      </c>
      <c r="J1800" s="7" t="str">
        <f>TEXT(multilingual_mobile_app_reviews_2025[[#This Row],[Review_date]],"YYYY")</f>
        <v>2024</v>
      </c>
      <c r="K1800" s="7" t="str">
        <f>TEXT(multilingual_mobile_app_reviews_2025[[#This Row],[Review_date]],"MMMM")</f>
        <v>December</v>
      </c>
      <c r="L1800" s="4" t="b">
        <v>1</v>
      </c>
      <c r="M1800" s="4" t="s">
        <v>3</v>
      </c>
      <c r="N1800" s="5">
        <v>542</v>
      </c>
      <c r="O1800" s="5">
        <v>39</v>
      </c>
      <c r="P1800" s="4" t="s">
        <v>44</v>
      </c>
      <c r="Q1800" s="8" t="s">
        <v>2963</v>
      </c>
      <c r="R1800" s="4" t="s">
        <v>2138</v>
      </c>
      <c r="S1800" s="4"/>
      <c r="T1800"/>
      <c r="U1800" s="23"/>
    </row>
    <row r="1801" spans="1:21" ht="15.6" x14ac:dyDescent="0.3">
      <c r="A1801" s="4">
        <v>1800</v>
      </c>
      <c r="B1801" s="5">
        <v>625229</v>
      </c>
      <c r="C1801" s="4" t="s">
        <v>199</v>
      </c>
      <c r="D1801" s="4" t="s">
        <v>63</v>
      </c>
      <c r="E1801" s="4" t="s">
        <v>2139</v>
      </c>
      <c r="F1801" s="4" t="s">
        <v>2940</v>
      </c>
      <c r="G1801" s="6">
        <v>4.0999999999999996</v>
      </c>
      <c r="H1801" s="7">
        <v>45867.425821759258</v>
      </c>
      <c r="I1801" s="7" t="str">
        <f>TEXT(multilingual_mobile_app_reviews_2025[[#This Row],[Review_date]],"dd-mm-yyyy")</f>
        <v>29-07-2025</v>
      </c>
      <c r="J1801" s="7" t="str">
        <f>TEXT(multilingual_mobile_app_reviews_2025[[#This Row],[Review_date]],"YYYY")</f>
        <v>2025</v>
      </c>
      <c r="K1801" s="7" t="str">
        <f>TEXT(multilingual_mobile_app_reviews_2025[[#This Row],[Review_date]],"MMMM")</f>
        <v>July</v>
      </c>
      <c r="L1801" s="4" t="b">
        <v>1</v>
      </c>
      <c r="M1801" s="4" t="s">
        <v>98</v>
      </c>
      <c r="N1801" s="5">
        <v>102</v>
      </c>
      <c r="O1801" s="5">
        <v>51</v>
      </c>
      <c r="P1801" s="4" t="s">
        <v>17</v>
      </c>
      <c r="Q1801" s="8" t="s">
        <v>5</v>
      </c>
      <c r="R1801" s="4" t="s">
        <v>2140</v>
      </c>
      <c r="S1801" s="4"/>
      <c r="T1801"/>
      <c r="U1801" s="23"/>
    </row>
    <row r="1802" spans="1:21" ht="15.6" x14ac:dyDescent="0.3">
      <c r="A1802" s="4">
        <v>1801</v>
      </c>
      <c r="B1802" s="5">
        <v>7876282</v>
      </c>
      <c r="C1802" s="4" t="s">
        <v>67</v>
      </c>
      <c r="D1802" s="4" t="s">
        <v>42</v>
      </c>
      <c r="E1802" s="4" t="s">
        <v>109</v>
      </c>
      <c r="F1802" s="4" t="s">
        <v>2939</v>
      </c>
      <c r="G1802" s="6">
        <v>3.3</v>
      </c>
      <c r="H1802" s="7">
        <v>45468.080659722225</v>
      </c>
      <c r="I1802" s="7" t="str">
        <f>TEXT(multilingual_mobile_app_reviews_2025[[#This Row],[Review_date]],"dd-mm-yyyy")</f>
        <v>25-06-2024</v>
      </c>
      <c r="J1802" s="7" t="str">
        <f>TEXT(multilingual_mobile_app_reviews_2025[[#This Row],[Review_date]],"YYYY")</f>
        <v>2024</v>
      </c>
      <c r="K1802" s="7" t="str">
        <f>TEXT(multilingual_mobile_app_reviews_2025[[#This Row],[Review_date]],"MMMM")</f>
        <v>June</v>
      </c>
      <c r="L1802" s="4" t="b">
        <v>1</v>
      </c>
      <c r="M1802" s="4" t="s">
        <v>33</v>
      </c>
      <c r="N1802" s="5">
        <v>577</v>
      </c>
      <c r="O1802" s="5">
        <v>20</v>
      </c>
      <c r="P1802" s="4" t="s">
        <v>11</v>
      </c>
      <c r="Q1802" s="8" t="s">
        <v>39</v>
      </c>
      <c r="R1802" s="4" t="s">
        <v>2141</v>
      </c>
      <c r="S1802" s="4"/>
      <c r="T1802"/>
      <c r="U1802" s="23"/>
    </row>
    <row r="1803" spans="1:21" ht="15.6" x14ac:dyDescent="0.3">
      <c r="A1803" s="4">
        <v>1802</v>
      </c>
      <c r="B1803" s="5">
        <v>9634543</v>
      </c>
      <c r="C1803" s="4" t="s">
        <v>69</v>
      </c>
      <c r="D1803" s="4" t="s">
        <v>42</v>
      </c>
      <c r="E1803" s="4" t="s">
        <v>2142</v>
      </c>
      <c r="F1803" s="4" t="s">
        <v>2958</v>
      </c>
      <c r="G1803" s="6">
        <v>4.5</v>
      </c>
      <c r="H1803" s="7">
        <v>45788.218506944446</v>
      </c>
      <c r="I1803" s="7" t="str">
        <f>TEXT(multilingual_mobile_app_reviews_2025[[#This Row],[Review_date]],"dd-mm-yyyy")</f>
        <v>11-05-2025</v>
      </c>
      <c r="J1803" s="7" t="str">
        <f>TEXT(multilingual_mobile_app_reviews_2025[[#This Row],[Review_date]],"YYYY")</f>
        <v>2025</v>
      </c>
      <c r="K1803" s="7" t="str">
        <f>TEXT(multilingual_mobile_app_reviews_2025[[#This Row],[Review_date]],"MMMM")</f>
        <v>May</v>
      </c>
      <c r="L1803" s="4" t="b">
        <v>1</v>
      </c>
      <c r="M1803" s="4" t="s">
        <v>22</v>
      </c>
      <c r="N1803" s="5">
        <v>1130</v>
      </c>
      <c r="O1803" s="5">
        <v>70</v>
      </c>
      <c r="P1803" s="4" t="s">
        <v>94</v>
      </c>
      <c r="Q1803" s="8" t="s">
        <v>5</v>
      </c>
      <c r="R1803" s="4" t="s">
        <v>2143</v>
      </c>
      <c r="S1803" s="4"/>
      <c r="T1803"/>
      <c r="U1803" s="23"/>
    </row>
    <row r="1804" spans="1:21" ht="15.6" x14ac:dyDescent="0.3">
      <c r="A1804" s="4">
        <v>1803</v>
      </c>
      <c r="B1804" s="5">
        <v>3099504</v>
      </c>
      <c r="C1804" s="4" t="s">
        <v>104</v>
      </c>
      <c r="D1804" s="4" t="s">
        <v>51</v>
      </c>
      <c r="E1804" s="4" t="s">
        <v>130</v>
      </c>
      <c r="F1804" s="4" t="s">
        <v>2943</v>
      </c>
      <c r="G1804" s="6">
        <v>1.1000000000000001</v>
      </c>
      <c r="H1804" s="7">
        <v>45483.594664351855</v>
      </c>
      <c r="I1804" s="7" t="str">
        <f>TEXT(multilingual_mobile_app_reviews_2025[[#This Row],[Review_date]],"dd-mm-yyyy")</f>
        <v>10-07-2024</v>
      </c>
      <c r="J1804" s="7" t="str">
        <f>TEXT(multilingual_mobile_app_reviews_2025[[#This Row],[Review_date]],"YYYY")</f>
        <v>2024</v>
      </c>
      <c r="K1804" s="7" t="str">
        <f>TEXT(multilingual_mobile_app_reviews_2025[[#This Row],[Review_date]],"MMMM")</f>
        <v>July</v>
      </c>
      <c r="L1804" s="4" t="b">
        <v>1</v>
      </c>
      <c r="M1804" s="4" t="s">
        <v>33</v>
      </c>
      <c r="N1804" s="5">
        <v>193</v>
      </c>
      <c r="O1804" s="5">
        <v>44</v>
      </c>
      <c r="P1804" s="4" t="s">
        <v>44</v>
      </c>
      <c r="Q1804" s="8" t="s">
        <v>5</v>
      </c>
      <c r="R1804" s="4" t="s">
        <v>2144</v>
      </c>
      <c r="S1804" s="4"/>
      <c r="T1804"/>
      <c r="U1804" s="23"/>
    </row>
    <row r="1805" spans="1:21" ht="15.6" x14ac:dyDescent="0.3">
      <c r="A1805" s="4">
        <v>1804</v>
      </c>
      <c r="B1805" s="5">
        <v>389686</v>
      </c>
      <c r="C1805" s="4" t="s">
        <v>75</v>
      </c>
      <c r="D1805" s="4" t="s">
        <v>79</v>
      </c>
      <c r="E1805" s="4" t="s">
        <v>64</v>
      </c>
      <c r="F1805" s="4" t="s">
        <v>2959</v>
      </c>
      <c r="G1805" s="6">
        <v>2</v>
      </c>
      <c r="H1805" s="7">
        <v>45480.56591435185</v>
      </c>
      <c r="I1805" s="7" t="str">
        <f>TEXT(multilingual_mobile_app_reviews_2025[[#This Row],[Review_date]],"dd-mm-yyyy")</f>
        <v>07-07-2024</v>
      </c>
      <c r="J1805" s="7" t="str">
        <f>TEXT(multilingual_mobile_app_reviews_2025[[#This Row],[Review_date]],"YYYY")</f>
        <v>2024</v>
      </c>
      <c r="K1805" s="7" t="str">
        <f>TEXT(multilingual_mobile_app_reviews_2025[[#This Row],[Review_date]],"MMMM")</f>
        <v>July</v>
      </c>
      <c r="L1805" s="4" t="b">
        <v>1</v>
      </c>
      <c r="M1805" s="4" t="s">
        <v>98</v>
      </c>
      <c r="N1805" s="5">
        <v>999</v>
      </c>
      <c r="O1805" s="5">
        <v>50</v>
      </c>
      <c r="P1805" s="4" t="s">
        <v>127</v>
      </c>
      <c r="Q1805" s="8" t="s">
        <v>29</v>
      </c>
      <c r="R1805" s="4" t="s">
        <v>2145</v>
      </c>
      <c r="S1805" s="4"/>
      <c r="T1805"/>
      <c r="U1805" s="23"/>
    </row>
    <row r="1806" spans="1:21" ht="15.6" x14ac:dyDescent="0.3">
      <c r="A1806" s="4">
        <v>1805</v>
      </c>
      <c r="B1806" s="5">
        <v>7925556</v>
      </c>
      <c r="C1806" s="4" t="s">
        <v>123</v>
      </c>
      <c r="D1806" s="4" t="s">
        <v>63</v>
      </c>
      <c r="E1806" s="4" t="s">
        <v>2146</v>
      </c>
      <c r="F1806" s="4" t="s">
        <v>2950</v>
      </c>
      <c r="G1806" s="6">
        <v>1.8</v>
      </c>
      <c r="H1806" s="7">
        <v>45188.622314814813</v>
      </c>
      <c r="I1806" s="7" t="str">
        <f>TEXT(multilingual_mobile_app_reviews_2025[[#This Row],[Review_date]],"dd-mm-yyyy")</f>
        <v>19-09-2023</v>
      </c>
      <c r="J1806" s="7" t="str">
        <f>TEXT(multilingual_mobile_app_reviews_2025[[#This Row],[Review_date]],"YYYY")</f>
        <v>2023</v>
      </c>
      <c r="K1806" s="7" t="str">
        <f>TEXT(multilingual_mobile_app_reviews_2025[[#This Row],[Review_date]],"MMMM")</f>
        <v>September</v>
      </c>
      <c r="L1806" s="4" t="b">
        <v>1</v>
      </c>
      <c r="M1806" s="4" t="s">
        <v>10</v>
      </c>
      <c r="N1806" s="5">
        <v>956</v>
      </c>
      <c r="O1806" s="5">
        <v>14</v>
      </c>
      <c r="P1806" s="4" t="s">
        <v>94</v>
      </c>
      <c r="Q1806" s="8" t="s">
        <v>2963</v>
      </c>
      <c r="R1806" s="4" t="s">
        <v>2147</v>
      </c>
      <c r="S1806" s="4"/>
      <c r="T1806"/>
      <c r="U1806" s="23"/>
    </row>
    <row r="1807" spans="1:21" ht="15.6" x14ac:dyDescent="0.3">
      <c r="A1807" s="4">
        <v>1806</v>
      </c>
      <c r="B1807" s="5">
        <v>3116609</v>
      </c>
      <c r="C1807" s="4" t="s">
        <v>92</v>
      </c>
      <c r="D1807" s="4" t="s">
        <v>42</v>
      </c>
      <c r="E1807" s="4" t="s">
        <v>76</v>
      </c>
      <c r="F1807" s="4" t="s">
        <v>2946</v>
      </c>
      <c r="G1807" s="6">
        <v>1.4</v>
      </c>
      <c r="H1807" s="7">
        <v>45339.278194444443</v>
      </c>
      <c r="I1807" s="7" t="str">
        <f>TEXT(multilingual_mobile_app_reviews_2025[[#This Row],[Review_date]],"dd-mm-yyyy")</f>
        <v>17-02-2024</v>
      </c>
      <c r="J1807" s="7" t="str">
        <f>TEXT(multilingual_mobile_app_reviews_2025[[#This Row],[Review_date]],"YYYY")</f>
        <v>2024</v>
      </c>
      <c r="K1807" s="7" t="str">
        <f>TEXT(multilingual_mobile_app_reviews_2025[[#This Row],[Review_date]],"MMMM")</f>
        <v>February</v>
      </c>
      <c r="L1807" s="4" t="b">
        <v>0</v>
      </c>
      <c r="M1807" s="4" t="s">
        <v>22</v>
      </c>
      <c r="N1807" s="5">
        <v>841</v>
      </c>
      <c r="O1807" s="5">
        <v>14</v>
      </c>
      <c r="P1807" s="4" t="s">
        <v>180</v>
      </c>
      <c r="Q1807" s="8" t="s">
        <v>29</v>
      </c>
      <c r="R1807" s="4" t="s">
        <v>2148</v>
      </c>
      <c r="S1807" s="4"/>
      <c r="T1807"/>
      <c r="U1807" s="23"/>
    </row>
    <row r="1808" spans="1:21" ht="15.6" x14ac:dyDescent="0.3">
      <c r="A1808" s="4">
        <v>1807</v>
      </c>
      <c r="B1808" s="5">
        <v>4732933</v>
      </c>
      <c r="C1808" s="4" t="s">
        <v>132</v>
      </c>
      <c r="D1808" s="4" t="s">
        <v>1</v>
      </c>
      <c r="E1808" s="4" t="s">
        <v>16</v>
      </c>
      <c r="F1808" s="4" t="s">
        <v>2950</v>
      </c>
      <c r="G1808" s="6">
        <v>2.1</v>
      </c>
      <c r="H1808" s="7">
        <v>45340.469571759262</v>
      </c>
      <c r="I1808" s="7" t="str">
        <f>TEXT(multilingual_mobile_app_reviews_2025[[#This Row],[Review_date]],"dd-mm-yyyy")</f>
        <v>18-02-2024</v>
      </c>
      <c r="J1808" s="7" t="str">
        <f>TEXT(multilingual_mobile_app_reviews_2025[[#This Row],[Review_date]],"YYYY")</f>
        <v>2024</v>
      </c>
      <c r="K1808" s="7" t="str">
        <f>TEXT(multilingual_mobile_app_reviews_2025[[#This Row],[Review_date]],"MMMM")</f>
        <v>February</v>
      </c>
      <c r="L1808" s="4" t="b">
        <v>1</v>
      </c>
      <c r="M1808" s="4" t="s">
        <v>33</v>
      </c>
      <c r="N1808" s="5">
        <v>7</v>
      </c>
      <c r="O1808" s="5">
        <v>65</v>
      </c>
      <c r="P1808" s="4" t="s">
        <v>34</v>
      </c>
      <c r="Q1808" s="8" t="s">
        <v>12</v>
      </c>
      <c r="R1808" s="4" t="s">
        <v>2149</v>
      </c>
      <c r="S1808" s="4"/>
      <c r="T1808"/>
      <c r="U1808" s="23"/>
    </row>
    <row r="1809" spans="1:21" ht="15.6" x14ac:dyDescent="0.3">
      <c r="A1809" s="4">
        <v>1808</v>
      </c>
      <c r="B1809" s="5">
        <v>2234439</v>
      </c>
      <c r="C1809" s="4" t="s">
        <v>159</v>
      </c>
      <c r="D1809" s="4" t="s">
        <v>47</v>
      </c>
      <c r="E1809" s="4" t="s">
        <v>130</v>
      </c>
      <c r="F1809" s="4" t="s">
        <v>2947</v>
      </c>
      <c r="G1809" s="6">
        <v>4.0999999999999996</v>
      </c>
      <c r="H1809" s="7">
        <v>45315.519768518519</v>
      </c>
      <c r="I1809" s="7" t="str">
        <f>TEXT(multilingual_mobile_app_reviews_2025[[#This Row],[Review_date]],"dd-mm-yyyy")</f>
        <v>24-01-2024</v>
      </c>
      <c r="J1809" s="7" t="str">
        <f>TEXT(multilingual_mobile_app_reviews_2025[[#This Row],[Review_date]],"YYYY")</f>
        <v>2024</v>
      </c>
      <c r="K1809" s="7" t="str">
        <f>TEXT(multilingual_mobile_app_reviews_2025[[#This Row],[Review_date]],"MMMM")</f>
        <v>January</v>
      </c>
      <c r="L1809" s="4" t="b">
        <v>0</v>
      </c>
      <c r="M1809" s="4" t="s">
        <v>98</v>
      </c>
      <c r="N1809" s="5">
        <v>568</v>
      </c>
      <c r="O1809" s="5">
        <v>55</v>
      </c>
      <c r="P1809" s="4" t="s">
        <v>28</v>
      </c>
      <c r="Q1809" s="8" t="s">
        <v>29</v>
      </c>
      <c r="R1809" s="4" t="s">
        <v>2150</v>
      </c>
      <c r="S1809" s="4"/>
      <c r="T1809"/>
      <c r="U1809" s="23"/>
    </row>
    <row r="1810" spans="1:21" ht="15.6" x14ac:dyDescent="0.3">
      <c r="A1810" s="4">
        <v>1809</v>
      </c>
      <c r="B1810" s="5">
        <v>3027545</v>
      </c>
      <c r="C1810" s="4" t="s">
        <v>36</v>
      </c>
      <c r="D1810" s="4" t="s">
        <v>157</v>
      </c>
      <c r="E1810" s="4" t="s">
        <v>130</v>
      </c>
      <c r="F1810" s="4" t="s">
        <v>2946</v>
      </c>
      <c r="G1810" s="6">
        <v>1.8</v>
      </c>
      <c r="H1810" s="7">
        <v>45252.980254629627</v>
      </c>
      <c r="I1810" s="7" t="str">
        <f>TEXT(multilingual_mobile_app_reviews_2025[[#This Row],[Review_date]],"dd-mm-yyyy")</f>
        <v>22-11-2023</v>
      </c>
      <c r="J1810" s="7" t="str">
        <f>TEXT(multilingual_mobile_app_reviews_2025[[#This Row],[Review_date]],"YYYY")</f>
        <v>2023</v>
      </c>
      <c r="K1810" s="7" t="str">
        <f>TEXT(multilingual_mobile_app_reviews_2025[[#This Row],[Review_date]],"MMMM")</f>
        <v>November</v>
      </c>
      <c r="L1810" s="4" t="b">
        <v>0</v>
      </c>
      <c r="M1810" s="4" t="s">
        <v>10</v>
      </c>
      <c r="N1810" s="5">
        <v>1217</v>
      </c>
      <c r="O1810" s="5">
        <v>36</v>
      </c>
      <c r="P1810" s="4" t="s">
        <v>11</v>
      </c>
      <c r="Q1810" s="8" t="s">
        <v>2963</v>
      </c>
      <c r="R1810" s="4" t="s">
        <v>2151</v>
      </c>
      <c r="S1810" s="4"/>
      <c r="T1810"/>
      <c r="U1810" s="23"/>
    </row>
    <row r="1811" spans="1:21" ht="15.6" x14ac:dyDescent="0.3">
      <c r="A1811" s="4">
        <v>1810</v>
      </c>
      <c r="B1811" s="5">
        <v>931808</v>
      </c>
      <c r="C1811" s="4" t="s">
        <v>14</v>
      </c>
      <c r="D1811" s="4" t="s">
        <v>220</v>
      </c>
      <c r="E1811" s="4" t="s">
        <v>2152</v>
      </c>
      <c r="F1811" s="4" t="s">
        <v>2957</v>
      </c>
      <c r="G1811" s="6">
        <v>3.4</v>
      </c>
      <c r="H1811" s="7">
        <v>45173.623472222222</v>
      </c>
      <c r="I1811" s="7" t="str">
        <f>TEXT(multilingual_mobile_app_reviews_2025[[#This Row],[Review_date]],"dd-mm-yyyy")</f>
        <v>04-09-2023</v>
      </c>
      <c r="J1811" s="7" t="str">
        <f>TEXT(multilingual_mobile_app_reviews_2025[[#This Row],[Review_date]],"YYYY")</f>
        <v>2023</v>
      </c>
      <c r="K1811" s="7" t="str">
        <f>TEXT(multilingual_mobile_app_reviews_2025[[#This Row],[Review_date]],"MMMM")</f>
        <v>September</v>
      </c>
      <c r="L1811" s="4" t="b">
        <v>1</v>
      </c>
      <c r="M1811" s="4" t="s">
        <v>10</v>
      </c>
      <c r="N1811" s="5">
        <v>91</v>
      </c>
      <c r="O1811" s="5">
        <v>16</v>
      </c>
      <c r="P1811" s="4" t="s">
        <v>99</v>
      </c>
      <c r="Q1811" s="8" t="s">
        <v>39</v>
      </c>
      <c r="R1811" s="4" t="s">
        <v>2153</v>
      </c>
      <c r="S1811" s="4"/>
      <c r="T1811"/>
      <c r="U1811" s="23"/>
    </row>
    <row r="1812" spans="1:21" ht="15.6" x14ac:dyDescent="0.3">
      <c r="A1812" s="4">
        <v>1811</v>
      </c>
      <c r="B1812" s="5">
        <v>4037559</v>
      </c>
      <c r="C1812" s="4" t="s">
        <v>0</v>
      </c>
      <c r="D1812" s="4" t="s">
        <v>60</v>
      </c>
      <c r="E1812" s="4" t="s">
        <v>16</v>
      </c>
      <c r="F1812" s="4" t="s">
        <v>2947</v>
      </c>
      <c r="G1812" s="6">
        <v>3.9</v>
      </c>
      <c r="H1812" s="7">
        <v>45410.521319444444</v>
      </c>
      <c r="I1812" s="7" t="str">
        <f>TEXT(multilingual_mobile_app_reviews_2025[[#This Row],[Review_date]],"dd-mm-yyyy")</f>
        <v>28-04-2024</v>
      </c>
      <c r="J1812" s="7" t="str">
        <f>TEXT(multilingual_mobile_app_reviews_2025[[#This Row],[Review_date]],"YYYY")</f>
        <v>2024</v>
      </c>
      <c r="K1812" s="7" t="str">
        <f>TEXT(multilingual_mobile_app_reviews_2025[[#This Row],[Review_date]],"MMMM")</f>
        <v>April</v>
      </c>
      <c r="L1812" s="4" t="b">
        <v>1</v>
      </c>
      <c r="M1812" s="4" t="s">
        <v>10</v>
      </c>
      <c r="N1812" s="5">
        <v>1043</v>
      </c>
      <c r="O1812" s="5">
        <v>41</v>
      </c>
      <c r="P1812" s="4" t="s">
        <v>114</v>
      </c>
      <c r="Q1812" s="8" t="s">
        <v>29</v>
      </c>
      <c r="R1812" s="4" t="s">
        <v>2154</v>
      </c>
      <c r="S1812" s="4"/>
      <c r="T1812"/>
      <c r="U1812" s="23"/>
    </row>
    <row r="1813" spans="1:21" ht="15.6" x14ac:dyDescent="0.3">
      <c r="A1813" s="4">
        <v>1812</v>
      </c>
      <c r="B1813" s="5">
        <v>1399884</v>
      </c>
      <c r="C1813" s="4" t="s">
        <v>36</v>
      </c>
      <c r="D1813" s="4" t="s">
        <v>51</v>
      </c>
      <c r="E1813" s="4" t="s">
        <v>93</v>
      </c>
      <c r="F1813" s="4" t="s">
        <v>2950</v>
      </c>
      <c r="G1813" s="6">
        <v>2.9</v>
      </c>
      <c r="H1813" s="7">
        <v>45532.628611111111</v>
      </c>
      <c r="I1813" s="7" t="str">
        <f>TEXT(multilingual_mobile_app_reviews_2025[[#This Row],[Review_date]],"dd-mm-yyyy")</f>
        <v>28-08-2024</v>
      </c>
      <c r="J1813" s="7" t="str">
        <f>TEXT(multilingual_mobile_app_reviews_2025[[#This Row],[Review_date]],"YYYY")</f>
        <v>2024</v>
      </c>
      <c r="K1813" s="7" t="str">
        <f>TEXT(multilingual_mobile_app_reviews_2025[[#This Row],[Review_date]],"MMMM")</f>
        <v>August</v>
      </c>
      <c r="L1813" s="4" t="b">
        <v>1</v>
      </c>
      <c r="M1813" s="4" t="s">
        <v>98</v>
      </c>
      <c r="N1813" s="5">
        <v>363</v>
      </c>
      <c r="O1813" s="5">
        <v>35</v>
      </c>
      <c r="P1813" s="4" t="s">
        <v>180</v>
      </c>
      <c r="Q1813" s="8" t="s">
        <v>12</v>
      </c>
      <c r="R1813" s="4" t="s">
        <v>2155</v>
      </c>
      <c r="S1813" s="4"/>
      <c r="T1813"/>
      <c r="U1813" s="23"/>
    </row>
    <row r="1814" spans="1:21" ht="15.6" x14ac:dyDescent="0.3">
      <c r="A1814" s="4">
        <v>1813</v>
      </c>
      <c r="B1814" s="5">
        <v>1998888</v>
      </c>
      <c r="C1814" s="4" t="s">
        <v>0</v>
      </c>
      <c r="D1814" s="4" t="s">
        <v>1</v>
      </c>
      <c r="E1814" s="4" t="s">
        <v>32</v>
      </c>
      <c r="F1814" s="4" t="s">
        <v>2950</v>
      </c>
      <c r="G1814" s="6">
        <v>3.3</v>
      </c>
      <c r="H1814" s="7">
        <v>45535.811296296299</v>
      </c>
      <c r="I1814" s="7" t="str">
        <f>TEXT(multilingual_mobile_app_reviews_2025[[#This Row],[Review_date]],"dd-mm-yyyy")</f>
        <v>31-08-2024</v>
      </c>
      <c r="J1814" s="7" t="str">
        <f>TEXT(multilingual_mobile_app_reviews_2025[[#This Row],[Review_date]],"YYYY")</f>
        <v>2024</v>
      </c>
      <c r="K1814" s="7" t="str">
        <f>TEXT(multilingual_mobile_app_reviews_2025[[#This Row],[Review_date]],"MMMM")</f>
        <v>August</v>
      </c>
      <c r="L1814" s="4" t="b">
        <v>1</v>
      </c>
      <c r="M1814" s="4" t="s">
        <v>22</v>
      </c>
      <c r="N1814" s="5">
        <v>756</v>
      </c>
      <c r="O1814" s="5">
        <v>28</v>
      </c>
      <c r="P1814" s="4" t="s">
        <v>94</v>
      </c>
      <c r="Q1814" s="8" t="s">
        <v>12</v>
      </c>
      <c r="R1814" s="4" t="s">
        <v>2156</v>
      </c>
      <c r="S1814" s="4"/>
      <c r="T1814"/>
      <c r="U1814" s="23"/>
    </row>
    <row r="1815" spans="1:21" ht="15.6" x14ac:dyDescent="0.3">
      <c r="A1815" s="4">
        <v>1814</v>
      </c>
      <c r="B1815" s="5">
        <v>4075843</v>
      </c>
      <c r="C1815" s="4" t="s">
        <v>208</v>
      </c>
      <c r="D1815" s="4" t="s">
        <v>15</v>
      </c>
      <c r="E1815" s="4" t="s">
        <v>9</v>
      </c>
      <c r="F1815" s="4" t="s">
        <v>2954</v>
      </c>
      <c r="G1815" s="6">
        <v>1.7</v>
      </c>
      <c r="H1815" s="7">
        <v>45297.362314814818</v>
      </c>
      <c r="I1815" s="7" t="str">
        <f>TEXT(multilingual_mobile_app_reviews_2025[[#This Row],[Review_date]],"dd-mm-yyyy")</f>
        <v>06-01-2024</v>
      </c>
      <c r="J1815" s="7" t="str">
        <f>TEXT(multilingual_mobile_app_reviews_2025[[#This Row],[Review_date]],"YYYY")</f>
        <v>2024</v>
      </c>
      <c r="K1815" s="7" t="str">
        <f>TEXT(multilingual_mobile_app_reviews_2025[[#This Row],[Review_date]],"MMMM")</f>
        <v>January</v>
      </c>
      <c r="L1815" s="4" t="b">
        <v>1</v>
      </c>
      <c r="M1815" s="4" t="s">
        <v>22</v>
      </c>
      <c r="N1815" s="5">
        <v>109</v>
      </c>
      <c r="O1815" s="5">
        <v>21</v>
      </c>
      <c r="P1815" s="4" t="s">
        <v>144</v>
      </c>
      <c r="Q1815" s="8" t="s">
        <v>39</v>
      </c>
      <c r="R1815" s="4" t="s">
        <v>2157</v>
      </c>
      <c r="S1815" s="4"/>
      <c r="T1815"/>
      <c r="U1815" s="23"/>
    </row>
    <row r="1816" spans="1:21" ht="15.6" x14ac:dyDescent="0.3">
      <c r="A1816" s="4">
        <v>1815</v>
      </c>
      <c r="B1816" s="5">
        <v>9669151</v>
      </c>
      <c r="C1816" s="4" t="s">
        <v>46</v>
      </c>
      <c r="D1816" s="4" t="s">
        <v>47</v>
      </c>
      <c r="E1816" s="4" t="s">
        <v>9</v>
      </c>
      <c r="F1816" s="4" t="s">
        <v>2942</v>
      </c>
      <c r="G1816" s="6">
        <v>2.8</v>
      </c>
      <c r="H1816" s="7">
        <v>45427.321608796294</v>
      </c>
      <c r="I1816" s="7" t="str">
        <f>TEXT(multilingual_mobile_app_reviews_2025[[#This Row],[Review_date]],"dd-mm-yyyy")</f>
        <v>15-05-2024</v>
      </c>
      <c r="J1816" s="7" t="str">
        <f>TEXT(multilingual_mobile_app_reviews_2025[[#This Row],[Review_date]],"YYYY")</f>
        <v>2024</v>
      </c>
      <c r="K1816" s="7" t="str">
        <f>TEXT(multilingual_mobile_app_reviews_2025[[#This Row],[Review_date]],"MMMM")</f>
        <v>May</v>
      </c>
      <c r="L1816" s="4" t="b">
        <v>0</v>
      </c>
      <c r="M1816" s="4" t="s">
        <v>33</v>
      </c>
      <c r="N1816" s="5">
        <v>338</v>
      </c>
      <c r="O1816" s="5">
        <v>64</v>
      </c>
      <c r="P1816" s="4" t="s">
        <v>180</v>
      </c>
      <c r="Q1816" s="8" t="s">
        <v>5</v>
      </c>
      <c r="R1816" s="4" t="s">
        <v>1501</v>
      </c>
      <c r="S1816" s="4"/>
      <c r="T1816"/>
      <c r="U1816" s="23"/>
    </row>
    <row r="1817" spans="1:21" ht="15.6" x14ac:dyDescent="0.3">
      <c r="A1817" s="4">
        <v>1816</v>
      </c>
      <c r="B1817" s="5">
        <v>7078813</v>
      </c>
      <c r="C1817" s="4" t="s">
        <v>244</v>
      </c>
      <c r="D1817" s="4" t="s">
        <v>8</v>
      </c>
      <c r="E1817" s="4" t="s">
        <v>2158</v>
      </c>
      <c r="F1817" s="4" t="s">
        <v>2940</v>
      </c>
      <c r="G1817" s="6">
        <v>2.2999999999999998</v>
      </c>
      <c r="H1817" s="7">
        <v>45221.391180555554</v>
      </c>
      <c r="I1817" s="7" t="str">
        <f>TEXT(multilingual_mobile_app_reviews_2025[[#This Row],[Review_date]],"dd-mm-yyyy")</f>
        <v>22-10-2023</v>
      </c>
      <c r="J1817" s="7" t="str">
        <f>TEXT(multilingual_mobile_app_reviews_2025[[#This Row],[Review_date]],"YYYY")</f>
        <v>2023</v>
      </c>
      <c r="K1817" s="7" t="str">
        <f>TEXT(multilingual_mobile_app_reviews_2025[[#This Row],[Review_date]],"MMMM")</f>
        <v>October</v>
      </c>
      <c r="L1817" s="4" t="b">
        <v>1</v>
      </c>
      <c r="M1817" s="4" t="s">
        <v>3</v>
      </c>
      <c r="N1817" s="5">
        <v>1013</v>
      </c>
      <c r="O1817" s="5">
        <v>59</v>
      </c>
      <c r="P1817" s="4" t="s">
        <v>99</v>
      </c>
      <c r="Q1817" s="8" t="s">
        <v>2963</v>
      </c>
      <c r="R1817" s="4" t="s">
        <v>2159</v>
      </c>
      <c r="S1817" s="4"/>
      <c r="T1817"/>
      <c r="U1817" s="23"/>
    </row>
    <row r="1818" spans="1:21" ht="15.6" x14ac:dyDescent="0.3">
      <c r="A1818" s="4">
        <v>1817</v>
      </c>
      <c r="B1818" s="5">
        <v>3648039</v>
      </c>
      <c r="C1818" s="4" t="s">
        <v>123</v>
      </c>
      <c r="D1818" s="4" t="s">
        <v>26</v>
      </c>
      <c r="E1818" s="4" t="s">
        <v>9</v>
      </c>
      <c r="F1818" s="4" t="s">
        <v>2947</v>
      </c>
      <c r="G1818" s="6">
        <v>2.4</v>
      </c>
      <c r="H1818" s="7">
        <v>45766.497002314813</v>
      </c>
      <c r="I1818" s="7" t="str">
        <f>TEXT(multilingual_mobile_app_reviews_2025[[#This Row],[Review_date]],"dd-mm-yyyy")</f>
        <v>19-04-2025</v>
      </c>
      <c r="J1818" s="7" t="str">
        <f>TEXT(multilingual_mobile_app_reviews_2025[[#This Row],[Review_date]],"YYYY")</f>
        <v>2025</v>
      </c>
      <c r="K1818" s="7" t="str">
        <f>TEXT(multilingual_mobile_app_reviews_2025[[#This Row],[Review_date]],"MMMM")</f>
        <v>April</v>
      </c>
      <c r="L1818" s="4" t="b">
        <v>1</v>
      </c>
      <c r="M1818" s="4" t="s">
        <v>33</v>
      </c>
      <c r="N1818" s="5">
        <v>288</v>
      </c>
      <c r="O1818" s="5">
        <v>70</v>
      </c>
      <c r="P1818" s="4" t="s">
        <v>70</v>
      </c>
      <c r="Q1818" s="8" t="s">
        <v>5</v>
      </c>
      <c r="R1818" s="4" t="s">
        <v>2160</v>
      </c>
      <c r="S1818" s="4"/>
      <c r="T1818"/>
      <c r="U1818" s="23"/>
    </row>
    <row r="1819" spans="1:21" ht="15.6" x14ac:dyDescent="0.3">
      <c r="A1819" s="4">
        <v>1818</v>
      </c>
      <c r="B1819" s="5">
        <v>8669737</v>
      </c>
      <c r="C1819" s="4" t="s">
        <v>258</v>
      </c>
      <c r="D1819" s="4" t="s">
        <v>57</v>
      </c>
      <c r="E1819" s="4" t="s">
        <v>27</v>
      </c>
      <c r="F1819" s="4" t="s">
        <v>2950</v>
      </c>
      <c r="G1819" s="6">
        <v>1.4</v>
      </c>
      <c r="H1819" s="7">
        <v>45694.831689814811</v>
      </c>
      <c r="I1819" s="7" t="str">
        <f>TEXT(multilingual_mobile_app_reviews_2025[[#This Row],[Review_date]],"dd-mm-yyyy")</f>
        <v>06-02-2025</v>
      </c>
      <c r="J1819" s="7" t="str">
        <f>TEXT(multilingual_mobile_app_reviews_2025[[#This Row],[Review_date]],"YYYY")</f>
        <v>2025</v>
      </c>
      <c r="K1819" s="7" t="str">
        <f>TEXT(multilingual_mobile_app_reviews_2025[[#This Row],[Review_date]],"MMMM")</f>
        <v>February</v>
      </c>
      <c r="L1819" s="4" t="b">
        <v>0</v>
      </c>
      <c r="M1819" s="4" t="s">
        <v>33</v>
      </c>
      <c r="N1819" s="5">
        <v>773</v>
      </c>
      <c r="O1819" s="5">
        <v>69</v>
      </c>
      <c r="P1819" s="4" t="s">
        <v>70</v>
      </c>
      <c r="Q1819" s="8" t="s">
        <v>12</v>
      </c>
      <c r="R1819" s="4" t="s">
        <v>2161</v>
      </c>
      <c r="S1819" s="4"/>
      <c r="T1819"/>
      <c r="U1819" s="23"/>
    </row>
    <row r="1820" spans="1:21" ht="15.6" x14ac:dyDescent="0.3">
      <c r="A1820" s="4">
        <v>1819</v>
      </c>
      <c r="B1820" s="5">
        <v>8625883</v>
      </c>
      <c r="C1820" s="4" t="s">
        <v>154</v>
      </c>
      <c r="D1820" s="4" t="s">
        <v>111</v>
      </c>
      <c r="E1820" s="4" t="s">
        <v>130</v>
      </c>
      <c r="F1820" s="4" t="s">
        <v>2961</v>
      </c>
      <c r="G1820" s="6">
        <v>3.4</v>
      </c>
      <c r="H1820" s="7">
        <v>45747.415196759262</v>
      </c>
      <c r="I1820" s="7" t="str">
        <f>TEXT(multilingual_mobile_app_reviews_2025[[#This Row],[Review_date]],"dd-mm-yyyy")</f>
        <v>31-03-2025</v>
      </c>
      <c r="J1820" s="7" t="str">
        <f>TEXT(multilingual_mobile_app_reviews_2025[[#This Row],[Review_date]],"YYYY")</f>
        <v>2025</v>
      </c>
      <c r="K1820" s="7" t="str">
        <f>TEXT(multilingual_mobile_app_reviews_2025[[#This Row],[Review_date]],"MMMM")</f>
        <v>March</v>
      </c>
      <c r="L1820" s="4" t="b">
        <v>1</v>
      </c>
      <c r="M1820" s="4" t="s">
        <v>10</v>
      </c>
      <c r="N1820" s="5">
        <v>395</v>
      </c>
      <c r="O1820" s="5">
        <v>35</v>
      </c>
      <c r="P1820" s="4" t="s">
        <v>2963</v>
      </c>
      <c r="Q1820" s="8" t="s">
        <v>2963</v>
      </c>
      <c r="R1820" s="4" t="s">
        <v>2162</v>
      </c>
      <c r="S1820" s="4"/>
      <c r="T1820"/>
      <c r="U1820" s="23"/>
    </row>
    <row r="1821" spans="1:21" ht="15.6" x14ac:dyDescent="0.3">
      <c r="A1821" s="4">
        <v>1820</v>
      </c>
      <c r="B1821" s="5">
        <v>5872247</v>
      </c>
      <c r="C1821" s="4" t="s">
        <v>192</v>
      </c>
      <c r="D1821" s="4" t="s">
        <v>51</v>
      </c>
      <c r="E1821" s="4" t="s">
        <v>2163</v>
      </c>
      <c r="F1821" s="4" t="s">
        <v>2950</v>
      </c>
      <c r="G1821" s="6">
        <v>2</v>
      </c>
      <c r="H1821" s="7">
        <v>45650.89230324074</v>
      </c>
      <c r="I1821" s="7" t="str">
        <f>TEXT(multilingual_mobile_app_reviews_2025[[#This Row],[Review_date]],"dd-mm-yyyy")</f>
        <v>24-12-2024</v>
      </c>
      <c r="J1821" s="7" t="str">
        <f>TEXT(multilingual_mobile_app_reviews_2025[[#This Row],[Review_date]],"YYYY")</f>
        <v>2024</v>
      </c>
      <c r="K1821" s="7" t="str">
        <f>TEXT(multilingual_mobile_app_reviews_2025[[#This Row],[Review_date]],"MMMM")</f>
        <v>December</v>
      </c>
      <c r="L1821" s="4" t="b">
        <v>1</v>
      </c>
      <c r="M1821" s="4" t="s">
        <v>3</v>
      </c>
      <c r="N1821" s="5">
        <v>657</v>
      </c>
      <c r="O1821" s="5">
        <v>26</v>
      </c>
      <c r="P1821" s="4" t="s">
        <v>85</v>
      </c>
      <c r="Q1821" s="8" t="s">
        <v>39</v>
      </c>
      <c r="R1821" s="4" t="s">
        <v>897</v>
      </c>
      <c r="S1821" s="4"/>
      <c r="T1821"/>
      <c r="U1821" s="23"/>
    </row>
    <row r="1822" spans="1:21" ht="15.6" x14ac:dyDescent="0.3">
      <c r="A1822" s="4">
        <v>1821</v>
      </c>
      <c r="B1822" s="5">
        <v>8829789</v>
      </c>
      <c r="C1822" s="4" t="s">
        <v>78</v>
      </c>
      <c r="D1822" s="4" t="s">
        <v>220</v>
      </c>
      <c r="E1822" s="4" t="s">
        <v>32</v>
      </c>
      <c r="F1822" s="4" t="s">
        <v>2962</v>
      </c>
      <c r="G1822" s="6">
        <v>4.4000000000000004</v>
      </c>
      <c r="H1822" s="7">
        <v>45481.426620370374</v>
      </c>
      <c r="I1822" s="7" t="str">
        <f>TEXT(multilingual_mobile_app_reviews_2025[[#This Row],[Review_date]],"dd-mm-yyyy")</f>
        <v>08-07-2024</v>
      </c>
      <c r="J1822" s="7" t="str">
        <f>TEXT(multilingual_mobile_app_reviews_2025[[#This Row],[Review_date]],"YYYY")</f>
        <v>2024</v>
      </c>
      <c r="K1822" s="7" t="str">
        <f>TEXT(multilingual_mobile_app_reviews_2025[[#This Row],[Review_date]],"MMMM")</f>
        <v>July</v>
      </c>
      <c r="L1822" s="4" t="b">
        <v>1</v>
      </c>
      <c r="M1822" s="4" t="s">
        <v>22</v>
      </c>
      <c r="N1822" s="5">
        <v>787</v>
      </c>
      <c r="O1822" s="5">
        <v>24</v>
      </c>
      <c r="P1822" s="4" t="s">
        <v>114</v>
      </c>
      <c r="Q1822" s="8" t="s">
        <v>2963</v>
      </c>
      <c r="R1822" s="4" t="s">
        <v>2164</v>
      </c>
      <c r="S1822" s="4"/>
      <c r="T1822"/>
      <c r="U1822" s="23"/>
    </row>
    <row r="1823" spans="1:21" ht="15.6" x14ac:dyDescent="0.3">
      <c r="A1823" s="4">
        <v>1822</v>
      </c>
      <c r="B1823" s="5">
        <v>4616136</v>
      </c>
      <c r="C1823" s="4" t="s">
        <v>14</v>
      </c>
      <c r="D1823" s="4" t="s">
        <v>8</v>
      </c>
      <c r="E1823" s="4" t="s">
        <v>93</v>
      </c>
      <c r="F1823" s="4" t="s">
        <v>2962</v>
      </c>
      <c r="G1823" s="6">
        <v>1</v>
      </c>
      <c r="H1823" s="7">
        <v>45290.357569444444</v>
      </c>
      <c r="I1823" s="7" t="str">
        <f>TEXT(multilingual_mobile_app_reviews_2025[[#This Row],[Review_date]],"dd-mm-yyyy")</f>
        <v>30-12-2023</v>
      </c>
      <c r="J1823" s="7" t="str">
        <f>TEXT(multilingual_mobile_app_reviews_2025[[#This Row],[Review_date]],"YYYY")</f>
        <v>2023</v>
      </c>
      <c r="K1823" s="7" t="str">
        <f>TEXT(multilingual_mobile_app_reviews_2025[[#This Row],[Review_date]],"MMMM")</f>
        <v>December</v>
      </c>
      <c r="L1823" s="4" t="b">
        <v>1</v>
      </c>
      <c r="M1823" s="4" t="s">
        <v>98</v>
      </c>
      <c r="N1823" s="5">
        <v>910</v>
      </c>
      <c r="O1823" s="5">
        <v>28</v>
      </c>
      <c r="P1823" s="4" t="s">
        <v>94</v>
      </c>
      <c r="Q1823" s="8" t="s">
        <v>39</v>
      </c>
      <c r="R1823" s="4" t="s">
        <v>2102</v>
      </c>
      <c r="S1823" s="4"/>
      <c r="T1823"/>
      <c r="U1823" s="23"/>
    </row>
    <row r="1824" spans="1:21" ht="15.6" x14ac:dyDescent="0.3">
      <c r="A1824" s="4">
        <v>1823</v>
      </c>
      <c r="B1824" s="5">
        <v>5016819</v>
      </c>
      <c r="C1824" s="4" t="s">
        <v>36</v>
      </c>
      <c r="D1824" s="4" t="s">
        <v>111</v>
      </c>
      <c r="E1824" s="4" t="s">
        <v>27</v>
      </c>
      <c r="F1824" s="4" t="s">
        <v>2950</v>
      </c>
      <c r="G1824" s="6">
        <v>3.1</v>
      </c>
      <c r="H1824" s="7">
        <v>45846.526886574073</v>
      </c>
      <c r="I1824" s="7" t="str">
        <f>TEXT(multilingual_mobile_app_reviews_2025[[#This Row],[Review_date]],"dd-mm-yyyy")</f>
        <v>08-07-2025</v>
      </c>
      <c r="J1824" s="7" t="str">
        <f>TEXT(multilingual_mobile_app_reviews_2025[[#This Row],[Review_date]],"YYYY")</f>
        <v>2025</v>
      </c>
      <c r="K1824" s="7" t="str">
        <f>TEXT(multilingual_mobile_app_reviews_2025[[#This Row],[Review_date]],"MMMM")</f>
        <v>July</v>
      </c>
      <c r="L1824" s="4" t="b">
        <v>1</v>
      </c>
      <c r="M1824" s="4" t="s">
        <v>98</v>
      </c>
      <c r="N1824" s="5">
        <v>105</v>
      </c>
      <c r="O1824" s="5">
        <v>41</v>
      </c>
      <c r="P1824" s="4" t="s">
        <v>28</v>
      </c>
      <c r="Q1824" s="8" t="s">
        <v>39</v>
      </c>
      <c r="R1824" s="4" t="s">
        <v>2165</v>
      </c>
      <c r="S1824" s="4"/>
      <c r="T1824"/>
      <c r="U1824" s="23"/>
    </row>
    <row r="1825" spans="1:21" ht="15.6" x14ac:dyDescent="0.3">
      <c r="A1825" s="4">
        <v>1824</v>
      </c>
      <c r="B1825" s="5">
        <v>5614410</v>
      </c>
      <c r="C1825" s="4" t="s">
        <v>106</v>
      </c>
      <c r="D1825" s="4" t="s">
        <v>47</v>
      </c>
      <c r="E1825" s="4" t="s">
        <v>32</v>
      </c>
      <c r="F1825" s="4" t="s">
        <v>2941</v>
      </c>
      <c r="G1825" s="6">
        <v>2.5</v>
      </c>
      <c r="H1825" s="7">
        <v>45327.678912037038</v>
      </c>
      <c r="I1825" s="7" t="str">
        <f>TEXT(multilingual_mobile_app_reviews_2025[[#This Row],[Review_date]],"dd-mm-yyyy")</f>
        <v>05-02-2024</v>
      </c>
      <c r="J1825" s="7" t="str">
        <f>TEXT(multilingual_mobile_app_reviews_2025[[#This Row],[Review_date]],"YYYY")</f>
        <v>2024</v>
      </c>
      <c r="K1825" s="7" t="str">
        <f>TEXT(multilingual_mobile_app_reviews_2025[[#This Row],[Review_date]],"MMMM")</f>
        <v>February</v>
      </c>
      <c r="L1825" s="4" t="b">
        <v>0</v>
      </c>
      <c r="M1825" s="4" t="s">
        <v>98</v>
      </c>
      <c r="N1825" s="5">
        <v>1243</v>
      </c>
      <c r="O1825" s="5">
        <v>34</v>
      </c>
      <c r="P1825" s="4" t="s">
        <v>90</v>
      </c>
      <c r="Q1825" s="8" t="s">
        <v>39</v>
      </c>
      <c r="R1825" s="4" t="s">
        <v>2166</v>
      </c>
      <c r="S1825" s="4"/>
      <c r="T1825"/>
      <c r="U1825" s="23"/>
    </row>
    <row r="1826" spans="1:21" ht="15.6" x14ac:dyDescent="0.3">
      <c r="A1826" s="4">
        <v>1825</v>
      </c>
      <c r="B1826" s="5">
        <v>6172764</v>
      </c>
      <c r="C1826" s="4" t="s">
        <v>89</v>
      </c>
      <c r="D1826" s="4" t="s">
        <v>220</v>
      </c>
      <c r="E1826" s="4" t="s">
        <v>2167</v>
      </c>
      <c r="F1826" s="4" t="s">
        <v>2948</v>
      </c>
      <c r="G1826" s="6">
        <v>2.4</v>
      </c>
      <c r="H1826" s="7">
        <v>45822.570625</v>
      </c>
      <c r="I1826" s="7" t="str">
        <f>TEXT(multilingual_mobile_app_reviews_2025[[#This Row],[Review_date]],"dd-mm-yyyy")</f>
        <v>14-06-2025</v>
      </c>
      <c r="J1826" s="7" t="str">
        <f>TEXT(multilingual_mobile_app_reviews_2025[[#This Row],[Review_date]],"YYYY")</f>
        <v>2025</v>
      </c>
      <c r="K1826" s="7" t="str">
        <f>TEXT(multilingual_mobile_app_reviews_2025[[#This Row],[Review_date]],"MMMM")</f>
        <v>June</v>
      </c>
      <c r="L1826" s="4" t="b">
        <v>1</v>
      </c>
      <c r="M1826" s="4" t="s">
        <v>33</v>
      </c>
      <c r="N1826" s="5">
        <v>137</v>
      </c>
      <c r="O1826" s="5">
        <v>34</v>
      </c>
      <c r="P1826" s="4" t="s">
        <v>90</v>
      </c>
      <c r="Q1826" s="8" t="s">
        <v>39</v>
      </c>
      <c r="R1826" s="4" t="s">
        <v>2168</v>
      </c>
      <c r="S1826" s="4"/>
      <c r="T1826"/>
      <c r="U1826" s="23"/>
    </row>
    <row r="1827" spans="1:21" ht="15.6" x14ac:dyDescent="0.3">
      <c r="A1827" s="4">
        <v>1826</v>
      </c>
      <c r="B1827" s="5">
        <v>6171358</v>
      </c>
      <c r="C1827" s="4" t="s">
        <v>46</v>
      </c>
      <c r="D1827" s="4" t="s">
        <v>47</v>
      </c>
      <c r="E1827" s="4" t="s">
        <v>2169</v>
      </c>
      <c r="F1827" s="4" t="s">
        <v>2952</v>
      </c>
      <c r="G1827" s="6">
        <v>1.7</v>
      </c>
      <c r="H1827" s="7">
        <v>45522.734942129631</v>
      </c>
      <c r="I1827" s="7" t="str">
        <f>TEXT(multilingual_mobile_app_reviews_2025[[#This Row],[Review_date]],"dd-mm-yyyy")</f>
        <v>18-08-2024</v>
      </c>
      <c r="J1827" s="7" t="str">
        <f>TEXT(multilingual_mobile_app_reviews_2025[[#This Row],[Review_date]],"YYYY")</f>
        <v>2024</v>
      </c>
      <c r="K1827" s="7" t="str">
        <f>TEXT(multilingual_mobile_app_reviews_2025[[#This Row],[Review_date]],"MMMM")</f>
        <v>August</v>
      </c>
      <c r="L1827" s="4" t="b">
        <v>0</v>
      </c>
      <c r="M1827" s="4" t="s">
        <v>33</v>
      </c>
      <c r="N1827" s="5">
        <v>237</v>
      </c>
      <c r="O1827" s="5">
        <v>54</v>
      </c>
      <c r="P1827" s="4" t="s">
        <v>94</v>
      </c>
      <c r="Q1827" s="8" t="s">
        <v>12</v>
      </c>
      <c r="R1827" s="4" t="s">
        <v>1927</v>
      </c>
      <c r="S1827" s="4"/>
      <c r="T1827"/>
      <c r="U1827" s="23"/>
    </row>
    <row r="1828" spans="1:21" ht="15.6" x14ac:dyDescent="0.3">
      <c r="A1828" s="4">
        <v>1827</v>
      </c>
      <c r="B1828" s="5">
        <v>3423637</v>
      </c>
      <c r="C1828" s="4" t="s">
        <v>96</v>
      </c>
      <c r="D1828" s="4" t="s">
        <v>1</v>
      </c>
      <c r="E1828" s="4" t="s">
        <v>2170</v>
      </c>
      <c r="F1828" s="4" t="s">
        <v>2958</v>
      </c>
      <c r="G1828" s="6">
        <v>2.6</v>
      </c>
      <c r="H1828" s="7">
        <v>45414.123854166668</v>
      </c>
      <c r="I1828" s="7" t="str">
        <f>TEXT(multilingual_mobile_app_reviews_2025[[#This Row],[Review_date]],"dd-mm-yyyy")</f>
        <v>02-05-2024</v>
      </c>
      <c r="J1828" s="7" t="str">
        <f>TEXT(multilingual_mobile_app_reviews_2025[[#This Row],[Review_date]],"YYYY")</f>
        <v>2024</v>
      </c>
      <c r="K1828" s="7" t="str">
        <f>TEXT(multilingual_mobile_app_reviews_2025[[#This Row],[Review_date]],"MMMM")</f>
        <v>May</v>
      </c>
      <c r="L1828" s="4" t="b">
        <v>1</v>
      </c>
      <c r="M1828" s="4" t="s">
        <v>33</v>
      </c>
      <c r="N1828" s="5">
        <v>1190</v>
      </c>
      <c r="O1828" s="5">
        <v>25</v>
      </c>
      <c r="P1828" s="4" t="s">
        <v>28</v>
      </c>
      <c r="Q1828" s="8" t="s">
        <v>2963</v>
      </c>
      <c r="R1828" s="4" t="s">
        <v>708</v>
      </c>
      <c r="S1828" s="4"/>
      <c r="T1828"/>
      <c r="U1828" s="23"/>
    </row>
    <row r="1829" spans="1:21" ht="15.6" x14ac:dyDescent="0.3">
      <c r="A1829" s="4">
        <v>1828</v>
      </c>
      <c r="B1829" s="5">
        <v>6849767</v>
      </c>
      <c r="C1829" s="4" t="s">
        <v>176</v>
      </c>
      <c r="D1829" s="4" t="s">
        <v>42</v>
      </c>
      <c r="E1829" s="4" t="s">
        <v>64</v>
      </c>
      <c r="F1829" s="4" t="s">
        <v>2956</v>
      </c>
      <c r="G1829" s="6">
        <v>2.2000000000000002</v>
      </c>
      <c r="H1829" s="7">
        <v>45680.198796296296</v>
      </c>
      <c r="I1829" s="7" t="str">
        <f>TEXT(multilingual_mobile_app_reviews_2025[[#This Row],[Review_date]],"dd-mm-yyyy")</f>
        <v>23-01-2025</v>
      </c>
      <c r="J1829" s="7" t="str">
        <f>TEXT(multilingual_mobile_app_reviews_2025[[#This Row],[Review_date]],"YYYY")</f>
        <v>2025</v>
      </c>
      <c r="K1829" s="7" t="str">
        <f>TEXT(multilingual_mobile_app_reviews_2025[[#This Row],[Review_date]],"MMMM")</f>
        <v>January</v>
      </c>
      <c r="L1829" s="4" t="b">
        <v>1</v>
      </c>
      <c r="M1829" s="4" t="s">
        <v>10</v>
      </c>
      <c r="N1829" s="5">
        <v>892</v>
      </c>
      <c r="O1829" s="5">
        <v>52</v>
      </c>
      <c r="P1829" s="4" t="s">
        <v>85</v>
      </c>
      <c r="Q1829" s="8" t="s">
        <v>2963</v>
      </c>
      <c r="R1829" s="4" t="s">
        <v>317</v>
      </c>
      <c r="S1829" s="4"/>
      <c r="T1829"/>
      <c r="U1829" s="23"/>
    </row>
    <row r="1830" spans="1:21" ht="15.6" x14ac:dyDescent="0.3">
      <c r="A1830" s="4">
        <v>1829</v>
      </c>
      <c r="B1830" s="5">
        <v>4150605</v>
      </c>
      <c r="C1830" s="4" t="s">
        <v>56</v>
      </c>
      <c r="D1830" s="4" t="s">
        <v>31</v>
      </c>
      <c r="E1830" s="4" t="s">
        <v>130</v>
      </c>
      <c r="F1830" s="4" t="s">
        <v>2957</v>
      </c>
      <c r="G1830" s="6">
        <v>2.2999999999999998</v>
      </c>
      <c r="H1830" s="7">
        <v>45691.892210648148</v>
      </c>
      <c r="I1830" s="7" t="str">
        <f>TEXT(multilingual_mobile_app_reviews_2025[[#This Row],[Review_date]],"dd-mm-yyyy")</f>
        <v>03-02-2025</v>
      </c>
      <c r="J1830" s="7" t="str">
        <f>TEXT(multilingual_mobile_app_reviews_2025[[#This Row],[Review_date]],"YYYY")</f>
        <v>2025</v>
      </c>
      <c r="K1830" s="7" t="str">
        <f>TEXT(multilingual_mobile_app_reviews_2025[[#This Row],[Review_date]],"MMMM")</f>
        <v>February</v>
      </c>
      <c r="L1830" s="4" t="b">
        <v>1</v>
      </c>
      <c r="M1830" s="4" t="s">
        <v>33</v>
      </c>
      <c r="N1830" s="5">
        <v>208</v>
      </c>
      <c r="O1830" s="5">
        <v>71</v>
      </c>
      <c r="P1830" s="4" t="s">
        <v>90</v>
      </c>
      <c r="Q1830" s="8" t="s">
        <v>39</v>
      </c>
      <c r="R1830" s="4" t="s">
        <v>400</v>
      </c>
      <c r="S1830" s="4"/>
      <c r="T1830"/>
      <c r="U1830" s="23"/>
    </row>
    <row r="1831" spans="1:21" ht="15.6" x14ac:dyDescent="0.3">
      <c r="A1831" s="4">
        <v>1830</v>
      </c>
      <c r="B1831" s="5">
        <v>2096986</v>
      </c>
      <c r="C1831" s="4" t="s">
        <v>89</v>
      </c>
      <c r="D1831" s="4" t="s">
        <v>31</v>
      </c>
      <c r="E1831" s="4" t="s">
        <v>109</v>
      </c>
      <c r="F1831" s="4" t="s">
        <v>2948</v>
      </c>
      <c r="G1831" s="6">
        <v>2.2999999999999998</v>
      </c>
      <c r="H1831" s="7">
        <v>45400.485000000001</v>
      </c>
      <c r="I1831" s="7" t="str">
        <f>TEXT(multilingual_mobile_app_reviews_2025[[#This Row],[Review_date]],"dd-mm-yyyy")</f>
        <v>18-04-2024</v>
      </c>
      <c r="J1831" s="7" t="str">
        <f>TEXT(multilingual_mobile_app_reviews_2025[[#This Row],[Review_date]],"YYYY")</f>
        <v>2024</v>
      </c>
      <c r="K1831" s="7" t="str">
        <f>TEXT(multilingual_mobile_app_reviews_2025[[#This Row],[Review_date]],"MMMM")</f>
        <v>April</v>
      </c>
      <c r="L1831" s="4" t="b">
        <v>1</v>
      </c>
      <c r="M1831" s="4" t="s">
        <v>22</v>
      </c>
      <c r="N1831" s="5">
        <v>445</v>
      </c>
      <c r="O1831" s="5">
        <v>19</v>
      </c>
      <c r="P1831" s="4" t="s">
        <v>162</v>
      </c>
      <c r="Q1831" s="8" t="s">
        <v>29</v>
      </c>
      <c r="R1831" s="4" t="s">
        <v>2171</v>
      </c>
      <c r="S1831" s="4"/>
      <c r="T1831"/>
      <c r="U1831" s="23"/>
    </row>
    <row r="1832" spans="1:21" ht="15.6" x14ac:dyDescent="0.3">
      <c r="A1832" s="4">
        <v>1831</v>
      </c>
      <c r="B1832" s="5">
        <v>1908110</v>
      </c>
      <c r="C1832" s="4" t="s">
        <v>56</v>
      </c>
      <c r="D1832" s="4" t="s">
        <v>111</v>
      </c>
      <c r="E1832" s="4" t="s">
        <v>2172</v>
      </c>
      <c r="F1832" s="4" t="s">
        <v>2960</v>
      </c>
      <c r="G1832" s="6">
        <v>1.7</v>
      </c>
      <c r="H1832" s="7">
        <v>45700.998472222222</v>
      </c>
      <c r="I1832" s="7" t="str">
        <f>TEXT(multilingual_mobile_app_reviews_2025[[#This Row],[Review_date]],"dd-mm-yyyy")</f>
        <v>12-02-2025</v>
      </c>
      <c r="J1832" s="7" t="str">
        <f>TEXT(multilingual_mobile_app_reviews_2025[[#This Row],[Review_date]],"YYYY")</f>
        <v>2025</v>
      </c>
      <c r="K1832" s="7" t="str">
        <f>TEXT(multilingual_mobile_app_reviews_2025[[#This Row],[Review_date]],"MMMM")</f>
        <v>February</v>
      </c>
      <c r="L1832" s="4" t="b">
        <v>0</v>
      </c>
      <c r="M1832" s="4" t="s">
        <v>3</v>
      </c>
      <c r="N1832" s="5">
        <v>976</v>
      </c>
      <c r="O1832" s="5">
        <v>66</v>
      </c>
      <c r="P1832" s="4" t="s">
        <v>4</v>
      </c>
      <c r="Q1832" s="8" t="s">
        <v>5</v>
      </c>
      <c r="R1832" s="4" t="s">
        <v>542</v>
      </c>
      <c r="S1832" s="4"/>
      <c r="T1832"/>
      <c r="U1832" s="23"/>
    </row>
    <row r="1833" spans="1:21" ht="15.6" x14ac:dyDescent="0.3">
      <c r="A1833" s="4">
        <v>1832</v>
      </c>
      <c r="B1833" s="5">
        <v>9991144</v>
      </c>
      <c r="C1833" s="4" t="s">
        <v>87</v>
      </c>
      <c r="D1833" s="4" t="s">
        <v>47</v>
      </c>
      <c r="E1833" s="4" t="s">
        <v>2173</v>
      </c>
      <c r="F1833" s="4" t="s">
        <v>2939</v>
      </c>
      <c r="G1833" s="6">
        <v>2.2000000000000002</v>
      </c>
      <c r="H1833" s="7">
        <v>45546.808229166665</v>
      </c>
      <c r="I1833" s="7" t="str">
        <f>TEXT(multilingual_mobile_app_reviews_2025[[#This Row],[Review_date]],"dd-mm-yyyy")</f>
        <v>11-09-2024</v>
      </c>
      <c r="J1833" s="7" t="str">
        <f>TEXT(multilingual_mobile_app_reviews_2025[[#This Row],[Review_date]],"YYYY")</f>
        <v>2024</v>
      </c>
      <c r="K1833" s="7" t="str">
        <f>TEXT(multilingual_mobile_app_reviews_2025[[#This Row],[Review_date]],"MMMM")</f>
        <v>September</v>
      </c>
      <c r="L1833" s="4" t="b">
        <v>1</v>
      </c>
      <c r="M1833" s="4" t="s">
        <v>22</v>
      </c>
      <c r="N1833" s="5">
        <v>405</v>
      </c>
      <c r="O1833" s="5">
        <v>54</v>
      </c>
      <c r="P1833" s="4" t="s">
        <v>38</v>
      </c>
      <c r="Q1833" s="8" t="s">
        <v>2963</v>
      </c>
      <c r="R1833" s="4" t="s">
        <v>2174</v>
      </c>
      <c r="S1833" s="4"/>
      <c r="T1833"/>
      <c r="U1833" s="23"/>
    </row>
    <row r="1834" spans="1:21" ht="15.6" x14ac:dyDescent="0.3">
      <c r="A1834" s="4">
        <v>1833</v>
      </c>
      <c r="B1834" s="5">
        <v>8626649</v>
      </c>
      <c r="C1834" s="4" t="s">
        <v>54</v>
      </c>
      <c r="D1834" s="4" t="s">
        <v>71</v>
      </c>
      <c r="E1834" s="4" t="s">
        <v>2938</v>
      </c>
      <c r="F1834" s="4" t="s">
        <v>2946</v>
      </c>
      <c r="G1834" s="6">
        <v>3.6</v>
      </c>
      <c r="H1834" s="7">
        <v>45824.246307870373</v>
      </c>
      <c r="I1834" s="7" t="str">
        <f>TEXT(multilingual_mobile_app_reviews_2025[[#This Row],[Review_date]],"dd-mm-yyyy")</f>
        <v>16-06-2025</v>
      </c>
      <c r="J1834" s="7" t="str">
        <f>TEXT(multilingual_mobile_app_reviews_2025[[#This Row],[Review_date]],"YYYY")</f>
        <v>2025</v>
      </c>
      <c r="K1834" s="7" t="str">
        <f>TEXT(multilingual_mobile_app_reviews_2025[[#This Row],[Review_date]],"MMMM")</f>
        <v>June</v>
      </c>
      <c r="L1834" s="4" t="b">
        <v>0</v>
      </c>
      <c r="M1834" s="4" t="s">
        <v>22</v>
      </c>
      <c r="N1834" s="5">
        <v>598</v>
      </c>
      <c r="O1834" s="5">
        <v>66</v>
      </c>
      <c r="P1834" s="4" t="s">
        <v>61</v>
      </c>
      <c r="Q1834" s="8" t="s">
        <v>12</v>
      </c>
      <c r="R1834" s="4" t="s">
        <v>2175</v>
      </c>
      <c r="S1834" s="4"/>
      <c r="T1834"/>
      <c r="U1834" s="23"/>
    </row>
    <row r="1835" spans="1:21" ht="15.6" x14ac:dyDescent="0.3">
      <c r="A1835" s="4">
        <v>1834</v>
      </c>
      <c r="B1835" s="5">
        <v>3634635</v>
      </c>
      <c r="C1835" s="4" t="s">
        <v>264</v>
      </c>
      <c r="D1835" s="4" t="s">
        <v>42</v>
      </c>
      <c r="E1835" s="4" t="s">
        <v>130</v>
      </c>
      <c r="F1835" s="4" t="s">
        <v>2951</v>
      </c>
      <c r="G1835" s="6">
        <v>2.4</v>
      </c>
      <c r="H1835" s="7">
        <v>45473.286747685182</v>
      </c>
      <c r="I1835" s="7" t="str">
        <f>TEXT(multilingual_mobile_app_reviews_2025[[#This Row],[Review_date]],"dd-mm-yyyy")</f>
        <v>30-06-2024</v>
      </c>
      <c r="J1835" s="7" t="str">
        <f>TEXT(multilingual_mobile_app_reviews_2025[[#This Row],[Review_date]],"YYYY")</f>
        <v>2024</v>
      </c>
      <c r="K1835" s="7" t="str">
        <f>TEXT(multilingual_mobile_app_reviews_2025[[#This Row],[Review_date]],"MMMM")</f>
        <v>June</v>
      </c>
      <c r="L1835" s="4" t="b">
        <v>1</v>
      </c>
      <c r="M1835" s="4" t="s">
        <v>22</v>
      </c>
      <c r="N1835" s="5">
        <v>885</v>
      </c>
      <c r="O1835" s="5">
        <v>35</v>
      </c>
      <c r="P1835" s="4" t="s">
        <v>114</v>
      </c>
      <c r="Q1835" s="8" t="s">
        <v>12</v>
      </c>
      <c r="R1835" s="4" t="s">
        <v>501</v>
      </c>
      <c r="S1835" s="4"/>
      <c r="T1835"/>
      <c r="U1835" s="23"/>
    </row>
    <row r="1836" spans="1:21" ht="15.6" x14ac:dyDescent="0.3">
      <c r="A1836" s="4">
        <v>1835</v>
      </c>
      <c r="B1836" s="5">
        <v>4768364</v>
      </c>
      <c r="C1836" s="4" t="s">
        <v>92</v>
      </c>
      <c r="D1836" s="4" t="s">
        <v>60</v>
      </c>
      <c r="E1836" s="4" t="s">
        <v>76</v>
      </c>
      <c r="F1836" s="4" t="s">
        <v>2953</v>
      </c>
      <c r="G1836" s="6">
        <v>3.2</v>
      </c>
      <c r="H1836" s="7">
        <v>45585.601018518515</v>
      </c>
      <c r="I1836" s="7" t="str">
        <f>TEXT(multilingual_mobile_app_reviews_2025[[#This Row],[Review_date]],"dd-mm-yyyy")</f>
        <v>20-10-2024</v>
      </c>
      <c r="J1836" s="7" t="str">
        <f>TEXT(multilingual_mobile_app_reviews_2025[[#This Row],[Review_date]],"YYYY")</f>
        <v>2024</v>
      </c>
      <c r="K1836" s="7" t="str">
        <f>TEXT(multilingual_mobile_app_reviews_2025[[#This Row],[Review_date]],"MMMM")</f>
        <v>October</v>
      </c>
      <c r="L1836" s="4" t="b">
        <v>0</v>
      </c>
      <c r="M1836" s="4" t="s">
        <v>98</v>
      </c>
      <c r="N1836" s="5">
        <v>1129</v>
      </c>
      <c r="O1836" s="5">
        <v>23</v>
      </c>
      <c r="P1836" s="4" t="s">
        <v>85</v>
      </c>
      <c r="Q1836" s="8" t="s">
        <v>2963</v>
      </c>
      <c r="R1836" s="4" t="s">
        <v>2176</v>
      </c>
      <c r="S1836" s="4"/>
      <c r="T1836"/>
      <c r="U1836" s="23"/>
    </row>
    <row r="1837" spans="1:21" ht="15.6" x14ac:dyDescent="0.3">
      <c r="A1837" s="4">
        <v>1836</v>
      </c>
      <c r="B1837" s="5">
        <v>5374209</v>
      </c>
      <c r="C1837" s="4" t="s">
        <v>69</v>
      </c>
      <c r="D1837" s="4" t="s">
        <v>51</v>
      </c>
      <c r="E1837" s="4" t="s">
        <v>2177</v>
      </c>
      <c r="F1837" s="4" t="s">
        <v>2944</v>
      </c>
      <c r="G1837" s="6">
        <v>1.7</v>
      </c>
      <c r="H1837" s="7">
        <v>45312.579432870371</v>
      </c>
      <c r="I1837" s="7" t="str">
        <f>TEXT(multilingual_mobile_app_reviews_2025[[#This Row],[Review_date]],"dd-mm-yyyy")</f>
        <v>21-01-2024</v>
      </c>
      <c r="J1837" s="7" t="str">
        <f>TEXT(multilingual_mobile_app_reviews_2025[[#This Row],[Review_date]],"YYYY")</f>
        <v>2024</v>
      </c>
      <c r="K1837" s="7" t="str">
        <f>TEXT(multilingual_mobile_app_reviews_2025[[#This Row],[Review_date]],"MMMM")</f>
        <v>January</v>
      </c>
      <c r="L1837" s="4" t="b">
        <v>1</v>
      </c>
      <c r="M1837" s="4" t="s">
        <v>22</v>
      </c>
      <c r="N1837" s="5">
        <v>721</v>
      </c>
      <c r="O1837" s="5">
        <v>70</v>
      </c>
      <c r="P1837" s="4" t="s">
        <v>70</v>
      </c>
      <c r="Q1837" s="8" t="s">
        <v>5</v>
      </c>
      <c r="R1837" s="4" t="s">
        <v>2178</v>
      </c>
      <c r="S1837" s="4"/>
      <c r="T1837"/>
      <c r="U1837" s="23"/>
    </row>
    <row r="1838" spans="1:21" ht="15.6" x14ac:dyDescent="0.3">
      <c r="A1838" s="4">
        <v>1837</v>
      </c>
      <c r="B1838" s="5">
        <v>4939871</v>
      </c>
      <c r="C1838" s="4" t="s">
        <v>165</v>
      </c>
      <c r="D1838" s="4" t="s">
        <v>47</v>
      </c>
      <c r="E1838" s="4" t="s">
        <v>130</v>
      </c>
      <c r="F1838" s="4" t="s">
        <v>2961</v>
      </c>
      <c r="G1838" s="6">
        <v>1.2</v>
      </c>
      <c r="H1838" s="7">
        <v>45868.380266203705</v>
      </c>
      <c r="I1838" s="7" t="str">
        <f>TEXT(multilingual_mobile_app_reviews_2025[[#This Row],[Review_date]],"dd-mm-yyyy")</f>
        <v>30-07-2025</v>
      </c>
      <c r="J1838" s="7" t="str">
        <f>TEXT(multilingual_mobile_app_reviews_2025[[#This Row],[Review_date]],"YYYY")</f>
        <v>2025</v>
      </c>
      <c r="K1838" s="7" t="str">
        <f>TEXT(multilingual_mobile_app_reviews_2025[[#This Row],[Review_date]],"MMMM")</f>
        <v>July</v>
      </c>
      <c r="L1838" s="4" t="b">
        <v>1</v>
      </c>
      <c r="M1838" s="4" t="s">
        <v>98</v>
      </c>
      <c r="N1838" s="5">
        <v>961</v>
      </c>
      <c r="O1838" s="5">
        <v>75</v>
      </c>
      <c r="P1838" s="4" t="s">
        <v>38</v>
      </c>
      <c r="Q1838" s="8" t="s">
        <v>12</v>
      </c>
      <c r="R1838" s="4" t="s">
        <v>2179</v>
      </c>
      <c r="S1838" s="4"/>
      <c r="T1838"/>
      <c r="U1838" s="23"/>
    </row>
    <row r="1839" spans="1:21" ht="15.6" x14ac:dyDescent="0.3">
      <c r="A1839" s="4">
        <v>1838</v>
      </c>
      <c r="B1839" s="5">
        <v>1880388</v>
      </c>
      <c r="C1839" s="4" t="s">
        <v>123</v>
      </c>
      <c r="D1839" s="4" t="s">
        <v>71</v>
      </c>
      <c r="E1839" s="4" t="s">
        <v>2180</v>
      </c>
      <c r="F1839" s="4" t="s">
        <v>2948</v>
      </c>
      <c r="G1839" s="6">
        <v>3</v>
      </c>
      <c r="H1839" s="7">
        <v>45556.689918981479</v>
      </c>
      <c r="I1839" s="7" t="str">
        <f>TEXT(multilingual_mobile_app_reviews_2025[[#This Row],[Review_date]],"dd-mm-yyyy")</f>
        <v>21-09-2024</v>
      </c>
      <c r="J1839" s="7" t="str">
        <f>TEXT(multilingual_mobile_app_reviews_2025[[#This Row],[Review_date]],"YYYY")</f>
        <v>2024</v>
      </c>
      <c r="K1839" s="7" t="str">
        <f>TEXT(multilingual_mobile_app_reviews_2025[[#This Row],[Review_date]],"MMMM")</f>
        <v>September</v>
      </c>
      <c r="L1839" s="4" t="b">
        <v>1</v>
      </c>
      <c r="M1839" s="4" t="s">
        <v>3</v>
      </c>
      <c r="N1839" s="5">
        <v>256</v>
      </c>
      <c r="O1839" s="5">
        <v>62</v>
      </c>
      <c r="P1839" s="4" t="s">
        <v>4</v>
      </c>
      <c r="Q1839" s="8" t="s">
        <v>5</v>
      </c>
      <c r="R1839" s="4" t="s">
        <v>100</v>
      </c>
      <c r="S1839" s="4"/>
      <c r="T1839"/>
      <c r="U1839" s="23"/>
    </row>
    <row r="1840" spans="1:21" ht="15.6" x14ac:dyDescent="0.3">
      <c r="A1840" s="4">
        <v>1839</v>
      </c>
      <c r="B1840" s="5">
        <v>211821</v>
      </c>
      <c r="C1840" s="4" t="s">
        <v>87</v>
      </c>
      <c r="D1840" s="4" t="s">
        <v>51</v>
      </c>
      <c r="E1840" s="4" t="s">
        <v>2181</v>
      </c>
      <c r="F1840" s="4" t="s">
        <v>2954</v>
      </c>
      <c r="G1840" s="6">
        <v>1.4</v>
      </c>
      <c r="H1840" s="7">
        <v>45810.357407407406</v>
      </c>
      <c r="I1840" s="7" t="str">
        <f>TEXT(multilingual_mobile_app_reviews_2025[[#This Row],[Review_date]],"dd-mm-yyyy")</f>
        <v>02-06-2025</v>
      </c>
      <c r="J1840" s="7" t="str">
        <f>TEXT(multilingual_mobile_app_reviews_2025[[#This Row],[Review_date]],"YYYY")</f>
        <v>2025</v>
      </c>
      <c r="K1840" s="7" t="str">
        <f>TEXT(multilingual_mobile_app_reviews_2025[[#This Row],[Review_date]],"MMMM")</f>
        <v>June</v>
      </c>
      <c r="L1840" s="4" t="b">
        <v>1</v>
      </c>
      <c r="M1840" s="4" t="s">
        <v>22</v>
      </c>
      <c r="N1840" s="5">
        <v>70</v>
      </c>
      <c r="O1840" s="5">
        <v>60</v>
      </c>
      <c r="P1840" s="4" t="s">
        <v>73</v>
      </c>
      <c r="Q1840" s="8" t="s">
        <v>2963</v>
      </c>
      <c r="R1840" s="4" t="s">
        <v>1089</v>
      </c>
      <c r="S1840" s="4"/>
      <c r="T1840"/>
      <c r="U1840" s="23"/>
    </row>
    <row r="1841" spans="1:21" ht="15.6" x14ac:dyDescent="0.3">
      <c r="A1841" s="4">
        <v>1840</v>
      </c>
      <c r="B1841" s="5">
        <v>4771669</v>
      </c>
      <c r="C1841" s="4" t="s">
        <v>14</v>
      </c>
      <c r="D1841" s="4" t="s">
        <v>1</v>
      </c>
      <c r="E1841" s="4" t="s">
        <v>27</v>
      </c>
      <c r="F1841" s="4" t="s">
        <v>2945</v>
      </c>
      <c r="G1841" s="6">
        <v>1.9</v>
      </c>
      <c r="H1841" s="7">
        <v>45707.154999999999</v>
      </c>
      <c r="I1841" s="7" t="str">
        <f>TEXT(multilingual_mobile_app_reviews_2025[[#This Row],[Review_date]],"dd-mm-yyyy")</f>
        <v>19-02-2025</v>
      </c>
      <c r="J1841" s="7" t="str">
        <f>TEXT(multilingual_mobile_app_reviews_2025[[#This Row],[Review_date]],"YYYY")</f>
        <v>2025</v>
      </c>
      <c r="K1841" s="7" t="str">
        <f>TEXT(multilingual_mobile_app_reviews_2025[[#This Row],[Review_date]],"MMMM")</f>
        <v>February</v>
      </c>
      <c r="L1841" s="4" t="b">
        <v>0</v>
      </c>
      <c r="M1841" s="4" t="s">
        <v>10</v>
      </c>
      <c r="N1841" s="5">
        <v>1239</v>
      </c>
      <c r="O1841" s="5">
        <v>13</v>
      </c>
      <c r="P1841" s="4" t="s">
        <v>73</v>
      </c>
      <c r="Q1841" s="8" t="s">
        <v>12</v>
      </c>
      <c r="R1841" s="4" t="s">
        <v>2182</v>
      </c>
      <c r="S1841" s="4"/>
      <c r="T1841"/>
      <c r="U1841" s="23"/>
    </row>
    <row r="1842" spans="1:21" ht="15.6" x14ac:dyDescent="0.3">
      <c r="A1842" s="4">
        <v>1841</v>
      </c>
      <c r="B1842" s="5">
        <v>2053918</v>
      </c>
      <c r="C1842" s="4" t="s">
        <v>67</v>
      </c>
      <c r="D1842" s="4" t="s">
        <v>111</v>
      </c>
      <c r="E1842" s="4" t="s">
        <v>2183</v>
      </c>
      <c r="F1842" s="4" t="s">
        <v>2958</v>
      </c>
      <c r="G1842" s="6">
        <v>1.8</v>
      </c>
      <c r="H1842" s="7">
        <v>45491.094212962962</v>
      </c>
      <c r="I1842" s="7" t="str">
        <f>TEXT(multilingual_mobile_app_reviews_2025[[#This Row],[Review_date]],"dd-mm-yyyy")</f>
        <v>18-07-2024</v>
      </c>
      <c r="J1842" s="7" t="str">
        <f>TEXT(multilingual_mobile_app_reviews_2025[[#This Row],[Review_date]],"YYYY")</f>
        <v>2024</v>
      </c>
      <c r="K1842" s="7" t="str">
        <f>TEXT(multilingual_mobile_app_reviews_2025[[#This Row],[Review_date]],"MMMM")</f>
        <v>July</v>
      </c>
      <c r="L1842" s="4" t="b">
        <v>0</v>
      </c>
      <c r="M1842" s="4" t="s">
        <v>22</v>
      </c>
      <c r="N1842" s="5">
        <v>443</v>
      </c>
      <c r="O1842" s="5">
        <v>53</v>
      </c>
      <c r="P1842" s="4" t="s">
        <v>34</v>
      </c>
      <c r="Q1842" s="8" t="s">
        <v>12</v>
      </c>
      <c r="R1842" s="4" t="s">
        <v>2184</v>
      </c>
      <c r="S1842" s="4"/>
      <c r="T1842"/>
      <c r="U1842" s="23"/>
    </row>
    <row r="1843" spans="1:21" ht="15.6" x14ac:dyDescent="0.3">
      <c r="A1843" s="4">
        <v>1842</v>
      </c>
      <c r="B1843" s="5">
        <v>8704096</v>
      </c>
      <c r="C1843" s="4" t="s">
        <v>147</v>
      </c>
      <c r="D1843" s="4" t="s">
        <v>8</v>
      </c>
      <c r="E1843" s="4" t="s">
        <v>2185</v>
      </c>
      <c r="F1843" s="4" t="s">
        <v>2941</v>
      </c>
      <c r="G1843" s="6">
        <v>4.5999999999999996</v>
      </c>
      <c r="H1843" s="7">
        <v>45863.069907407407</v>
      </c>
      <c r="I1843" s="7" t="str">
        <f>TEXT(multilingual_mobile_app_reviews_2025[[#This Row],[Review_date]],"dd-mm-yyyy")</f>
        <v>25-07-2025</v>
      </c>
      <c r="J1843" s="7" t="str">
        <f>TEXT(multilingual_mobile_app_reviews_2025[[#This Row],[Review_date]],"YYYY")</f>
        <v>2025</v>
      </c>
      <c r="K1843" s="7" t="str">
        <f>TEXT(multilingual_mobile_app_reviews_2025[[#This Row],[Review_date]],"MMMM")</f>
        <v>July</v>
      </c>
      <c r="L1843" s="4" t="b">
        <v>0</v>
      </c>
      <c r="M1843" s="4" t="s">
        <v>3</v>
      </c>
      <c r="N1843" s="5">
        <v>649</v>
      </c>
      <c r="O1843" s="5">
        <v>73</v>
      </c>
      <c r="P1843" s="4" t="s">
        <v>28</v>
      </c>
      <c r="Q1843" s="8" t="s">
        <v>29</v>
      </c>
      <c r="R1843" s="4" t="s">
        <v>2186</v>
      </c>
      <c r="S1843" s="4"/>
      <c r="T1843"/>
      <c r="U1843" s="23"/>
    </row>
    <row r="1844" spans="1:21" ht="15.6" x14ac:dyDescent="0.3">
      <c r="A1844" s="4">
        <v>1843</v>
      </c>
      <c r="B1844" s="5">
        <v>8845909</v>
      </c>
      <c r="C1844" s="4" t="s">
        <v>137</v>
      </c>
      <c r="D1844" s="4" t="s">
        <v>220</v>
      </c>
      <c r="E1844" s="4" t="s">
        <v>27</v>
      </c>
      <c r="F1844" s="4" t="s">
        <v>2940</v>
      </c>
      <c r="G1844" s="6">
        <v>4.3</v>
      </c>
      <c r="H1844" s="7">
        <v>45385.508935185186</v>
      </c>
      <c r="I1844" s="7" t="str">
        <f>TEXT(multilingual_mobile_app_reviews_2025[[#This Row],[Review_date]],"dd-mm-yyyy")</f>
        <v>03-04-2024</v>
      </c>
      <c r="J1844" s="7" t="str">
        <f>TEXT(multilingual_mobile_app_reviews_2025[[#This Row],[Review_date]],"YYYY")</f>
        <v>2024</v>
      </c>
      <c r="K1844" s="7" t="str">
        <f>TEXT(multilingual_mobile_app_reviews_2025[[#This Row],[Review_date]],"MMMM")</f>
        <v>April</v>
      </c>
      <c r="L1844" s="4" t="b">
        <v>1</v>
      </c>
      <c r="M1844" s="4" t="s">
        <v>10</v>
      </c>
      <c r="N1844" s="5">
        <v>1190</v>
      </c>
      <c r="O1844" s="5">
        <v>69</v>
      </c>
      <c r="P1844" s="4" t="s">
        <v>230</v>
      </c>
      <c r="Q1844" s="8" t="s">
        <v>12</v>
      </c>
      <c r="R1844" s="4" t="s">
        <v>2187</v>
      </c>
      <c r="S1844" s="4"/>
      <c r="T1844"/>
      <c r="U1844" s="23"/>
    </row>
    <row r="1845" spans="1:21" ht="15.6" x14ac:dyDescent="0.3">
      <c r="A1845" s="4">
        <v>1844</v>
      </c>
      <c r="B1845" s="5">
        <v>9464543</v>
      </c>
      <c r="C1845" s="4" t="s">
        <v>7</v>
      </c>
      <c r="D1845" s="4" t="s">
        <v>71</v>
      </c>
      <c r="E1845" s="4" t="s">
        <v>2188</v>
      </c>
      <c r="F1845" s="4" t="s">
        <v>2948</v>
      </c>
      <c r="G1845" s="6">
        <v>1.6</v>
      </c>
      <c r="H1845" s="7">
        <v>45256.499837962961</v>
      </c>
      <c r="I1845" s="7" t="str">
        <f>TEXT(multilingual_mobile_app_reviews_2025[[#This Row],[Review_date]],"dd-mm-yyyy")</f>
        <v>26-11-2023</v>
      </c>
      <c r="J1845" s="7" t="str">
        <f>TEXT(multilingual_mobile_app_reviews_2025[[#This Row],[Review_date]],"YYYY")</f>
        <v>2023</v>
      </c>
      <c r="K1845" s="7" t="str">
        <f>TEXT(multilingual_mobile_app_reviews_2025[[#This Row],[Review_date]],"MMMM")</f>
        <v>November</v>
      </c>
      <c r="L1845" s="4" t="b">
        <v>1</v>
      </c>
      <c r="M1845" s="4" t="s">
        <v>98</v>
      </c>
      <c r="N1845" s="5">
        <v>517</v>
      </c>
      <c r="O1845" s="5">
        <v>14</v>
      </c>
      <c r="P1845" s="4" t="s">
        <v>34</v>
      </c>
      <c r="Q1845" s="8" t="s">
        <v>12</v>
      </c>
      <c r="R1845" s="4" t="s">
        <v>2189</v>
      </c>
      <c r="S1845" s="4"/>
      <c r="T1845"/>
      <c r="U1845" s="23"/>
    </row>
    <row r="1846" spans="1:21" ht="15.6" x14ac:dyDescent="0.3">
      <c r="A1846" s="4">
        <v>1845</v>
      </c>
      <c r="B1846" s="5">
        <v>3239098</v>
      </c>
      <c r="C1846" s="4" t="s">
        <v>46</v>
      </c>
      <c r="D1846" s="4" t="s">
        <v>60</v>
      </c>
      <c r="E1846" s="4" t="s">
        <v>2190</v>
      </c>
      <c r="F1846" s="4" t="s">
        <v>2955</v>
      </c>
      <c r="G1846" s="6">
        <v>3.3</v>
      </c>
      <c r="H1846" s="7">
        <v>45278.738368055558</v>
      </c>
      <c r="I1846" s="7" t="str">
        <f>TEXT(multilingual_mobile_app_reviews_2025[[#This Row],[Review_date]],"dd-mm-yyyy")</f>
        <v>18-12-2023</v>
      </c>
      <c r="J1846" s="7" t="str">
        <f>TEXT(multilingual_mobile_app_reviews_2025[[#This Row],[Review_date]],"YYYY")</f>
        <v>2023</v>
      </c>
      <c r="K1846" s="7" t="str">
        <f>TEXT(multilingual_mobile_app_reviews_2025[[#This Row],[Review_date]],"MMMM")</f>
        <v>December</v>
      </c>
      <c r="L1846" s="4" t="b">
        <v>1</v>
      </c>
      <c r="M1846" s="4" t="s">
        <v>98</v>
      </c>
      <c r="N1846" s="5">
        <v>429</v>
      </c>
      <c r="O1846" s="5">
        <v>55</v>
      </c>
      <c r="P1846" s="4" t="s">
        <v>180</v>
      </c>
      <c r="Q1846" s="8" t="s">
        <v>12</v>
      </c>
      <c r="R1846" s="4" t="s">
        <v>292</v>
      </c>
      <c r="S1846" s="4"/>
      <c r="T1846"/>
      <c r="U1846" s="23"/>
    </row>
    <row r="1847" spans="1:21" ht="15.6" x14ac:dyDescent="0.3">
      <c r="A1847" s="4">
        <v>1846</v>
      </c>
      <c r="B1847" s="5">
        <v>3990524</v>
      </c>
      <c r="C1847" s="4" t="s">
        <v>123</v>
      </c>
      <c r="D1847" s="4" t="s">
        <v>71</v>
      </c>
      <c r="E1847" s="4" t="s">
        <v>109</v>
      </c>
      <c r="F1847" s="4" t="s">
        <v>2939</v>
      </c>
      <c r="G1847" s="6">
        <v>2.2000000000000002</v>
      </c>
      <c r="H1847" s="7">
        <v>45818.541215277779</v>
      </c>
      <c r="I1847" s="7" t="str">
        <f>TEXT(multilingual_mobile_app_reviews_2025[[#This Row],[Review_date]],"dd-mm-yyyy")</f>
        <v>10-06-2025</v>
      </c>
      <c r="J1847" s="7" t="str">
        <f>TEXT(multilingual_mobile_app_reviews_2025[[#This Row],[Review_date]],"YYYY")</f>
        <v>2025</v>
      </c>
      <c r="K1847" s="7" t="str">
        <f>TEXT(multilingual_mobile_app_reviews_2025[[#This Row],[Review_date]],"MMMM")</f>
        <v>June</v>
      </c>
      <c r="L1847" s="4" t="b">
        <v>1</v>
      </c>
      <c r="M1847" s="4" t="s">
        <v>3</v>
      </c>
      <c r="N1847" s="5">
        <v>3</v>
      </c>
      <c r="O1847" s="5">
        <v>17</v>
      </c>
      <c r="P1847" s="4" t="s">
        <v>118</v>
      </c>
      <c r="Q1847" s="8" t="s">
        <v>39</v>
      </c>
      <c r="R1847" s="4" t="s">
        <v>2191</v>
      </c>
      <c r="S1847" s="4"/>
      <c r="T1847"/>
      <c r="U1847" s="23"/>
    </row>
    <row r="1848" spans="1:21" ht="15.6" x14ac:dyDescent="0.3">
      <c r="A1848" s="4">
        <v>1847</v>
      </c>
      <c r="B1848" s="5">
        <v>8237955</v>
      </c>
      <c r="C1848" s="4" t="s">
        <v>25</v>
      </c>
      <c r="D1848" s="4" t="s">
        <v>71</v>
      </c>
      <c r="E1848" s="4" t="s">
        <v>76</v>
      </c>
      <c r="F1848" s="4" t="s">
        <v>2957</v>
      </c>
      <c r="G1848" s="6">
        <v>1.9</v>
      </c>
      <c r="H1848" s="7">
        <v>45519.644930555558</v>
      </c>
      <c r="I1848" s="7" t="str">
        <f>TEXT(multilingual_mobile_app_reviews_2025[[#This Row],[Review_date]],"dd-mm-yyyy")</f>
        <v>15-08-2024</v>
      </c>
      <c r="J1848" s="7" t="str">
        <f>TEXT(multilingual_mobile_app_reviews_2025[[#This Row],[Review_date]],"YYYY")</f>
        <v>2024</v>
      </c>
      <c r="K1848" s="7" t="str">
        <f>TEXT(multilingual_mobile_app_reviews_2025[[#This Row],[Review_date]],"MMMM")</f>
        <v>August</v>
      </c>
      <c r="L1848" s="4" t="b">
        <v>0</v>
      </c>
      <c r="M1848" s="4" t="s">
        <v>10</v>
      </c>
      <c r="N1848" s="5">
        <v>866</v>
      </c>
      <c r="O1848" s="5">
        <v>61</v>
      </c>
      <c r="P1848" s="4" t="s">
        <v>61</v>
      </c>
      <c r="Q1848" s="8" t="s">
        <v>29</v>
      </c>
      <c r="R1848" s="4" t="s">
        <v>339</v>
      </c>
      <c r="S1848" s="4"/>
      <c r="T1848"/>
      <c r="U1848" s="23"/>
    </row>
    <row r="1849" spans="1:21" ht="15.6" x14ac:dyDescent="0.3">
      <c r="A1849" s="4">
        <v>1848</v>
      </c>
      <c r="B1849" s="5">
        <v>6680192</v>
      </c>
      <c r="C1849" s="4" t="s">
        <v>137</v>
      </c>
      <c r="D1849" s="4" t="s">
        <v>51</v>
      </c>
      <c r="E1849" s="4" t="s">
        <v>130</v>
      </c>
      <c r="F1849" s="4" t="s">
        <v>2961</v>
      </c>
      <c r="G1849" s="6">
        <v>2.8</v>
      </c>
      <c r="H1849" s="7">
        <v>45603.235960648148</v>
      </c>
      <c r="I1849" s="7" t="str">
        <f>TEXT(multilingual_mobile_app_reviews_2025[[#This Row],[Review_date]],"dd-mm-yyyy")</f>
        <v>07-11-2024</v>
      </c>
      <c r="J1849" s="7" t="str">
        <f>TEXT(multilingual_mobile_app_reviews_2025[[#This Row],[Review_date]],"YYYY")</f>
        <v>2024</v>
      </c>
      <c r="K1849" s="7" t="str">
        <f>TEXT(multilingual_mobile_app_reviews_2025[[#This Row],[Review_date]],"MMMM")</f>
        <v>November</v>
      </c>
      <c r="L1849" s="4" t="b">
        <v>1</v>
      </c>
      <c r="M1849" s="4" t="s">
        <v>10</v>
      </c>
      <c r="N1849" s="5">
        <v>130</v>
      </c>
      <c r="O1849" s="5">
        <v>26</v>
      </c>
      <c r="P1849" s="4" t="s">
        <v>85</v>
      </c>
      <c r="Q1849" s="8" t="s">
        <v>29</v>
      </c>
      <c r="R1849" s="4" t="s">
        <v>2192</v>
      </c>
      <c r="S1849" s="4"/>
      <c r="T1849"/>
      <c r="U1849" s="23"/>
    </row>
    <row r="1850" spans="1:21" ht="15.6" x14ac:dyDescent="0.3">
      <c r="A1850" s="4">
        <v>1849</v>
      </c>
      <c r="B1850" s="5">
        <v>9216962</v>
      </c>
      <c r="C1850" s="4" t="s">
        <v>25</v>
      </c>
      <c r="D1850" s="4" t="s">
        <v>8</v>
      </c>
      <c r="E1850" s="4" t="s">
        <v>130</v>
      </c>
      <c r="F1850" s="4" t="s">
        <v>2953</v>
      </c>
      <c r="G1850" s="6">
        <v>1.2</v>
      </c>
      <c r="H1850" s="7">
        <v>45512.450208333335</v>
      </c>
      <c r="I1850" s="7" t="str">
        <f>TEXT(multilingual_mobile_app_reviews_2025[[#This Row],[Review_date]],"dd-mm-yyyy")</f>
        <v>08-08-2024</v>
      </c>
      <c r="J1850" s="7" t="str">
        <f>TEXT(multilingual_mobile_app_reviews_2025[[#This Row],[Review_date]],"YYYY")</f>
        <v>2024</v>
      </c>
      <c r="K1850" s="7" t="str">
        <f>TEXT(multilingual_mobile_app_reviews_2025[[#This Row],[Review_date]],"MMMM")</f>
        <v>August</v>
      </c>
      <c r="L1850" s="4" t="b">
        <v>1</v>
      </c>
      <c r="M1850" s="4" t="s">
        <v>10</v>
      </c>
      <c r="N1850" s="5">
        <v>239</v>
      </c>
      <c r="O1850" s="5">
        <v>50</v>
      </c>
      <c r="P1850" s="4" t="s">
        <v>230</v>
      </c>
      <c r="Q1850" s="8" t="s">
        <v>39</v>
      </c>
      <c r="R1850" s="4" t="s">
        <v>2193</v>
      </c>
      <c r="S1850" s="4"/>
      <c r="T1850"/>
      <c r="U1850" s="23"/>
    </row>
    <row r="1851" spans="1:21" ht="15.6" x14ac:dyDescent="0.3">
      <c r="A1851" s="4">
        <v>1850</v>
      </c>
      <c r="B1851" s="5">
        <v>1719558</v>
      </c>
      <c r="C1851" s="4" t="s">
        <v>69</v>
      </c>
      <c r="D1851" s="4" t="s">
        <v>8</v>
      </c>
      <c r="E1851" s="4" t="s">
        <v>93</v>
      </c>
      <c r="F1851" s="4" t="s">
        <v>2957</v>
      </c>
      <c r="G1851" s="6">
        <v>2.6</v>
      </c>
      <c r="H1851" s="7">
        <v>45308.92664351852</v>
      </c>
      <c r="I1851" s="7" t="str">
        <f>TEXT(multilingual_mobile_app_reviews_2025[[#This Row],[Review_date]],"dd-mm-yyyy")</f>
        <v>17-01-2024</v>
      </c>
      <c r="J1851" s="7" t="str">
        <f>TEXT(multilingual_mobile_app_reviews_2025[[#This Row],[Review_date]],"YYYY")</f>
        <v>2024</v>
      </c>
      <c r="K1851" s="7" t="str">
        <f>TEXT(multilingual_mobile_app_reviews_2025[[#This Row],[Review_date]],"MMMM")</f>
        <v>January</v>
      </c>
      <c r="L1851" s="4" t="b">
        <v>1</v>
      </c>
      <c r="M1851" s="4" t="s">
        <v>10</v>
      </c>
      <c r="N1851" s="5">
        <v>82</v>
      </c>
      <c r="O1851" s="5">
        <v>28</v>
      </c>
      <c r="P1851" s="4" t="s">
        <v>38</v>
      </c>
      <c r="Q1851" s="8" t="s">
        <v>12</v>
      </c>
      <c r="R1851" s="4" t="s">
        <v>2194</v>
      </c>
      <c r="S1851" s="4"/>
      <c r="T1851"/>
      <c r="U1851" s="23"/>
    </row>
    <row r="1852" spans="1:21" ht="15.6" x14ac:dyDescent="0.3">
      <c r="A1852" s="4">
        <v>1851</v>
      </c>
      <c r="B1852" s="5">
        <v>4919613</v>
      </c>
      <c r="C1852" s="4" t="s">
        <v>25</v>
      </c>
      <c r="D1852" s="4" t="s">
        <v>1</v>
      </c>
      <c r="E1852" s="4" t="s">
        <v>76</v>
      </c>
      <c r="F1852" s="4" t="s">
        <v>2940</v>
      </c>
      <c r="G1852" s="6">
        <v>2.4</v>
      </c>
      <c r="H1852" s="7">
        <v>45464.786585648151</v>
      </c>
      <c r="I1852" s="7" t="str">
        <f>TEXT(multilingual_mobile_app_reviews_2025[[#This Row],[Review_date]],"dd-mm-yyyy")</f>
        <v>21-06-2024</v>
      </c>
      <c r="J1852" s="7" t="str">
        <f>TEXT(multilingual_mobile_app_reviews_2025[[#This Row],[Review_date]],"YYYY")</f>
        <v>2024</v>
      </c>
      <c r="K1852" s="7" t="str">
        <f>TEXT(multilingual_mobile_app_reviews_2025[[#This Row],[Review_date]],"MMMM")</f>
        <v>June</v>
      </c>
      <c r="L1852" s="4" t="b">
        <v>1</v>
      </c>
      <c r="M1852" s="4" t="s">
        <v>10</v>
      </c>
      <c r="N1852" s="5">
        <v>626</v>
      </c>
      <c r="O1852" s="5">
        <v>51</v>
      </c>
      <c r="P1852" s="4" t="s">
        <v>127</v>
      </c>
      <c r="Q1852" s="8" t="s">
        <v>5</v>
      </c>
      <c r="R1852" s="4" t="s">
        <v>383</v>
      </c>
      <c r="S1852" s="4"/>
      <c r="T1852"/>
      <c r="U1852" s="23"/>
    </row>
    <row r="1853" spans="1:21" ht="15.6" x14ac:dyDescent="0.3">
      <c r="A1853" s="4">
        <v>1852</v>
      </c>
      <c r="B1853" s="5">
        <v>5559256</v>
      </c>
      <c r="C1853" s="4" t="s">
        <v>7</v>
      </c>
      <c r="D1853" s="4" t="s">
        <v>8</v>
      </c>
      <c r="E1853" s="4" t="s">
        <v>109</v>
      </c>
      <c r="F1853" s="4" t="s">
        <v>2961</v>
      </c>
      <c r="G1853" s="6">
        <v>2.9</v>
      </c>
      <c r="H1853" s="7">
        <v>45331.036620370367</v>
      </c>
      <c r="I1853" s="7" t="str">
        <f>TEXT(multilingual_mobile_app_reviews_2025[[#This Row],[Review_date]],"dd-mm-yyyy")</f>
        <v>09-02-2024</v>
      </c>
      <c r="J1853" s="7" t="str">
        <f>TEXT(multilingual_mobile_app_reviews_2025[[#This Row],[Review_date]],"YYYY")</f>
        <v>2024</v>
      </c>
      <c r="K1853" s="7" t="str">
        <f>TEXT(multilingual_mobile_app_reviews_2025[[#This Row],[Review_date]],"MMMM")</f>
        <v>February</v>
      </c>
      <c r="L1853" s="4" t="b">
        <v>0</v>
      </c>
      <c r="M1853" s="4" t="s">
        <v>98</v>
      </c>
      <c r="N1853" s="5">
        <v>727</v>
      </c>
      <c r="O1853" s="5">
        <v>25</v>
      </c>
      <c r="P1853" s="4" t="s">
        <v>70</v>
      </c>
      <c r="Q1853" s="8" t="s">
        <v>2963</v>
      </c>
      <c r="R1853" s="4" t="s">
        <v>2195</v>
      </c>
      <c r="S1853" s="4"/>
      <c r="T1853"/>
      <c r="U1853" s="23"/>
    </row>
    <row r="1854" spans="1:21" ht="15.6" x14ac:dyDescent="0.3">
      <c r="A1854" s="4">
        <v>1853</v>
      </c>
      <c r="B1854" s="5">
        <v>7228056</v>
      </c>
      <c r="C1854" s="4" t="s">
        <v>84</v>
      </c>
      <c r="D1854" s="4" t="s">
        <v>26</v>
      </c>
      <c r="E1854" s="4" t="s">
        <v>109</v>
      </c>
      <c r="F1854" s="4" t="s">
        <v>2946</v>
      </c>
      <c r="G1854" s="6">
        <v>4</v>
      </c>
      <c r="H1854" s="7">
        <v>45228.837685185186</v>
      </c>
      <c r="I1854" s="7" t="str">
        <f>TEXT(multilingual_mobile_app_reviews_2025[[#This Row],[Review_date]],"dd-mm-yyyy")</f>
        <v>29-10-2023</v>
      </c>
      <c r="J1854" s="7" t="str">
        <f>TEXT(multilingual_mobile_app_reviews_2025[[#This Row],[Review_date]],"YYYY")</f>
        <v>2023</v>
      </c>
      <c r="K1854" s="7" t="str">
        <f>TEXT(multilingual_mobile_app_reviews_2025[[#This Row],[Review_date]],"MMMM")</f>
        <v>October</v>
      </c>
      <c r="L1854" s="4" t="b">
        <v>1</v>
      </c>
      <c r="M1854" s="4" t="s">
        <v>33</v>
      </c>
      <c r="N1854" s="5">
        <v>1215</v>
      </c>
      <c r="O1854" s="5">
        <v>56</v>
      </c>
      <c r="P1854" s="4" t="s">
        <v>90</v>
      </c>
      <c r="Q1854" s="8" t="s">
        <v>29</v>
      </c>
      <c r="R1854" s="4" t="s">
        <v>2196</v>
      </c>
      <c r="S1854" s="4"/>
      <c r="T1854"/>
      <c r="U1854" s="23"/>
    </row>
    <row r="1855" spans="1:21" ht="15.6" x14ac:dyDescent="0.3">
      <c r="A1855" s="4">
        <v>1854</v>
      </c>
      <c r="B1855" s="5">
        <v>7896975</v>
      </c>
      <c r="C1855" s="4" t="s">
        <v>176</v>
      </c>
      <c r="D1855" s="4" t="s">
        <v>31</v>
      </c>
      <c r="E1855" s="4" t="s">
        <v>76</v>
      </c>
      <c r="F1855" s="4" t="s">
        <v>2957</v>
      </c>
      <c r="G1855" s="6">
        <v>3.7</v>
      </c>
      <c r="H1855" s="7">
        <v>45386.57984953704</v>
      </c>
      <c r="I1855" s="7" t="str">
        <f>TEXT(multilingual_mobile_app_reviews_2025[[#This Row],[Review_date]],"dd-mm-yyyy")</f>
        <v>04-04-2024</v>
      </c>
      <c r="J1855" s="7" t="str">
        <f>TEXT(multilingual_mobile_app_reviews_2025[[#This Row],[Review_date]],"YYYY")</f>
        <v>2024</v>
      </c>
      <c r="K1855" s="7" t="str">
        <f>TEXT(multilingual_mobile_app_reviews_2025[[#This Row],[Review_date]],"MMMM")</f>
        <v>April</v>
      </c>
      <c r="L1855" s="4" t="b">
        <v>0</v>
      </c>
      <c r="M1855" s="4" t="s">
        <v>10</v>
      </c>
      <c r="N1855" s="5">
        <v>44</v>
      </c>
      <c r="O1855" s="5">
        <v>62</v>
      </c>
      <c r="P1855" s="4" t="s">
        <v>144</v>
      </c>
      <c r="Q1855" s="8" t="s">
        <v>39</v>
      </c>
      <c r="R1855" s="4" t="s">
        <v>2197</v>
      </c>
      <c r="S1855" s="4"/>
      <c r="T1855"/>
      <c r="U1855" s="23"/>
    </row>
    <row r="1856" spans="1:21" ht="15.6" x14ac:dyDescent="0.3">
      <c r="A1856" s="4">
        <v>1855</v>
      </c>
      <c r="B1856" s="5">
        <v>2004822</v>
      </c>
      <c r="C1856" s="4" t="s">
        <v>134</v>
      </c>
      <c r="D1856" s="4" t="s">
        <v>57</v>
      </c>
      <c r="E1856" s="4" t="s">
        <v>109</v>
      </c>
      <c r="F1856" s="4" t="s">
        <v>2958</v>
      </c>
      <c r="G1856" s="6">
        <v>4.9000000000000004</v>
      </c>
      <c r="H1856" s="7">
        <v>45408.850532407407</v>
      </c>
      <c r="I1856" s="7" t="str">
        <f>TEXT(multilingual_mobile_app_reviews_2025[[#This Row],[Review_date]],"dd-mm-yyyy")</f>
        <v>26-04-2024</v>
      </c>
      <c r="J1856" s="7" t="str">
        <f>TEXT(multilingual_mobile_app_reviews_2025[[#This Row],[Review_date]],"YYYY")</f>
        <v>2024</v>
      </c>
      <c r="K1856" s="7" t="str">
        <f>TEXT(multilingual_mobile_app_reviews_2025[[#This Row],[Review_date]],"MMMM")</f>
        <v>April</v>
      </c>
      <c r="L1856" s="4" t="b">
        <v>0</v>
      </c>
      <c r="M1856" s="4" t="s">
        <v>33</v>
      </c>
      <c r="N1856" s="5">
        <v>875</v>
      </c>
      <c r="O1856" s="5">
        <v>39</v>
      </c>
      <c r="P1856" s="4" t="s">
        <v>99</v>
      </c>
      <c r="Q1856" s="8" t="s">
        <v>12</v>
      </c>
      <c r="R1856" s="4" t="s">
        <v>2198</v>
      </c>
      <c r="S1856" s="4"/>
      <c r="T1856"/>
      <c r="U1856" s="23"/>
    </row>
    <row r="1857" spans="1:21" ht="15.6" x14ac:dyDescent="0.3">
      <c r="A1857" s="4">
        <v>1856</v>
      </c>
      <c r="B1857" s="5">
        <v>6778830</v>
      </c>
      <c r="C1857" s="4" t="s">
        <v>96</v>
      </c>
      <c r="D1857" s="4" t="s">
        <v>71</v>
      </c>
      <c r="E1857" s="4" t="s">
        <v>130</v>
      </c>
      <c r="F1857" s="4" t="s">
        <v>2941</v>
      </c>
      <c r="G1857" s="6">
        <v>1.5</v>
      </c>
      <c r="H1857" s="7">
        <v>45686.327222222222</v>
      </c>
      <c r="I1857" s="7" t="str">
        <f>TEXT(multilingual_mobile_app_reviews_2025[[#This Row],[Review_date]],"dd-mm-yyyy")</f>
        <v>29-01-2025</v>
      </c>
      <c r="J1857" s="7" t="str">
        <f>TEXT(multilingual_mobile_app_reviews_2025[[#This Row],[Review_date]],"YYYY")</f>
        <v>2025</v>
      </c>
      <c r="K1857" s="7" t="str">
        <f>TEXT(multilingual_mobile_app_reviews_2025[[#This Row],[Review_date]],"MMMM")</f>
        <v>January</v>
      </c>
      <c r="L1857" s="4" t="b">
        <v>1</v>
      </c>
      <c r="M1857" s="4" t="s">
        <v>98</v>
      </c>
      <c r="N1857" s="5">
        <v>240</v>
      </c>
      <c r="O1857" s="5">
        <v>45</v>
      </c>
      <c r="P1857" s="4" t="s">
        <v>70</v>
      </c>
      <c r="Q1857" s="8" t="s">
        <v>29</v>
      </c>
      <c r="R1857" s="4" t="s">
        <v>2199</v>
      </c>
      <c r="S1857" s="4"/>
      <c r="T1857"/>
      <c r="U1857" s="23"/>
    </row>
    <row r="1858" spans="1:21" ht="15.6" x14ac:dyDescent="0.3">
      <c r="A1858" s="4">
        <v>1857</v>
      </c>
      <c r="B1858" s="5">
        <v>8215789</v>
      </c>
      <c r="C1858" s="4" t="s">
        <v>96</v>
      </c>
      <c r="D1858" s="4" t="s">
        <v>71</v>
      </c>
      <c r="E1858" s="4" t="s">
        <v>32</v>
      </c>
      <c r="F1858" s="4" t="s">
        <v>2957</v>
      </c>
      <c r="G1858" s="6">
        <v>2.7</v>
      </c>
      <c r="H1858" s="7">
        <v>45791.419409722221</v>
      </c>
      <c r="I1858" s="7" t="str">
        <f>TEXT(multilingual_mobile_app_reviews_2025[[#This Row],[Review_date]],"dd-mm-yyyy")</f>
        <v>14-05-2025</v>
      </c>
      <c r="J1858" s="7" t="str">
        <f>TEXT(multilingual_mobile_app_reviews_2025[[#This Row],[Review_date]],"YYYY")</f>
        <v>2025</v>
      </c>
      <c r="K1858" s="7" t="str">
        <f>TEXT(multilingual_mobile_app_reviews_2025[[#This Row],[Review_date]],"MMMM")</f>
        <v>May</v>
      </c>
      <c r="L1858" s="4" t="b">
        <v>1</v>
      </c>
      <c r="M1858" s="4" t="s">
        <v>33</v>
      </c>
      <c r="N1858" s="5">
        <v>1159</v>
      </c>
      <c r="O1858" s="5">
        <v>52</v>
      </c>
      <c r="P1858" s="4" t="s">
        <v>99</v>
      </c>
      <c r="Q1858" s="8" t="s">
        <v>39</v>
      </c>
      <c r="R1858" s="4" t="s">
        <v>1201</v>
      </c>
      <c r="S1858" s="4"/>
      <c r="T1858"/>
      <c r="U1858" s="23"/>
    </row>
    <row r="1859" spans="1:21" ht="15.6" x14ac:dyDescent="0.3">
      <c r="A1859" s="4">
        <v>1858</v>
      </c>
      <c r="B1859" s="5">
        <v>7012261</v>
      </c>
      <c r="C1859" s="4" t="s">
        <v>87</v>
      </c>
      <c r="D1859" s="4" t="s">
        <v>8</v>
      </c>
      <c r="E1859" s="4" t="s">
        <v>64</v>
      </c>
      <c r="F1859" s="4" t="s">
        <v>2950</v>
      </c>
      <c r="G1859" s="6">
        <v>3.3</v>
      </c>
      <c r="H1859" s="7">
        <v>45672.659328703703</v>
      </c>
      <c r="I1859" s="7" t="str">
        <f>TEXT(multilingual_mobile_app_reviews_2025[[#This Row],[Review_date]],"dd-mm-yyyy")</f>
        <v>15-01-2025</v>
      </c>
      <c r="J1859" s="7" t="str">
        <f>TEXT(multilingual_mobile_app_reviews_2025[[#This Row],[Review_date]],"YYYY")</f>
        <v>2025</v>
      </c>
      <c r="K1859" s="7" t="str">
        <f>TEXT(multilingual_mobile_app_reviews_2025[[#This Row],[Review_date]],"MMMM")</f>
        <v>January</v>
      </c>
      <c r="L1859" s="4" t="b">
        <v>1</v>
      </c>
      <c r="M1859" s="4" t="s">
        <v>10</v>
      </c>
      <c r="N1859" s="5">
        <v>827</v>
      </c>
      <c r="O1859" s="5">
        <v>66</v>
      </c>
      <c r="P1859" s="4" t="s">
        <v>28</v>
      </c>
      <c r="Q1859" s="8" t="s">
        <v>5</v>
      </c>
      <c r="R1859" s="4" t="s">
        <v>2200</v>
      </c>
      <c r="S1859" s="4"/>
      <c r="T1859"/>
      <c r="U1859" s="23"/>
    </row>
    <row r="1860" spans="1:21" ht="15.6" x14ac:dyDescent="0.3">
      <c r="A1860" s="4">
        <v>1859</v>
      </c>
      <c r="B1860" s="5">
        <v>585910</v>
      </c>
      <c r="C1860" s="4" t="s">
        <v>89</v>
      </c>
      <c r="D1860" s="4" t="s">
        <v>63</v>
      </c>
      <c r="E1860" s="4" t="s">
        <v>16</v>
      </c>
      <c r="F1860" s="4" t="s">
        <v>2944</v>
      </c>
      <c r="G1860" s="6">
        <v>4.7</v>
      </c>
      <c r="H1860" s="7">
        <v>45364.850462962961</v>
      </c>
      <c r="I1860" s="7" t="str">
        <f>TEXT(multilingual_mobile_app_reviews_2025[[#This Row],[Review_date]],"dd-mm-yyyy")</f>
        <v>13-03-2024</v>
      </c>
      <c r="J1860" s="7" t="str">
        <f>TEXT(multilingual_mobile_app_reviews_2025[[#This Row],[Review_date]],"YYYY")</f>
        <v>2024</v>
      </c>
      <c r="K1860" s="7" t="str">
        <f>TEXT(multilingual_mobile_app_reviews_2025[[#This Row],[Review_date]],"MMMM")</f>
        <v>March</v>
      </c>
      <c r="L1860" s="4" t="b">
        <v>1</v>
      </c>
      <c r="M1860" s="4" t="s">
        <v>3</v>
      </c>
      <c r="N1860" s="5">
        <v>761</v>
      </c>
      <c r="O1860" s="5">
        <v>19</v>
      </c>
      <c r="P1860" s="4" t="s">
        <v>85</v>
      </c>
      <c r="Q1860" s="8" t="s">
        <v>12</v>
      </c>
      <c r="R1860" s="4" t="s">
        <v>1247</v>
      </c>
      <c r="S1860" s="4"/>
      <c r="T1860"/>
      <c r="U1860" s="23"/>
    </row>
    <row r="1861" spans="1:21" ht="15.6" x14ac:dyDescent="0.3">
      <c r="A1861" s="4">
        <v>1860</v>
      </c>
      <c r="B1861" s="5">
        <v>8614225</v>
      </c>
      <c r="C1861" s="4" t="s">
        <v>67</v>
      </c>
      <c r="D1861" s="4" t="s">
        <v>111</v>
      </c>
      <c r="E1861" s="4" t="s">
        <v>32</v>
      </c>
      <c r="F1861" s="4" t="s">
        <v>2957</v>
      </c>
      <c r="G1861" s="6">
        <v>2.9</v>
      </c>
      <c r="H1861" s="7">
        <v>45305.95616898148</v>
      </c>
      <c r="I1861" s="7" t="str">
        <f>TEXT(multilingual_mobile_app_reviews_2025[[#This Row],[Review_date]],"dd-mm-yyyy")</f>
        <v>14-01-2024</v>
      </c>
      <c r="J1861" s="7" t="str">
        <f>TEXT(multilingual_mobile_app_reviews_2025[[#This Row],[Review_date]],"YYYY")</f>
        <v>2024</v>
      </c>
      <c r="K1861" s="7" t="str">
        <f>TEXT(multilingual_mobile_app_reviews_2025[[#This Row],[Review_date]],"MMMM")</f>
        <v>January</v>
      </c>
      <c r="L1861" s="4" t="b">
        <v>1</v>
      </c>
      <c r="M1861" s="4" t="s">
        <v>98</v>
      </c>
      <c r="N1861" s="5">
        <v>677</v>
      </c>
      <c r="O1861" s="5">
        <v>26</v>
      </c>
      <c r="P1861" s="4" t="s">
        <v>11</v>
      </c>
      <c r="Q1861" s="8" t="s">
        <v>5</v>
      </c>
      <c r="R1861" s="4" t="s">
        <v>30</v>
      </c>
      <c r="S1861" s="4"/>
      <c r="T1861"/>
      <c r="U1861" s="23"/>
    </row>
    <row r="1862" spans="1:21" ht="15.6" x14ac:dyDescent="0.3">
      <c r="A1862" s="4">
        <v>1861</v>
      </c>
      <c r="B1862" s="5">
        <v>1120109</v>
      </c>
      <c r="C1862" s="4" t="s">
        <v>36</v>
      </c>
      <c r="D1862" s="4" t="s">
        <v>111</v>
      </c>
      <c r="E1862" s="4" t="s">
        <v>109</v>
      </c>
      <c r="F1862" s="4" t="s">
        <v>2960</v>
      </c>
      <c r="G1862" s="6">
        <v>1</v>
      </c>
      <c r="H1862" s="7">
        <v>45575.596435185187</v>
      </c>
      <c r="I1862" s="7" t="str">
        <f>TEXT(multilingual_mobile_app_reviews_2025[[#This Row],[Review_date]],"dd-mm-yyyy")</f>
        <v>10-10-2024</v>
      </c>
      <c r="J1862" s="7" t="str">
        <f>TEXT(multilingual_mobile_app_reviews_2025[[#This Row],[Review_date]],"YYYY")</f>
        <v>2024</v>
      </c>
      <c r="K1862" s="7" t="str">
        <f>TEXT(multilingual_mobile_app_reviews_2025[[#This Row],[Review_date]],"MMMM")</f>
        <v>October</v>
      </c>
      <c r="L1862" s="4" t="b">
        <v>0</v>
      </c>
      <c r="M1862" s="4" t="s">
        <v>98</v>
      </c>
      <c r="N1862" s="5">
        <v>507</v>
      </c>
      <c r="O1862" s="5">
        <v>60</v>
      </c>
      <c r="P1862" s="4" t="s">
        <v>11</v>
      </c>
      <c r="Q1862" s="8" t="s">
        <v>2963</v>
      </c>
      <c r="R1862" s="4" t="s">
        <v>2201</v>
      </c>
      <c r="S1862" s="4"/>
      <c r="T1862"/>
      <c r="U1862" s="23"/>
    </row>
    <row r="1863" spans="1:21" ht="15.6" x14ac:dyDescent="0.3">
      <c r="A1863" s="4">
        <v>1862</v>
      </c>
      <c r="B1863" s="5">
        <v>5522262</v>
      </c>
      <c r="C1863" s="4" t="s">
        <v>123</v>
      </c>
      <c r="D1863" s="4" t="s">
        <v>111</v>
      </c>
      <c r="E1863" s="4" t="s">
        <v>2202</v>
      </c>
      <c r="F1863" s="4" t="s">
        <v>2957</v>
      </c>
      <c r="G1863" s="6">
        <v>1.5</v>
      </c>
      <c r="H1863" s="7">
        <v>45774.645115740743</v>
      </c>
      <c r="I1863" s="7" t="str">
        <f>TEXT(multilingual_mobile_app_reviews_2025[[#This Row],[Review_date]],"dd-mm-yyyy")</f>
        <v>27-04-2025</v>
      </c>
      <c r="J1863" s="7" t="str">
        <f>TEXT(multilingual_mobile_app_reviews_2025[[#This Row],[Review_date]],"YYYY")</f>
        <v>2025</v>
      </c>
      <c r="K1863" s="7" t="str">
        <f>TEXT(multilingual_mobile_app_reviews_2025[[#This Row],[Review_date]],"MMMM")</f>
        <v>April</v>
      </c>
      <c r="L1863" s="4" t="b">
        <v>1</v>
      </c>
      <c r="M1863" s="4" t="s">
        <v>3</v>
      </c>
      <c r="N1863" s="5">
        <v>245</v>
      </c>
      <c r="O1863" s="5">
        <v>20</v>
      </c>
      <c r="P1863" s="4" t="s">
        <v>90</v>
      </c>
      <c r="Q1863" s="8" t="s">
        <v>12</v>
      </c>
      <c r="R1863" s="4" t="s">
        <v>1649</v>
      </c>
      <c r="S1863" s="4"/>
      <c r="T1863"/>
      <c r="U1863" s="23"/>
    </row>
    <row r="1864" spans="1:21" ht="15.6" x14ac:dyDescent="0.3">
      <c r="A1864" s="4">
        <v>1863</v>
      </c>
      <c r="B1864" s="5">
        <v>5275949</v>
      </c>
      <c r="C1864" s="4" t="s">
        <v>19</v>
      </c>
      <c r="D1864" s="4" t="s">
        <v>31</v>
      </c>
      <c r="E1864" s="4" t="s">
        <v>130</v>
      </c>
      <c r="F1864" s="4" t="s">
        <v>2954</v>
      </c>
      <c r="G1864" s="6">
        <v>3.1</v>
      </c>
      <c r="H1864" s="7">
        <v>45486.567696759259</v>
      </c>
      <c r="I1864" s="7" t="str">
        <f>TEXT(multilingual_mobile_app_reviews_2025[[#This Row],[Review_date]],"dd-mm-yyyy")</f>
        <v>13-07-2024</v>
      </c>
      <c r="J1864" s="7" t="str">
        <f>TEXT(multilingual_mobile_app_reviews_2025[[#This Row],[Review_date]],"YYYY")</f>
        <v>2024</v>
      </c>
      <c r="K1864" s="7" t="str">
        <f>TEXT(multilingual_mobile_app_reviews_2025[[#This Row],[Review_date]],"MMMM")</f>
        <v>July</v>
      </c>
      <c r="L1864" s="4" t="b">
        <v>1</v>
      </c>
      <c r="M1864" s="4" t="s">
        <v>22</v>
      </c>
      <c r="N1864" s="5">
        <v>822</v>
      </c>
      <c r="O1864" s="5">
        <v>46</v>
      </c>
      <c r="P1864" s="4" t="s">
        <v>180</v>
      </c>
      <c r="Q1864" s="8" t="s">
        <v>2963</v>
      </c>
      <c r="R1864" s="4" t="s">
        <v>2203</v>
      </c>
      <c r="S1864" s="4"/>
      <c r="T1864"/>
      <c r="U1864" s="23"/>
    </row>
    <row r="1865" spans="1:21" ht="15.6" x14ac:dyDescent="0.3">
      <c r="A1865" s="4">
        <v>1864</v>
      </c>
      <c r="B1865" s="5">
        <v>3812966</v>
      </c>
      <c r="C1865" s="4" t="s">
        <v>123</v>
      </c>
      <c r="D1865" s="4" t="s">
        <v>63</v>
      </c>
      <c r="E1865" s="4" t="s">
        <v>93</v>
      </c>
      <c r="F1865" s="4" t="s">
        <v>2953</v>
      </c>
      <c r="G1865" s="6">
        <v>4.3</v>
      </c>
      <c r="H1865" s="7">
        <v>45583.556585648148</v>
      </c>
      <c r="I1865" s="7" t="str">
        <f>TEXT(multilingual_mobile_app_reviews_2025[[#This Row],[Review_date]],"dd-mm-yyyy")</f>
        <v>18-10-2024</v>
      </c>
      <c r="J1865" s="7" t="str">
        <f>TEXT(multilingual_mobile_app_reviews_2025[[#This Row],[Review_date]],"YYYY")</f>
        <v>2024</v>
      </c>
      <c r="K1865" s="7" t="str">
        <f>TEXT(multilingual_mobile_app_reviews_2025[[#This Row],[Review_date]],"MMMM")</f>
        <v>October</v>
      </c>
      <c r="L1865" s="4" t="b">
        <v>1</v>
      </c>
      <c r="M1865" s="4" t="s">
        <v>33</v>
      </c>
      <c r="N1865" s="5">
        <v>114</v>
      </c>
      <c r="O1865" s="5">
        <v>57</v>
      </c>
      <c r="P1865" s="4" t="s">
        <v>127</v>
      </c>
      <c r="Q1865" s="8" t="s">
        <v>39</v>
      </c>
      <c r="R1865" s="4" t="s">
        <v>2204</v>
      </c>
      <c r="S1865" s="4"/>
      <c r="T1865"/>
      <c r="U1865" s="23"/>
    </row>
    <row r="1866" spans="1:21" ht="15.6" x14ac:dyDescent="0.3">
      <c r="A1866" s="4">
        <v>1865</v>
      </c>
      <c r="B1866" s="5">
        <v>9092807</v>
      </c>
      <c r="C1866" s="4" t="s">
        <v>59</v>
      </c>
      <c r="D1866" s="4" t="s">
        <v>26</v>
      </c>
      <c r="E1866" s="4" t="s">
        <v>130</v>
      </c>
      <c r="F1866" s="4" t="s">
        <v>2959</v>
      </c>
      <c r="G1866" s="6">
        <v>2.4</v>
      </c>
      <c r="H1866" s="7">
        <v>45299.039178240739</v>
      </c>
      <c r="I1866" s="7" t="str">
        <f>TEXT(multilingual_mobile_app_reviews_2025[[#This Row],[Review_date]],"dd-mm-yyyy")</f>
        <v>08-01-2024</v>
      </c>
      <c r="J1866" s="7" t="str">
        <f>TEXT(multilingual_mobile_app_reviews_2025[[#This Row],[Review_date]],"YYYY")</f>
        <v>2024</v>
      </c>
      <c r="K1866" s="7" t="str">
        <f>TEXT(multilingual_mobile_app_reviews_2025[[#This Row],[Review_date]],"MMMM")</f>
        <v>January</v>
      </c>
      <c r="L1866" s="4" t="b">
        <v>0</v>
      </c>
      <c r="M1866" s="4" t="s">
        <v>10</v>
      </c>
      <c r="N1866" s="5">
        <v>269</v>
      </c>
      <c r="O1866" s="5">
        <v>35</v>
      </c>
      <c r="P1866" s="4" t="s">
        <v>65</v>
      </c>
      <c r="Q1866" s="8" t="s">
        <v>39</v>
      </c>
      <c r="R1866" s="4" t="s">
        <v>2205</v>
      </c>
      <c r="S1866" s="4"/>
      <c r="T1866"/>
      <c r="U1866" s="23"/>
    </row>
    <row r="1867" spans="1:21" ht="15.6" x14ac:dyDescent="0.3">
      <c r="A1867" s="4">
        <v>1866</v>
      </c>
      <c r="B1867" s="5">
        <v>1950788</v>
      </c>
      <c r="C1867" s="4" t="s">
        <v>19</v>
      </c>
      <c r="D1867" s="4" t="s">
        <v>15</v>
      </c>
      <c r="E1867" s="4" t="s">
        <v>109</v>
      </c>
      <c r="F1867" s="4" t="s">
        <v>2940</v>
      </c>
      <c r="G1867" s="6">
        <v>2.7</v>
      </c>
      <c r="H1867" s="7">
        <v>45615.24554398148</v>
      </c>
      <c r="I1867" s="7" t="str">
        <f>TEXT(multilingual_mobile_app_reviews_2025[[#This Row],[Review_date]],"dd-mm-yyyy")</f>
        <v>19-11-2024</v>
      </c>
      <c r="J1867" s="7" t="str">
        <f>TEXT(multilingual_mobile_app_reviews_2025[[#This Row],[Review_date]],"YYYY")</f>
        <v>2024</v>
      </c>
      <c r="K1867" s="7" t="str">
        <f>TEXT(multilingual_mobile_app_reviews_2025[[#This Row],[Review_date]],"MMMM")</f>
        <v>November</v>
      </c>
      <c r="L1867" s="4" t="b">
        <v>0</v>
      </c>
      <c r="M1867" s="4" t="s">
        <v>3</v>
      </c>
      <c r="N1867" s="5">
        <v>1163</v>
      </c>
      <c r="O1867" s="5">
        <v>47</v>
      </c>
      <c r="P1867" s="4" t="s">
        <v>85</v>
      </c>
      <c r="Q1867" s="8" t="s">
        <v>5</v>
      </c>
      <c r="R1867" s="4" t="s">
        <v>2206</v>
      </c>
      <c r="S1867" s="4"/>
      <c r="T1867"/>
      <c r="U1867" s="23"/>
    </row>
    <row r="1868" spans="1:21" ht="15.6" x14ac:dyDescent="0.3">
      <c r="A1868" s="4">
        <v>1867</v>
      </c>
      <c r="B1868" s="5">
        <v>5631182</v>
      </c>
      <c r="C1868" s="4" t="s">
        <v>258</v>
      </c>
      <c r="D1868" s="4" t="s">
        <v>220</v>
      </c>
      <c r="E1868" s="4" t="s">
        <v>2938</v>
      </c>
      <c r="F1868" s="4" t="s">
        <v>2956</v>
      </c>
      <c r="G1868" s="6">
        <v>4.2</v>
      </c>
      <c r="H1868" s="7">
        <v>45239.242789351854</v>
      </c>
      <c r="I1868" s="7" t="str">
        <f>TEXT(multilingual_mobile_app_reviews_2025[[#This Row],[Review_date]],"dd-mm-yyyy")</f>
        <v>09-11-2023</v>
      </c>
      <c r="J1868" s="7" t="str">
        <f>TEXT(multilingual_mobile_app_reviews_2025[[#This Row],[Review_date]],"YYYY")</f>
        <v>2023</v>
      </c>
      <c r="K1868" s="7" t="str">
        <f>TEXT(multilingual_mobile_app_reviews_2025[[#This Row],[Review_date]],"MMMM")</f>
        <v>November</v>
      </c>
      <c r="L1868" s="4" t="b">
        <v>1</v>
      </c>
      <c r="M1868" s="4" t="s">
        <v>98</v>
      </c>
      <c r="N1868" s="5">
        <v>1193</v>
      </c>
      <c r="O1868" s="5">
        <v>19</v>
      </c>
      <c r="P1868" s="4" t="s">
        <v>180</v>
      </c>
      <c r="Q1868" s="8" t="s">
        <v>12</v>
      </c>
      <c r="R1868" s="4" t="s">
        <v>2207</v>
      </c>
      <c r="S1868" s="4"/>
      <c r="T1868"/>
      <c r="U1868" s="23"/>
    </row>
    <row r="1869" spans="1:21" ht="15.6" x14ac:dyDescent="0.3">
      <c r="A1869" s="4">
        <v>1868</v>
      </c>
      <c r="B1869" s="5">
        <v>9155792</v>
      </c>
      <c r="C1869" s="4" t="s">
        <v>84</v>
      </c>
      <c r="D1869" s="4" t="s">
        <v>220</v>
      </c>
      <c r="E1869" s="4" t="s">
        <v>93</v>
      </c>
      <c r="F1869" s="4" t="s">
        <v>2953</v>
      </c>
      <c r="G1869" s="6">
        <v>1.6</v>
      </c>
      <c r="H1869" s="7">
        <v>45154.35052083333</v>
      </c>
      <c r="I1869" s="7" t="str">
        <f>TEXT(multilingual_mobile_app_reviews_2025[[#This Row],[Review_date]],"dd-mm-yyyy")</f>
        <v>16-08-2023</v>
      </c>
      <c r="J1869" s="7" t="str">
        <f>TEXT(multilingual_mobile_app_reviews_2025[[#This Row],[Review_date]],"YYYY")</f>
        <v>2023</v>
      </c>
      <c r="K1869" s="7" t="str">
        <f>TEXT(multilingual_mobile_app_reviews_2025[[#This Row],[Review_date]],"MMMM")</f>
        <v>August</v>
      </c>
      <c r="L1869" s="4" t="b">
        <v>0</v>
      </c>
      <c r="M1869" s="4" t="s">
        <v>10</v>
      </c>
      <c r="N1869" s="5">
        <v>959</v>
      </c>
      <c r="O1869" s="5">
        <v>14</v>
      </c>
      <c r="P1869" s="4" t="s">
        <v>70</v>
      </c>
      <c r="Q1869" s="8" t="s">
        <v>2963</v>
      </c>
      <c r="R1869" s="4" t="s">
        <v>2208</v>
      </c>
      <c r="S1869" s="4"/>
      <c r="T1869"/>
      <c r="U1869" s="23"/>
    </row>
    <row r="1870" spans="1:21" ht="15.6" x14ac:dyDescent="0.3">
      <c r="A1870" s="4">
        <v>1869</v>
      </c>
      <c r="B1870" s="5">
        <v>454296</v>
      </c>
      <c r="C1870" s="4" t="s">
        <v>54</v>
      </c>
      <c r="D1870" s="4" t="s">
        <v>71</v>
      </c>
      <c r="E1870" s="4" t="s">
        <v>9</v>
      </c>
      <c r="F1870" s="4" t="s">
        <v>2940</v>
      </c>
      <c r="G1870" s="6">
        <v>3.6</v>
      </c>
      <c r="H1870" s="7">
        <v>45762.13077546296</v>
      </c>
      <c r="I1870" s="7" t="str">
        <f>TEXT(multilingual_mobile_app_reviews_2025[[#This Row],[Review_date]],"dd-mm-yyyy")</f>
        <v>15-04-2025</v>
      </c>
      <c r="J1870" s="7" t="str">
        <f>TEXT(multilingual_mobile_app_reviews_2025[[#This Row],[Review_date]],"YYYY")</f>
        <v>2025</v>
      </c>
      <c r="K1870" s="7" t="str">
        <f>TEXT(multilingual_mobile_app_reviews_2025[[#This Row],[Review_date]],"MMMM")</f>
        <v>April</v>
      </c>
      <c r="L1870" s="4" t="b">
        <v>1</v>
      </c>
      <c r="M1870" s="4" t="s">
        <v>22</v>
      </c>
      <c r="N1870" s="5">
        <v>1197</v>
      </c>
      <c r="O1870" s="5">
        <v>32</v>
      </c>
      <c r="P1870" s="4" t="s">
        <v>17</v>
      </c>
      <c r="Q1870" s="8" t="s">
        <v>2963</v>
      </c>
      <c r="R1870" s="4" t="s">
        <v>2209</v>
      </c>
      <c r="S1870" s="4"/>
      <c r="T1870"/>
      <c r="U1870" s="23"/>
    </row>
    <row r="1871" spans="1:21" ht="15.6" x14ac:dyDescent="0.3">
      <c r="A1871" s="4">
        <v>1870</v>
      </c>
      <c r="B1871" s="5">
        <v>1614189</v>
      </c>
      <c r="C1871" s="4" t="s">
        <v>25</v>
      </c>
      <c r="D1871" s="4" t="s">
        <v>79</v>
      </c>
      <c r="E1871" s="4" t="s">
        <v>21</v>
      </c>
      <c r="F1871" s="4" t="s">
        <v>2950</v>
      </c>
      <c r="G1871" s="6">
        <v>2.7</v>
      </c>
      <c r="H1871" s="7">
        <v>45745.058912037035</v>
      </c>
      <c r="I1871" s="7" t="str">
        <f>TEXT(multilingual_mobile_app_reviews_2025[[#This Row],[Review_date]],"dd-mm-yyyy")</f>
        <v>29-03-2025</v>
      </c>
      <c r="J1871" s="7" t="str">
        <f>TEXT(multilingual_mobile_app_reviews_2025[[#This Row],[Review_date]],"YYYY")</f>
        <v>2025</v>
      </c>
      <c r="K1871" s="7" t="str">
        <f>TEXT(multilingual_mobile_app_reviews_2025[[#This Row],[Review_date]],"MMMM")</f>
        <v>March</v>
      </c>
      <c r="L1871" s="4" t="b">
        <v>0</v>
      </c>
      <c r="M1871" s="4" t="s">
        <v>10</v>
      </c>
      <c r="N1871" s="5">
        <v>688</v>
      </c>
      <c r="O1871" s="5">
        <v>72</v>
      </c>
      <c r="P1871" s="4" t="s">
        <v>114</v>
      </c>
      <c r="Q1871" s="8" t="s">
        <v>2963</v>
      </c>
      <c r="R1871" s="4" t="s">
        <v>2210</v>
      </c>
      <c r="S1871" s="4"/>
      <c r="T1871"/>
      <c r="U1871" s="23"/>
    </row>
    <row r="1872" spans="1:21" ht="15.6" x14ac:dyDescent="0.3">
      <c r="A1872" s="4">
        <v>1871</v>
      </c>
      <c r="B1872" s="5">
        <v>5691646</v>
      </c>
      <c r="C1872" s="4" t="s">
        <v>192</v>
      </c>
      <c r="D1872" s="4" t="s">
        <v>1</v>
      </c>
      <c r="E1872" s="4" t="s">
        <v>21</v>
      </c>
      <c r="F1872" s="4" t="s">
        <v>2957</v>
      </c>
      <c r="G1872" s="6">
        <v>3.9</v>
      </c>
      <c r="H1872" s="7">
        <v>45847.427141203705</v>
      </c>
      <c r="I1872" s="7" t="str">
        <f>TEXT(multilingual_mobile_app_reviews_2025[[#This Row],[Review_date]],"dd-mm-yyyy")</f>
        <v>09-07-2025</v>
      </c>
      <c r="J1872" s="7" t="str">
        <f>TEXT(multilingual_mobile_app_reviews_2025[[#This Row],[Review_date]],"YYYY")</f>
        <v>2025</v>
      </c>
      <c r="K1872" s="7" t="str">
        <f>TEXT(multilingual_mobile_app_reviews_2025[[#This Row],[Review_date]],"MMMM")</f>
        <v>July</v>
      </c>
      <c r="L1872" s="4" t="b">
        <v>1</v>
      </c>
      <c r="M1872" s="4" t="s">
        <v>22</v>
      </c>
      <c r="N1872" s="5">
        <v>899</v>
      </c>
      <c r="O1872" s="5">
        <v>59</v>
      </c>
      <c r="P1872" s="4" t="s">
        <v>80</v>
      </c>
      <c r="Q1872" s="8" t="s">
        <v>2963</v>
      </c>
      <c r="R1872" s="4" t="s">
        <v>2211</v>
      </c>
      <c r="S1872" s="4"/>
      <c r="T1872"/>
      <c r="U1872" s="23"/>
    </row>
    <row r="1873" spans="1:21" ht="15.6" x14ac:dyDescent="0.3">
      <c r="A1873" s="4">
        <v>1872</v>
      </c>
      <c r="B1873" s="5">
        <v>9376025</v>
      </c>
      <c r="C1873" s="4" t="s">
        <v>113</v>
      </c>
      <c r="D1873" s="4" t="s">
        <v>220</v>
      </c>
      <c r="E1873" s="4" t="s">
        <v>21</v>
      </c>
      <c r="F1873" s="4" t="s">
        <v>2958</v>
      </c>
      <c r="G1873" s="6">
        <v>1.1000000000000001</v>
      </c>
      <c r="H1873" s="7">
        <v>45188.172824074078</v>
      </c>
      <c r="I1873" s="7" t="str">
        <f>TEXT(multilingual_mobile_app_reviews_2025[[#This Row],[Review_date]],"dd-mm-yyyy")</f>
        <v>19-09-2023</v>
      </c>
      <c r="J1873" s="7" t="str">
        <f>TEXT(multilingual_mobile_app_reviews_2025[[#This Row],[Review_date]],"YYYY")</f>
        <v>2023</v>
      </c>
      <c r="K1873" s="7" t="str">
        <f>TEXT(multilingual_mobile_app_reviews_2025[[#This Row],[Review_date]],"MMMM")</f>
        <v>September</v>
      </c>
      <c r="L1873" s="4" t="b">
        <v>0</v>
      </c>
      <c r="M1873" s="4" t="s">
        <v>10</v>
      </c>
      <c r="N1873" s="5">
        <v>82</v>
      </c>
      <c r="O1873" s="5">
        <v>30</v>
      </c>
      <c r="P1873" s="4" t="s">
        <v>44</v>
      </c>
      <c r="Q1873" s="8" t="s">
        <v>29</v>
      </c>
      <c r="R1873" s="4" t="s">
        <v>2212</v>
      </c>
      <c r="S1873" s="4"/>
      <c r="T1873"/>
      <c r="U1873" s="23"/>
    </row>
    <row r="1874" spans="1:21" ht="15.6" x14ac:dyDescent="0.3">
      <c r="A1874" s="4">
        <v>1873</v>
      </c>
      <c r="B1874" s="5">
        <v>925694</v>
      </c>
      <c r="C1874" s="4" t="s">
        <v>106</v>
      </c>
      <c r="D1874" s="4" t="s">
        <v>1</v>
      </c>
      <c r="E1874" s="4" t="s">
        <v>93</v>
      </c>
      <c r="F1874" s="4" t="s">
        <v>2952</v>
      </c>
      <c r="G1874" s="6">
        <v>1.2</v>
      </c>
      <c r="H1874" s="7">
        <v>45541.724861111114</v>
      </c>
      <c r="I1874" s="7" t="str">
        <f>TEXT(multilingual_mobile_app_reviews_2025[[#This Row],[Review_date]],"dd-mm-yyyy")</f>
        <v>06-09-2024</v>
      </c>
      <c r="J1874" s="7" t="str">
        <f>TEXT(multilingual_mobile_app_reviews_2025[[#This Row],[Review_date]],"YYYY")</f>
        <v>2024</v>
      </c>
      <c r="K1874" s="7" t="str">
        <f>TEXT(multilingual_mobile_app_reviews_2025[[#This Row],[Review_date]],"MMMM")</f>
        <v>September</v>
      </c>
      <c r="L1874" s="4" t="b">
        <v>1</v>
      </c>
      <c r="M1874" s="4" t="s">
        <v>10</v>
      </c>
      <c r="N1874" s="5">
        <v>693</v>
      </c>
      <c r="O1874" s="5">
        <v>50</v>
      </c>
      <c r="P1874" s="4" t="s">
        <v>162</v>
      </c>
      <c r="Q1874" s="8" t="s">
        <v>5</v>
      </c>
      <c r="R1874" s="4" t="s">
        <v>2213</v>
      </c>
      <c r="S1874" s="4"/>
      <c r="T1874"/>
      <c r="U1874" s="23"/>
    </row>
    <row r="1875" spans="1:21" ht="15.6" x14ac:dyDescent="0.3">
      <c r="A1875" s="4">
        <v>1874</v>
      </c>
      <c r="B1875" s="5">
        <v>6174992</v>
      </c>
      <c r="C1875" s="4" t="s">
        <v>7</v>
      </c>
      <c r="D1875" s="4" t="s">
        <v>60</v>
      </c>
      <c r="E1875" s="4" t="s">
        <v>21</v>
      </c>
      <c r="F1875" s="4" t="s">
        <v>2959</v>
      </c>
      <c r="G1875" s="6">
        <v>4.5999999999999996</v>
      </c>
      <c r="H1875" s="7">
        <v>45554.792187500003</v>
      </c>
      <c r="I1875" s="7" t="str">
        <f>TEXT(multilingual_mobile_app_reviews_2025[[#This Row],[Review_date]],"dd-mm-yyyy")</f>
        <v>19-09-2024</v>
      </c>
      <c r="J1875" s="7" t="str">
        <f>TEXT(multilingual_mobile_app_reviews_2025[[#This Row],[Review_date]],"YYYY")</f>
        <v>2024</v>
      </c>
      <c r="K1875" s="7" t="str">
        <f>TEXT(multilingual_mobile_app_reviews_2025[[#This Row],[Review_date]],"MMMM")</f>
        <v>September</v>
      </c>
      <c r="L1875" s="4" t="b">
        <v>1</v>
      </c>
      <c r="M1875" s="4" t="s">
        <v>22</v>
      </c>
      <c r="N1875" s="5">
        <v>935</v>
      </c>
      <c r="O1875" s="5">
        <v>25</v>
      </c>
      <c r="P1875" s="4" t="s">
        <v>44</v>
      </c>
      <c r="Q1875" s="8" t="s">
        <v>5</v>
      </c>
      <c r="R1875" s="4" t="s">
        <v>2214</v>
      </c>
      <c r="S1875" s="4"/>
      <c r="T1875"/>
      <c r="U1875" s="23"/>
    </row>
    <row r="1876" spans="1:21" ht="15.6" x14ac:dyDescent="0.3">
      <c r="A1876" s="4">
        <v>1875</v>
      </c>
      <c r="B1876" s="5">
        <v>2733903</v>
      </c>
      <c r="C1876" s="4" t="s">
        <v>92</v>
      </c>
      <c r="D1876" s="4" t="s">
        <v>20</v>
      </c>
      <c r="E1876" s="4" t="s">
        <v>109</v>
      </c>
      <c r="F1876" s="4" t="s">
        <v>2947</v>
      </c>
      <c r="G1876" s="6">
        <v>2.8</v>
      </c>
      <c r="H1876" s="7">
        <v>45789.887881944444</v>
      </c>
      <c r="I1876" s="7" t="str">
        <f>TEXT(multilingual_mobile_app_reviews_2025[[#This Row],[Review_date]],"dd-mm-yyyy")</f>
        <v>12-05-2025</v>
      </c>
      <c r="J1876" s="7" t="str">
        <f>TEXT(multilingual_mobile_app_reviews_2025[[#This Row],[Review_date]],"YYYY")</f>
        <v>2025</v>
      </c>
      <c r="K1876" s="7" t="str">
        <f>TEXT(multilingual_mobile_app_reviews_2025[[#This Row],[Review_date]],"MMMM")</f>
        <v>May</v>
      </c>
      <c r="L1876" s="4" t="b">
        <v>1</v>
      </c>
      <c r="M1876" s="4" t="s">
        <v>22</v>
      </c>
      <c r="N1876" s="5">
        <v>138</v>
      </c>
      <c r="O1876" s="5">
        <v>29</v>
      </c>
      <c r="P1876" s="4" t="s">
        <v>127</v>
      </c>
      <c r="Q1876" s="8" t="s">
        <v>39</v>
      </c>
      <c r="R1876" s="4" t="s">
        <v>2215</v>
      </c>
      <c r="S1876" s="4"/>
      <c r="T1876"/>
      <c r="U1876" s="23"/>
    </row>
    <row r="1877" spans="1:21" ht="15.6" x14ac:dyDescent="0.3">
      <c r="A1877" s="4">
        <v>1876</v>
      </c>
      <c r="B1877" s="5">
        <v>6735829</v>
      </c>
      <c r="C1877" s="4" t="s">
        <v>101</v>
      </c>
      <c r="D1877" s="4" t="s">
        <v>26</v>
      </c>
      <c r="E1877" s="4" t="s">
        <v>16</v>
      </c>
      <c r="F1877" s="4" t="s">
        <v>2939</v>
      </c>
      <c r="G1877" s="6">
        <v>2.4</v>
      </c>
      <c r="H1877" s="7">
        <v>45806.644733796296</v>
      </c>
      <c r="I1877" s="7" t="str">
        <f>TEXT(multilingual_mobile_app_reviews_2025[[#This Row],[Review_date]],"dd-mm-yyyy")</f>
        <v>29-05-2025</v>
      </c>
      <c r="J1877" s="7" t="str">
        <f>TEXT(multilingual_mobile_app_reviews_2025[[#This Row],[Review_date]],"YYYY")</f>
        <v>2025</v>
      </c>
      <c r="K1877" s="7" t="str">
        <f>TEXT(multilingual_mobile_app_reviews_2025[[#This Row],[Review_date]],"MMMM")</f>
        <v>May</v>
      </c>
      <c r="L1877" s="4" t="b">
        <v>0</v>
      </c>
      <c r="M1877" s="4" t="s">
        <v>98</v>
      </c>
      <c r="N1877" s="5">
        <v>1147</v>
      </c>
      <c r="O1877" s="5">
        <v>49</v>
      </c>
      <c r="P1877" s="4" t="s">
        <v>34</v>
      </c>
      <c r="Q1877" s="8" t="s">
        <v>5</v>
      </c>
      <c r="R1877" s="4" t="s">
        <v>2216</v>
      </c>
      <c r="S1877" s="4"/>
      <c r="T1877"/>
      <c r="U1877" s="23"/>
    </row>
    <row r="1878" spans="1:21" ht="15.6" x14ac:dyDescent="0.3">
      <c r="A1878" s="4">
        <v>1877</v>
      </c>
      <c r="B1878" s="5">
        <v>3947593</v>
      </c>
      <c r="C1878" s="4" t="s">
        <v>75</v>
      </c>
      <c r="D1878" s="4" t="s">
        <v>60</v>
      </c>
      <c r="E1878" s="4" t="s">
        <v>2217</v>
      </c>
      <c r="F1878" s="4" t="s">
        <v>2951</v>
      </c>
      <c r="G1878" s="6">
        <v>3.4</v>
      </c>
      <c r="H1878" s="7">
        <v>45869.008576388886</v>
      </c>
      <c r="I1878" s="7" t="str">
        <f>TEXT(multilingual_mobile_app_reviews_2025[[#This Row],[Review_date]],"dd-mm-yyyy")</f>
        <v>31-07-2025</v>
      </c>
      <c r="J1878" s="7" t="str">
        <f>TEXT(multilingual_mobile_app_reviews_2025[[#This Row],[Review_date]],"YYYY")</f>
        <v>2025</v>
      </c>
      <c r="K1878" s="7" t="str">
        <f>TEXT(multilingual_mobile_app_reviews_2025[[#This Row],[Review_date]],"MMMM")</f>
        <v>July</v>
      </c>
      <c r="L1878" s="4" t="b">
        <v>1</v>
      </c>
      <c r="M1878" s="4" t="s">
        <v>22</v>
      </c>
      <c r="N1878" s="5">
        <v>563</v>
      </c>
      <c r="O1878" s="5">
        <v>73</v>
      </c>
      <c r="P1878" s="4" t="s">
        <v>4</v>
      </c>
      <c r="Q1878" s="8" t="s">
        <v>39</v>
      </c>
      <c r="R1878" s="4" t="s">
        <v>2218</v>
      </c>
      <c r="S1878" s="4"/>
      <c r="T1878"/>
      <c r="U1878" s="23"/>
    </row>
    <row r="1879" spans="1:21" ht="15.6" x14ac:dyDescent="0.3">
      <c r="A1879" s="4">
        <v>1878</v>
      </c>
      <c r="B1879" s="5">
        <v>705237</v>
      </c>
      <c r="C1879" s="4" t="s">
        <v>258</v>
      </c>
      <c r="D1879" s="4" t="s">
        <v>42</v>
      </c>
      <c r="E1879" s="4" t="s">
        <v>109</v>
      </c>
      <c r="F1879" s="4" t="s">
        <v>2947</v>
      </c>
      <c r="G1879" s="6">
        <v>1.6</v>
      </c>
      <c r="H1879" s="7">
        <v>45795.58353009259</v>
      </c>
      <c r="I1879" s="7" t="str">
        <f>TEXT(multilingual_mobile_app_reviews_2025[[#This Row],[Review_date]],"dd-mm-yyyy")</f>
        <v>18-05-2025</v>
      </c>
      <c r="J1879" s="7" t="str">
        <f>TEXT(multilingual_mobile_app_reviews_2025[[#This Row],[Review_date]],"YYYY")</f>
        <v>2025</v>
      </c>
      <c r="K1879" s="7" t="str">
        <f>TEXT(multilingual_mobile_app_reviews_2025[[#This Row],[Review_date]],"MMMM")</f>
        <v>May</v>
      </c>
      <c r="L1879" s="4" t="b">
        <v>1</v>
      </c>
      <c r="M1879" s="4" t="s">
        <v>98</v>
      </c>
      <c r="N1879" s="5">
        <v>1148</v>
      </c>
      <c r="O1879" s="5">
        <v>54</v>
      </c>
      <c r="P1879" s="4" t="s">
        <v>38</v>
      </c>
      <c r="Q1879" s="8" t="s">
        <v>29</v>
      </c>
      <c r="R1879" s="4" t="s">
        <v>2219</v>
      </c>
      <c r="S1879" s="4"/>
      <c r="T1879"/>
      <c r="U1879" s="23"/>
    </row>
    <row r="1880" spans="1:21" ht="15.6" x14ac:dyDescent="0.3">
      <c r="A1880" s="4">
        <v>1879</v>
      </c>
      <c r="B1880" s="5">
        <v>8934133</v>
      </c>
      <c r="C1880" s="4" t="s">
        <v>19</v>
      </c>
      <c r="D1880" s="4" t="s">
        <v>79</v>
      </c>
      <c r="E1880" s="4" t="s">
        <v>109</v>
      </c>
      <c r="F1880" s="4" t="s">
        <v>2951</v>
      </c>
      <c r="G1880" s="6">
        <v>1.9</v>
      </c>
      <c r="H1880" s="7">
        <v>45218.508472222224</v>
      </c>
      <c r="I1880" s="7" t="str">
        <f>TEXT(multilingual_mobile_app_reviews_2025[[#This Row],[Review_date]],"dd-mm-yyyy")</f>
        <v>19-10-2023</v>
      </c>
      <c r="J1880" s="7" t="str">
        <f>TEXT(multilingual_mobile_app_reviews_2025[[#This Row],[Review_date]],"YYYY")</f>
        <v>2023</v>
      </c>
      <c r="K1880" s="7" t="str">
        <f>TEXT(multilingual_mobile_app_reviews_2025[[#This Row],[Review_date]],"MMMM")</f>
        <v>October</v>
      </c>
      <c r="L1880" s="4" t="b">
        <v>1</v>
      </c>
      <c r="M1880" s="4" t="s">
        <v>98</v>
      </c>
      <c r="N1880" s="5">
        <v>671</v>
      </c>
      <c r="O1880" s="5">
        <v>64</v>
      </c>
      <c r="P1880" s="4" t="s">
        <v>144</v>
      </c>
      <c r="Q1880" s="8" t="s">
        <v>2963</v>
      </c>
      <c r="R1880" s="4" t="s">
        <v>2220</v>
      </c>
      <c r="S1880" s="4"/>
      <c r="T1880"/>
      <c r="U1880" s="23"/>
    </row>
    <row r="1881" spans="1:21" ht="15.6" x14ac:dyDescent="0.3">
      <c r="A1881" s="4">
        <v>1880</v>
      </c>
      <c r="B1881" s="5">
        <v>6776281</v>
      </c>
      <c r="C1881" s="4" t="s">
        <v>147</v>
      </c>
      <c r="D1881" s="4" t="s">
        <v>42</v>
      </c>
      <c r="E1881" s="4" t="s">
        <v>109</v>
      </c>
      <c r="F1881" s="4" t="s">
        <v>2945</v>
      </c>
      <c r="G1881" s="6">
        <v>4.5</v>
      </c>
      <c r="H1881" s="7">
        <v>45753.532905092594</v>
      </c>
      <c r="I1881" s="7" t="str">
        <f>TEXT(multilingual_mobile_app_reviews_2025[[#This Row],[Review_date]],"dd-mm-yyyy")</f>
        <v>06-04-2025</v>
      </c>
      <c r="J1881" s="7" t="str">
        <f>TEXT(multilingual_mobile_app_reviews_2025[[#This Row],[Review_date]],"YYYY")</f>
        <v>2025</v>
      </c>
      <c r="K1881" s="7" t="str">
        <f>TEXT(multilingual_mobile_app_reviews_2025[[#This Row],[Review_date]],"MMMM")</f>
        <v>April</v>
      </c>
      <c r="L1881" s="4" t="b">
        <v>1</v>
      </c>
      <c r="M1881" s="4" t="s">
        <v>33</v>
      </c>
      <c r="N1881" s="5">
        <v>579</v>
      </c>
      <c r="O1881" s="5">
        <v>73</v>
      </c>
      <c r="P1881" s="4" t="s">
        <v>4</v>
      </c>
      <c r="Q1881" s="8" t="s">
        <v>29</v>
      </c>
      <c r="R1881" s="4" t="s">
        <v>2221</v>
      </c>
      <c r="S1881" s="4"/>
      <c r="T1881"/>
      <c r="U1881" s="23"/>
    </row>
    <row r="1882" spans="1:21" ht="15.6" x14ac:dyDescent="0.3">
      <c r="A1882" s="4">
        <v>1881</v>
      </c>
      <c r="B1882" s="5">
        <v>809427</v>
      </c>
      <c r="C1882" s="4" t="s">
        <v>132</v>
      </c>
      <c r="D1882" s="4" t="s">
        <v>63</v>
      </c>
      <c r="E1882" s="4" t="s">
        <v>9</v>
      </c>
      <c r="F1882" s="4" t="s">
        <v>2948</v>
      </c>
      <c r="G1882" s="6">
        <v>3.8</v>
      </c>
      <c r="H1882" s="7">
        <v>45260.781446759262</v>
      </c>
      <c r="I1882" s="7" t="str">
        <f>TEXT(multilingual_mobile_app_reviews_2025[[#This Row],[Review_date]],"dd-mm-yyyy")</f>
        <v>30-11-2023</v>
      </c>
      <c r="J1882" s="7" t="str">
        <f>TEXT(multilingual_mobile_app_reviews_2025[[#This Row],[Review_date]],"YYYY")</f>
        <v>2023</v>
      </c>
      <c r="K1882" s="7" t="str">
        <f>TEXT(multilingual_mobile_app_reviews_2025[[#This Row],[Review_date]],"MMMM")</f>
        <v>November</v>
      </c>
      <c r="L1882" s="4" t="b">
        <v>1</v>
      </c>
      <c r="M1882" s="4" t="s">
        <v>3</v>
      </c>
      <c r="N1882" s="5">
        <v>664</v>
      </c>
      <c r="O1882" s="5">
        <v>34</v>
      </c>
      <c r="P1882" s="4" t="s">
        <v>94</v>
      </c>
      <c r="Q1882" s="8" t="s">
        <v>2963</v>
      </c>
      <c r="R1882" s="4" t="s">
        <v>2222</v>
      </c>
      <c r="S1882" s="4"/>
      <c r="T1882"/>
      <c r="U1882" s="23"/>
    </row>
    <row r="1883" spans="1:21" ht="15.6" x14ac:dyDescent="0.3">
      <c r="A1883" s="4">
        <v>1882</v>
      </c>
      <c r="B1883" s="5">
        <v>5157767</v>
      </c>
      <c r="C1883" s="4" t="s">
        <v>36</v>
      </c>
      <c r="D1883" s="4" t="s">
        <v>63</v>
      </c>
      <c r="E1883" s="4" t="s">
        <v>93</v>
      </c>
      <c r="F1883" s="4" t="s">
        <v>2962</v>
      </c>
      <c r="G1883" s="6">
        <v>3.7</v>
      </c>
      <c r="H1883" s="7">
        <v>45157.709421296298</v>
      </c>
      <c r="I1883" s="7" t="str">
        <f>TEXT(multilingual_mobile_app_reviews_2025[[#This Row],[Review_date]],"dd-mm-yyyy")</f>
        <v>19-08-2023</v>
      </c>
      <c r="J1883" s="7" t="str">
        <f>TEXT(multilingual_mobile_app_reviews_2025[[#This Row],[Review_date]],"YYYY")</f>
        <v>2023</v>
      </c>
      <c r="K1883" s="7" t="str">
        <f>TEXT(multilingual_mobile_app_reviews_2025[[#This Row],[Review_date]],"MMMM")</f>
        <v>August</v>
      </c>
      <c r="L1883" s="4" t="b">
        <v>1</v>
      </c>
      <c r="M1883" s="4" t="s">
        <v>22</v>
      </c>
      <c r="N1883" s="5">
        <v>912</v>
      </c>
      <c r="O1883" s="5">
        <v>24</v>
      </c>
      <c r="P1883" s="4" t="s">
        <v>85</v>
      </c>
      <c r="Q1883" s="8" t="s">
        <v>29</v>
      </c>
      <c r="R1883" s="4" t="s">
        <v>2223</v>
      </c>
      <c r="S1883" s="4"/>
      <c r="T1883"/>
      <c r="U1883" s="23"/>
    </row>
    <row r="1884" spans="1:21" ht="15.6" x14ac:dyDescent="0.3">
      <c r="A1884" s="4">
        <v>1883</v>
      </c>
      <c r="B1884" s="5">
        <v>4249152</v>
      </c>
      <c r="C1884" s="4" t="s">
        <v>78</v>
      </c>
      <c r="D1884" s="4" t="s">
        <v>71</v>
      </c>
      <c r="E1884" s="4" t="s">
        <v>2224</v>
      </c>
      <c r="F1884" s="4" t="s">
        <v>2957</v>
      </c>
      <c r="G1884" s="6">
        <v>4.8</v>
      </c>
      <c r="H1884" s="7">
        <v>45647.84615740741</v>
      </c>
      <c r="I1884" s="7" t="str">
        <f>TEXT(multilingual_mobile_app_reviews_2025[[#This Row],[Review_date]],"dd-mm-yyyy")</f>
        <v>21-12-2024</v>
      </c>
      <c r="J1884" s="7" t="str">
        <f>TEXT(multilingual_mobile_app_reviews_2025[[#This Row],[Review_date]],"YYYY")</f>
        <v>2024</v>
      </c>
      <c r="K1884" s="7" t="str">
        <f>TEXT(multilingual_mobile_app_reviews_2025[[#This Row],[Review_date]],"MMMM")</f>
        <v>December</v>
      </c>
      <c r="L1884" s="4" t="b">
        <v>1</v>
      </c>
      <c r="M1884" s="4" t="s">
        <v>10</v>
      </c>
      <c r="N1884" s="5">
        <v>821</v>
      </c>
      <c r="O1884" s="5">
        <v>22</v>
      </c>
      <c r="P1884" s="4" t="s">
        <v>80</v>
      </c>
      <c r="Q1884" s="8" t="s">
        <v>29</v>
      </c>
      <c r="R1884" s="4" t="s">
        <v>2225</v>
      </c>
      <c r="S1884" s="4"/>
      <c r="T1884"/>
      <c r="U1884" s="23"/>
    </row>
    <row r="1885" spans="1:21" ht="15.6" x14ac:dyDescent="0.3">
      <c r="A1885" s="4">
        <v>1884</v>
      </c>
      <c r="B1885" s="5">
        <v>2301056</v>
      </c>
      <c r="C1885" s="4" t="s">
        <v>25</v>
      </c>
      <c r="D1885" s="4" t="s">
        <v>71</v>
      </c>
      <c r="E1885" s="4" t="s">
        <v>109</v>
      </c>
      <c r="F1885" s="4" t="s">
        <v>2946</v>
      </c>
      <c r="G1885" s="6">
        <v>3.2</v>
      </c>
      <c r="H1885" s="7">
        <v>45774.467476851853</v>
      </c>
      <c r="I1885" s="7" t="str">
        <f>TEXT(multilingual_mobile_app_reviews_2025[[#This Row],[Review_date]],"dd-mm-yyyy")</f>
        <v>27-04-2025</v>
      </c>
      <c r="J1885" s="7" t="str">
        <f>TEXT(multilingual_mobile_app_reviews_2025[[#This Row],[Review_date]],"YYYY")</f>
        <v>2025</v>
      </c>
      <c r="K1885" s="7" t="str">
        <f>TEXT(multilingual_mobile_app_reviews_2025[[#This Row],[Review_date]],"MMMM")</f>
        <v>April</v>
      </c>
      <c r="L1885" s="4" t="b">
        <v>0</v>
      </c>
      <c r="M1885" s="4" t="s">
        <v>33</v>
      </c>
      <c r="N1885" s="5">
        <v>859</v>
      </c>
      <c r="O1885" s="5">
        <v>49</v>
      </c>
      <c r="P1885" s="4" t="s">
        <v>85</v>
      </c>
      <c r="Q1885" s="8" t="s">
        <v>39</v>
      </c>
      <c r="R1885" s="4" t="s">
        <v>2226</v>
      </c>
      <c r="S1885" s="4"/>
      <c r="T1885"/>
      <c r="U1885" s="23"/>
    </row>
    <row r="1886" spans="1:21" ht="15.6" x14ac:dyDescent="0.3">
      <c r="A1886" s="4">
        <v>1885</v>
      </c>
      <c r="B1886" s="5">
        <v>4629825</v>
      </c>
      <c r="C1886" s="4" t="s">
        <v>159</v>
      </c>
      <c r="D1886" s="4" t="s">
        <v>157</v>
      </c>
      <c r="E1886" s="4" t="s">
        <v>93</v>
      </c>
      <c r="F1886" s="4" t="s">
        <v>2953</v>
      </c>
      <c r="G1886" s="6">
        <v>3.6</v>
      </c>
      <c r="H1886" s="7">
        <v>45808.40079861111</v>
      </c>
      <c r="I1886" s="7" t="str">
        <f>TEXT(multilingual_mobile_app_reviews_2025[[#This Row],[Review_date]],"dd-mm-yyyy")</f>
        <v>31-05-2025</v>
      </c>
      <c r="J1886" s="7" t="str">
        <f>TEXT(multilingual_mobile_app_reviews_2025[[#This Row],[Review_date]],"YYYY")</f>
        <v>2025</v>
      </c>
      <c r="K1886" s="7" t="str">
        <f>TEXT(multilingual_mobile_app_reviews_2025[[#This Row],[Review_date]],"MMMM")</f>
        <v>May</v>
      </c>
      <c r="L1886" s="4" t="b">
        <v>1</v>
      </c>
      <c r="M1886" s="4" t="s">
        <v>3</v>
      </c>
      <c r="N1886" s="5">
        <v>1101</v>
      </c>
      <c r="O1886" s="5">
        <v>52</v>
      </c>
      <c r="P1886" s="4" t="s">
        <v>73</v>
      </c>
      <c r="Q1886" s="8" t="s">
        <v>5</v>
      </c>
      <c r="R1886" s="4" t="s">
        <v>2227</v>
      </c>
      <c r="S1886" s="4"/>
      <c r="T1886"/>
      <c r="U1886" s="23"/>
    </row>
    <row r="1887" spans="1:21" ht="15.6" x14ac:dyDescent="0.3">
      <c r="A1887" s="4">
        <v>1886</v>
      </c>
      <c r="B1887" s="5">
        <v>1383911</v>
      </c>
      <c r="C1887" s="4" t="s">
        <v>14</v>
      </c>
      <c r="D1887" s="4" t="s">
        <v>157</v>
      </c>
      <c r="E1887" s="4" t="s">
        <v>2228</v>
      </c>
      <c r="F1887" s="4" t="s">
        <v>2946</v>
      </c>
      <c r="G1887" s="6">
        <v>3.2</v>
      </c>
      <c r="H1887" s="7">
        <v>45715.713113425925</v>
      </c>
      <c r="I1887" s="7" t="str">
        <f>TEXT(multilingual_mobile_app_reviews_2025[[#This Row],[Review_date]],"dd-mm-yyyy")</f>
        <v>27-02-2025</v>
      </c>
      <c r="J1887" s="7" t="str">
        <f>TEXT(multilingual_mobile_app_reviews_2025[[#This Row],[Review_date]],"YYYY")</f>
        <v>2025</v>
      </c>
      <c r="K1887" s="7" t="str">
        <f>TEXT(multilingual_mobile_app_reviews_2025[[#This Row],[Review_date]],"MMMM")</f>
        <v>February</v>
      </c>
      <c r="L1887" s="4" t="b">
        <v>1</v>
      </c>
      <c r="M1887" s="4" t="s">
        <v>10</v>
      </c>
      <c r="N1887" s="5">
        <v>901</v>
      </c>
      <c r="O1887" s="5">
        <v>13</v>
      </c>
      <c r="P1887" s="4" t="s">
        <v>114</v>
      </c>
      <c r="Q1887" s="8" t="s">
        <v>12</v>
      </c>
      <c r="R1887" s="4" t="s">
        <v>2229</v>
      </c>
      <c r="S1887" s="4"/>
      <c r="T1887"/>
      <c r="U1887" s="23"/>
    </row>
    <row r="1888" spans="1:21" ht="15.6" x14ac:dyDescent="0.3">
      <c r="A1888" s="4">
        <v>1887</v>
      </c>
      <c r="B1888" s="5">
        <v>2647579</v>
      </c>
      <c r="C1888" s="4" t="s">
        <v>104</v>
      </c>
      <c r="D1888" s="4" t="s">
        <v>79</v>
      </c>
      <c r="E1888" s="4" t="s">
        <v>109</v>
      </c>
      <c r="F1888" s="4" t="s">
        <v>2953</v>
      </c>
      <c r="G1888" s="6">
        <v>3.7</v>
      </c>
      <c r="H1888" s="7">
        <v>45213.099328703705</v>
      </c>
      <c r="I1888" s="7" t="str">
        <f>TEXT(multilingual_mobile_app_reviews_2025[[#This Row],[Review_date]],"dd-mm-yyyy")</f>
        <v>14-10-2023</v>
      </c>
      <c r="J1888" s="7" t="str">
        <f>TEXT(multilingual_mobile_app_reviews_2025[[#This Row],[Review_date]],"YYYY")</f>
        <v>2023</v>
      </c>
      <c r="K1888" s="7" t="str">
        <f>TEXT(multilingual_mobile_app_reviews_2025[[#This Row],[Review_date]],"MMMM")</f>
        <v>October</v>
      </c>
      <c r="L1888" s="4" t="b">
        <v>0</v>
      </c>
      <c r="M1888" s="4" t="s">
        <v>22</v>
      </c>
      <c r="N1888" s="5">
        <v>961</v>
      </c>
      <c r="O1888" s="5">
        <v>73</v>
      </c>
      <c r="P1888" s="4" t="s">
        <v>127</v>
      </c>
      <c r="Q1888" s="8" t="s">
        <v>39</v>
      </c>
      <c r="R1888" s="4" t="s">
        <v>2230</v>
      </c>
      <c r="S1888" s="4"/>
      <c r="T1888"/>
      <c r="U1888" s="23"/>
    </row>
    <row r="1889" spans="1:21" ht="15.6" x14ac:dyDescent="0.3">
      <c r="A1889" s="4">
        <v>1888</v>
      </c>
      <c r="B1889" s="5">
        <v>9968287</v>
      </c>
      <c r="C1889" s="4" t="s">
        <v>264</v>
      </c>
      <c r="D1889" s="4" t="s">
        <v>31</v>
      </c>
      <c r="E1889" s="4" t="s">
        <v>2231</v>
      </c>
      <c r="F1889" s="4" t="s">
        <v>2948</v>
      </c>
      <c r="G1889" s="6">
        <v>4.5</v>
      </c>
      <c r="H1889" s="7">
        <v>45328.875613425924</v>
      </c>
      <c r="I1889" s="7" t="str">
        <f>TEXT(multilingual_mobile_app_reviews_2025[[#This Row],[Review_date]],"dd-mm-yyyy")</f>
        <v>06-02-2024</v>
      </c>
      <c r="J1889" s="7" t="str">
        <f>TEXT(multilingual_mobile_app_reviews_2025[[#This Row],[Review_date]],"YYYY")</f>
        <v>2024</v>
      </c>
      <c r="K1889" s="7" t="str">
        <f>TEXT(multilingual_mobile_app_reviews_2025[[#This Row],[Review_date]],"MMMM")</f>
        <v>February</v>
      </c>
      <c r="L1889" s="4" t="b">
        <v>1</v>
      </c>
      <c r="M1889" s="4" t="s">
        <v>10</v>
      </c>
      <c r="N1889" s="5">
        <v>1202</v>
      </c>
      <c r="O1889" s="5">
        <v>20</v>
      </c>
      <c r="P1889" s="4" t="s">
        <v>162</v>
      </c>
      <c r="Q1889" s="8" t="s">
        <v>5</v>
      </c>
      <c r="R1889" s="4" t="s">
        <v>2232</v>
      </c>
      <c r="S1889" s="4"/>
      <c r="T1889"/>
      <c r="U1889" s="23"/>
    </row>
    <row r="1890" spans="1:21" ht="15.6" x14ac:dyDescent="0.3">
      <c r="A1890" s="4">
        <v>1889</v>
      </c>
      <c r="B1890" s="5">
        <v>388778</v>
      </c>
      <c r="C1890" s="4" t="s">
        <v>50</v>
      </c>
      <c r="D1890" s="4" t="s">
        <v>51</v>
      </c>
      <c r="E1890" s="4" t="s">
        <v>93</v>
      </c>
      <c r="F1890" s="4" t="s">
        <v>2940</v>
      </c>
      <c r="G1890" s="6">
        <v>3.8</v>
      </c>
      <c r="H1890" s="7">
        <v>45524.936678240738</v>
      </c>
      <c r="I1890" s="7" t="str">
        <f>TEXT(multilingual_mobile_app_reviews_2025[[#This Row],[Review_date]],"dd-mm-yyyy")</f>
        <v>20-08-2024</v>
      </c>
      <c r="J1890" s="7" t="str">
        <f>TEXT(multilingual_mobile_app_reviews_2025[[#This Row],[Review_date]],"YYYY")</f>
        <v>2024</v>
      </c>
      <c r="K1890" s="7" t="str">
        <f>TEXT(multilingual_mobile_app_reviews_2025[[#This Row],[Review_date]],"MMMM")</f>
        <v>August</v>
      </c>
      <c r="L1890" s="4" t="b">
        <v>0</v>
      </c>
      <c r="M1890" s="4" t="s">
        <v>22</v>
      </c>
      <c r="N1890" s="5">
        <v>63</v>
      </c>
      <c r="O1890" s="5">
        <v>25</v>
      </c>
      <c r="P1890" s="4" t="s">
        <v>230</v>
      </c>
      <c r="Q1890" s="8" t="s">
        <v>12</v>
      </c>
      <c r="R1890" s="4" t="s">
        <v>2233</v>
      </c>
      <c r="S1890" s="4"/>
      <c r="T1890"/>
      <c r="U1890" s="23"/>
    </row>
    <row r="1891" spans="1:21" ht="15.6" x14ac:dyDescent="0.3">
      <c r="A1891" s="4">
        <v>1890</v>
      </c>
      <c r="B1891" s="5">
        <v>6704270</v>
      </c>
      <c r="C1891" s="4" t="s">
        <v>174</v>
      </c>
      <c r="D1891" s="4" t="s">
        <v>97</v>
      </c>
      <c r="E1891" s="4" t="s">
        <v>93</v>
      </c>
      <c r="F1891" s="4" t="s">
        <v>2946</v>
      </c>
      <c r="G1891" s="6">
        <v>4.5</v>
      </c>
      <c r="H1891" s="7">
        <v>45428.392175925925</v>
      </c>
      <c r="I1891" s="7" t="str">
        <f>TEXT(multilingual_mobile_app_reviews_2025[[#This Row],[Review_date]],"dd-mm-yyyy")</f>
        <v>16-05-2024</v>
      </c>
      <c r="J1891" s="7" t="str">
        <f>TEXT(multilingual_mobile_app_reviews_2025[[#This Row],[Review_date]],"YYYY")</f>
        <v>2024</v>
      </c>
      <c r="K1891" s="7" t="str">
        <f>TEXT(multilingual_mobile_app_reviews_2025[[#This Row],[Review_date]],"MMMM")</f>
        <v>May</v>
      </c>
      <c r="L1891" s="4" t="b">
        <v>0</v>
      </c>
      <c r="M1891" s="4" t="s">
        <v>3</v>
      </c>
      <c r="N1891" s="5">
        <v>56</v>
      </c>
      <c r="O1891" s="5">
        <v>60</v>
      </c>
      <c r="P1891" s="4" t="s">
        <v>99</v>
      </c>
      <c r="Q1891" s="8" t="s">
        <v>12</v>
      </c>
      <c r="R1891" s="4" t="s">
        <v>2234</v>
      </c>
      <c r="S1891" s="4"/>
      <c r="T1891"/>
      <c r="U1891" s="23"/>
    </row>
    <row r="1892" spans="1:21" ht="15.6" x14ac:dyDescent="0.3">
      <c r="A1892" s="4">
        <v>1891</v>
      </c>
      <c r="B1892" s="5">
        <v>9270114</v>
      </c>
      <c r="C1892" s="4" t="s">
        <v>67</v>
      </c>
      <c r="D1892" s="4" t="s">
        <v>8</v>
      </c>
      <c r="E1892" s="4" t="s">
        <v>2235</v>
      </c>
      <c r="F1892" s="4" t="s">
        <v>2957</v>
      </c>
      <c r="G1892" s="6">
        <v>3</v>
      </c>
      <c r="H1892" s="7">
        <v>45452.049143518518</v>
      </c>
      <c r="I1892" s="7" t="str">
        <f>TEXT(multilingual_mobile_app_reviews_2025[[#This Row],[Review_date]],"dd-mm-yyyy")</f>
        <v>09-06-2024</v>
      </c>
      <c r="J1892" s="7" t="str">
        <f>TEXT(multilingual_mobile_app_reviews_2025[[#This Row],[Review_date]],"YYYY")</f>
        <v>2024</v>
      </c>
      <c r="K1892" s="7" t="str">
        <f>TEXT(multilingual_mobile_app_reviews_2025[[#This Row],[Review_date]],"MMMM")</f>
        <v>June</v>
      </c>
      <c r="L1892" s="4" t="b">
        <v>0</v>
      </c>
      <c r="M1892" s="4" t="s">
        <v>10</v>
      </c>
      <c r="N1892" s="5">
        <v>581</v>
      </c>
      <c r="O1892" s="5">
        <v>25</v>
      </c>
      <c r="P1892" s="4" t="s">
        <v>11</v>
      </c>
      <c r="Q1892" s="8" t="s">
        <v>2963</v>
      </c>
      <c r="R1892" s="4" t="s">
        <v>2236</v>
      </c>
      <c r="S1892" s="4"/>
      <c r="T1892"/>
      <c r="U1892" s="23"/>
    </row>
    <row r="1893" spans="1:21" ht="15.6" x14ac:dyDescent="0.3">
      <c r="A1893" s="4">
        <v>1892</v>
      </c>
      <c r="B1893" s="5">
        <v>8044257</v>
      </c>
      <c r="C1893" s="4" t="s">
        <v>192</v>
      </c>
      <c r="D1893" s="4" t="s">
        <v>57</v>
      </c>
      <c r="E1893" s="4" t="s">
        <v>2237</v>
      </c>
      <c r="F1893" s="4" t="s">
        <v>2939</v>
      </c>
      <c r="G1893" s="6">
        <v>4</v>
      </c>
      <c r="H1893" s="7">
        <v>45347.152569444443</v>
      </c>
      <c r="I1893" s="7" t="str">
        <f>TEXT(multilingual_mobile_app_reviews_2025[[#This Row],[Review_date]],"dd-mm-yyyy")</f>
        <v>25-02-2024</v>
      </c>
      <c r="J1893" s="7" t="str">
        <f>TEXT(multilingual_mobile_app_reviews_2025[[#This Row],[Review_date]],"YYYY")</f>
        <v>2024</v>
      </c>
      <c r="K1893" s="7" t="str">
        <f>TEXT(multilingual_mobile_app_reviews_2025[[#This Row],[Review_date]],"MMMM")</f>
        <v>February</v>
      </c>
      <c r="L1893" s="4" t="b">
        <v>0</v>
      </c>
      <c r="M1893" s="4" t="s">
        <v>10</v>
      </c>
      <c r="N1893" s="5">
        <v>767</v>
      </c>
      <c r="O1893" s="5">
        <v>66</v>
      </c>
      <c r="P1893" s="4" t="s">
        <v>85</v>
      </c>
      <c r="Q1893" s="8" t="s">
        <v>29</v>
      </c>
      <c r="R1893" s="4" t="s">
        <v>2238</v>
      </c>
      <c r="S1893" s="4"/>
      <c r="T1893"/>
      <c r="U1893" s="23"/>
    </row>
    <row r="1894" spans="1:21" ht="15.6" x14ac:dyDescent="0.3">
      <c r="A1894" s="4">
        <v>1893</v>
      </c>
      <c r="B1894" s="5">
        <v>3610199</v>
      </c>
      <c r="C1894" s="4" t="s">
        <v>264</v>
      </c>
      <c r="D1894" s="4" t="s">
        <v>111</v>
      </c>
      <c r="E1894" s="4" t="s">
        <v>21</v>
      </c>
      <c r="F1894" s="4" t="s">
        <v>2942</v>
      </c>
      <c r="G1894" s="6">
        <v>3.9</v>
      </c>
      <c r="H1894" s="7">
        <v>45725.333564814813</v>
      </c>
      <c r="I1894" s="7" t="str">
        <f>TEXT(multilingual_mobile_app_reviews_2025[[#This Row],[Review_date]],"dd-mm-yyyy")</f>
        <v>09-03-2025</v>
      </c>
      <c r="J1894" s="7" t="str">
        <f>TEXT(multilingual_mobile_app_reviews_2025[[#This Row],[Review_date]],"YYYY")</f>
        <v>2025</v>
      </c>
      <c r="K1894" s="7" t="str">
        <f>TEXT(multilingual_mobile_app_reviews_2025[[#This Row],[Review_date]],"MMMM")</f>
        <v>March</v>
      </c>
      <c r="L1894" s="4" t="b">
        <v>1</v>
      </c>
      <c r="M1894" s="4" t="s">
        <v>33</v>
      </c>
      <c r="N1894" s="5">
        <v>1030</v>
      </c>
      <c r="O1894" s="5">
        <v>45</v>
      </c>
      <c r="P1894" s="4" t="s">
        <v>99</v>
      </c>
      <c r="Q1894" s="8" t="s">
        <v>5</v>
      </c>
      <c r="R1894" s="4" t="s">
        <v>225</v>
      </c>
      <c r="S1894" s="4"/>
      <c r="T1894"/>
      <c r="U1894" s="23"/>
    </row>
    <row r="1895" spans="1:21" ht="15.6" x14ac:dyDescent="0.3">
      <c r="A1895" s="4">
        <v>1894</v>
      </c>
      <c r="B1895" s="5">
        <v>8299476</v>
      </c>
      <c r="C1895" s="4" t="s">
        <v>174</v>
      </c>
      <c r="D1895" s="4" t="s">
        <v>220</v>
      </c>
      <c r="E1895" s="4" t="s">
        <v>2239</v>
      </c>
      <c r="F1895" s="4" t="s">
        <v>2942</v>
      </c>
      <c r="G1895" s="6">
        <v>2.2999999999999998</v>
      </c>
      <c r="H1895" s="7">
        <v>45708.270046296297</v>
      </c>
      <c r="I1895" s="7" t="str">
        <f>TEXT(multilingual_mobile_app_reviews_2025[[#This Row],[Review_date]],"dd-mm-yyyy")</f>
        <v>20-02-2025</v>
      </c>
      <c r="J1895" s="7" t="str">
        <f>TEXT(multilingual_mobile_app_reviews_2025[[#This Row],[Review_date]],"YYYY")</f>
        <v>2025</v>
      </c>
      <c r="K1895" s="7" t="str">
        <f>TEXT(multilingual_mobile_app_reviews_2025[[#This Row],[Review_date]],"MMMM")</f>
        <v>February</v>
      </c>
      <c r="L1895" s="4" t="b">
        <v>1</v>
      </c>
      <c r="M1895" s="4" t="s">
        <v>98</v>
      </c>
      <c r="N1895" s="5">
        <v>29</v>
      </c>
      <c r="O1895" s="5">
        <v>42</v>
      </c>
      <c r="P1895" s="4" t="s">
        <v>61</v>
      </c>
      <c r="Q1895" s="8" t="s">
        <v>2963</v>
      </c>
      <c r="R1895" s="4" t="s">
        <v>2240</v>
      </c>
      <c r="S1895" s="4"/>
      <c r="T1895"/>
      <c r="U1895" s="23"/>
    </row>
    <row r="1896" spans="1:21" ht="15.6" x14ac:dyDescent="0.3">
      <c r="A1896" s="4">
        <v>1895</v>
      </c>
      <c r="B1896" s="5">
        <v>1862343</v>
      </c>
      <c r="C1896" s="4" t="s">
        <v>192</v>
      </c>
      <c r="D1896" s="4" t="s">
        <v>111</v>
      </c>
      <c r="E1896" s="4" t="s">
        <v>21</v>
      </c>
      <c r="F1896" s="4" t="s">
        <v>2942</v>
      </c>
      <c r="G1896" s="6">
        <v>3.9</v>
      </c>
      <c r="H1896" s="7">
        <v>45469.530810185184</v>
      </c>
      <c r="I1896" s="7" t="str">
        <f>TEXT(multilingual_mobile_app_reviews_2025[[#This Row],[Review_date]],"dd-mm-yyyy")</f>
        <v>26-06-2024</v>
      </c>
      <c r="J1896" s="7" t="str">
        <f>TEXT(multilingual_mobile_app_reviews_2025[[#This Row],[Review_date]],"YYYY")</f>
        <v>2024</v>
      </c>
      <c r="K1896" s="7" t="str">
        <f>TEXT(multilingual_mobile_app_reviews_2025[[#This Row],[Review_date]],"MMMM")</f>
        <v>June</v>
      </c>
      <c r="L1896" s="4" t="b">
        <v>0</v>
      </c>
      <c r="M1896" s="4" t="s">
        <v>3</v>
      </c>
      <c r="N1896" s="5">
        <v>777</v>
      </c>
      <c r="O1896" s="5">
        <v>37</v>
      </c>
      <c r="P1896" s="4" t="s">
        <v>118</v>
      </c>
      <c r="Q1896" s="8" t="s">
        <v>39</v>
      </c>
      <c r="R1896" s="4" t="s">
        <v>2241</v>
      </c>
      <c r="S1896" s="4"/>
      <c r="T1896"/>
      <c r="U1896" s="23"/>
    </row>
    <row r="1897" spans="1:21" ht="15.6" x14ac:dyDescent="0.3">
      <c r="A1897" s="4">
        <v>1896</v>
      </c>
      <c r="B1897" s="5">
        <v>1400308</v>
      </c>
      <c r="C1897" s="4" t="s">
        <v>159</v>
      </c>
      <c r="D1897" s="4" t="s">
        <v>71</v>
      </c>
      <c r="E1897" s="4" t="s">
        <v>2242</v>
      </c>
      <c r="F1897" s="4" t="s">
        <v>2946</v>
      </c>
      <c r="G1897" s="6">
        <v>4</v>
      </c>
      <c r="H1897" s="7">
        <v>45822.570162037038</v>
      </c>
      <c r="I1897" s="7" t="str">
        <f>TEXT(multilingual_mobile_app_reviews_2025[[#This Row],[Review_date]],"dd-mm-yyyy")</f>
        <v>14-06-2025</v>
      </c>
      <c r="J1897" s="7" t="str">
        <f>TEXT(multilingual_mobile_app_reviews_2025[[#This Row],[Review_date]],"YYYY")</f>
        <v>2025</v>
      </c>
      <c r="K1897" s="7" t="str">
        <f>TEXT(multilingual_mobile_app_reviews_2025[[#This Row],[Review_date]],"MMMM")</f>
        <v>June</v>
      </c>
      <c r="L1897" s="4" t="b">
        <v>0</v>
      </c>
      <c r="M1897" s="4" t="s">
        <v>3</v>
      </c>
      <c r="N1897" s="5">
        <v>762</v>
      </c>
      <c r="O1897" s="5">
        <v>65</v>
      </c>
      <c r="P1897" s="4" t="s">
        <v>99</v>
      </c>
      <c r="Q1897" s="8" t="s">
        <v>29</v>
      </c>
      <c r="R1897" s="4" t="s">
        <v>2243</v>
      </c>
      <c r="S1897" s="4"/>
      <c r="T1897"/>
      <c r="U1897" s="23"/>
    </row>
    <row r="1898" spans="1:21" ht="15.6" x14ac:dyDescent="0.3">
      <c r="A1898" s="4">
        <v>1897</v>
      </c>
      <c r="B1898" s="5">
        <v>4648431</v>
      </c>
      <c r="C1898" s="4" t="s">
        <v>174</v>
      </c>
      <c r="D1898" s="4" t="s">
        <v>42</v>
      </c>
      <c r="E1898" s="4" t="s">
        <v>9</v>
      </c>
      <c r="F1898" s="4" t="s">
        <v>2954</v>
      </c>
      <c r="G1898" s="6">
        <v>4.7</v>
      </c>
      <c r="H1898" s="7">
        <v>45544.700567129628</v>
      </c>
      <c r="I1898" s="7" t="str">
        <f>TEXT(multilingual_mobile_app_reviews_2025[[#This Row],[Review_date]],"dd-mm-yyyy")</f>
        <v>09-09-2024</v>
      </c>
      <c r="J1898" s="7" t="str">
        <f>TEXT(multilingual_mobile_app_reviews_2025[[#This Row],[Review_date]],"YYYY")</f>
        <v>2024</v>
      </c>
      <c r="K1898" s="7" t="str">
        <f>TEXT(multilingual_mobile_app_reviews_2025[[#This Row],[Review_date]],"MMMM")</f>
        <v>September</v>
      </c>
      <c r="L1898" s="4" t="b">
        <v>1</v>
      </c>
      <c r="M1898" s="4" t="s">
        <v>98</v>
      </c>
      <c r="N1898" s="5">
        <v>1005</v>
      </c>
      <c r="O1898" s="5">
        <v>36</v>
      </c>
      <c r="P1898" s="4" t="s">
        <v>23</v>
      </c>
      <c r="Q1898" s="8" t="s">
        <v>39</v>
      </c>
      <c r="R1898" s="4" t="s">
        <v>2244</v>
      </c>
      <c r="S1898" s="4"/>
      <c r="T1898"/>
      <c r="U1898" s="23"/>
    </row>
    <row r="1899" spans="1:21" ht="15.6" x14ac:dyDescent="0.3">
      <c r="A1899" s="4">
        <v>1898</v>
      </c>
      <c r="B1899" s="5">
        <v>6334947</v>
      </c>
      <c r="C1899" s="4" t="s">
        <v>59</v>
      </c>
      <c r="D1899" s="4" t="s">
        <v>31</v>
      </c>
      <c r="E1899" s="4" t="s">
        <v>32</v>
      </c>
      <c r="F1899" s="4" t="s">
        <v>2941</v>
      </c>
      <c r="G1899" s="6">
        <v>3.7</v>
      </c>
      <c r="H1899" s="7">
        <v>45576.802743055552</v>
      </c>
      <c r="I1899" s="7" t="str">
        <f>TEXT(multilingual_mobile_app_reviews_2025[[#This Row],[Review_date]],"dd-mm-yyyy")</f>
        <v>11-10-2024</v>
      </c>
      <c r="J1899" s="7" t="str">
        <f>TEXT(multilingual_mobile_app_reviews_2025[[#This Row],[Review_date]],"YYYY")</f>
        <v>2024</v>
      </c>
      <c r="K1899" s="7" t="str">
        <f>TEXT(multilingual_mobile_app_reviews_2025[[#This Row],[Review_date]],"MMMM")</f>
        <v>October</v>
      </c>
      <c r="L1899" s="4" t="b">
        <v>0</v>
      </c>
      <c r="M1899" s="4" t="s">
        <v>33</v>
      </c>
      <c r="N1899" s="5">
        <v>740</v>
      </c>
      <c r="O1899" s="5">
        <v>57</v>
      </c>
      <c r="P1899" s="4" t="s">
        <v>23</v>
      </c>
      <c r="Q1899" s="8" t="s">
        <v>29</v>
      </c>
      <c r="R1899" s="4" t="s">
        <v>119</v>
      </c>
      <c r="S1899" s="4"/>
      <c r="T1899"/>
      <c r="U1899" s="23"/>
    </row>
    <row r="1900" spans="1:21" ht="15.6" x14ac:dyDescent="0.3">
      <c r="A1900" s="4">
        <v>1899</v>
      </c>
      <c r="B1900" s="5">
        <v>2884106</v>
      </c>
      <c r="C1900" s="4" t="s">
        <v>41</v>
      </c>
      <c r="D1900" s="4" t="s">
        <v>157</v>
      </c>
      <c r="E1900" s="4" t="s">
        <v>2245</v>
      </c>
      <c r="F1900" s="4" t="s">
        <v>2945</v>
      </c>
      <c r="G1900" s="6">
        <v>4.4000000000000004</v>
      </c>
      <c r="H1900" s="7">
        <v>45800.953946759262</v>
      </c>
      <c r="I1900" s="7" t="str">
        <f>TEXT(multilingual_mobile_app_reviews_2025[[#This Row],[Review_date]],"dd-mm-yyyy")</f>
        <v>23-05-2025</v>
      </c>
      <c r="J1900" s="7" t="str">
        <f>TEXT(multilingual_mobile_app_reviews_2025[[#This Row],[Review_date]],"YYYY")</f>
        <v>2025</v>
      </c>
      <c r="K1900" s="7" t="str">
        <f>TEXT(multilingual_mobile_app_reviews_2025[[#This Row],[Review_date]],"MMMM")</f>
        <v>May</v>
      </c>
      <c r="L1900" s="4" t="b">
        <v>1</v>
      </c>
      <c r="M1900" s="4" t="s">
        <v>3</v>
      </c>
      <c r="N1900" s="5">
        <v>414</v>
      </c>
      <c r="O1900" s="5">
        <v>50</v>
      </c>
      <c r="P1900" s="4" t="s">
        <v>23</v>
      </c>
      <c r="Q1900" s="8" t="s">
        <v>5</v>
      </c>
      <c r="R1900" s="4" t="s">
        <v>2246</v>
      </c>
      <c r="S1900" s="4"/>
      <c r="T1900"/>
      <c r="U1900" s="23"/>
    </row>
    <row r="1901" spans="1:21" ht="15.6" x14ac:dyDescent="0.3">
      <c r="A1901" s="4">
        <v>1900</v>
      </c>
      <c r="B1901" s="5">
        <v>2855459</v>
      </c>
      <c r="C1901" s="4" t="s">
        <v>89</v>
      </c>
      <c r="D1901" s="4" t="s">
        <v>8</v>
      </c>
      <c r="E1901" s="4" t="s">
        <v>2247</v>
      </c>
      <c r="F1901" s="4" t="s">
        <v>2957</v>
      </c>
      <c r="G1901" s="6">
        <v>1.1000000000000001</v>
      </c>
      <c r="H1901" s="7">
        <v>45600.604699074072</v>
      </c>
      <c r="I1901" s="7" t="str">
        <f>TEXT(multilingual_mobile_app_reviews_2025[[#This Row],[Review_date]],"dd-mm-yyyy")</f>
        <v>04-11-2024</v>
      </c>
      <c r="J1901" s="7" t="str">
        <f>TEXT(multilingual_mobile_app_reviews_2025[[#This Row],[Review_date]],"YYYY")</f>
        <v>2024</v>
      </c>
      <c r="K1901" s="7" t="str">
        <f>TEXT(multilingual_mobile_app_reviews_2025[[#This Row],[Review_date]],"MMMM")</f>
        <v>November</v>
      </c>
      <c r="L1901" s="4" t="b">
        <v>1</v>
      </c>
      <c r="M1901" s="4" t="s">
        <v>10</v>
      </c>
      <c r="N1901" s="5">
        <v>515</v>
      </c>
      <c r="O1901" s="5">
        <v>45</v>
      </c>
      <c r="P1901" s="4" t="s">
        <v>34</v>
      </c>
      <c r="Q1901" s="8" t="s">
        <v>39</v>
      </c>
      <c r="R1901" s="4" t="s">
        <v>1974</v>
      </c>
      <c r="S1901" s="4"/>
      <c r="T1901"/>
      <c r="U1901" s="23"/>
    </row>
    <row r="1902" spans="1:21" ht="15.6" x14ac:dyDescent="0.3">
      <c r="A1902" s="4">
        <v>1901</v>
      </c>
      <c r="B1902" s="5">
        <v>1220248</v>
      </c>
      <c r="C1902" s="4" t="s">
        <v>25</v>
      </c>
      <c r="D1902" s="4" t="s">
        <v>15</v>
      </c>
      <c r="E1902" s="4" t="s">
        <v>130</v>
      </c>
      <c r="F1902" s="4" t="s">
        <v>2944</v>
      </c>
      <c r="G1902" s="6">
        <v>2.4</v>
      </c>
      <c r="H1902" s="7">
        <v>45411.082997685182</v>
      </c>
      <c r="I1902" s="7" t="str">
        <f>TEXT(multilingual_mobile_app_reviews_2025[[#This Row],[Review_date]],"dd-mm-yyyy")</f>
        <v>29-04-2024</v>
      </c>
      <c r="J1902" s="7" t="str">
        <f>TEXT(multilingual_mobile_app_reviews_2025[[#This Row],[Review_date]],"YYYY")</f>
        <v>2024</v>
      </c>
      <c r="K1902" s="7" t="str">
        <f>TEXT(multilingual_mobile_app_reviews_2025[[#This Row],[Review_date]],"MMMM")</f>
        <v>April</v>
      </c>
      <c r="L1902" s="4" t="b">
        <v>0</v>
      </c>
      <c r="M1902" s="4" t="s">
        <v>33</v>
      </c>
      <c r="N1902" s="5">
        <v>432</v>
      </c>
      <c r="O1902" s="5">
        <v>33</v>
      </c>
      <c r="P1902" s="4" t="s">
        <v>4</v>
      </c>
      <c r="Q1902" s="8" t="s">
        <v>29</v>
      </c>
      <c r="R1902" s="4" t="s">
        <v>2248</v>
      </c>
      <c r="S1902" s="4"/>
      <c r="T1902"/>
      <c r="U1902" s="23"/>
    </row>
    <row r="1903" spans="1:21" ht="15.6" x14ac:dyDescent="0.3">
      <c r="A1903" s="4">
        <v>1902</v>
      </c>
      <c r="B1903" s="5">
        <v>9481082</v>
      </c>
      <c r="C1903" s="4" t="s">
        <v>106</v>
      </c>
      <c r="D1903" s="4" t="s">
        <v>8</v>
      </c>
      <c r="E1903" s="4" t="s">
        <v>27</v>
      </c>
      <c r="F1903" s="4" t="s">
        <v>2957</v>
      </c>
      <c r="G1903" s="6">
        <v>4.9000000000000004</v>
      </c>
      <c r="H1903" s="7">
        <v>45824.991203703707</v>
      </c>
      <c r="I1903" s="7" t="str">
        <f>TEXT(multilingual_mobile_app_reviews_2025[[#This Row],[Review_date]],"dd-mm-yyyy")</f>
        <v>16-06-2025</v>
      </c>
      <c r="J1903" s="7" t="str">
        <f>TEXT(multilingual_mobile_app_reviews_2025[[#This Row],[Review_date]],"YYYY")</f>
        <v>2025</v>
      </c>
      <c r="K1903" s="7" t="str">
        <f>TEXT(multilingual_mobile_app_reviews_2025[[#This Row],[Review_date]],"MMMM")</f>
        <v>June</v>
      </c>
      <c r="L1903" s="4" t="b">
        <v>1</v>
      </c>
      <c r="M1903" s="4" t="s">
        <v>33</v>
      </c>
      <c r="N1903" s="5">
        <v>1177</v>
      </c>
      <c r="O1903" s="5">
        <v>35</v>
      </c>
      <c r="P1903" s="4" t="s">
        <v>61</v>
      </c>
      <c r="Q1903" s="8" t="s">
        <v>2963</v>
      </c>
      <c r="R1903" s="4" t="s">
        <v>2249</v>
      </c>
      <c r="S1903" s="4"/>
      <c r="T1903"/>
      <c r="U1903" s="23"/>
    </row>
    <row r="1904" spans="1:21" ht="15.6" x14ac:dyDescent="0.3">
      <c r="A1904" s="4">
        <v>1903</v>
      </c>
      <c r="B1904" s="5">
        <v>5887425</v>
      </c>
      <c r="C1904" s="4" t="s">
        <v>101</v>
      </c>
      <c r="D1904" s="4" t="s">
        <v>63</v>
      </c>
      <c r="E1904" s="4" t="s">
        <v>2250</v>
      </c>
      <c r="F1904" s="4" t="s">
        <v>2951</v>
      </c>
      <c r="G1904" s="6">
        <v>2.1</v>
      </c>
      <c r="H1904" s="7">
        <v>45306.993333333332</v>
      </c>
      <c r="I1904" s="7" t="str">
        <f>TEXT(multilingual_mobile_app_reviews_2025[[#This Row],[Review_date]],"dd-mm-yyyy")</f>
        <v>15-01-2024</v>
      </c>
      <c r="J1904" s="7" t="str">
        <f>TEXT(multilingual_mobile_app_reviews_2025[[#This Row],[Review_date]],"YYYY")</f>
        <v>2024</v>
      </c>
      <c r="K1904" s="7" t="str">
        <f>TEXT(multilingual_mobile_app_reviews_2025[[#This Row],[Review_date]],"MMMM")</f>
        <v>January</v>
      </c>
      <c r="L1904" s="4" t="b">
        <v>1</v>
      </c>
      <c r="M1904" s="4" t="s">
        <v>3</v>
      </c>
      <c r="N1904" s="5">
        <v>1234</v>
      </c>
      <c r="O1904" s="5">
        <v>32</v>
      </c>
      <c r="P1904" s="4" t="s">
        <v>38</v>
      </c>
      <c r="Q1904" s="8" t="s">
        <v>29</v>
      </c>
      <c r="R1904" s="4" t="s">
        <v>2251</v>
      </c>
      <c r="S1904" s="4"/>
      <c r="T1904"/>
      <c r="U1904" s="23"/>
    </row>
    <row r="1905" spans="1:21" ht="15.6" x14ac:dyDescent="0.3">
      <c r="A1905" s="4">
        <v>1904</v>
      </c>
      <c r="B1905" s="5">
        <v>3091801</v>
      </c>
      <c r="C1905" s="4" t="s">
        <v>56</v>
      </c>
      <c r="D1905" s="4" t="s">
        <v>71</v>
      </c>
      <c r="E1905" s="4" t="s">
        <v>93</v>
      </c>
      <c r="F1905" s="4" t="s">
        <v>2946</v>
      </c>
      <c r="G1905" s="6">
        <v>1.8</v>
      </c>
      <c r="H1905" s="7">
        <v>45343.107951388891</v>
      </c>
      <c r="I1905" s="7" t="str">
        <f>TEXT(multilingual_mobile_app_reviews_2025[[#This Row],[Review_date]],"dd-mm-yyyy")</f>
        <v>21-02-2024</v>
      </c>
      <c r="J1905" s="7" t="str">
        <f>TEXT(multilingual_mobile_app_reviews_2025[[#This Row],[Review_date]],"YYYY")</f>
        <v>2024</v>
      </c>
      <c r="K1905" s="7" t="str">
        <f>TEXT(multilingual_mobile_app_reviews_2025[[#This Row],[Review_date]],"MMMM")</f>
        <v>February</v>
      </c>
      <c r="L1905" s="4" t="b">
        <v>1</v>
      </c>
      <c r="M1905" s="4" t="s">
        <v>3</v>
      </c>
      <c r="N1905" s="5">
        <v>1156</v>
      </c>
      <c r="O1905" s="5">
        <v>59</v>
      </c>
      <c r="P1905" s="4" t="s">
        <v>144</v>
      </c>
      <c r="Q1905" s="8" t="s">
        <v>12</v>
      </c>
      <c r="R1905" s="4" t="s">
        <v>2252</v>
      </c>
      <c r="S1905" s="4"/>
      <c r="T1905"/>
      <c r="U1905" s="23"/>
    </row>
    <row r="1906" spans="1:21" ht="15.6" x14ac:dyDescent="0.3">
      <c r="A1906" s="4">
        <v>1905</v>
      </c>
      <c r="B1906" s="5">
        <v>1816680</v>
      </c>
      <c r="C1906" s="4" t="s">
        <v>59</v>
      </c>
      <c r="D1906" s="4" t="s">
        <v>20</v>
      </c>
      <c r="E1906" s="4" t="s">
        <v>2253</v>
      </c>
      <c r="F1906" s="4" t="s">
        <v>2957</v>
      </c>
      <c r="G1906" s="6">
        <v>2.8</v>
      </c>
      <c r="H1906" s="7">
        <v>45390.022222222222</v>
      </c>
      <c r="I1906" s="7" t="str">
        <f>TEXT(multilingual_mobile_app_reviews_2025[[#This Row],[Review_date]],"dd-mm-yyyy")</f>
        <v>08-04-2024</v>
      </c>
      <c r="J1906" s="7" t="str">
        <f>TEXT(multilingual_mobile_app_reviews_2025[[#This Row],[Review_date]],"YYYY")</f>
        <v>2024</v>
      </c>
      <c r="K1906" s="7" t="str">
        <f>TEXT(multilingual_mobile_app_reviews_2025[[#This Row],[Review_date]],"MMMM")</f>
        <v>April</v>
      </c>
      <c r="L1906" s="4" t="b">
        <v>1</v>
      </c>
      <c r="M1906" s="4" t="s">
        <v>98</v>
      </c>
      <c r="N1906" s="5">
        <v>263</v>
      </c>
      <c r="O1906" s="5">
        <v>20</v>
      </c>
      <c r="P1906" s="4" t="s">
        <v>162</v>
      </c>
      <c r="Q1906" s="8" t="s">
        <v>12</v>
      </c>
      <c r="R1906" s="4" t="s">
        <v>1927</v>
      </c>
      <c r="S1906" s="4"/>
      <c r="T1906"/>
      <c r="U1906" s="23"/>
    </row>
    <row r="1907" spans="1:21" ht="15.6" x14ac:dyDescent="0.3">
      <c r="A1907" s="4">
        <v>1906</v>
      </c>
      <c r="B1907" s="5">
        <v>975589</v>
      </c>
      <c r="C1907" s="4" t="s">
        <v>123</v>
      </c>
      <c r="D1907" s="4" t="s">
        <v>111</v>
      </c>
      <c r="E1907" s="4" t="s">
        <v>32</v>
      </c>
      <c r="F1907" s="4" t="s">
        <v>2945</v>
      </c>
      <c r="G1907" s="6">
        <v>1.9</v>
      </c>
      <c r="H1907" s="7">
        <v>45245.269837962966</v>
      </c>
      <c r="I1907" s="7" t="str">
        <f>TEXT(multilingual_mobile_app_reviews_2025[[#This Row],[Review_date]],"dd-mm-yyyy")</f>
        <v>15-11-2023</v>
      </c>
      <c r="J1907" s="7" t="str">
        <f>TEXT(multilingual_mobile_app_reviews_2025[[#This Row],[Review_date]],"YYYY")</f>
        <v>2023</v>
      </c>
      <c r="K1907" s="7" t="str">
        <f>TEXT(multilingual_mobile_app_reviews_2025[[#This Row],[Review_date]],"MMMM")</f>
        <v>November</v>
      </c>
      <c r="L1907" s="4" t="b">
        <v>1</v>
      </c>
      <c r="M1907" s="4" t="s">
        <v>22</v>
      </c>
      <c r="N1907" s="5">
        <v>1232</v>
      </c>
      <c r="O1907" s="5">
        <v>26</v>
      </c>
      <c r="P1907" s="4" t="s">
        <v>94</v>
      </c>
      <c r="Q1907" s="8" t="s">
        <v>39</v>
      </c>
      <c r="R1907" s="4" t="s">
        <v>2254</v>
      </c>
      <c r="S1907" s="4"/>
      <c r="T1907"/>
      <c r="U1907" s="23"/>
    </row>
    <row r="1908" spans="1:21" ht="15.6" x14ac:dyDescent="0.3">
      <c r="A1908" s="4">
        <v>1907</v>
      </c>
      <c r="B1908" s="5">
        <v>7476757</v>
      </c>
      <c r="C1908" s="4" t="s">
        <v>67</v>
      </c>
      <c r="D1908" s="4" t="s">
        <v>51</v>
      </c>
      <c r="E1908" s="4" t="s">
        <v>9</v>
      </c>
      <c r="F1908" s="4" t="s">
        <v>2954</v>
      </c>
      <c r="G1908" s="6">
        <v>4.8</v>
      </c>
      <c r="H1908" s="7">
        <v>45469.300671296296</v>
      </c>
      <c r="I1908" s="7" t="str">
        <f>TEXT(multilingual_mobile_app_reviews_2025[[#This Row],[Review_date]],"dd-mm-yyyy")</f>
        <v>26-06-2024</v>
      </c>
      <c r="J1908" s="7" t="str">
        <f>TEXT(multilingual_mobile_app_reviews_2025[[#This Row],[Review_date]],"YYYY")</f>
        <v>2024</v>
      </c>
      <c r="K1908" s="7" t="str">
        <f>TEXT(multilingual_mobile_app_reviews_2025[[#This Row],[Review_date]],"MMMM")</f>
        <v>June</v>
      </c>
      <c r="L1908" s="4" t="b">
        <v>0</v>
      </c>
      <c r="M1908" s="4" t="s">
        <v>33</v>
      </c>
      <c r="N1908" s="5">
        <v>1079</v>
      </c>
      <c r="O1908" s="5">
        <v>66</v>
      </c>
      <c r="P1908" s="4" t="s">
        <v>114</v>
      </c>
      <c r="Q1908" s="8" t="s">
        <v>12</v>
      </c>
      <c r="R1908" s="4" t="s">
        <v>2255</v>
      </c>
      <c r="S1908" s="4"/>
      <c r="T1908"/>
      <c r="U1908" s="23"/>
    </row>
    <row r="1909" spans="1:21" ht="15.6" x14ac:dyDescent="0.3">
      <c r="A1909" s="4">
        <v>1908</v>
      </c>
      <c r="B1909" s="5">
        <v>8013629</v>
      </c>
      <c r="C1909" s="4" t="s">
        <v>89</v>
      </c>
      <c r="D1909" s="4" t="s">
        <v>79</v>
      </c>
      <c r="E1909" s="4" t="s">
        <v>2256</v>
      </c>
      <c r="F1909" s="4" t="s">
        <v>2959</v>
      </c>
      <c r="G1909" s="6">
        <v>4</v>
      </c>
      <c r="H1909" s="7">
        <v>45671.2190162037</v>
      </c>
      <c r="I1909" s="7" t="str">
        <f>TEXT(multilingual_mobile_app_reviews_2025[[#This Row],[Review_date]],"dd-mm-yyyy")</f>
        <v>14-01-2025</v>
      </c>
      <c r="J1909" s="7" t="str">
        <f>TEXT(multilingual_mobile_app_reviews_2025[[#This Row],[Review_date]],"YYYY")</f>
        <v>2025</v>
      </c>
      <c r="K1909" s="7" t="str">
        <f>TEXT(multilingual_mobile_app_reviews_2025[[#This Row],[Review_date]],"MMMM")</f>
        <v>January</v>
      </c>
      <c r="L1909" s="4" t="b">
        <v>1</v>
      </c>
      <c r="M1909" s="4" t="s">
        <v>22</v>
      </c>
      <c r="N1909" s="5">
        <v>377</v>
      </c>
      <c r="O1909" s="5">
        <v>45</v>
      </c>
      <c r="P1909" s="4" t="s">
        <v>23</v>
      </c>
      <c r="Q1909" s="8" t="s">
        <v>2963</v>
      </c>
      <c r="R1909" s="4" t="s">
        <v>1919</v>
      </c>
      <c r="S1909" s="4"/>
      <c r="T1909"/>
      <c r="U1909" s="23"/>
    </row>
    <row r="1910" spans="1:21" ht="15.6" x14ac:dyDescent="0.3">
      <c r="A1910" s="4">
        <v>1909</v>
      </c>
      <c r="B1910" s="5">
        <v>9460094</v>
      </c>
      <c r="C1910" s="4" t="s">
        <v>19</v>
      </c>
      <c r="D1910" s="4" t="s">
        <v>42</v>
      </c>
      <c r="E1910" s="4" t="s">
        <v>130</v>
      </c>
      <c r="F1910" s="4" t="s">
        <v>2942</v>
      </c>
      <c r="G1910" s="6">
        <v>3.7</v>
      </c>
      <c r="H1910" s="7">
        <v>45837.74417824074</v>
      </c>
      <c r="I1910" s="7" t="str">
        <f>TEXT(multilingual_mobile_app_reviews_2025[[#This Row],[Review_date]],"dd-mm-yyyy")</f>
        <v>29-06-2025</v>
      </c>
      <c r="J1910" s="7" t="str">
        <f>TEXT(multilingual_mobile_app_reviews_2025[[#This Row],[Review_date]],"YYYY")</f>
        <v>2025</v>
      </c>
      <c r="K1910" s="7" t="str">
        <f>TEXT(multilingual_mobile_app_reviews_2025[[#This Row],[Review_date]],"MMMM")</f>
        <v>June</v>
      </c>
      <c r="L1910" s="4" t="b">
        <v>1</v>
      </c>
      <c r="M1910" s="4" t="s">
        <v>22</v>
      </c>
      <c r="N1910" s="5">
        <v>482</v>
      </c>
      <c r="O1910" s="5">
        <v>56</v>
      </c>
      <c r="P1910" s="4" t="s">
        <v>73</v>
      </c>
      <c r="Q1910" s="8" t="s">
        <v>5</v>
      </c>
      <c r="R1910" s="4" t="s">
        <v>2257</v>
      </c>
      <c r="S1910" s="4"/>
      <c r="T1910"/>
      <c r="U1910" s="23"/>
    </row>
    <row r="1911" spans="1:21" ht="15.6" x14ac:dyDescent="0.3">
      <c r="A1911" s="4">
        <v>1910</v>
      </c>
      <c r="B1911" s="5">
        <v>5941499</v>
      </c>
      <c r="C1911" s="4" t="s">
        <v>59</v>
      </c>
      <c r="D1911" s="4" t="s">
        <v>157</v>
      </c>
      <c r="E1911" s="4" t="s">
        <v>76</v>
      </c>
      <c r="F1911" s="4" t="s">
        <v>2946</v>
      </c>
      <c r="G1911" s="6">
        <v>2.4</v>
      </c>
      <c r="H1911" s="7">
        <v>45277.144594907404</v>
      </c>
      <c r="I1911" s="7" t="str">
        <f>TEXT(multilingual_mobile_app_reviews_2025[[#This Row],[Review_date]],"dd-mm-yyyy")</f>
        <v>17-12-2023</v>
      </c>
      <c r="J1911" s="7" t="str">
        <f>TEXT(multilingual_mobile_app_reviews_2025[[#This Row],[Review_date]],"YYYY")</f>
        <v>2023</v>
      </c>
      <c r="K1911" s="7" t="str">
        <f>TEXT(multilingual_mobile_app_reviews_2025[[#This Row],[Review_date]],"MMMM")</f>
        <v>December</v>
      </c>
      <c r="L1911" s="4" t="b">
        <v>1</v>
      </c>
      <c r="M1911" s="4" t="s">
        <v>22</v>
      </c>
      <c r="N1911" s="5">
        <v>691</v>
      </c>
      <c r="O1911" s="5">
        <v>33</v>
      </c>
      <c r="P1911" s="4" t="s">
        <v>114</v>
      </c>
      <c r="Q1911" s="8" t="s">
        <v>2963</v>
      </c>
      <c r="R1911" s="4" t="s">
        <v>2258</v>
      </c>
      <c r="S1911" s="4"/>
      <c r="T1911"/>
      <c r="U1911" s="23"/>
    </row>
    <row r="1912" spans="1:21" ht="15.6" x14ac:dyDescent="0.3">
      <c r="A1912" s="4">
        <v>1911</v>
      </c>
      <c r="B1912" s="5">
        <v>6235212</v>
      </c>
      <c r="C1912" s="4" t="s">
        <v>165</v>
      </c>
      <c r="D1912" s="4" t="s">
        <v>1</v>
      </c>
      <c r="E1912" s="4" t="s">
        <v>2259</v>
      </c>
      <c r="F1912" s="4" t="s">
        <v>2944</v>
      </c>
      <c r="G1912" s="6">
        <v>1.7</v>
      </c>
      <c r="H1912" s="7">
        <v>45350.945254629631</v>
      </c>
      <c r="I1912" s="7" t="str">
        <f>TEXT(multilingual_mobile_app_reviews_2025[[#This Row],[Review_date]],"dd-mm-yyyy")</f>
        <v>28-02-2024</v>
      </c>
      <c r="J1912" s="7" t="str">
        <f>TEXT(multilingual_mobile_app_reviews_2025[[#This Row],[Review_date]],"YYYY")</f>
        <v>2024</v>
      </c>
      <c r="K1912" s="7" t="str">
        <f>TEXT(multilingual_mobile_app_reviews_2025[[#This Row],[Review_date]],"MMMM")</f>
        <v>February</v>
      </c>
      <c r="L1912" s="4" t="b">
        <v>1</v>
      </c>
      <c r="M1912" s="4" t="s">
        <v>98</v>
      </c>
      <c r="N1912" s="5">
        <v>284</v>
      </c>
      <c r="O1912" s="5">
        <v>74</v>
      </c>
      <c r="P1912" s="4" t="s">
        <v>4</v>
      </c>
      <c r="Q1912" s="8" t="s">
        <v>39</v>
      </c>
      <c r="R1912" s="4" t="s">
        <v>2260</v>
      </c>
      <c r="S1912" s="4"/>
      <c r="T1912"/>
      <c r="U1912" s="23"/>
    </row>
    <row r="1913" spans="1:21" ht="15.6" x14ac:dyDescent="0.3">
      <c r="A1913" s="4">
        <v>1912</v>
      </c>
      <c r="B1913" s="5">
        <v>4712919</v>
      </c>
      <c r="C1913" s="4" t="s">
        <v>0</v>
      </c>
      <c r="D1913" s="4" t="s">
        <v>8</v>
      </c>
      <c r="E1913" s="4" t="s">
        <v>64</v>
      </c>
      <c r="F1913" s="4" t="s">
        <v>2955</v>
      </c>
      <c r="G1913" s="6">
        <v>3.6</v>
      </c>
      <c r="H1913" s="7">
        <v>45637.28125</v>
      </c>
      <c r="I1913" s="7" t="str">
        <f>TEXT(multilingual_mobile_app_reviews_2025[[#This Row],[Review_date]],"dd-mm-yyyy")</f>
        <v>11-12-2024</v>
      </c>
      <c r="J1913" s="7" t="str">
        <f>TEXT(multilingual_mobile_app_reviews_2025[[#This Row],[Review_date]],"YYYY")</f>
        <v>2024</v>
      </c>
      <c r="K1913" s="7" t="str">
        <f>TEXT(multilingual_mobile_app_reviews_2025[[#This Row],[Review_date]],"MMMM")</f>
        <v>December</v>
      </c>
      <c r="L1913" s="4" t="b">
        <v>1</v>
      </c>
      <c r="M1913" s="4" t="s">
        <v>10</v>
      </c>
      <c r="N1913" s="5">
        <v>1032</v>
      </c>
      <c r="O1913" s="5">
        <v>24</v>
      </c>
      <c r="P1913" s="4" t="s">
        <v>114</v>
      </c>
      <c r="Q1913" s="8" t="s">
        <v>29</v>
      </c>
      <c r="R1913" s="4" t="s">
        <v>2261</v>
      </c>
      <c r="S1913" s="4"/>
      <c r="T1913"/>
      <c r="U1913" s="23"/>
    </row>
    <row r="1914" spans="1:21" ht="15.6" x14ac:dyDescent="0.3">
      <c r="A1914" s="4">
        <v>1913</v>
      </c>
      <c r="B1914" s="5">
        <v>6782264</v>
      </c>
      <c r="C1914" s="4" t="s">
        <v>137</v>
      </c>
      <c r="D1914" s="4" t="s">
        <v>63</v>
      </c>
      <c r="E1914" s="4" t="s">
        <v>130</v>
      </c>
      <c r="F1914" s="4" t="s">
        <v>2943</v>
      </c>
      <c r="G1914" s="6">
        <v>3.4</v>
      </c>
      <c r="H1914" s="7">
        <v>45172.989907407406</v>
      </c>
      <c r="I1914" s="7" t="str">
        <f>TEXT(multilingual_mobile_app_reviews_2025[[#This Row],[Review_date]],"dd-mm-yyyy")</f>
        <v>03-09-2023</v>
      </c>
      <c r="J1914" s="7" t="str">
        <f>TEXT(multilingual_mobile_app_reviews_2025[[#This Row],[Review_date]],"YYYY")</f>
        <v>2023</v>
      </c>
      <c r="K1914" s="7" t="str">
        <f>TEXT(multilingual_mobile_app_reviews_2025[[#This Row],[Review_date]],"MMMM")</f>
        <v>September</v>
      </c>
      <c r="L1914" s="4" t="b">
        <v>0</v>
      </c>
      <c r="M1914" s="4" t="s">
        <v>33</v>
      </c>
      <c r="N1914" s="5">
        <v>742</v>
      </c>
      <c r="O1914" s="5">
        <v>33</v>
      </c>
      <c r="P1914" s="4" t="s">
        <v>70</v>
      </c>
      <c r="Q1914" s="8" t="s">
        <v>12</v>
      </c>
      <c r="R1914" s="4" t="s">
        <v>2262</v>
      </c>
      <c r="S1914" s="4"/>
      <c r="T1914"/>
      <c r="U1914" s="23"/>
    </row>
    <row r="1915" spans="1:21" ht="15.6" x14ac:dyDescent="0.3">
      <c r="A1915" s="4">
        <v>1914</v>
      </c>
      <c r="B1915" s="5">
        <v>4345272</v>
      </c>
      <c r="C1915" s="4" t="s">
        <v>92</v>
      </c>
      <c r="D1915" s="4" t="s">
        <v>47</v>
      </c>
      <c r="E1915" s="4" t="s">
        <v>109</v>
      </c>
      <c r="F1915" s="4" t="s">
        <v>2958</v>
      </c>
      <c r="G1915" s="6">
        <v>2.1</v>
      </c>
      <c r="H1915" s="7">
        <v>45351.835381944446</v>
      </c>
      <c r="I1915" s="7" t="str">
        <f>TEXT(multilingual_mobile_app_reviews_2025[[#This Row],[Review_date]],"dd-mm-yyyy")</f>
        <v>29-02-2024</v>
      </c>
      <c r="J1915" s="7" t="str">
        <f>TEXT(multilingual_mobile_app_reviews_2025[[#This Row],[Review_date]],"YYYY")</f>
        <v>2024</v>
      </c>
      <c r="K1915" s="7" t="str">
        <f>TEXT(multilingual_mobile_app_reviews_2025[[#This Row],[Review_date]],"MMMM")</f>
        <v>February</v>
      </c>
      <c r="L1915" s="4" t="b">
        <v>0</v>
      </c>
      <c r="M1915" s="4" t="s">
        <v>10</v>
      </c>
      <c r="N1915" s="5">
        <v>388</v>
      </c>
      <c r="O1915" s="5">
        <v>38</v>
      </c>
      <c r="P1915" s="4" t="s">
        <v>230</v>
      </c>
      <c r="Q1915" s="8" t="s">
        <v>5</v>
      </c>
      <c r="R1915" s="4" t="s">
        <v>2263</v>
      </c>
      <c r="S1915" s="4"/>
      <c r="T1915"/>
      <c r="U1915" s="23"/>
    </row>
    <row r="1916" spans="1:21" ht="15.6" x14ac:dyDescent="0.3">
      <c r="A1916" s="4">
        <v>1915</v>
      </c>
      <c r="B1916" s="5">
        <v>1060109</v>
      </c>
      <c r="C1916" s="4" t="s">
        <v>7</v>
      </c>
      <c r="D1916" s="4" t="s">
        <v>20</v>
      </c>
      <c r="E1916" s="4" t="s">
        <v>76</v>
      </c>
      <c r="F1916" s="4" t="s">
        <v>2952</v>
      </c>
      <c r="G1916" s="6">
        <v>4.7</v>
      </c>
      <c r="H1916" s="7">
        <v>45583.304328703707</v>
      </c>
      <c r="I1916" s="7" t="str">
        <f>TEXT(multilingual_mobile_app_reviews_2025[[#This Row],[Review_date]],"dd-mm-yyyy")</f>
        <v>18-10-2024</v>
      </c>
      <c r="J1916" s="7" t="str">
        <f>TEXT(multilingual_mobile_app_reviews_2025[[#This Row],[Review_date]],"YYYY")</f>
        <v>2024</v>
      </c>
      <c r="K1916" s="7" t="str">
        <f>TEXT(multilingual_mobile_app_reviews_2025[[#This Row],[Review_date]],"MMMM")</f>
        <v>October</v>
      </c>
      <c r="L1916" s="4" t="b">
        <v>1</v>
      </c>
      <c r="M1916" s="4" t="s">
        <v>3</v>
      </c>
      <c r="N1916" s="5">
        <v>815</v>
      </c>
      <c r="O1916" s="5">
        <v>58</v>
      </c>
      <c r="P1916" s="4" t="s">
        <v>85</v>
      </c>
      <c r="Q1916" s="8" t="s">
        <v>5</v>
      </c>
      <c r="R1916" s="4" t="s">
        <v>2264</v>
      </c>
      <c r="S1916" s="4"/>
      <c r="T1916"/>
      <c r="U1916" s="23"/>
    </row>
    <row r="1917" spans="1:21" ht="15.6" x14ac:dyDescent="0.3">
      <c r="A1917" s="4">
        <v>1916</v>
      </c>
      <c r="B1917" s="5">
        <v>7998869</v>
      </c>
      <c r="C1917" s="4" t="s">
        <v>104</v>
      </c>
      <c r="D1917" s="4" t="s">
        <v>51</v>
      </c>
      <c r="E1917" s="4" t="s">
        <v>2265</v>
      </c>
      <c r="F1917" s="4" t="s">
        <v>2943</v>
      </c>
      <c r="G1917" s="6">
        <v>1.9</v>
      </c>
      <c r="H1917" s="7">
        <v>45561.480405092596</v>
      </c>
      <c r="I1917" s="7" t="str">
        <f>TEXT(multilingual_mobile_app_reviews_2025[[#This Row],[Review_date]],"dd-mm-yyyy")</f>
        <v>26-09-2024</v>
      </c>
      <c r="J1917" s="7" t="str">
        <f>TEXT(multilingual_mobile_app_reviews_2025[[#This Row],[Review_date]],"YYYY")</f>
        <v>2024</v>
      </c>
      <c r="K1917" s="7" t="str">
        <f>TEXT(multilingual_mobile_app_reviews_2025[[#This Row],[Review_date]],"MMMM")</f>
        <v>September</v>
      </c>
      <c r="L1917" s="4" t="b">
        <v>1</v>
      </c>
      <c r="M1917" s="4" t="s">
        <v>98</v>
      </c>
      <c r="N1917" s="5">
        <v>89</v>
      </c>
      <c r="O1917" s="5">
        <v>50</v>
      </c>
      <c r="P1917" s="4" t="s">
        <v>23</v>
      </c>
      <c r="Q1917" s="8" t="s">
        <v>12</v>
      </c>
      <c r="R1917" s="4" t="s">
        <v>2266</v>
      </c>
      <c r="S1917" s="4"/>
      <c r="T1917"/>
      <c r="U1917" s="23"/>
    </row>
    <row r="1918" spans="1:21" ht="15.6" x14ac:dyDescent="0.3">
      <c r="A1918" s="4">
        <v>1917</v>
      </c>
      <c r="B1918" s="5">
        <v>3357839</v>
      </c>
      <c r="C1918" s="4" t="s">
        <v>165</v>
      </c>
      <c r="D1918" s="4" t="s">
        <v>60</v>
      </c>
      <c r="E1918" s="4" t="s">
        <v>32</v>
      </c>
      <c r="F1918" s="4" t="s">
        <v>2942</v>
      </c>
      <c r="G1918" s="6">
        <v>2.9</v>
      </c>
      <c r="H1918" s="7">
        <v>45647.713541666664</v>
      </c>
      <c r="I1918" s="7" t="str">
        <f>TEXT(multilingual_mobile_app_reviews_2025[[#This Row],[Review_date]],"dd-mm-yyyy")</f>
        <v>21-12-2024</v>
      </c>
      <c r="J1918" s="7" t="str">
        <f>TEXT(multilingual_mobile_app_reviews_2025[[#This Row],[Review_date]],"YYYY")</f>
        <v>2024</v>
      </c>
      <c r="K1918" s="7" t="str">
        <f>TEXT(multilingual_mobile_app_reviews_2025[[#This Row],[Review_date]],"MMMM")</f>
        <v>December</v>
      </c>
      <c r="L1918" s="4" t="b">
        <v>0</v>
      </c>
      <c r="M1918" s="4" t="s">
        <v>33</v>
      </c>
      <c r="N1918" s="5">
        <v>632</v>
      </c>
      <c r="O1918" s="5">
        <v>74</v>
      </c>
      <c r="P1918" s="4" t="s">
        <v>70</v>
      </c>
      <c r="Q1918" s="8" t="s">
        <v>12</v>
      </c>
      <c r="R1918" s="4" t="s">
        <v>2267</v>
      </c>
      <c r="S1918" s="4"/>
      <c r="T1918"/>
      <c r="U1918" s="23"/>
    </row>
    <row r="1919" spans="1:21" ht="15.6" x14ac:dyDescent="0.3">
      <c r="A1919" s="4">
        <v>1918</v>
      </c>
      <c r="B1919" s="5">
        <v>379750</v>
      </c>
      <c r="C1919" s="4" t="s">
        <v>96</v>
      </c>
      <c r="D1919" s="4" t="s">
        <v>15</v>
      </c>
      <c r="E1919" s="4" t="s">
        <v>32</v>
      </c>
      <c r="F1919" s="4" t="s">
        <v>2961</v>
      </c>
      <c r="G1919" s="6">
        <v>1.8</v>
      </c>
      <c r="H1919" s="7">
        <v>45397.266805555555</v>
      </c>
      <c r="I1919" s="7" t="str">
        <f>TEXT(multilingual_mobile_app_reviews_2025[[#This Row],[Review_date]],"dd-mm-yyyy")</f>
        <v>15-04-2024</v>
      </c>
      <c r="J1919" s="7" t="str">
        <f>TEXT(multilingual_mobile_app_reviews_2025[[#This Row],[Review_date]],"YYYY")</f>
        <v>2024</v>
      </c>
      <c r="K1919" s="7" t="str">
        <f>TEXT(multilingual_mobile_app_reviews_2025[[#This Row],[Review_date]],"MMMM")</f>
        <v>April</v>
      </c>
      <c r="L1919" s="4" t="b">
        <v>0</v>
      </c>
      <c r="M1919" s="4" t="s">
        <v>98</v>
      </c>
      <c r="N1919" s="5">
        <v>953</v>
      </c>
      <c r="O1919" s="5">
        <v>33</v>
      </c>
      <c r="P1919" s="4" t="s">
        <v>99</v>
      </c>
      <c r="Q1919" s="8" t="s">
        <v>5</v>
      </c>
      <c r="R1919" s="4" t="s">
        <v>2268</v>
      </c>
      <c r="S1919" s="4"/>
      <c r="T1919"/>
      <c r="U1919" s="23"/>
    </row>
    <row r="1920" spans="1:21" ht="15.6" x14ac:dyDescent="0.3">
      <c r="A1920" s="4">
        <v>1919</v>
      </c>
      <c r="B1920" s="5">
        <v>5409658</v>
      </c>
      <c r="C1920" s="4" t="s">
        <v>59</v>
      </c>
      <c r="D1920" s="4" t="s">
        <v>15</v>
      </c>
      <c r="E1920" s="4" t="s">
        <v>2269</v>
      </c>
      <c r="F1920" s="4" t="s">
        <v>2945</v>
      </c>
      <c r="G1920" s="6">
        <v>1.1000000000000001</v>
      </c>
      <c r="H1920" s="7">
        <v>45345.980520833335</v>
      </c>
      <c r="I1920" s="7" t="str">
        <f>TEXT(multilingual_mobile_app_reviews_2025[[#This Row],[Review_date]],"dd-mm-yyyy")</f>
        <v>23-02-2024</v>
      </c>
      <c r="J1920" s="7" t="str">
        <f>TEXT(multilingual_mobile_app_reviews_2025[[#This Row],[Review_date]],"YYYY")</f>
        <v>2024</v>
      </c>
      <c r="K1920" s="7" t="str">
        <f>TEXT(multilingual_mobile_app_reviews_2025[[#This Row],[Review_date]],"MMMM")</f>
        <v>February</v>
      </c>
      <c r="L1920" s="4" t="b">
        <v>1</v>
      </c>
      <c r="M1920" s="4" t="s">
        <v>22</v>
      </c>
      <c r="N1920" s="5">
        <v>448</v>
      </c>
      <c r="O1920" s="5">
        <v>41</v>
      </c>
      <c r="P1920" s="4" t="s">
        <v>44</v>
      </c>
      <c r="Q1920" s="8" t="s">
        <v>39</v>
      </c>
      <c r="R1920" s="4" t="s">
        <v>2270</v>
      </c>
      <c r="S1920" s="4"/>
      <c r="T1920"/>
      <c r="U1920" s="23"/>
    </row>
    <row r="1921" spans="1:21" ht="15.6" x14ac:dyDescent="0.3">
      <c r="A1921" s="4">
        <v>1920</v>
      </c>
      <c r="B1921" s="5">
        <v>2995499</v>
      </c>
      <c r="C1921" s="4" t="s">
        <v>174</v>
      </c>
      <c r="D1921" s="4" t="s">
        <v>20</v>
      </c>
      <c r="E1921" s="4" t="s">
        <v>21</v>
      </c>
      <c r="F1921" s="4" t="s">
        <v>2954</v>
      </c>
      <c r="G1921" s="6">
        <v>2.4</v>
      </c>
      <c r="H1921" s="7">
        <v>45483.276354166665</v>
      </c>
      <c r="I1921" s="7" t="str">
        <f>TEXT(multilingual_mobile_app_reviews_2025[[#This Row],[Review_date]],"dd-mm-yyyy")</f>
        <v>10-07-2024</v>
      </c>
      <c r="J1921" s="7" t="str">
        <f>TEXT(multilingual_mobile_app_reviews_2025[[#This Row],[Review_date]],"YYYY")</f>
        <v>2024</v>
      </c>
      <c r="K1921" s="7" t="str">
        <f>TEXT(multilingual_mobile_app_reviews_2025[[#This Row],[Review_date]],"MMMM")</f>
        <v>July</v>
      </c>
      <c r="L1921" s="4" t="b">
        <v>1</v>
      </c>
      <c r="M1921" s="4" t="s">
        <v>33</v>
      </c>
      <c r="N1921" s="5">
        <v>754</v>
      </c>
      <c r="O1921" s="5">
        <v>66</v>
      </c>
      <c r="P1921" s="4" t="s">
        <v>44</v>
      </c>
      <c r="Q1921" s="8" t="s">
        <v>5</v>
      </c>
      <c r="R1921" s="4" t="s">
        <v>962</v>
      </c>
      <c r="S1921" s="4"/>
      <c r="T1921"/>
      <c r="U1921" s="23"/>
    </row>
    <row r="1922" spans="1:21" ht="15.6" x14ac:dyDescent="0.3">
      <c r="A1922" s="4">
        <v>1921</v>
      </c>
      <c r="B1922" s="5">
        <v>4722550</v>
      </c>
      <c r="C1922" s="4" t="s">
        <v>96</v>
      </c>
      <c r="D1922" s="4" t="s">
        <v>31</v>
      </c>
      <c r="E1922" s="4" t="s">
        <v>130</v>
      </c>
      <c r="F1922" s="4" t="s">
        <v>2940</v>
      </c>
      <c r="G1922" s="6">
        <v>3.2</v>
      </c>
      <c r="H1922" s="7">
        <v>45611.536736111113</v>
      </c>
      <c r="I1922" s="7" t="str">
        <f>TEXT(multilingual_mobile_app_reviews_2025[[#This Row],[Review_date]],"dd-mm-yyyy")</f>
        <v>15-11-2024</v>
      </c>
      <c r="J1922" s="7" t="str">
        <f>TEXT(multilingual_mobile_app_reviews_2025[[#This Row],[Review_date]],"YYYY")</f>
        <v>2024</v>
      </c>
      <c r="K1922" s="7" t="str">
        <f>TEXT(multilingual_mobile_app_reviews_2025[[#This Row],[Review_date]],"MMMM")</f>
        <v>November</v>
      </c>
      <c r="L1922" s="4" t="b">
        <v>1</v>
      </c>
      <c r="M1922" s="4" t="s">
        <v>22</v>
      </c>
      <c r="N1922" s="5">
        <v>996</v>
      </c>
      <c r="O1922" s="5">
        <v>22</v>
      </c>
      <c r="P1922" s="4" t="s">
        <v>65</v>
      </c>
      <c r="Q1922" s="8" t="s">
        <v>2963</v>
      </c>
      <c r="R1922" s="4" t="s">
        <v>2271</v>
      </c>
      <c r="S1922" s="4"/>
      <c r="T1922"/>
      <c r="U1922" s="23"/>
    </row>
    <row r="1923" spans="1:21" ht="15.6" x14ac:dyDescent="0.3">
      <c r="A1923" s="4">
        <v>1922</v>
      </c>
      <c r="B1923" s="5">
        <v>8580309</v>
      </c>
      <c r="C1923" s="4" t="s">
        <v>199</v>
      </c>
      <c r="D1923" s="4" t="s">
        <v>71</v>
      </c>
      <c r="E1923" s="4" t="s">
        <v>9</v>
      </c>
      <c r="F1923" s="4" t="s">
        <v>2940</v>
      </c>
      <c r="G1923" s="6">
        <v>1.3</v>
      </c>
      <c r="H1923" s="7">
        <v>45456.753321759257</v>
      </c>
      <c r="I1923" s="7" t="str">
        <f>TEXT(multilingual_mobile_app_reviews_2025[[#This Row],[Review_date]],"dd-mm-yyyy")</f>
        <v>13-06-2024</v>
      </c>
      <c r="J1923" s="7" t="str">
        <f>TEXT(multilingual_mobile_app_reviews_2025[[#This Row],[Review_date]],"YYYY")</f>
        <v>2024</v>
      </c>
      <c r="K1923" s="7" t="str">
        <f>TEXT(multilingual_mobile_app_reviews_2025[[#This Row],[Review_date]],"MMMM")</f>
        <v>June</v>
      </c>
      <c r="L1923" s="4" t="b">
        <v>1</v>
      </c>
      <c r="M1923" s="4" t="s">
        <v>10</v>
      </c>
      <c r="N1923" s="5">
        <v>1162</v>
      </c>
      <c r="O1923" s="5">
        <v>38</v>
      </c>
      <c r="P1923" s="4" t="s">
        <v>180</v>
      </c>
      <c r="Q1923" s="8" t="s">
        <v>2963</v>
      </c>
      <c r="R1923" s="4" t="s">
        <v>619</v>
      </c>
      <c r="S1923" s="4"/>
      <c r="T1923"/>
      <c r="U1923" s="23"/>
    </row>
    <row r="1924" spans="1:21" ht="15.6" x14ac:dyDescent="0.3">
      <c r="A1924" s="4">
        <v>1923</v>
      </c>
      <c r="B1924" s="5">
        <v>154096</v>
      </c>
      <c r="C1924" s="4" t="s">
        <v>36</v>
      </c>
      <c r="D1924" s="4" t="s">
        <v>220</v>
      </c>
      <c r="E1924" s="4" t="s">
        <v>2272</v>
      </c>
      <c r="F1924" s="4" t="s">
        <v>2962</v>
      </c>
      <c r="G1924" s="6">
        <v>4</v>
      </c>
      <c r="H1924" s="7">
        <v>45429.78398148148</v>
      </c>
      <c r="I1924" s="7" t="str">
        <f>TEXT(multilingual_mobile_app_reviews_2025[[#This Row],[Review_date]],"dd-mm-yyyy")</f>
        <v>17-05-2024</v>
      </c>
      <c r="J1924" s="7" t="str">
        <f>TEXT(multilingual_mobile_app_reviews_2025[[#This Row],[Review_date]],"YYYY")</f>
        <v>2024</v>
      </c>
      <c r="K1924" s="7" t="str">
        <f>TEXT(multilingual_mobile_app_reviews_2025[[#This Row],[Review_date]],"MMMM")</f>
        <v>May</v>
      </c>
      <c r="L1924" s="4" t="b">
        <v>1</v>
      </c>
      <c r="M1924" s="4" t="s">
        <v>3</v>
      </c>
      <c r="N1924" s="5">
        <v>937</v>
      </c>
      <c r="O1924" s="5">
        <v>56</v>
      </c>
      <c r="P1924" s="4" t="s">
        <v>144</v>
      </c>
      <c r="Q1924" s="8" t="s">
        <v>12</v>
      </c>
      <c r="R1924" s="4" t="s">
        <v>2273</v>
      </c>
      <c r="S1924" s="4"/>
      <c r="T1924"/>
      <c r="U1924" s="23"/>
    </row>
    <row r="1925" spans="1:21" ht="15.6" x14ac:dyDescent="0.3">
      <c r="A1925" s="4">
        <v>1924</v>
      </c>
      <c r="B1925" s="5">
        <v>1463567</v>
      </c>
      <c r="C1925" s="4" t="s">
        <v>159</v>
      </c>
      <c r="D1925" s="4" t="s">
        <v>15</v>
      </c>
      <c r="E1925" s="4" t="s">
        <v>109</v>
      </c>
      <c r="F1925" s="4" t="s">
        <v>2957</v>
      </c>
      <c r="G1925" s="6">
        <v>4.9000000000000004</v>
      </c>
      <c r="H1925" s="7">
        <v>45820.218402777777</v>
      </c>
      <c r="I1925" s="7" t="str">
        <f>TEXT(multilingual_mobile_app_reviews_2025[[#This Row],[Review_date]],"dd-mm-yyyy")</f>
        <v>12-06-2025</v>
      </c>
      <c r="J1925" s="7" t="str">
        <f>TEXT(multilingual_mobile_app_reviews_2025[[#This Row],[Review_date]],"YYYY")</f>
        <v>2025</v>
      </c>
      <c r="K1925" s="7" t="str">
        <f>TEXT(multilingual_mobile_app_reviews_2025[[#This Row],[Review_date]],"MMMM")</f>
        <v>June</v>
      </c>
      <c r="L1925" s="4" t="b">
        <v>0</v>
      </c>
      <c r="M1925" s="4" t="s">
        <v>10</v>
      </c>
      <c r="N1925" s="5">
        <v>430</v>
      </c>
      <c r="O1925" s="5">
        <v>46</v>
      </c>
      <c r="P1925" s="4" t="s">
        <v>90</v>
      </c>
      <c r="Q1925" s="8" t="s">
        <v>2963</v>
      </c>
      <c r="R1925" s="4" t="s">
        <v>1625</v>
      </c>
      <c r="S1925" s="4"/>
      <c r="T1925"/>
      <c r="U1925" s="23"/>
    </row>
    <row r="1926" spans="1:21" ht="15.6" x14ac:dyDescent="0.3">
      <c r="A1926" s="4">
        <v>1925</v>
      </c>
      <c r="B1926" s="5">
        <v>4239478</v>
      </c>
      <c r="C1926" s="4" t="s">
        <v>36</v>
      </c>
      <c r="D1926" s="4" t="s">
        <v>47</v>
      </c>
      <c r="E1926" s="4" t="s">
        <v>2274</v>
      </c>
      <c r="F1926" s="4" t="s">
        <v>2950</v>
      </c>
      <c r="G1926" s="6">
        <v>4</v>
      </c>
      <c r="H1926" s="7">
        <v>45577.757777777777</v>
      </c>
      <c r="I1926" s="7" t="str">
        <f>TEXT(multilingual_mobile_app_reviews_2025[[#This Row],[Review_date]],"dd-mm-yyyy")</f>
        <v>12-10-2024</v>
      </c>
      <c r="J1926" s="7" t="str">
        <f>TEXT(multilingual_mobile_app_reviews_2025[[#This Row],[Review_date]],"YYYY")</f>
        <v>2024</v>
      </c>
      <c r="K1926" s="7" t="str">
        <f>TEXT(multilingual_mobile_app_reviews_2025[[#This Row],[Review_date]],"MMMM")</f>
        <v>October</v>
      </c>
      <c r="L1926" s="4" t="b">
        <v>1</v>
      </c>
      <c r="M1926" s="4" t="s">
        <v>22</v>
      </c>
      <c r="N1926" s="5">
        <v>431</v>
      </c>
      <c r="O1926" s="5">
        <v>64</v>
      </c>
      <c r="P1926" s="4" t="s">
        <v>180</v>
      </c>
      <c r="Q1926" s="8" t="s">
        <v>39</v>
      </c>
      <c r="R1926" s="4" t="s">
        <v>1465</v>
      </c>
      <c r="S1926" s="4"/>
      <c r="T1926"/>
      <c r="U1926" s="23"/>
    </row>
    <row r="1927" spans="1:21" ht="15.6" x14ac:dyDescent="0.3">
      <c r="A1927" s="4">
        <v>1926</v>
      </c>
      <c r="B1927" s="5">
        <v>7045478</v>
      </c>
      <c r="C1927" s="4" t="s">
        <v>7</v>
      </c>
      <c r="D1927" s="4" t="s">
        <v>51</v>
      </c>
      <c r="E1927" s="4" t="s">
        <v>2275</v>
      </c>
      <c r="F1927" s="4" t="s">
        <v>2944</v>
      </c>
      <c r="G1927" s="6">
        <v>2.9</v>
      </c>
      <c r="H1927" s="7">
        <v>45640.647499999999</v>
      </c>
      <c r="I1927" s="7" t="str">
        <f>TEXT(multilingual_mobile_app_reviews_2025[[#This Row],[Review_date]],"dd-mm-yyyy")</f>
        <v>14-12-2024</v>
      </c>
      <c r="J1927" s="7" t="str">
        <f>TEXT(multilingual_mobile_app_reviews_2025[[#This Row],[Review_date]],"YYYY")</f>
        <v>2024</v>
      </c>
      <c r="K1927" s="7" t="str">
        <f>TEXT(multilingual_mobile_app_reviews_2025[[#This Row],[Review_date]],"MMMM")</f>
        <v>December</v>
      </c>
      <c r="L1927" s="4" t="b">
        <v>0</v>
      </c>
      <c r="M1927" s="4" t="s">
        <v>22</v>
      </c>
      <c r="N1927" s="5">
        <v>493</v>
      </c>
      <c r="O1927" s="5">
        <v>29</v>
      </c>
      <c r="P1927" s="4" t="s">
        <v>38</v>
      </c>
      <c r="Q1927" s="8" t="s">
        <v>39</v>
      </c>
      <c r="R1927" s="4" t="s">
        <v>2276</v>
      </c>
      <c r="S1927" s="4"/>
      <c r="T1927"/>
      <c r="U1927" s="23"/>
    </row>
    <row r="1928" spans="1:21" ht="15.6" x14ac:dyDescent="0.3">
      <c r="A1928" s="4">
        <v>1927</v>
      </c>
      <c r="B1928" s="5">
        <v>4943397</v>
      </c>
      <c r="C1928" s="4" t="s">
        <v>123</v>
      </c>
      <c r="D1928" s="4" t="s">
        <v>15</v>
      </c>
      <c r="E1928" s="4" t="s">
        <v>64</v>
      </c>
      <c r="F1928" s="4" t="s">
        <v>2949</v>
      </c>
      <c r="G1928" s="6">
        <v>2.5</v>
      </c>
      <c r="H1928" s="7">
        <v>45300.00708333333</v>
      </c>
      <c r="I1928" s="7" t="str">
        <f>TEXT(multilingual_mobile_app_reviews_2025[[#This Row],[Review_date]],"dd-mm-yyyy")</f>
        <v>09-01-2024</v>
      </c>
      <c r="J1928" s="7" t="str">
        <f>TEXT(multilingual_mobile_app_reviews_2025[[#This Row],[Review_date]],"YYYY")</f>
        <v>2024</v>
      </c>
      <c r="K1928" s="7" t="str">
        <f>TEXT(multilingual_mobile_app_reviews_2025[[#This Row],[Review_date]],"MMMM")</f>
        <v>January</v>
      </c>
      <c r="L1928" s="4" t="b">
        <v>1</v>
      </c>
      <c r="M1928" s="4" t="s">
        <v>33</v>
      </c>
      <c r="N1928" s="5">
        <v>1068</v>
      </c>
      <c r="O1928" s="5">
        <v>74</v>
      </c>
      <c r="P1928" s="4" t="s">
        <v>99</v>
      </c>
      <c r="Q1928" s="8" t="s">
        <v>2963</v>
      </c>
      <c r="R1928" s="4" t="s">
        <v>2277</v>
      </c>
      <c r="S1928" s="4"/>
      <c r="T1928"/>
      <c r="U1928" s="23"/>
    </row>
    <row r="1929" spans="1:21" ht="15.6" x14ac:dyDescent="0.3">
      <c r="A1929" s="4">
        <v>1928</v>
      </c>
      <c r="B1929" s="5">
        <v>8551778</v>
      </c>
      <c r="C1929" s="4" t="s">
        <v>132</v>
      </c>
      <c r="D1929" s="4" t="s">
        <v>8</v>
      </c>
      <c r="E1929" s="4" t="s">
        <v>2278</v>
      </c>
      <c r="F1929" s="4" t="s">
        <v>2954</v>
      </c>
      <c r="G1929" s="6">
        <v>2.7</v>
      </c>
      <c r="H1929" s="7">
        <v>45814.106145833335</v>
      </c>
      <c r="I1929" s="7" t="str">
        <f>TEXT(multilingual_mobile_app_reviews_2025[[#This Row],[Review_date]],"dd-mm-yyyy")</f>
        <v>06-06-2025</v>
      </c>
      <c r="J1929" s="7" t="str">
        <f>TEXT(multilingual_mobile_app_reviews_2025[[#This Row],[Review_date]],"YYYY")</f>
        <v>2025</v>
      </c>
      <c r="K1929" s="7" t="str">
        <f>TEXT(multilingual_mobile_app_reviews_2025[[#This Row],[Review_date]],"MMMM")</f>
        <v>June</v>
      </c>
      <c r="L1929" s="4" t="b">
        <v>1</v>
      </c>
      <c r="M1929" s="4" t="s">
        <v>98</v>
      </c>
      <c r="N1929" s="5">
        <v>470</v>
      </c>
      <c r="O1929" s="5">
        <v>55</v>
      </c>
      <c r="P1929" s="4" t="s">
        <v>114</v>
      </c>
      <c r="Q1929" s="8" t="s">
        <v>39</v>
      </c>
      <c r="R1929" s="4" t="s">
        <v>2279</v>
      </c>
      <c r="S1929" s="4"/>
      <c r="T1929"/>
      <c r="U1929" s="23"/>
    </row>
    <row r="1930" spans="1:21" ht="15.6" x14ac:dyDescent="0.3">
      <c r="A1930" s="4">
        <v>1929</v>
      </c>
      <c r="B1930" s="5">
        <v>2763391</v>
      </c>
      <c r="C1930" s="4" t="s">
        <v>134</v>
      </c>
      <c r="D1930" s="4" t="s">
        <v>51</v>
      </c>
      <c r="E1930" s="4" t="s">
        <v>27</v>
      </c>
      <c r="F1930" s="4" t="s">
        <v>2944</v>
      </c>
      <c r="G1930" s="6">
        <v>2.9</v>
      </c>
      <c r="H1930" s="7">
        <v>45466.1953587963</v>
      </c>
      <c r="I1930" s="7" t="str">
        <f>TEXT(multilingual_mobile_app_reviews_2025[[#This Row],[Review_date]],"dd-mm-yyyy")</f>
        <v>23-06-2024</v>
      </c>
      <c r="J1930" s="7" t="str">
        <f>TEXT(multilingual_mobile_app_reviews_2025[[#This Row],[Review_date]],"YYYY")</f>
        <v>2024</v>
      </c>
      <c r="K1930" s="7" t="str">
        <f>TEXT(multilingual_mobile_app_reviews_2025[[#This Row],[Review_date]],"MMMM")</f>
        <v>June</v>
      </c>
      <c r="L1930" s="4" t="b">
        <v>1</v>
      </c>
      <c r="M1930" s="4" t="s">
        <v>33</v>
      </c>
      <c r="N1930" s="5">
        <v>139</v>
      </c>
      <c r="O1930" s="5">
        <v>64</v>
      </c>
      <c r="P1930" s="4" t="s">
        <v>180</v>
      </c>
      <c r="Q1930" s="8" t="s">
        <v>5</v>
      </c>
      <c r="R1930" s="4" t="s">
        <v>2280</v>
      </c>
      <c r="S1930" s="4"/>
      <c r="T1930"/>
      <c r="U1930" s="23"/>
    </row>
    <row r="1931" spans="1:21" ht="15.6" x14ac:dyDescent="0.3">
      <c r="A1931" s="4">
        <v>1930</v>
      </c>
      <c r="B1931" s="5">
        <v>5715543</v>
      </c>
      <c r="C1931" s="4" t="s">
        <v>46</v>
      </c>
      <c r="D1931" s="4" t="s">
        <v>42</v>
      </c>
      <c r="E1931" s="4" t="s">
        <v>16</v>
      </c>
      <c r="F1931" s="4" t="s">
        <v>2948</v>
      </c>
      <c r="G1931" s="6">
        <v>4.0999999999999996</v>
      </c>
      <c r="H1931" s="7">
        <v>45400.379016203704</v>
      </c>
      <c r="I1931" s="7" t="str">
        <f>TEXT(multilingual_mobile_app_reviews_2025[[#This Row],[Review_date]],"dd-mm-yyyy")</f>
        <v>18-04-2024</v>
      </c>
      <c r="J1931" s="7" t="str">
        <f>TEXT(multilingual_mobile_app_reviews_2025[[#This Row],[Review_date]],"YYYY")</f>
        <v>2024</v>
      </c>
      <c r="K1931" s="7" t="str">
        <f>TEXT(multilingual_mobile_app_reviews_2025[[#This Row],[Review_date]],"MMMM")</f>
        <v>April</v>
      </c>
      <c r="L1931" s="4" t="b">
        <v>0</v>
      </c>
      <c r="M1931" s="4" t="s">
        <v>22</v>
      </c>
      <c r="N1931" s="5">
        <v>63</v>
      </c>
      <c r="O1931" s="5">
        <v>13</v>
      </c>
      <c r="P1931" s="4" t="s">
        <v>38</v>
      </c>
      <c r="Q1931" s="8" t="s">
        <v>5</v>
      </c>
      <c r="R1931" s="4" t="s">
        <v>2281</v>
      </c>
      <c r="S1931" s="4"/>
      <c r="T1931"/>
      <c r="U1931" s="23"/>
    </row>
    <row r="1932" spans="1:21" ht="15.6" x14ac:dyDescent="0.3">
      <c r="A1932" s="4">
        <v>1931</v>
      </c>
      <c r="B1932" s="5">
        <v>1781206</v>
      </c>
      <c r="C1932" s="4" t="s">
        <v>159</v>
      </c>
      <c r="D1932" s="4" t="s">
        <v>220</v>
      </c>
      <c r="E1932" s="4" t="s">
        <v>16</v>
      </c>
      <c r="F1932" s="4" t="s">
        <v>2952</v>
      </c>
      <c r="G1932" s="6">
        <v>2.9</v>
      </c>
      <c r="H1932" s="7">
        <v>45284.212083333332</v>
      </c>
      <c r="I1932" s="7" t="str">
        <f>TEXT(multilingual_mobile_app_reviews_2025[[#This Row],[Review_date]],"dd-mm-yyyy")</f>
        <v>24-12-2023</v>
      </c>
      <c r="J1932" s="7" t="str">
        <f>TEXT(multilingual_mobile_app_reviews_2025[[#This Row],[Review_date]],"YYYY")</f>
        <v>2023</v>
      </c>
      <c r="K1932" s="7" t="str">
        <f>TEXT(multilingual_mobile_app_reviews_2025[[#This Row],[Review_date]],"MMMM")</f>
        <v>December</v>
      </c>
      <c r="L1932" s="4" t="b">
        <v>1</v>
      </c>
      <c r="M1932" s="4" t="s">
        <v>22</v>
      </c>
      <c r="N1932" s="5">
        <v>500</v>
      </c>
      <c r="O1932" s="5">
        <v>20</v>
      </c>
      <c r="P1932" s="4" t="s">
        <v>34</v>
      </c>
      <c r="Q1932" s="8" t="s">
        <v>2963</v>
      </c>
      <c r="R1932" s="4" t="s">
        <v>2282</v>
      </c>
      <c r="S1932" s="4"/>
      <c r="T1932"/>
      <c r="U1932" s="23"/>
    </row>
    <row r="1933" spans="1:21" ht="15.6" x14ac:dyDescent="0.3">
      <c r="A1933" s="4">
        <v>1932</v>
      </c>
      <c r="B1933" s="5">
        <v>5238452</v>
      </c>
      <c r="C1933" s="4" t="s">
        <v>137</v>
      </c>
      <c r="D1933" s="4" t="s">
        <v>42</v>
      </c>
      <c r="E1933" s="4" t="s">
        <v>32</v>
      </c>
      <c r="F1933" s="4" t="s">
        <v>2950</v>
      </c>
      <c r="G1933" s="6">
        <v>3.8</v>
      </c>
      <c r="H1933" s="7">
        <v>45265.286550925928</v>
      </c>
      <c r="I1933" s="7" t="str">
        <f>TEXT(multilingual_mobile_app_reviews_2025[[#This Row],[Review_date]],"dd-mm-yyyy")</f>
        <v>05-12-2023</v>
      </c>
      <c r="J1933" s="7" t="str">
        <f>TEXT(multilingual_mobile_app_reviews_2025[[#This Row],[Review_date]],"YYYY")</f>
        <v>2023</v>
      </c>
      <c r="K1933" s="7" t="str">
        <f>TEXT(multilingual_mobile_app_reviews_2025[[#This Row],[Review_date]],"MMMM")</f>
        <v>December</v>
      </c>
      <c r="L1933" s="4" t="b">
        <v>1</v>
      </c>
      <c r="M1933" s="4" t="s">
        <v>98</v>
      </c>
      <c r="N1933" s="5">
        <v>15</v>
      </c>
      <c r="O1933" s="5">
        <v>57</v>
      </c>
      <c r="P1933" s="4" t="s">
        <v>118</v>
      </c>
      <c r="Q1933" s="8" t="s">
        <v>12</v>
      </c>
      <c r="R1933" s="4" t="s">
        <v>2283</v>
      </c>
      <c r="S1933" s="4"/>
      <c r="T1933"/>
      <c r="U1933" s="23"/>
    </row>
    <row r="1934" spans="1:21" ht="15.6" x14ac:dyDescent="0.3">
      <c r="A1934" s="4">
        <v>1933</v>
      </c>
      <c r="B1934" s="5">
        <v>9273414</v>
      </c>
      <c r="C1934" s="4" t="s">
        <v>36</v>
      </c>
      <c r="D1934" s="4" t="s">
        <v>220</v>
      </c>
      <c r="E1934" s="4" t="s">
        <v>27</v>
      </c>
      <c r="F1934" s="4" t="s">
        <v>2948</v>
      </c>
      <c r="G1934" s="6">
        <v>4.5999999999999996</v>
      </c>
      <c r="H1934" s="7">
        <v>45283.473576388889</v>
      </c>
      <c r="I1934" s="7" t="str">
        <f>TEXT(multilingual_mobile_app_reviews_2025[[#This Row],[Review_date]],"dd-mm-yyyy")</f>
        <v>23-12-2023</v>
      </c>
      <c r="J1934" s="7" t="str">
        <f>TEXT(multilingual_mobile_app_reviews_2025[[#This Row],[Review_date]],"YYYY")</f>
        <v>2023</v>
      </c>
      <c r="K1934" s="7" t="str">
        <f>TEXT(multilingual_mobile_app_reviews_2025[[#This Row],[Review_date]],"MMMM")</f>
        <v>December</v>
      </c>
      <c r="L1934" s="4" t="b">
        <v>0</v>
      </c>
      <c r="M1934" s="4" t="s">
        <v>3</v>
      </c>
      <c r="N1934" s="5">
        <v>232</v>
      </c>
      <c r="O1934" s="5">
        <v>36</v>
      </c>
      <c r="P1934" s="4" t="s">
        <v>4</v>
      </c>
      <c r="Q1934" s="8" t="s">
        <v>39</v>
      </c>
      <c r="R1934" s="4" t="s">
        <v>2284</v>
      </c>
      <c r="S1934" s="4"/>
      <c r="T1934"/>
      <c r="U1934" s="23"/>
    </row>
    <row r="1935" spans="1:21" ht="15.6" x14ac:dyDescent="0.3">
      <c r="A1935" s="4">
        <v>1934</v>
      </c>
      <c r="B1935" s="5">
        <v>464903</v>
      </c>
      <c r="C1935" s="4" t="s">
        <v>0</v>
      </c>
      <c r="D1935" s="4" t="s">
        <v>63</v>
      </c>
      <c r="E1935" s="4" t="s">
        <v>64</v>
      </c>
      <c r="F1935" s="4" t="s">
        <v>2952</v>
      </c>
      <c r="G1935" s="6">
        <v>4.5999999999999996</v>
      </c>
      <c r="H1935" s="7">
        <v>45479.866412037038</v>
      </c>
      <c r="I1935" s="7" t="str">
        <f>TEXT(multilingual_mobile_app_reviews_2025[[#This Row],[Review_date]],"dd-mm-yyyy")</f>
        <v>06-07-2024</v>
      </c>
      <c r="J1935" s="7" t="str">
        <f>TEXT(multilingual_mobile_app_reviews_2025[[#This Row],[Review_date]],"YYYY")</f>
        <v>2024</v>
      </c>
      <c r="K1935" s="7" t="str">
        <f>TEXT(multilingual_mobile_app_reviews_2025[[#This Row],[Review_date]],"MMMM")</f>
        <v>July</v>
      </c>
      <c r="L1935" s="4" t="b">
        <v>0</v>
      </c>
      <c r="M1935" s="4" t="s">
        <v>10</v>
      </c>
      <c r="N1935" s="5">
        <v>109</v>
      </c>
      <c r="O1935" s="5">
        <v>15</v>
      </c>
      <c r="P1935" s="4" t="s">
        <v>144</v>
      </c>
      <c r="Q1935" s="8" t="s">
        <v>5</v>
      </c>
      <c r="R1935" s="4" t="s">
        <v>1772</v>
      </c>
      <c r="S1935" s="4"/>
      <c r="T1935"/>
      <c r="U1935" s="23"/>
    </row>
    <row r="1936" spans="1:21" ht="15.6" x14ac:dyDescent="0.3">
      <c r="A1936" s="4">
        <v>1935</v>
      </c>
      <c r="B1936" s="5">
        <v>7757887</v>
      </c>
      <c r="C1936" s="4" t="s">
        <v>89</v>
      </c>
      <c r="D1936" s="4" t="s">
        <v>71</v>
      </c>
      <c r="E1936" s="4" t="s">
        <v>2285</v>
      </c>
      <c r="F1936" s="4" t="s">
        <v>2960</v>
      </c>
      <c r="G1936" s="6">
        <v>3.7</v>
      </c>
      <c r="H1936" s="7">
        <v>45372.029768518521</v>
      </c>
      <c r="I1936" s="7" t="str">
        <f>TEXT(multilingual_mobile_app_reviews_2025[[#This Row],[Review_date]],"dd-mm-yyyy")</f>
        <v>21-03-2024</v>
      </c>
      <c r="J1936" s="7" t="str">
        <f>TEXT(multilingual_mobile_app_reviews_2025[[#This Row],[Review_date]],"YYYY")</f>
        <v>2024</v>
      </c>
      <c r="K1936" s="7" t="str">
        <f>TEXT(multilingual_mobile_app_reviews_2025[[#This Row],[Review_date]],"MMMM")</f>
        <v>March</v>
      </c>
      <c r="L1936" s="4" t="b">
        <v>1</v>
      </c>
      <c r="M1936" s="4" t="s">
        <v>98</v>
      </c>
      <c r="N1936" s="5">
        <v>51</v>
      </c>
      <c r="O1936" s="5">
        <v>36</v>
      </c>
      <c r="P1936" s="4" t="s">
        <v>144</v>
      </c>
      <c r="Q1936" s="8" t="s">
        <v>5</v>
      </c>
      <c r="R1936" s="4" t="s">
        <v>100</v>
      </c>
      <c r="S1936" s="4"/>
      <c r="T1936"/>
      <c r="U1936" s="23"/>
    </row>
    <row r="1937" spans="1:21" ht="15.6" x14ac:dyDescent="0.3">
      <c r="A1937" s="4">
        <v>1936</v>
      </c>
      <c r="B1937" s="5">
        <v>4030952</v>
      </c>
      <c r="C1937" s="4" t="s">
        <v>84</v>
      </c>
      <c r="D1937" s="4" t="s">
        <v>47</v>
      </c>
      <c r="E1937" s="4" t="s">
        <v>109</v>
      </c>
      <c r="F1937" s="4" t="s">
        <v>2952</v>
      </c>
      <c r="G1937" s="6">
        <v>1.4</v>
      </c>
      <c r="H1937" s="7">
        <v>45731.652256944442</v>
      </c>
      <c r="I1937" s="7" t="str">
        <f>TEXT(multilingual_mobile_app_reviews_2025[[#This Row],[Review_date]],"dd-mm-yyyy")</f>
        <v>15-03-2025</v>
      </c>
      <c r="J1937" s="7" t="str">
        <f>TEXT(multilingual_mobile_app_reviews_2025[[#This Row],[Review_date]],"YYYY")</f>
        <v>2025</v>
      </c>
      <c r="K1937" s="7" t="str">
        <f>TEXT(multilingual_mobile_app_reviews_2025[[#This Row],[Review_date]],"MMMM")</f>
        <v>March</v>
      </c>
      <c r="L1937" s="4" t="b">
        <v>1</v>
      </c>
      <c r="M1937" s="4" t="s">
        <v>98</v>
      </c>
      <c r="N1937" s="5">
        <v>202</v>
      </c>
      <c r="O1937" s="5">
        <v>40</v>
      </c>
      <c r="P1937" s="4" t="s">
        <v>70</v>
      </c>
      <c r="Q1937" s="8" t="s">
        <v>2963</v>
      </c>
      <c r="R1937" s="4" t="s">
        <v>2286</v>
      </c>
      <c r="S1937" s="4"/>
      <c r="T1937"/>
      <c r="U1937" s="23"/>
    </row>
    <row r="1938" spans="1:21" ht="15.6" x14ac:dyDescent="0.3">
      <c r="A1938" s="4">
        <v>1937</v>
      </c>
      <c r="B1938" s="5">
        <v>1909511</v>
      </c>
      <c r="C1938" s="4" t="s">
        <v>101</v>
      </c>
      <c r="D1938" s="4" t="s">
        <v>60</v>
      </c>
      <c r="E1938" s="4" t="s">
        <v>16</v>
      </c>
      <c r="F1938" s="4" t="s">
        <v>2942</v>
      </c>
      <c r="G1938" s="6">
        <v>3</v>
      </c>
      <c r="H1938" s="7">
        <v>45465.867754629631</v>
      </c>
      <c r="I1938" s="7" t="str">
        <f>TEXT(multilingual_mobile_app_reviews_2025[[#This Row],[Review_date]],"dd-mm-yyyy")</f>
        <v>22-06-2024</v>
      </c>
      <c r="J1938" s="7" t="str">
        <f>TEXT(multilingual_mobile_app_reviews_2025[[#This Row],[Review_date]],"YYYY")</f>
        <v>2024</v>
      </c>
      <c r="K1938" s="7" t="str">
        <f>TEXT(multilingual_mobile_app_reviews_2025[[#This Row],[Review_date]],"MMMM")</f>
        <v>June</v>
      </c>
      <c r="L1938" s="4" t="b">
        <v>1</v>
      </c>
      <c r="M1938" s="4" t="s">
        <v>3</v>
      </c>
      <c r="N1938" s="5">
        <v>1099</v>
      </c>
      <c r="O1938" s="5">
        <v>39</v>
      </c>
      <c r="P1938" s="4" t="s">
        <v>44</v>
      </c>
      <c r="Q1938" s="8" t="s">
        <v>5</v>
      </c>
      <c r="R1938" s="4" t="s">
        <v>2287</v>
      </c>
      <c r="S1938" s="4"/>
      <c r="T1938"/>
      <c r="U1938" s="23"/>
    </row>
    <row r="1939" spans="1:21" ht="15.6" x14ac:dyDescent="0.3">
      <c r="A1939" s="4">
        <v>1938</v>
      </c>
      <c r="B1939" s="5">
        <v>4619127</v>
      </c>
      <c r="C1939" s="4" t="s">
        <v>87</v>
      </c>
      <c r="D1939" s="4" t="s">
        <v>47</v>
      </c>
      <c r="E1939" s="4" t="s">
        <v>93</v>
      </c>
      <c r="F1939" s="4" t="s">
        <v>2950</v>
      </c>
      <c r="G1939" s="6">
        <v>2.2000000000000002</v>
      </c>
      <c r="H1939" s="7">
        <v>45587.426458333335</v>
      </c>
      <c r="I1939" s="7" t="str">
        <f>TEXT(multilingual_mobile_app_reviews_2025[[#This Row],[Review_date]],"dd-mm-yyyy")</f>
        <v>22-10-2024</v>
      </c>
      <c r="J1939" s="7" t="str">
        <f>TEXT(multilingual_mobile_app_reviews_2025[[#This Row],[Review_date]],"YYYY")</f>
        <v>2024</v>
      </c>
      <c r="K1939" s="7" t="str">
        <f>TEXT(multilingual_mobile_app_reviews_2025[[#This Row],[Review_date]],"MMMM")</f>
        <v>October</v>
      </c>
      <c r="L1939" s="4" t="b">
        <v>1</v>
      </c>
      <c r="M1939" s="4" t="s">
        <v>3</v>
      </c>
      <c r="N1939" s="5">
        <v>692</v>
      </c>
      <c r="O1939" s="5">
        <v>26</v>
      </c>
      <c r="P1939" s="4" t="s">
        <v>38</v>
      </c>
      <c r="Q1939" s="8" t="s">
        <v>12</v>
      </c>
      <c r="R1939" s="4" t="s">
        <v>1082</v>
      </c>
      <c r="S1939" s="4"/>
      <c r="T1939"/>
      <c r="U1939" s="23"/>
    </row>
    <row r="1940" spans="1:21" ht="15.6" x14ac:dyDescent="0.3">
      <c r="A1940" s="4">
        <v>1939</v>
      </c>
      <c r="B1940" s="5">
        <v>579076</v>
      </c>
      <c r="C1940" s="4" t="s">
        <v>19</v>
      </c>
      <c r="D1940" s="4" t="s">
        <v>20</v>
      </c>
      <c r="E1940" s="4" t="s">
        <v>2288</v>
      </c>
      <c r="F1940" s="4" t="s">
        <v>2944</v>
      </c>
      <c r="G1940" s="6">
        <v>3</v>
      </c>
      <c r="H1940" s="7">
        <v>45650.434699074074</v>
      </c>
      <c r="I1940" s="7" t="str">
        <f>TEXT(multilingual_mobile_app_reviews_2025[[#This Row],[Review_date]],"dd-mm-yyyy")</f>
        <v>24-12-2024</v>
      </c>
      <c r="J1940" s="7" t="str">
        <f>TEXT(multilingual_mobile_app_reviews_2025[[#This Row],[Review_date]],"YYYY")</f>
        <v>2024</v>
      </c>
      <c r="K1940" s="7" t="str">
        <f>TEXT(multilingual_mobile_app_reviews_2025[[#This Row],[Review_date]],"MMMM")</f>
        <v>December</v>
      </c>
      <c r="L1940" s="4" t="b">
        <v>1</v>
      </c>
      <c r="M1940" s="4" t="s">
        <v>22</v>
      </c>
      <c r="N1940" s="5">
        <v>1121</v>
      </c>
      <c r="O1940" s="5">
        <v>31</v>
      </c>
      <c r="P1940" s="4" t="s">
        <v>90</v>
      </c>
      <c r="Q1940" s="8" t="s">
        <v>29</v>
      </c>
      <c r="R1940" s="4" t="s">
        <v>2289</v>
      </c>
      <c r="S1940" s="4"/>
      <c r="T1940"/>
      <c r="U1940" s="23"/>
    </row>
    <row r="1941" spans="1:21" ht="15.6" x14ac:dyDescent="0.3">
      <c r="A1941" s="4">
        <v>1940</v>
      </c>
      <c r="B1941" s="5">
        <v>3462263</v>
      </c>
      <c r="C1941" s="4" t="s">
        <v>59</v>
      </c>
      <c r="D1941" s="4" t="s">
        <v>63</v>
      </c>
      <c r="E1941" s="4" t="s">
        <v>32</v>
      </c>
      <c r="F1941" s="4" t="s">
        <v>2944</v>
      </c>
      <c r="G1941" s="6">
        <v>3.6</v>
      </c>
      <c r="H1941" s="7">
        <v>45824.68949074074</v>
      </c>
      <c r="I1941" s="7" t="str">
        <f>TEXT(multilingual_mobile_app_reviews_2025[[#This Row],[Review_date]],"dd-mm-yyyy")</f>
        <v>16-06-2025</v>
      </c>
      <c r="J1941" s="7" t="str">
        <f>TEXT(multilingual_mobile_app_reviews_2025[[#This Row],[Review_date]],"YYYY")</f>
        <v>2025</v>
      </c>
      <c r="K1941" s="7" t="str">
        <f>TEXT(multilingual_mobile_app_reviews_2025[[#This Row],[Review_date]],"MMMM")</f>
        <v>June</v>
      </c>
      <c r="L1941" s="4" t="b">
        <v>1</v>
      </c>
      <c r="M1941" s="4" t="s">
        <v>98</v>
      </c>
      <c r="N1941" s="5">
        <v>695</v>
      </c>
      <c r="O1941" s="5">
        <v>72</v>
      </c>
      <c r="P1941" s="4" t="s">
        <v>2963</v>
      </c>
      <c r="Q1941" s="8" t="s">
        <v>5</v>
      </c>
      <c r="R1941" s="4" t="s">
        <v>2290</v>
      </c>
      <c r="S1941" s="4"/>
      <c r="T1941"/>
      <c r="U1941" s="23"/>
    </row>
    <row r="1942" spans="1:21" ht="15.6" x14ac:dyDescent="0.3">
      <c r="A1942" s="4">
        <v>1941</v>
      </c>
      <c r="B1942" s="5">
        <v>5154678</v>
      </c>
      <c r="C1942" s="4" t="s">
        <v>176</v>
      </c>
      <c r="D1942" s="4" t="s">
        <v>57</v>
      </c>
      <c r="E1942" s="4" t="s">
        <v>93</v>
      </c>
      <c r="F1942" s="4" t="s">
        <v>2939</v>
      </c>
      <c r="G1942" s="6">
        <v>1.5</v>
      </c>
      <c r="H1942" s="7">
        <v>45377.741365740738</v>
      </c>
      <c r="I1942" s="7" t="str">
        <f>TEXT(multilingual_mobile_app_reviews_2025[[#This Row],[Review_date]],"dd-mm-yyyy")</f>
        <v>26-03-2024</v>
      </c>
      <c r="J1942" s="7" t="str">
        <f>TEXT(multilingual_mobile_app_reviews_2025[[#This Row],[Review_date]],"YYYY")</f>
        <v>2024</v>
      </c>
      <c r="K1942" s="7" t="str">
        <f>TEXT(multilingual_mobile_app_reviews_2025[[#This Row],[Review_date]],"MMMM")</f>
        <v>March</v>
      </c>
      <c r="L1942" s="4" t="b">
        <v>1</v>
      </c>
      <c r="M1942" s="4" t="s">
        <v>33</v>
      </c>
      <c r="N1942" s="5">
        <v>483</v>
      </c>
      <c r="O1942" s="5">
        <v>21</v>
      </c>
      <c r="P1942" s="4" t="s">
        <v>118</v>
      </c>
      <c r="Q1942" s="8" t="s">
        <v>39</v>
      </c>
      <c r="R1942" s="4" t="s">
        <v>100</v>
      </c>
      <c r="S1942" s="4"/>
      <c r="T1942"/>
      <c r="U1942" s="23"/>
    </row>
    <row r="1943" spans="1:21" ht="15.6" x14ac:dyDescent="0.3">
      <c r="A1943" s="4">
        <v>1942</v>
      </c>
      <c r="B1943" s="5">
        <v>3196967</v>
      </c>
      <c r="C1943" s="4" t="s">
        <v>89</v>
      </c>
      <c r="D1943" s="4" t="s">
        <v>15</v>
      </c>
      <c r="E1943" s="4" t="s">
        <v>76</v>
      </c>
      <c r="F1943" s="4" t="s">
        <v>2962</v>
      </c>
      <c r="G1943" s="6">
        <v>1.2</v>
      </c>
      <c r="H1943" s="7">
        <v>45322.327476851853</v>
      </c>
      <c r="I1943" s="7" t="str">
        <f>TEXT(multilingual_mobile_app_reviews_2025[[#This Row],[Review_date]],"dd-mm-yyyy")</f>
        <v>31-01-2024</v>
      </c>
      <c r="J1943" s="7" t="str">
        <f>TEXT(multilingual_mobile_app_reviews_2025[[#This Row],[Review_date]],"YYYY")</f>
        <v>2024</v>
      </c>
      <c r="K1943" s="7" t="str">
        <f>TEXT(multilingual_mobile_app_reviews_2025[[#This Row],[Review_date]],"MMMM")</f>
        <v>January</v>
      </c>
      <c r="L1943" s="4" t="b">
        <v>1</v>
      </c>
      <c r="M1943" s="4" t="s">
        <v>10</v>
      </c>
      <c r="N1943" s="5">
        <v>131</v>
      </c>
      <c r="O1943" s="5">
        <v>17</v>
      </c>
      <c r="P1943" s="4" t="s">
        <v>94</v>
      </c>
      <c r="Q1943" s="8" t="s">
        <v>29</v>
      </c>
      <c r="R1943" s="4" t="s">
        <v>2291</v>
      </c>
      <c r="S1943" s="4"/>
      <c r="T1943"/>
      <c r="U1943" s="23"/>
    </row>
    <row r="1944" spans="1:21" ht="15.6" x14ac:dyDescent="0.3">
      <c r="A1944" s="4">
        <v>1943</v>
      </c>
      <c r="B1944" s="5">
        <v>7424074</v>
      </c>
      <c r="C1944" s="4" t="s">
        <v>106</v>
      </c>
      <c r="D1944" s="4" t="s">
        <v>57</v>
      </c>
      <c r="E1944" s="4" t="s">
        <v>2292</v>
      </c>
      <c r="F1944" s="4" t="s">
        <v>2950</v>
      </c>
      <c r="G1944" s="6">
        <v>2.7</v>
      </c>
      <c r="H1944" s="7">
        <v>45672.321064814816</v>
      </c>
      <c r="I1944" s="7" t="str">
        <f>TEXT(multilingual_mobile_app_reviews_2025[[#This Row],[Review_date]],"dd-mm-yyyy")</f>
        <v>15-01-2025</v>
      </c>
      <c r="J1944" s="7" t="str">
        <f>TEXT(multilingual_mobile_app_reviews_2025[[#This Row],[Review_date]],"YYYY")</f>
        <v>2025</v>
      </c>
      <c r="K1944" s="7" t="str">
        <f>TEXT(multilingual_mobile_app_reviews_2025[[#This Row],[Review_date]],"MMMM")</f>
        <v>January</v>
      </c>
      <c r="L1944" s="4" t="b">
        <v>1</v>
      </c>
      <c r="M1944" s="4" t="s">
        <v>33</v>
      </c>
      <c r="N1944" s="5">
        <v>1138</v>
      </c>
      <c r="O1944" s="5">
        <v>38</v>
      </c>
      <c r="P1944" s="4" t="s">
        <v>127</v>
      </c>
      <c r="Q1944" s="8" t="s">
        <v>12</v>
      </c>
      <c r="R1944" s="4" t="s">
        <v>2293</v>
      </c>
      <c r="S1944" s="4"/>
      <c r="T1944"/>
      <c r="U1944" s="23"/>
    </row>
    <row r="1945" spans="1:21" ht="15.6" x14ac:dyDescent="0.3">
      <c r="A1945" s="4">
        <v>1944</v>
      </c>
      <c r="B1945" s="5">
        <v>3665022</v>
      </c>
      <c r="C1945" s="4" t="s">
        <v>137</v>
      </c>
      <c r="D1945" s="4" t="s">
        <v>42</v>
      </c>
      <c r="E1945" s="4" t="s">
        <v>64</v>
      </c>
      <c r="F1945" s="4" t="s">
        <v>2942</v>
      </c>
      <c r="G1945" s="6">
        <v>3.3</v>
      </c>
      <c r="H1945" s="7">
        <v>45847.896655092591</v>
      </c>
      <c r="I1945" s="7" t="str">
        <f>TEXT(multilingual_mobile_app_reviews_2025[[#This Row],[Review_date]],"dd-mm-yyyy")</f>
        <v>09-07-2025</v>
      </c>
      <c r="J1945" s="7" t="str">
        <f>TEXT(multilingual_mobile_app_reviews_2025[[#This Row],[Review_date]],"YYYY")</f>
        <v>2025</v>
      </c>
      <c r="K1945" s="7" t="str">
        <f>TEXT(multilingual_mobile_app_reviews_2025[[#This Row],[Review_date]],"MMMM")</f>
        <v>July</v>
      </c>
      <c r="L1945" s="4" t="b">
        <v>1</v>
      </c>
      <c r="M1945" s="4" t="s">
        <v>98</v>
      </c>
      <c r="N1945" s="5">
        <v>204</v>
      </c>
      <c r="O1945" s="5">
        <v>61</v>
      </c>
      <c r="P1945" s="4" t="s">
        <v>230</v>
      </c>
      <c r="Q1945" s="8" t="s">
        <v>39</v>
      </c>
      <c r="R1945" s="4" t="s">
        <v>2294</v>
      </c>
      <c r="S1945" s="4"/>
      <c r="T1945"/>
      <c r="U1945" s="23"/>
    </row>
    <row r="1946" spans="1:21" ht="15.6" x14ac:dyDescent="0.3">
      <c r="A1946" s="4">
        <v>1945</v>
      </c>
      <c r="B1946" s="5">
        <v>6413125</v>
      </c>
      <c r="C1946" s="4" t="s">
        <v>264</v>
      </c>
      <c r="D1946" s="4" t="s">
        <v>26</v>
      </c>
      <c r="E1946" s="4" t="s">
        <v>109</v>
      </c>
      <c r="F1946" s="4" t="s">
        <v>2950</v>
      </c>
      <c r="G1946" s="6">
        <v>1.6</v>
      </c>
      <c r="H1946" s="7">
        <v>45784.604571759257</v>
      </c>
      <c r="I1946" s="7" t="str">
        <f>TEXT(multilingual_mobile_app_reviews_2025[[#This Row],[Review_date]],"dd-mm-yyyy")</f>
        <v>07-05-2025</v>
      </c>
      <c r="J1946" s="7" t="str">
        <f>TEXT(multilingual_mobile_app_reviews_2025[[#This Row],[Review_date]],"YYYY")</f>
        <v>2025</v>
      </c>
      <c r="K1946" s="7" t="str">
        <f>TEXT(multilingual_mobile_app_reviews_2025[[#This Row],[Review_date]],"MMMM")</f>
        <v>May</v>
      </c>
      <c r="L1946" s="4" t="b">
        <v>1</v>
      </c>
      <c r="M1946" s="4" t="s">
        <v>98</v>
      </c>
      <c r="N1946" s="5">
        <v>921</v>
      </c>
      <c r="O1946" s="5">
        <v>40</v>
      </c>
      <c r="P1946" s="4" t="s">
        <v>114</v>
      </c>
      <c r="Q1946" s="8" t="s">
        <v>39</v>
      </c>
      <c r="R1946" s="4" t="s">
        <v>2295</v>
      </c>
      <c r="S1946" s="4"/>
      <c r="T1946"/>
      <c r="U1946" s="23"/>
    </row>
    <row r="1947" spans="1:21" ht="15.6" x14ac:dyDescent="0.3">
      <c r="A1947" s="4">
        <v>1946</v>
      </c>
      <c r="B1947" s="5">
        <v>4172535</v>
      </c>
      <c r="C1947" s="4" t="s">
        <v>174</v>
      </c>
      <c r="D1947" s="4" t="s">
        <v>31</v>
      </c>
      <c r="E1947" s="4" t="s">
        <v>2296</v>
      </c>
      <c r="F1947" s="4" t="s">
        <v>2962</v>
      </c>
      <c r="G1947" s="6">
        <v>2.8</v>
      </c>
      <c r="H1947" s="7">
        <v>45392.953541666669</v>
      </c>
      <c r="I1947" s="7" t="str">
        <f>TEXT(multilingual_mobile_app_reviews_2025[[#This Row],[Review_date]],"dd-mm-yyyy")</f>
        <v>10-04-2024</v>
      </c>
      <c r="J1947" s="7" t="str">
        <f>TEXT(multilingual_mobile_app_reviews_2025[[#This Row],[Review_date]],"YYYY")</f>
        <v>2024</v>
      </c>
      <c r="K1947" s="7" t="str">
        <f>TEXT(multilingual_mobile_app_reviews_2025[[#This Row],[Review_date]],"MMMM")</f>
        <v>April</v>
      </c>
      <c r="L1947" s="4" t="b">
        <v>1</v>
      </c>
      <c r="M1947" s="4" t="s">
        <v>22</v>
      </c>
      <c r="N1947" s="5">
        <v>901</v>
      </c>
      <c r="O1947" s="5">
        <v>42</v>
      </c>
      <c r="P1947" s="4" t="s">
        <v>94</v>
      </c>
      <c r="Q1947" s="8" t="s">
        <v>5</v>
      </c>
      <c r="R1947" s="4" t="s">
        <v>2297</v>
      </c>
      <c r="S1947" s="4"/>
      <c r="T1947"/>
      <c r="U1947" s="23"/>
    </row>
    <row r="1948" spans="1:21" ht="15.6" x14ac:dyDescent="0.3">
      <c r="A1948" s="4">
        <v>1947</v>
      </c>
      <c r="B1948" s="5">
        <v>7223479</v>
      </c>
      <c r="C1948" s="4" t="s">
        <v>50</v>
      </c>
      <c r="D1948" s="4" t="s">
        <v>47</v>
      </c>
      <c r="E1948" s="4" t="s">
        <v>27</v>
      </c>
      <c r="F1948" s="4" t="s">
        <v>2943</v>
      </c>
      <c r="G1948" s="6">
        <v>3.8</v>
      </c>
      <c r="H1948" s="7">
        <v>45602.534398148149</v>
      </c>
      <c r="I1948" s="7" t="str">
        <f>TEXT(multilingual_mobile_app_reviews_2025[[#This Row],[Review_date]],"dd-mm-yyyy")</f>
        <v>06-11-2024</v>
      </c>
      <c r="J1948" s="7" t="str">
        <f>TEXT(multilingual_mobile_app_reviews_2025[[#This Row],[Review_date]],"YYYY")</f>
        <v>2024</v>
      </c>
      <c r="K1948" s="7" t="str">
        <f>TEXT(multilingual_mobile_app_reviews_2025[[#This Row],[Review_date]],"MMMM")</f>
        <v>November</v>
      </c>
      <c r="L1948" s="4" t="b">
        <v>1</v>
      </c>
      <c r="M1948" s="4" t="s">
        <v>3</v>
      </c>
      <c r="N1948" s="5">
        <v>357</v>
      </c>
      <c r="O1948" s="5">
        <v>75</v>
      </c>
      <c r="P1948" s="4" t="s">
        <v>70</v>
      </c>
      <c r="Q1948" s="8" t="s">
        <v>5</v>
      </c>
      <c r="R1948" s="4" t="s">
        <v>2298</v>
      </c>
      <c r="S1948" s="4"/>
      <c r="T1948"/>
      <c r="U1948" s="23"/>
    </row>
    <row r="1949" spans="1:21" ht="15.6" x14ac:dyDescent="0.3">
      <c r="A1949" s="4">
        <v>1948</v>
      </c>
      <c r="B1949" s="5">
        <v>9060965</v>
      </c>
      <c r="C1949" s="4" t="s">
        <v>54</v>
      </c>
      <c r="D1949" s="4" t="s">
        <v>42</v>
      </c>
      <c r="E1949" s="4" t="s">
        <v>32</v>
      </c>
      <c r="F1949" s="4" t="s">
        <v>2959</v>
      </c>
      <c r="G1949" s="6">
        <v>3.9</v>
      </c>
      <c r="H1949" s="7">
        <v>45194.535752314812</v>
      </c>
      <c r="I1949" s="7" t="str">
        <f>TEXT(multilingual_mobile_app_reviews_2025[[#This Row],[Review_date]],"dd-mm-yyyy")</f>
        <v>25-09-2023</v>
      </c>
      <c r="J1949" s="7" t="str">
        <f>TEXT(multilingual_mobile_app_reviews_2025[[#This Row],[Review_date]],"YYYY")</f>
        <v>2023</v>
      </c>
      <c r="K1949" s="7" t="str">
        <f>TEXT(multilingual_mobile_app_reviews_2025[[#This Row],[Review_date]],"MMMM")</f>
        <v>September</v>
      </c>
      <c r="L1949" s="4" t="b">
        <v>1</v>
      </c>
      <c r="M1949" s="4" t="s">
        <v>33</v>
      </c>
      <c r="N1949" s="5">
        <v>631</v>
      </c>
      <c r="O1949" s="5">
        <v>62</v>
      </c>
      <c r="P1949" s="4" t="s">
        <v>11</v>
      </c>
      <c r="Q1949" s="8" t="s">
        <v>39</v>
      </c>
      <c r="R1949" s="4" t="s">
        <v>2299</v>
      </c>
      <c r="S1949" s="4"/>
      <c r="T1949"/>
      <c r="U1949" s="23"/>
    </row>
    <row r="1950" spans="1:21" ht="15.6" x14ac:dyDescent="0.3">
      <c r="A1950" s="4">
        <v>1949</v>
      </c>
      <c r="B1950" s="5">
        <v>8292471</v>
      </c>
      <c r="C1950" s="4" t="s">
        <v>208</v>
      </c>
      <c r="D1950" s="4" t="s">
        <v>15</v>
      </c>
      <c r="E1950" s="4" t="s">
        <v>64</v>
      </c>
      <c r="F1950" s="4" t="s">
        <v>2945</v>
      </c>
      <c r="G1950" s="6">
        <v>3.6</v>
      </c>
      <c r="H1950" s="7">
        <v>45659.186863425923</v>
      </c>
      <c r="I1950" s="7" t="str">
        <f>TEXT(multilingual_mobile_app_reviews_2025[[#This Row],[Review_date]],"dd-mm-yyyy")</f>
        <v>02-01-2025</v>
      </c>
      <c r="J1950" s="7" t="str">
        <f>TEXT(multilingual_mobile_app_reviews_2025[[#This Row],[Review_date]],"YYYY")</f>
        <v>2025</v>
      </c>
      <c r="K1950" s="7" t="str">
        <f>TEXT(multilingual_mobile_app_reviews_2025[[#This Row],[Review_date]],"MMMM")</f>
        <v>January</v>
      </c>
      <c r="L1950" s="4" t="b">
        <v>0</v>
      </c>
      <c r="M1950" s="4" t="s">
        <v>3</v>
      </c>
      <c r="N1950" s="5">
        <v>340</v>
      </c>
      <c r="O1950" s="5">
        <v>63</v>
      </c>
      <c r="P1950" s="4" t="s">
        <v>180</v>
      </c>
      <c r="Q1950" s="8" t="s">
        <v>29</v>
      </c>
      <c r="R1950" s="4" t="s">
        <v>2300</v>
      </c>
      <c r="S1950" s="4"/>
      <c r="T1950"/>
      <c r="U1950" s="23"/>
    </row>
    <row r="1951" spans="1:21" ht="15.6" x14ac:dyDescent="0.3">
      <c r="A1951" s="4">
        <v>1950</v>
      </c>
      <c r="B1951" s="5">
        <v>9938645</v>
      </c>
      <c r="C1951" s="4" t="s">
        <v>244</v>
      </c>
      <c r="D1951" s="4" t="s">
        <v>15</v>
      </c>
      <c r="E1951" s="4" t="s">
        <v>27</v>
      </c>
      <c r="F1951" s="4" t="s">
        <v>2944</v>
      </c>
      <c r="G1951" s="6">
        <v>4.0999999999999996</v>
      </c>
      <c r="H1951" s="7">
        <v>45159.769224537034</v>
      </c>
      <c r="I1951" s="7" t="str">
        <f>TEXT(multilingual_mobile_app_reviews_2025[[#This Row],[Review_date]],"dd-mm-yyyy")</f>
        <v>21-08-2023</v>
      </c>
      <c r="J1951" s="7" t="str">
        <f>TEXT(multilingual_mobile_app_reviews_2025[[#This Row],[Review_date]],"YYYY")</f>
        <v>2023</v>
      </c>
      <c r="K1951" s="7" t="str">
        <f>TEXT(multilingual_mobile_app_reviews_2025[[#This Row],[Review_date]],"MMMM")</f>
        <v>August</v>
      </c>
      <c r="L1951" s="4" t="b">
        <v>1</v>
      </c>
      <c r="M1951" s="4" t="s">
        <v>98</v>
      </c>
      <c r="N1951" s="5">
        <v>536</v>
      </c>
      <c r="O1951" s="5">
        <v>57</v>
      </c>
      <c r="P1951" s="4" t="s">
        <v>180</v>
      </c>
      <c r="Q1951" s="8" t="s">
        <v>12</v>
      </c>
      <c r="R1951" s="4" t="s">
        <v>2301</v>
      </c>
      <c r="S1951" s="4"/>
      <c r="T1951"/>
      <c r="U1951" s="23"/>
    </row>
    <row r="1952" spans="1:21" ht="15.6" x14ac:dyDescent="0.3">
      <c r="A1952" s="4">
        <v>1951</v>
      </c>
      <c r="B1952" s="5">
        <v>3089029</v>
      </c>
      <c r="C1952" s="4" t="s">
        <v>7</v>
      </c>
      <c r="D1952" s="4" t="s">
        <v>220</v>
      </c>
      <c r="E1952" s="4" t="s">
        <v>27</v>
      </c>
      <c r="F1952" s="4" t="s">
        <v>2959</v>
      </c>
      <c r="G1952" s="6">
        <v>2.5</v>
      </c>
      <c r="H1952" s="7">
        <v>45735.280277777776</v>
      </c>
      <c r="I1952" s="7" t="str">
        <f>TEXT(multilingual_mobile_app_reviews_2025[[#This Row],[Review_date]],"dd-mm-yyyy")</f>
        <v>19-03-2025</v>
      </c>
      <c r="J1952" s="7" t="str">
        <f>TEXT(multilingual_mobile_app_reviews_2025[[#This Row],[Review_date]],"YYYY")</f>
        <v>2025</v>
      </c>
      <c r="K1952" s="7" t="str">
        <f>TEXT(multilingual_mobile_app_reviews_2025[[#This Row],[Review_date]],"MMMM")</f>
        <v>March</v>
      </c>
      <c r="L1952" s="4" t="b">
        <v>1</v>
      </c>
      <c r="M1952" s="4" t="s">
        <v>98</v>
      </c>
      <c r="N1952" s="5">
        <v>580</v>
      </c>
      <c r="O1952" s="5">
        <v>30</v>
      </c>
      <c r="P1952" s="4" t="s">
        <v>230</v>
      </c>
      <c r="Q1952" s="8" t="s">
        <v>39</v>
      </c>
      <c r="R1952" s="4" t="s">
        <v>2302</v>
      </c>
      <c r="S1952" s="4"/>
      <c r="T1952"/>
      <c r="U1952" s="23"/>
    </row>
    <row r="1953" spans="1:21" ht="15.6" x14ac:dyDescent="0.3">
      <c r="A1953" s="4">
        <v>1952</v>
      </c>
      <c r="B1953" s="5">
        <v>6293016</v>
      </c>
      <c r="C1953" s="4" t="s">
        <v>113</v>
      </c>
      <c r="D1953" s="4" t="s">
        <v>111</v>
      </c>
      <c r="E1953" s="4" t="s">
        <v>9</v>
      </c>
      <c r="F1953" s="4" t="s">
        <v>2944</v>
      </c>
      <c r="G1953" s="6">
        <v>4.5999999999999996</v>
      </c>
      <c r="H1953" s="7">
        <v>45420.269803240742</v>
      </c>
      <c r="I1953" s="7" t="str">
        <f>TEXT(multilingual_mobile_app_reviews_2025[[#This Row],[Review_date]],"dd-mm-yyyy")</f>
        <v>08-05-2024</v>
      </c>
      <c r="J1953" s="7" t="str">
        <f>TEXT(multilingual_mobile_app_reviews_2025[[#This Row],[Review_date]],"YYYY")</f>
        <v>2024</v>
      </c>
      <c r="K1953" s="7" t="str">
        <f>TEXT(multilingual_mobile_app_reviews_2025[[#This Row],[Review_date]],"MMMM")</f>
        <v>May</v>
      </c>
      <c r="L1953" s="4" t="b">
        <v>1</v>
      </c>
      <c r="M1953" s="4" t="s">
        <v>10</v>
      </c>
      <c r="N1953" s="5">
        <v>600</v>
      </c>
      <c r="O1953" s="5">
        <v>49</v>
      </c>
      <c r="P1953" s="4" t="s">
        <v>73</v>
      </c>
      <c r="Q1953" s="8" t="s">
        <v>29</v>
      </c>
      <c r="R1953" s="4" t="s">
        <v>2303</v>
      </c>
      <c r="S1953" s="4"/>
      <c r="T1953"/>
      <c r="U1953" s="23"/>
    </row>
    <row r="1954" spans="1:21" ht="15.6" x14ac:dyDescent="0.3">
      <c r="A1954" s="4">
        <v>1953</v>
      </c>
      <c r="B1954" s="5">
        <v>8513034</v>
      </c>
      <c r="C1954" s="4" t="s">
        <v>123</v>
      </c>
      <c r="D1954" s="4" t="s">
        <v>47</v>
      </c>
      <c r="E1954" s="4" t="s">
        <v>9</v>
      </c>
      <c r="F1954" s="4" t="s">
        <v>2941</v>
      </c>
      <c r="G1954" s="6">
        <v>1.6</v>
      </c>
      <c r="H1954" s="7">
        <v>45778.306238425925</v>
      </c>
      <c r="I1954" s="7" t="str">
        <f>TEXT(multilingual_mobile_app_reviews_2025[[#This Row],[Review_date]],"dd-mm-yyyy")</f>
        <v>01-05-2025</v>
      </c>
      <c r="J1954" s="7" t="str">
        <f>TEXT(multilingual_mobile_app_reviews_2025[[#This Row],[Review_date]],"YYYY")</f>
        <v>2025</v>
      </c>
      <c r="K1954" s="7" t="str">
        <f>TEXT(multilingual_mobile_app_reviews_2025[[#This Row],[Review_date]],"MMMM")</f>
        <v>May</v>
      </c>
      <c r="L1954" s="4" t="b">
        <v>1</v>
      </c>
      <c r="M1954" s="4" t="s">
        <v>98</v>
      </c>
      <c r="N1954" s="5">
        <v>251</v>
      </c>
      <c r="O1954" s="5">
        <v>75</v>
      </c>
      <c r="P1954" s="4" t="s">
        <v>90</v>
      </c>
      <c r="Q1954" s="8" t="s">
        <v>39</v>
      </c>
      <c r="R1954" s="4" t="s">
        <v>2304</v>
      </c>
      <c r="S1954" s="4"/>
      <c r="T1954"/>
      <c r="U1954" s="23"/>
    </row>
    <row r="1955" spans="1:21" ht="15.6" x14ac:dyDescent="0.3">
      <c r="A1955" s="4">
        <v>1954</v>
      </c>
      <c r="B1955" s="5">
        <v>6780364</v>
      </c>
      <c r="C1955" s="4" t="s">
        <v>92</v>
      </c>
      <c r="D1955" s="4" t="s">
        <v>97</v>
      </c>
      <c r="E1955" s="4" t="s">
        <v>93</v>
      </c>
      <c r="F1955" s="4" t="s">
        <v>2955</v>
      </c>
      <c r="G1955" s="6">
        <v>3.1</v>
      </c>
      <c r="H1955" s="7">
        <v>45849.258217592593</v>
      </c>
      <c r="I1955" s="7" t="str">
        <f>TEXT(multilingual_mobile_app_reviews_2025[[#This Row],[Review_date]],"dd-mm-yyyy")</f>
        <v>11-07-2025</v>
      </c>
      <c r="J1955" s="7" t="str">
        <f>TEXT(multilingual_mobile_app_reviews_2025[[#This Row],[Review_date]],"YYYY")</f>
        <v>2025</v>
      </c>
      <c r="K1955" s="7" t="str">
        <f>TEXT(multilingual_mobile_app_reviews_2025[[#This Row],[Review_date]],"MMMM")</f>
        <v>July</v>
      </c>
      <c r="L1955" s="4" t="b">
        <v>1</v>
      </c>
      <c r="M1955" s="4" t="s">
        <v>3</v>
      </c>
      <c r="N1955" s="5">
        <v>767</v>
      </c>
      <c r="O1955" s="5">
        <v>61</v>
      </c>
      <c r="P1955" s="4" t="s">
        <v>38</v>
      </c>
      <c r="Q1955" s="8" t="s">
        <v>2963</v>
      </c>
      <c r="R1955" s="4" t="s">
        <v>400</v>
      </c>
      <c r="S1955" s="4"/>
      <c r="T1955"/>
      <c r="U1955" s="23"/>
    </row>
    <row r="1956" spans="1:21" ht="15.6" x14ac:dyDescent="0.3">
      <c r="A1956" s="4">
        <v>1955</v>
      </c>
      <c r="B1956" s="5">
        <v>3959992</v>
      </c>
      <c r="C1956" s="4" t="s">
        <v>14</v>
      </c>
      <c r="D1956" s="4" t="s">
        <v>111</v>
      </c>
      <c r="E1956" s="4" t="s">
        <v>93</v>
      </c>
      <c r="F1956" s="4" t="s">
        <v>2952</v>
      </c>
      <c r="G1956" s="6">
        <v>4.7</v>
      </c>
      <c r="H1956" s="7">
        <v>45246.128101851849</v>
      </c>
      <c r="I1956" s="7" t="str">
        <f>TEXT(multilingual_mobile_app_reviews_2025[[#This Row],[Review_date]],"dd-mm-yyyy")</f>
        <v>16-11-2023</v>
      </c>
      <c r="J1956" s="7" t="str">
        <f>TEXT(multilingual_mobile_app_reviews_2025[[#This Row],[Review_date]],"YYYY")</f>
        <v>2023</v>
      </c>
      <c r="K1956" s="7" t="str">
        <f>TEXT(multilingual_mobile_app_reviews_2025[[#This Row],[Review_date]],"MMMM")</f>
        <v>November</v>
      </c>
      <c r="L1956" s="4" t="b">
        <v>1</v>
      </c>
      <c r="M1956" s="4" t="s">
        <v>22</v>
      </c>
      <c r="N1956" s="5">
        <v>99</v>
      </c>
      <c r="O1956" s="5">
        <v>34</v>
      </c>
      <c r="P1956" s="4" t="s">
        <v>70</v>
      </c>
      <c r="Q1956" s="8" t="s">
        <v>2963</v>
      </c>
      <c r="R1956" s="4" t="s">
        <v>2305</v>
      </c>
      <c r="S1956" s="4"/>
      <c r="T1956"/>
      <c r="U1956" s="23"/>
    </row>
    <row r="1957" spans="1:21" ht="15.6" x14ac:dyDescent="0.3">
      <c r="A1957" s="4">
        <v>1956</v>
      </c>
      <c r="B1957" s="5">
        <v>3253622</v>
      </c>
      <c r="C1957" s="4" t="s">
        <v>106</v>
      </c>
      <c r="D1957" s="4" t="s">
        <v>31</v>
      </c>
      <c r="E1957" s="4" t="s">
        <v>2938</v>
      </c>
      <c r="F1957" s="4" t="s">
        <v>2952</v>
      </c>
      <c r="G1957" s="6">
        <v>2.2000000000000002</v>
      </c>
      <c r="H1957" s="7">
        <v>45173.24664351852</v>
      </c>
      <c r="I1957" s="7" t="str">
        <f>TEXT(multilingual_mobile_app_reviews_2025[[#This Row],[Review_date]],"dd-mm-yyyy")</f>
        <v>04-09-2023</v>
      </c>
      <c r="J1957" s="7" t="str">
        <f>TEXT(multilingual_mobile_app_reviews_2025[[#This Row],[Review_date]],"YYYY")</f>
        <v>2023</v>
      </c>
      <c r="K1957" s="7" t="str">
        <f>TEXT(multilingual_mobile_app_reviews_2025[[#This Row],[Review_date]],"MMMM")</f>
        <v>September</v>
      </c>
      <c r="L1957" s="4" t="b">
        <v>1</v>
      </c>
      <c r="M1957" s="4" t="s">
        <v>98</v>
      </c>
      <c r="N1957" s="5">
        <v>145</v>
      </c>
      <c r="O1957" s="5">
        <v>71</v>
      </c>
      <c r="P1957" s="4" t="s">
        <v>230</v>
      </c>
      <c r="Q1957" s="8" t="s">
        <v>29</v>
      </c>
      <c r="R1957" s="4" t="s">
        <v>2306</v>
      </c>
      <c r="S1957" s="4"/>
      <c r="T1957"/>
      <c r="U1957" s="23"/>
    </row>
    <row r="1958" spans="1:21" ht="15.6" x14ac:dyDescent="0.3">
      <c r="A1958" s="4">
        <v>1957</v>
      </c>
      <c r="B1958" s="5">
        <v>5165677</v>
      </c>
      <c r="C1958" s="4" t="s">
        <v>101</v>
      </c>
      <c r="D1958" s="4" t="s">
        <v>157</v>
      </c>
      <c r="E1958" s="4" t="s">
        <v>2307</v>
      </c>
      <c r="F1958" s="4" t="s">
        <v>2948</v>
      </c>
      <c r="G1958" s="6">
        <v>4.7</v>
      </c>
      <c r="H1958" s="7">
        <v>45512.211759259262</v>
      </c>
      <c r="I1958" s="7" t="str">
        <f>TEXT(multilingual_mobile_app_reviews_2025[[#This Row],[Review_date]],"dd-mm-yyyy")</f>
        <v>08-08-2024</v>
      </c>
      <c r="J1958" s="7" t="str">
        <f>TEXT(multilingual_mobile_app_reviews_2025[[#This Row],[Review_date]],"YYYY")</f>
        <v>2024</v>
      </c>
      <c r="K1958" s="7" t="str">
        <f>TEXT(multilingual_mobile_app_reviews_2025[[#This Row],[Review_date]],"MMMM")</f>
        <v>August</v>
      </c>
      <c r="L1958" s="4" t="b">
        <v>1</v>
      </c>
      <c r="M1958" s="4" t="s">
        <v>33</v>
      </c>
      <c r="N1958" s="5">
        <v>75</v>
      </c>
      <c r="O1958" s="5">
        <v>37</v>
      </c>
      <c r="P1958" s="4" t="s">
        <v>73</v>
      </c>
      <c r="Q1958" s="8" t="s">
        <v>12</v>
      </c>
      <c r="R1958" s="4" t="s">
        <v>2308</v>
      </c>
      <c r="S1958" s="4"/>
      <c r="T1958"/>
      <c r="U1958" s="23"/>
    </row>
    <row r="1959" spans="1:21" ht="15.6" x14ac:dyDescent="0.3">
      <c r="A1959" s="4">
        <v>1958</v>
      </c>
      <c r="B1959" s="5">
        <v>4479180</v>
      </c>
      <c r="C1959" s="4" t="s">
        <v>134</v>
      </c>
      <c r="D1959" s="4" t="s">
        <v>1</v>
      </c>
      <c r="E1959" s="4" t="s">
        <v>2309</v>
      </c>
      <c r="F1959" s="4" t="s">
        <v>2945</v>
      </c>
      <c r="G1959" s="6">
        <v>1.2</v>
      </c>
      <c r="H1959" s="7">
        <v>45707.960393518515</v>
      </c>
      <c r="I1959" s="7" t="str">
        <f>TEXT(multilingual_mobile_app_reviews_2025[[#This Row],[Review_date]],"dd-mm-yyyy")</f>
        <v>19-02-2025</v>
      </c>
      <c r="J1959" s="7" t="str">
        <f>TEXT(multilingual_mobile_app_reviews_2025[[#This Row],[Review_date]],"YYYY")</f>
        <v>2025</v>
      </c>
      <c r="K1959" s="7" t="str">
        <f>TEXT(multilingual_mobile_app_reviews_2025[[#This Row],[Review_date]],"MMMM")</f>
        <v>February</v>
      </c>
      <c r="L1959" s="4" t="b">
        <v>1</v>
      </c>
      <c r="M1959" s="4" t="s">
        <v>10</v>
      </c>
      <c r="N1959" s="5">
        <v>107</v>
      </c>
      <c r="O1959" s="5">
        <v>24</v>
      </c>
      <c r="P1959" s="4" t="s">
        <v>99</v>
      </c>
      <c r="Q1959" s="8" t="s">
        <v>5</v>
      </c>
      <c r="R1959" s="4" t="s">
        <v>809</v>
      </c>
      <c r="S1959" s="4"/>
      <c r="T1959"/>
      <c r="U1959" s="23"/>
    </row>
    <row r="1960" spans="1:21" ht="15.6" x14ac:dyDescent="0.3">
      <c r="A1960" s="4">
        <v>1959</v>
      </c>
      <c r="B1960" s="5">
        <v>6885940</v>
      </c>
      <c r="C1960" s="4" t="s">
        <v>192</v>
      </c>
      <c r="D1960" s="4" t="s">
        <v>8</v>
      </c>
      <c r="E1960" s="4" t="s">
        <v>16</v>
      </c>
      <c r="F1960" s="4" t="s">
        <v>2944</v>
      </c>
      <c r="G1960" s="6">
        <v>4</v>
      </c>
      <c r="H1960" s="7">
        <v>45763.014201388891</v>
      </c>
      <c r="I1960" s="7" t="str">
        <f>TEXT(multilingual_mobile_app_reviews_2025[[#This Row],[Review_date]],"dd-mm-yyyy")</f>
        <v>16-04-2025</v>
      </c>
      <c r="J1960" s="7" t="str">
        <f>TEXT(multilingual_mobile_app_reviews_2025[[#This Row],[Review_date]],"YYYY")</f>
        <v>2025</v>
      </c>
      <c r="K1960" s="7" t="str">
        <f>TEXT(multilingual_mobile_app_reviews_2025[[#This Row],[Review_date]],"MMMM")</f>
        <v>April</v>
      </c>
      <c r="L1960" s="4" t="b">
        <v>1</v>
      </c>
      <c r="M1960" s="4" t="s">
        <v>33</v>
      </c>
      <c r="N1960" s="5">
        <v>1122</v>
      </c>
      <c r="O1960" s="5">
        <v>31</v>
      </c>
      <c r="P1960" s="4" t="s">
        <v>180</v>
      </c>
      <c r="Q1960" s="8" t="s">
        <v>39</v>
      </c>
      <c r="R1960" s="4" t="s">
        <v>2310</v>
      </c>
      <c r="S1960" s="4"/>
      <c r="T1960"/>
      <c r="U1960" s="23"/>
    </row>
    <row r="1961" spans="1:21" ht="15.6" x14ac:dyDescent="0.3">
      <c r="A1961" s="4">
        <v>1960</v>
      </c>
      <c r="B1961" s="5">
        <v>2799181</v>
      </c>
      <c r="C1961" s="4" t="s">
        <v>0</v>
      </c>
      <c r="D1961" s="4" t="s">
        <v>57</v>
      </c>
      <c r="E1961" s="4" t="s">
        <v>21</v>
      </c>
      <c r="F1961" s="4" t="s">
        <v>2941</v>
      </c>
      <c r="G1961" s="6">
        <v>2.1</v>
      </c>
      <c r="H1961" s="7">
        <v>45386.67291666667</v>
      </c>
      <c r="I1961" s="7" t="str">
        <f>TEXT(multilingual_mobile_app_reviews_2025[[#This Row],[Review_date]],"dd-mm-yyyy")</f>
        <v>04-04-2024</v>
      </c>
      <c r="J1961" s="7" t="str">
        <f>TEXT(multilingual_mobile_app_reviews_2025[[#This Row],[Review_date]],"YYYY")</f>
        <v>2024</v>
      </c>
      <c r="K1961" s="7" t="str">
        <f>TEXT(multilingual_mobile_app_reviews_2025[[#This Row],[Review_date]],"MMMM")</f>
        <v>April</v>
      </c>
      <c r="L1961" s="4" t="b">
        <v>1</v>
      </c>
      <c r="M1961" s="4" t="s">
        <v>10</v>
      </c>
      <c r="N1961" s="5">
        <v>279</v>
      </c>
      <c r="O1961" s="5">
        <v>29</v>
      </c>
      <c r="P1961" s="4" t="s">
        <v>11</v>
      </c>
      <c r="Q1961" s="8" t="s">
        <v>12</v>
      </c>
      <c r="R1961" s="4" t="s">
        <v>2311</v>
      </c>
      <c r="S1961" s="4"/>
      <c r="T1961"/>
      <c r="U1961" s="23"/>
    </row>
    <row r="1962" spans="1:21" ht="15.6" x14ac:dyDescent="0.3">
      <c r="A1962" s="4">
        <v>1961</v>
      </c>
      <c r="B1962" s="5">
        <v>9741567</v>
      </c>
      <c r="C1962" s="4" t="s">
        <v>165</v>
      </c>
      <c r="D1962" s="4" t="s">
        <v>20</v>
      </c>
      <c r="E1962" s="4" t="s">
        <v>9</v>
      </c>
      <c r="F1962" s="4" t="s">
        <v>2961</v>
      </c>
      <c r="G1962" s="6">
        <v>3.4</v>
      </c>
      <c r="H1962" s="7">
        <v>45532.65384259259</v>
      </c>
      <c r="I1962" s="7" t="str">
        <f>TEXT(multilingual_mobile_app_reviews_2025[[#This Row],[Review_date]],"dd-mm-yyyy")</f>
        <v>28-08-2024</v>
      </c>
      <c r="J1962" s="7" t="str">
        <f>TEXT(multilingual_mobile_app_reviews_2025[[#This Row],[Review_date]],"YYYY")</f>
        <v>2024</v>
      </c>
      <c r="K1962" s="7" t="str">
        <f>TEXT(multilingual_mobile_app_reviews_2025[[#This Row],[Review_date]],"MMMM")</f>
        <v>August</v>
      </c>
      <c r="L1962" s="4" t="b">
        <v>1</v>
      </c>
      <c r="M1962" s="4" t="s">
        <v>33</v>
      </c>
      <c r="N1962" s="5">
        <v>559</v>
      </c>
      <c r="O1962" s="5">
        <v>42</v>
      </c>
      <c r="P1962" s="4" t="s">
        <v>73</v>
      </c>
      <c r="Q1962" s="8" t="s">
        <v>29</v>
      </c>
      <c r="R1962" s="4" t="s">
        <v>303</v>
      </c>
      <c r="S1962" s="4"/>
      <c r="T1962"/>
      <c r="U1962" s="23"/>
    </row>
    <row r="1963" spans="1:21" ht="15.6" x14ac:dyDescent="0.3">
      <c r="A1963" s="4">
        <v>1962</v>
      </c>
      <c r="B1963" s="5">
        <v>7728467</v>
      </c>
      <c r="C1963" s="4" t="s">
        <v>192</v>
      </c>
      <c r="D1963" s="4" t="s">
        <v>47</v>
      </c>
      <c r="E1963" s="4" t="s">
        <v>93</v>
      </c>
      <c r="F1963" s="4" t="s">
        <v>2947</v>
      </c>
      <c r="G1963" s="6">
        <v>3.6</v>
      </c>
      <c r="H1963" s="7">
        <v>45147.879444444443</v>
      </c>
      <c r="I1963" s="7" t="str">
        <f>TEXT(multilingual_mobile_app_reviews_2025[[#This Row],[Review_date]],"dd-mm-yyyy")</f>
        <v>09-08-2023</v>
      </c>
      <c r="J1963" s="7" t="str">
        <f>TEXT(multilingual_mobile_app_reviews_2025[[#This Row],[Review_date]],"YYYY")</f>
        <v>2023</v>
      </c>
      <c r="K1963" s="7" t="str">
        <f>TEXT(multilingual_mobile_app_reviews_2025[[#This Row],[Review_date]],"MMMM")</f>
        <v>August</v>
      </c>
      <c r="L1963" s="4" t="b">
        <v>1</v>
      </c>
      <c r="M1963" s="4" t="s">
        <v>33</v>
      </c>
      <c r="N1963" s="5">
        <v>1094</v>
      </c>
      <c r="O1963" s="5">
        <v>67</v>
      </c>
      <c r="P1963" s="4" t="s">
        <v>127</v>
      </c>
      <c r="Q1963" s="8" t="s">
        <v>29</v>
      </c>
      <c r="R1963" s="4" t="s">
        <v>2312</v>
      </c>
      <c r="S1963" s="4"/>
      <c r="T1963"/>
      <c r="U1963" s="23"/>
    </row>
    <row r="1964" spans="1:21" ht="15.6" x14ac:dyDescent="0.3">
      <c r="A1964" s="4">
        <v>1963</v>
      </c>
      <c r="B1964" s="5">
        <v>6839464</v>
      </c>
      <c r="C1964" s="4" t="s">
        <v>50</v>
      </c>
      <c r="D1964" s="4" t="s">
        <v>220</v>
      </c>
      <c r="E1964" s="4" t="s">
        <v>21</v>
      </c>
      <c r="F1964" s="4" t="s">
        <v>2953</v>
      </c>
      <c r="G1964" s="6">
        <v>3.3</v>
      </c>
      <c r="H1964" s="7">
        <v>45467.010370370372</v>
      </c>
      <c r="I1964" s="7" t="str">
        <f>TEXT(multilingual_mobile_app_reviews_2025[[#This Row],[Review_date]],"dd-mm-yyyy")</f>
        <v>24-06-2024</v>
      </c>
      <c r="J1964" s="7" t="str">
        <f>TEXT(multilingual_mobile_app_reviews_2025[[#This Row],[Review_date]],"YYYY")</f>
        <v>2024</v>
      </c>
      <c r="K1964" s="7" t="str">
        <f>TEXT(multilingual_mobile_app_reviews_2025[[#This Row],[Review_date]],"MMMM")</f>
        <v>June</v>
      </c>
      <c r="L1964" s="4" t="b">
        <v>0</v>
      </c>
      <c r="M1964" s="4" t="s">
        <v>22</v>
      </c>
      <c r="N1964" s="5">
        <v>698</v>
      </c>
      <c r="O1964" s="5">
        <v>75</v>
      </c>
      <c r="P1964" s="4" t="s">
        <v>90</v>
      </c>
      <c r="Q1964" s="8" t="s">
        <v>12</v>
      </c>
      <c r="R1964" s="4" t="s">
        <v>2313</v>
      </c>
      <c r="S1964" s="4"/>
      <c r="T1964"/>
      <c r="U1964" s="23"/>
    </row>
    <row r="1965" spans="1:21" ht="15.6" x14ac:dyDescent="0.3">
      <c r="A1965" s="4">
        <v>1964</v>
      </c>
      <c r="B1965" s="5">
        <v>1014547</v>
      </c>
      <c r="C1965" s="4" t="s">
        <v>101</v>
      </c>
      <c r="D1965" s="4" t="s">
        <v>157</v>
      </c>
      <c r="E1965" s="4" t="s">
        <v>130</v>
      </c>
      <c r="F1965" s="4" t="s">
        <v>2960</v>
      </c>
      <c r="G1965" s="6">
        <v>1.1000000000000001</v>
      </c>
      <c r="H1965" s="7">
        <v>45374.19</v>
      </c>
      <c r="I1965" s="7" t="str">
        <f>TEXT(multilingual_mobile_app_reviews_2025[[#This Row],[Review_date]],"dd-mm-yyyy")</f>
        <v>23-03-2024</v>
      </c>
      <c r="J1965" s="7" t="str">
        <f>TEXT(multilingual_mobile_app_reviews_2025[[#This Row],[Review_date]],"YYYY")</f>
        <v>2024</v>
      </c>
      <c r="K1965" s="7" t="str">
        <f>TEXT(multilingual_mobile_app_reviews_2025[[#This Row],[Review_date]],"MMMM")</f>
        <v>March</v>
      </c>
      <c r="L1965" s="4" t="b">
        <v>1</v>
      </c>
      <c r="M1965" s="4" t="s">
        <v>3</v>
      </c>
      <c r="N1965" s="5">
        <v>668</v>
      </c>
      <c r="O1965" s="5">
        <v>67</v>
      </c>
      <c r="P1965" s="4" t="s">
        <v>4</v>
      </c>
      <c r="Q1965" s="8" t="s">
        <v>5</v>
      </c>
      <c r="R1965" s="4" t="s">
        <v>1263</v>
      </c>
      <c r="S1965" s="4"/>
      <c r="T1965"/>
      <c r="U1965" s="23"/>
    </row>
    <row r="1966" spans="1:21" ht="15.6" x14ac:dyDescent="0.3">
      <c r="A1966" s="4">
        <v>1965</v>
      </c>
      <c r="B1966" s="5">
        <v>4439410</v>
      </c>
      <c r="C1966" s="4" t="s">
        <v>101</v>
      </c>
      <c r="D1966" s="4" t="s">
        <v>71</v>
      </c>
      <c r="E1966" s="4" t="s">
        <v>2314</v>
      </c>
      <c r="F1966" s="4" t="s">
        <v>2943</v>
      </c>
      <c r="G1966" s="6">
        <v>3.3</v>
      </c>
      <c r="H1966" s="7">
        <v>45814.871365740742</v>
      </c>
      <c r="I1966" s="7" t="str">
        <f>TEXT(multilingual_mobile_app_reviews_2025[[#This Row],[Review_date]],"dd-mm-yyyy")</f>
        <v>06-06-2025</v>
      </c>
      <c r="J1966" s="7" t="str">
        <f>TEXT(multilingual_mobile_app_reviews_2025[[#This Row],[Review_date]],"YYYY")</f>
        <v>2025</v>
      </c>
      <c r="K1966" s="7" t="str">
        <f>TEXT(multilingual_mobile_app_reviews_2025[[#This Row],[Review_date]],"MMMM")</f>
        <v>June</v>
      </c>
      <c r="L1966" s="4" t="b">
        <v>0</v>
      </c>
      <c r="M1966" s="4" t="s">
        <v>98</v>
      </c>
      <c r="N1966" s="5">
        <v>1027</v>
      </c>
      <c r="O1966" s="5">
        <v>35</v>
      </c>
      <c r="P1966" s="4" t="s">
        <v>144</v>
      </c>
      <c r="Q1966" s="8" t="s">
        <v>5</v>
      </c>
      <c r="R1966" s="4" t="s">
        <v>2315</v>
      </c>
      <c r="S1966" s="4"/>
      <c r="T1966"/>
      <c r="U1966" s="23"/>
    </row>
    <row r="1967" spans="1:21" ht="15.6" x14ac:dyDescent="0.3">
      <c r="A1967" s="4">
        <v>1966</v>
      </c>
      <c r="B1967" s="5">
        <v>1442330</v>
      </c>
      <c r="C1967" s="4" t="s">
        <v>54</v>
      </c>
      <c r="D1967" s="4" t="s">
        <v>57</v>
      </c>
      <c r="E1967" s="4" t="s">
        <v>2316</v>
      </c>
      <c r="F1967" s="4" t="s">
        <v>2943</v>
      </c>
      <c r="G1967" s="6">
        <v>4.0999999999999996</v>
      </c>
      <c r="H1967" s="7">
        <v>45157.154826388891</v>
      </c>
      <c r="I1967" s="7" t="str">
        <f>TEXT(multilingual_mobile_app_reviews_2025[[#This Row],[Review_date]],"dd-mm-yyyy")</f>
        <v>19-08-2023</v>
      </c>
      <c r="J1967" s="7" t="str">
        <f>TEXT(multilingual_mobile_app_reviews_2025[[#This Row],[Review_date]],"YYYY")</f>
        <v>2023</v>
      </c>
      <c r="K1967" s="7" t="str">
        <f>TEXT(multilingual_mobile_app_reviews_2025[[#This Row],[Review_date]],"MMMM")</f>
        <v>August</v>
      </c>
      <c r="L1967" s="4" t="b">
        <v>1</v>
      </c>
      <c r="M1967" s="4" t="s">
        <v>10</v>
      </c>
      <c r="N1967" s="5">
        <v>939</v>
      </c>
      <c r="O1967" s="5">
        <v>70</v>
      </c>
      <c r="P1967" s="4" t="s">
        <v>17</v>
      </c>
      <c r="Q1967" s="8" t="s">
        <v>29</v>
      </c>
      <c r="R1967" s="4" t="s">
        <v>2317</v>
      </c>
      <c r="S1967" s="4"/>
      <c r="T1967"/>
      <c r="U1967" s="23"/>
    </row>
    <row r="1968" spans="1:21" ht="15.6" x14ac:dyDescent="0.3">
      <c r="A1968" s="4">
        <v>1967</v>
      </c>
      <c r="B1968" s="5">
        <v>4583468</v>
      </c>
      <c r="C1968" s="4" t="s">
        <v>199</v>
      </c>
      <c r="D1968" s="4" t="s">
        <v>26</v>
      </c>
      <c r="E1968" s="4" t="s">
        <v>2318</v>
      </c>
      <c r="F1968" s="4" t="s">
        <v>2950</v>
      </c>
      <c r="G1968" s="6">
        <v>4.4000000000000004</v>
      </c>
      <c r="H1968" s="7">
        <v>45712.628229166665</v>
      </c>
      <c r="I1968" s="7" t="str">
        <f>TEXT(multilingual_mobile_app_reviews_2025[[#This Row],[Review_date]],"dd-mm-yyyy")</f>
        <v>24-02-2025</v>
      </c>
      <c r="J1968" s="7" t="str">
        <f>TEXT(multilingual_mobile_app_reviews_2025[[#This Row],[Review_date]],"YYYY")</f>
        <v>2025</v>
      </c>
      <c r="K1968" s="7" t="str">
        <f>TEXT(multilingual_mobile_app_reviews_2025[[#This Row],[Review_date]],"MMMM")</f>
        <v>February</v>
      </c>
      <c r="L1968" s="4" t="b">
        <v>1</v>
      </c>
      <c r="M1968" s="4" t="s">
        <v>98</v>
      </c>
      <c r="N1968" s="5">
        <v>168</v>
      </c>
      <c r="O1968" s="5">
        <v>55</v>
      </c>
      <c r="P1968" s="4" t="s">
        <v>99</v>
      </c>
      <c r="Q1968" s="8" t="s">
        <v>39</v>
      </c>
      <c r="R1968" s="4" t="s">
        <v>2319</v>
      </c>
      <c r="S1968" s="4"/>
      <c r="T1968"/>
      <c r="U1968" s="23"/>
    </row>
    <row r="1969" spans="1:21" ht="15.6" x14ac:dyDescent="0.3">
      <c r="A1969" s="4">
        <v>1968</v>
      </c>
      <c r="B1969" s="5">
        <v>4271264</v>
      </c>
      <c r="C1969" s="4" t="s">
        <v>92</v>
      </c>
      <c r="D1969" s="4" t="s">
        <v>111</v>
      </c>
      <c r="E1969" s="4" t="s">
        <v>2320</v>
      </c>
      <c r="F1969" s="4" t="s">
        <v>2944</v>
      </c>
      <c r="G1969" s="6">
        <v>3.7</v>
      </c>
      <c r="H1969" s="7">
        <v>45862.990925925929</v>
      </c>
      <c r="I1969" s="7" t="str">
        <f>TEXT(multilingual_mobile_app_reviews_2025[[#This Row],[Review_date]],"dd-mm-yyyy")</f>
        <v>24-07-2025</v>
      </c>
      <c r="J1969" s="7" t="str">
        <f>TEXT(multilingual_mobile_app_reviews_2025[[#This Row],[Review_date]],"YYYY")</f>
        <v>2025</v>
      </c>
      <c r="K1969" s="7" t="str">
        <f>TEXT(multilingual_mobile_app_reviews_2025[[#This Row],[Review_date]],"MMMM")</f>
        <v>July</v>
      </c>
      <c r="L1969" s="4" t="b">
        <v>0</v>
      </c>
      <c r="M1969" s="4" t="s">
        <v>33</v>
      </c>
      <c r="N1969" s="5">
        <v>1154</v>
      </c>
      <c r="O1969" s="5">
        <v>52</v>
      </c>
      <c r="P1969" s="4" t="s">
        <v>23</v>
      </c>
      <c r="Q1969" s="8" t="s">
        <v>5</v>
      </c>
      <c r="R1969" s="4" t="s">
        <v>736</v>
      </c>
      <c r="S1969" s="4"/>
      <c r="T1969"/>
      <c r="U1969" s="23"/>
    </row>
    <row r="1970" spans="1:21" ht="15.6" x14ac:dyDescent="0.3">
      <c r="A1970" s="4">
        <v>1969</v>
      </c>
      <c r="B1970" s="5">
        <v>8883858</v>
      </c>
      <c r="C1970" s="4" t="s">
        <v>75</v>
      </c>
      <c r="D1970" s="4" t="s">
        <v>51</v>
      </c>
      <c r="E1970" s="4" t="s">
        <v>2321</v>
      </c>
      <c r="F1970" s="4" t="s">
        <v>2945</v>
      </c>
      <c r="G1970" s="6">
        <v>3.3</v>
      </c>
      <c r="H1970" s="7">
        <v>45435.518865740742</v>
      </c>
      <c r="I1970" s="7" t="str">
        <f>TEXT(multilingual_mobile_app_reviews_2025[[#This Row],[Review_date]],"dd-mm-yyyy")</f>
        <v>23-05-2024</v>
      </c>
      <c r="J1970" s="7" t="str">
        <f>TEXT(multilingual_mobile_app_reviews_2025[[#This Row],[Review_date]],"YYYY")</f>
        <v>2024</v>
      </c>
      <c r="K1970" s="7" t="str">
        <f>TEXT(multilingual_mobile_app_reviews_2025[[#This Row],[Review_date]],"MMMM")</f>
        <v>May</v>
      </c>
      <c r="L1970" s="4" t="b">
        <v>1</v>
      </c>
      <c r="M1970" s="4" t="s">
        <v>10</v>
      </c>
      <c r="N1970" s="5">
        <v>962</v>
      </c>
      <c r="O1970" s="5">
        <v>69</v>
      </c>
      <c r="P1970" s="4" t="s">
        <v>73</v>
      </c>
      <c r="Q1970" s="8" t="s">
        <v>5</v>
      </c>
      <c r="R1970" s="4" t="s">
        <v>2322</v>
      </c>
      <c r="S1970" s="4"/>
      <c r="T1970"/>
      <c r="U1970" s="23"/>
    </row>
    <row r="1971" spans="1:21" ht="15.6" x14ac:dyDescent="0.3">
      <c r="A1971" s="4">
        <v>1970</v>
      </c>
      <c r="B1971" s="5">
        <v>1421455</v>
      </c>
      <c r="C1971" s="4" t="s">
        <v>137</v>
      </c>
      <c r="D1971" s="4" t="s">
        <v>60</v>
      </c>
      <c r="E1971" s="4" t="s">
        <v>16</v>
      </c>
      <c r="F1971" s="4" t="s">
        <v>2962</v>
      </c>
      <c r="G1971" s="6">
        <v>1.5</v>
      </c>
      <c r="H1971" s="7">
        <v>45401.2341087963</v>
      </c>
      <c r="I1971" s="7" t="str">
        <f>TEXT(multilingual_mobile_app_reviews_2025[[#This Row],[Review_date]],"dd-mm-yyyy")</f>
        <v>19-04-2024</v>
      </c>
      <c r="J1971" s="7" t="str">
        <f>TEXT(multilingual_mobile_app_reviews_2025[[#This Row],[Review_date]],"YYYY")</f>
        <v>2024</v>
      </c>
      <c r="K1971" s="7" t="str">
        <f>TEXT(multilingual_mobile_app_reviews_2025[[#This Row],[Review_date]],"MMMM")</f>
        <v>April</v>
      </c>
      <c r="L1971" s="4" t="b">
        <v>0</v>
      </c>
      <c r="M1971" s="4" t="s">
        <v>3</v>
      </c>
      <c r="N1971" s="5">
        <v>343</v>
      </c>
      <c r="O1971" s="5">
        <v>14</v>
      </c>
      <c r="P1971" s="4" t="s">
        <v>230</v>
      </c>
      <c r="Q1971" s="8" t="s">
        <v>12</v>
      </c>
      <c r="R1971" s="4" t="s">
        <v>2323</v>
      </c>
      <c r="S1971" s="4"/>
      <c r="T1971"/>
      <c r="U1971" s="23"/>
    </row>
    <row r="1972" spans="1:21" ht="15.6" x14ac:dyDescent="0.3">
      <c r="A1972" s="4">
        <v>1971</v>
      </c>
      <c r="B1972" s="5">
        <v>5166483</v>
      </c>
      <c r="C1972" s="4" t="s">
        <v>7</v>
      </c>
      <c r="D1972" s="4" t="s">
        <v>20</v>
      </c>
      <c r="E1972" s="4" t="s">
        <v>130</v>
      </c>
      <c r="F1972" s="4" t="s">
        <v>2951</v>
      </c>
      <c r="G1972" s="6">
        <v>3.1</v>
      </c>
      <c r="H1972" s="7">
        <v>45467.06695601852</v>
      </c>
      <c r="I1972" s="7" t="str">
        <f>TEXT(multilingual_mobile_app_reviews_2025[[#This Row],[Review_date]],"dd-mm-yyyy")</f>
        <v>24-06-2024</v>
      </c>
      <c r="J1972" s="7" t="str">
        <f>TEXT(multilingual_mobile_app_reviews_2025[[#This Row],[Review_date]],"YYYY")</f>
        <v>2024</v>
      </c>
      <c r="K1972" s="7" t="str">
        <f>TEXT(multilingual_mobile_app_reviews_2025[[#This Row],[Review_date]],"MMMM")</f>
        <v>June</v>
      </c>
      <c r="L1972" s="4" t="b">
        <v>1</v>
      </c>
      <c r="M1972" s="4" t="s">
        <v>3</v>
      </c>
      <c r="N1972" s="5">
        <v>715</v>
      </c>
      <c r="O1972" s="5">
        <v>51</v>
      </c>
      <c r="P1972" s="4" t="s">
        <v>127</v>
      </c>
      <c r="Q1972" s="8" t="s">
        <v>5</v>
      </c>
      <c r="R1972" s="4" t="s">
        <v>2324</v>
      </c>
      <c r="S1972" s="4"/>
      <c r="T1972"/>
      <c r="U1972" s="23"/>
    </row>
    <row r="1973" spans="1:21" ht="15.6" x14ac:dyDescent="0.3">
      <c r="A1973" s="4">
        <v>1972</v>
      </c>
      <c r="B1973" s="5">
        <v>475532</v>
      </c>
      <c r="C1973" s="4" t="s">
        <v>106</v>
      </c>
      <c r="D1973" s="4" t="s">
        <v>15</v>
      </c>
      <c r="E1973" s="4" t="s">
        <v>9</v>
      </c>
      <c r="F1973" s="4" t="s">
        <v>2962</v>
      </c>
      <c r="G1973" s="6">
        <v>2.1</v>
      </c>
      <c r="H1973" s="7">
        <v>45281.74119212963</v>
      </c>
      <c r="I1973" s="7" t="str">
        <f>TEXT(multilingual_mobile_app_reviews_2025[[#This Row],[Review_date]],"dd-mm-yyyy")</f>
        <v>21-12-2023</v>
      </c>
      <c r="J1973" s="7" t="str">
        <f>TEXT(multilingual_mobile_app_reviews_2025[[#This Row],[Review_date]],"YYYY")</f>
        <v>2023</v>
      </c>
      <c r="K1973" s="7" t="str">
        <f>TEXT(multilingual_mobile_app_reviews_2025[[#This Row],[Review_date]],"MMMM")</f>
        <v>December</v>
      </c>
      <c r="L1973" s="4" t="b">
        <v>0</v>
      </c>
      <c r="M1973" s="4" t="s">
        <v>33</v>
      </c>
      <c r="N1973" s="5">
        <v>617</v>
      </c>
      <c r="O1973" s="5">
        <v>28</v>
      </c>
      <c r="P1973" s="4" t="s">
        <v>2963</v>
      </c>
      <c r="Q1973" s="8" t="s">
        <v>29</v>
      </c>
      <c r="R1973" s="4" t="s">
        <v>2325</v>
      </c>
      <c r="S1973" s="4"/>
      <c r="T1973"/>
      <c r="U1973" s="23"/>
    </row>
    <row r="1974" spans="1:21" ht="15.6" x14ac:dyDescent="0.3">
      <c r="A1974" s="4">
        <v>1973</v>
      </c>
      <c r="B1974" s="5">
        <v>4409362</v>
      </c>
      <c r="C1974" s="4" t="s">
        <v>154</v>
      </c>
      <c r="D1974" s="4" t="s">
        <v>60</v>
      </c>
      <c r="E1974" s="4" t="s">
        <v>16</v>
      </c>
      <c r="F1974" s="4" t="s">
        <v>2940</v>
      </c>
      <c r="G1974" s="6">
        <v>3.3</v>
      </c>
      <c r="H1974" s="7">
        <v>45699.356863425928</v>
      </c>
      <c r="I1974" s="7" t="str">
        <f>TEXT(multilingual_mobile_app_reviews_2025[[#This Row],[Review_date]],"dd-mm-yyyy")</f>
        <v>11-02-2025</v>
      </c>
      <c r="J1974" s="7" t="str">
        <f>TEXT(multilingual_mobile_app_reviews_2025[[#This Row],[Review_date]],"YYYY")</f>
        <v>2025</v>
      </c>
      <c r="K1974" s="7" t="str">
        <f>TEXT(multilingual_mobile_app_reviews_2025[[#This Row],[Review_date]],"MMMM")</f>
        <v>February</v>
      </c>
      <c r="L1974" s="4" t="b">
        <v>0</v>
      </c>
      <c r="M1974" s="4" t="s">
        <v>3</v>
      </c>
      <c r="N1974" s="5">
        <v>994</v>
      </c>
      <c r="O1974" s="5">
        <v>59</v>
      </c>
      <c r="P1974" s="4" t="s">
        <v>44</v>
      </c>
      <c r="Q1974" s="8" t="s">
        <v>29</v>
      </c>
      <c r="R1974" s="4" t="s">
        <v>1772</v>
      </c>
      <c r="S1974" s="4"/>
      <c r="T1974"/>
      <c r="U1974" s="23"/>
    </row>
    <row r="1975" spans="1:21" ht="15.6" x14ac:dyDescent="0.3">
      <c r="A1975" s="4">
        <v>1974</v>
      </c>
      <c r="B1975" s="5">
        <v>1430152</v>
      </c>
      <c r="C1975" s="4" t="s">
        <v>69</v>
      </c>
      <c r="D1975" s="4" t="s">
        <v>15</v>
      </c>
      <c r="E1975" s="4" t="s">
        <v>109</v>
      </c>
      <c r="F1975" s="4" t="s">
        <v>2959</v>
      </c>
      <c r="G1975" s="6">
        <v>2</v>
      </c>
      <c r="H1975" s="7">
        <v>45788.881458333337</v>
      </c>
      <c r="I1975" s="7" t="str">
        <f>TEXT(multilingual_mobile_app_reviews_2025[[#This Row],[Review_date]],"dd-mm-yyyy")</f>
        <v>11-05-2025</v>
      </c>
      <c r="J1975" s="7" t="str">
        <f>TEXT(multilingual_mobile_app_reviews_2025[[#This Row],[Review_date]],"YYYY")</f>
        <v>2025</v>
      </c>
      <c r="K1975" s="7" t="str">
        <f>TEXT(multilingual_mobile_app_reviews_2025[[#This Row],[Review_date]],"MMMM")</f>
        <v>May</v>
      </c>
      <c r="L1975" s="4" t="b">
        <v>1</v>
      </c>
      <c r="M1975" s="4" t="s">
        <v>33</v>
      </c>
      <c r="N1975" s="5">
        <v>226</v>
      </c>
      <c r="O1975" s="5">
        <v>52</v>
      </c>
      <c r="P1975" s="4" t="s">
        <v>73</v>
      </c>
      <c r="Q1975" s="8" t="s">
        <v>39</v>
      </c>
      <c r="R1975" s="4" t="s">
        <v>2326</v>
      </c>
      <c r="S1975" s="4"/>
      <c r="T1975"/>
      <c r="U1975" s="23"/>
    </row>
    <row r="1976" spans="1:21" ht="15.6" x14ac:dyDescent="0.3">
      <c r="A1976" s="4">
        <v>1975</v>
      </c>
      <c r="B1976" s="5">
        <v>2053294</v>
      </c>
      <c r="C1976" s="4" t="s">
        <v>101</v>
      </c>
      <c r="D1976" s="4" t="s">
        <v>220</v>
      </c>
      <c r="E1976" s="4" t="s">
        <v>2327</v>
      </c>
      <c r="F1976" s="4" t="s">
        <v>2961</v>
      </c>
      <c r="G1976" s="6">
        <v>4</v>
      </c>
      <c r="H1976" s="7">
        <v>45279.667395833334</v>
      </c>
      <c r="I1976" s="7" t="str">
        <f>TEXT(multilingual_mobile_app_reviews_2025[[#This Row],[Review_date]],"dd-mm-yyyy")</f>
        <v>19-12-2023</v>
      </c>
      <c r="J1976" s="7" t="str">
        <f>TEXT(multilingual_mobile_app_reviews_2025[[#This Row],[Review_date]],"YYYY")</f>
        <v>2023</v>
      </c>
      <c r="K1976" s="7" t="str">
        <f>TEXT(multilingual_mobile_app_reviews_2025[[#This Row],[Review_date]],"MMMM")</f>
        <v>December</v>
      </c>
      <c r="L1976" s="4" t="b">
        <v>0</v>
      </c>
      <c r="M1976" s="4" t="s">
        <v>22</v>
      </c>
      <c r="N1976" s="5">
        <v>510</v>
      </c>
      <c r="O1976" s="5">
        <v>25</v>
      </c>
      <c r="P1976" s="4" t="s">
        <v>38</v>
      </c>
      <c r="Q1976" s="8" t="s">
        <v>12</v>
      </c>
      <c r="R1976" s="4" t="s">
        <v>508</v>
      </c>
      <c r="S1976" s="4"/>
      <c r="T1976"/>
      <c r="U1976" s="23"/>
    </row>
    <row r="1977" spans="1:21" ht="15.6" x14ac:dyDescent="0.3">
      <c r="A1977" s="4">
        <v>1976</v>
      </c>
      <c r="B1977" s="5">
        <v>4880038</v>
      </c>
      <c r="C1977" s="4" t="s">
        <v>208</v>
      </c>
      <c r="D1977" s="4" t="s">
        <v>26</v>
      </c>
      <c r="E1977" s="4" t="s">
        <v>109</v>
      </c>
      <c r="F1977" s="4" t="s">
        <v>2945</v>
      </c>
      <c r="G1977" s="6">
        <v>1.6</v>
      </c>
      <c r="H1977" s="7">
        <v>45350.674629629626</v>
      </c>
      <c r="I1977" s="7" t="str">
        <f>TEXT(multilingual_mobile_app_reviews_2025[[#This Row],[Review_date]],"dd-mm-yyyy")</f>
        <v>28-02-2024</v>
      </c>
      <c r="J1977" s="7" t="str">
        <f>TEXT(multilingual_mobile_app_reviews_2025[[#This Row],[Review_date]],"YYYY")</f>
        <v>2024</v>
      </c>
      <c r="K1977" s="7" t="str">
        <f>TEXT(multilingual_mobile_app_reviews_2025[[#This Row],[Review_date]],"MMMM")</f>
        <v>February</v>
      </c>
      <c r="L1977" s="4" t="b">
        <v>1</v>
      </c>
      <c r="M1977" s="4" t="s">
        <v>3</v>
      </c>
      <c r="N1977" s="5">
        <v>29</v>
      </c>
      <c r="O1977" s="5">
        <v>37</v>
      </c>
      <c r="P1977" s="4" t="s">
        <v>70</v>
      </c>
      <c r="Q1977" s="8" t="s">
        <v>39</v>
      </c>
      <c r="R1977" s="4" t="s">
        <v>1263</v>
      </c>
      <c r="S1977" s="4"/>
      <c r="T1977"/>
      <c r="U1977" s="23"/>
    </row>
    <row r="1978" spans="1:21" ht="15.6" x14ac:dyDescent="0.3">
      <c r="A1978" s="4">
        <v>1977</v>
      </c>
      <c r="B1978" s="5">
        <v>6931393</v>
      </c>
      <c r="C1978" s="4" t="s">
        <v>192</v>
      </c>
      <c r="D1978" s="4" t="s">
        <v>60</v>
      </c>
      <c r="E1978" s="4" t="s">
        <v>27</v>
      </c>
      <c r="F1978" s="4" t="s">
        <v>2961</v>
      </c>
      <c r="G1978" s="6">
        <v>5</v>
      </c>
      <c r="H1978" s="7">
        <v>45299.765821759262</v>
      </c>
      <c r="I1978" s="7" t="str">
        <f>TEXT(multilingual_mobile_app_reviews_2025[[#This Row],[Review_date]],"dd-mm-yyyy")</f>
        <v>08-01-2024</v>
      </c>
      <c r="J1978" s="7" t="str">
        <f>TEXT(multilingual_mobile_app_reviews_2025[[#This Row],[Review_date]],"YYYY")</f>
        <v>2024</v>
      </c>
      <c r="K1978" s="7" t="str">
        <f>TEXT(multilingual_mobile_app_reviews_2025[[#This Row],[Review_date]],"MMMM")</f>
        <v>January</v>
      </c>
      <c r="L1978" s="4" t="b">
        <v>1</v>
      </c>
      <c r="M1978" s="4" t="s">
        <v>22</v>
      </c>
      <c r="N1978" s="5">
        <v>928</v>
      </c>
      <c r="O1978" s="5">
        <v>57</v>
      </c>
      <c r="P1978" s="4" t="s">
        <v>28</v>
      </c>
      <c r="Q1978" s="8" t="s">
        <v>29</v>
      </c>
      <c r="R1978" s="4" t="s">
        <v>2328</v>
      </c>
      <c r="S1978" s="4"/>
      <c r="T1978"/>
      <c r="U1978" s="23"/>
    </row>
    <row r="1979" spans="1:21" ht="15.6" x14ac:dyDescent="0.3">
      <c r="A1979" s="4">
        <v>1978</v>
      </c>
      <c r="B1979" s="5">
        <v>7051217</v>
      </c>
      <c r="C1979" s="4" t="s">
        <v>54</v>
      </c>
      <c r="D1979" s="4" t="s">
        <v>47</v>
      </c>
      <c r="E1979" s="4" t="s">
        <v>9</v>
      </c>
      <c r="F1979" s="4" t="s">
        <v>2948</v>
      </c>
      <c r="G1979" s="6">
        <v>3.5</v>
      </c>
      <c r="H1979" s="7">
        <v>45649.350532407407</v>
      </c>
      <c r="I1979" s="7" t="str">
        <f>TEXT(multilingual_mobile_app_reviews_2025[[#This Row],[Review_date]],"dd-mm-yyyy")</f>
        <v>23-12-2024</v>
      </c>
      <c r="J1979" s="7" t="str">
        <f>TEXT(multilingual_mobile_app_reviews_2025[[#This Row],[Review_date]],"YYYY")</f>
        <v>2024</v>
      </c>
      <c r="K1979" s="7" t="str">
        <f>TEXT(multilingual_mobile_app_reviews_2025[[#This Row],[Review_date]],"MMMM")</f>
        <v>December</v>
      </c>
      <c r="L1979" s="4" t="b">
        <v>1</v>
      </c>
      <c r="M1979" s="4" t="s">
        <v>3</v>
      </c>
      <c r="N1979" s="5">
        <v>946</v>
      </c>
      <c r="O1979" s="5">
        <v>62</v>
      </c>
      <c r="P1979" s="4" t="s">
        <v>80</v>
      </c>
      <c r="Q1979" s="8" t="s">
        <v>5</v>
      </c>
      <c r="R1979" s="4" t="s">
        <v>394</v>
      </c>
      <c r="S1979" s="4"/>
      <c r="T1979"/>
      <c r="U1979" s="23"/>
    </row>
    <row r="1980" spans="1:21" ht="15.6" x14ac:dyDescent="0.3">
      <c r="A1980" s="4">
        <v>1979</v>
      </c>
      <c r="B1980" s="5">
        <v>4709853</v>
      </c>
      <c r="C1980" s="4" t="s">
        <v>106</v>
      </c>
      <c r="D1980" s="4" t="s">
        <v>71</v>
      </c>
      <c r="E1980" s="4" t="s">
        <v>9</v>
      </c>
      <c r="F1980" s="4" t="s">
        <v>2955</v>
      </c>
      <c r="G1980" s="6">
        <v>3.3</v>
      </c>
      <c r="H1980" s="7">
        <v>45346.3046875</v>
      </c>
      <c r="I1980" s="7" t="str">
        <f>TEXT(multilingual_mobile_app_reviews_2025[[#This Row],[Review_date]],"dd-mm-yyyy")</f>
        <v>24-02-2024</v>
      </c>
      <c r="J1980" s="7" t="str">
        <f>TEXT(multilingual_mobile_app_reviews_2025[[#This Row],[Review_date]],"YYYY")</f>
        <v>2024</v>
      </c>
      <c r="K1980" s="7" t="str">
        <f>TEXT(multilingual_mobile_app_reviews_2025[[#This Row],[Review_date]],"MMMM")</f>
        <v>February</v>
      </c>
      <c r="L1980" s="4" t="b">
        <v>1</v>
      </c>
      <c r="M1980" s="4" t="s">
        <v>33</v>
      </c>
      <c r="N1980" s="5">
        <v>565</v>
      </c>
      <c r="O1980" s="5">
        <v>33</v>
      </c>
      <c r="P1980" s="4" t="s">
        <v>11</v>
      </c>
      <c r="Q1980" s="8" t="s">
        <v>39</v>
      </c>
      <c r="R1980" s="4" t="s">
        <v>2329</v>
      </c>
      <c r="S1980" s="4"/>
      <c r="T1980"/>
      <c r="U1980" s="23"/>
    </row>
    <row r="1981" spans="1:21" ht="15.6" x14ac:dyDescent="0.3">
      <c r="A1981" s="4">
        <v>1980</v>
      </c>
      <c r="B1981" s="5">
        <v>5437828</v>
      </c>
      <c r="C1981" s="4" t="s">
        <v>244</v>
      </c>
      <c r="D1981" s="4" t="s">
        <v>42</v>
      </c>
      <c r="E1981" s="4" t="s">
        <v>2330</v>
      </c>
      <c r="F1981" s="4" t="s">
        <v>2948</v>
      </c>
      <c r="G1981" s="6">
        <v>2.5</v>
      </c>
      <c r="H1981" s="7">
        <v>45715.650335648148</v>
      </c>
      <c r="I1981" s="7" t="str">
        <f>TEXT(multilingual_mobile_app_reviews_2025[[#This Row],[Review_date]],"dd-mm-yyyy")</f>
        <v>27-02-2025</v>
      </c>
      <c r="J1981" s="7" t="str">
        <f>TEXT(multilingual_mobile_app_reviews_2025[[#This Row],[Review_date]],"YYYY")</f>
        <v>2025</v>
      </c>
      <c r="K1981" s="7" t="str">
        <f>TEXT(multilingual_mobile_app_reviews_2025[[#This Row],[Review_date]],"MMMM")</f>
        <v>February</v>
      </c>
      <c r="L1981" s="4" t="b">
        <v>1</v>
      </c>
      <c r="M1981" s="4" t="s">
        <v>33</v>
      </c>
      <c r="N1981" s="5">
        <v>748</v>
      </c>
      <c r="O1981" s="5">
        <v>34</v>
      </c>
      <c r="P1981" s="4" t="s">
        <v>230</v>
      </c>
      <c r="Q1981" s="8" t="s">
        <v>29</v>
      </c>
      <c r="R1981" s="4" t="s">
        <v>2331</v>
      </c>
      <c r="S1981" s="4"/>
      <c r="T1981"/>
      <c r="U1981" s="23"/>
    </row>
    <row r="1982" spans="1:21" ht="15.6" x14ac:dyDescent="0.3">
      <c r="A1982" s="4">
        <v>1981</v>
      </c>
      <c r="B1982" s="5">
        <v>3633909</v>
      </c>
      <c r="C1982" s="4" t="s">
        <v>84</v>
      </c>
      <c r="D1982" s="4" t="s">
        <v>63</v>
      </c>
      <c r="E1982" s="4" t="s">
        <v>2332</v>
      </c>
      <c r="F1982" s="4" t="s">
        <v>2953</v>
      </c>
      <c r="G1982" s="6">
        <v>2.7</v>
      </c>
      <c r="H1982" s="7">
        <v>45359.380347222221</v>
      </c>
      <c r="I1982" s="7" t="str">
        <f>TEXT(multilingual_mobile_app_reviews_2025[[#This Row],[Review_date]],"dd-mm-yyyy")</f>
        <v>08-03-2024</v>
      </c>
      <c r="J1982" s="7" t="str">
        <f>TEXT(multilingual_mobile_app_reviews_2025[[#This Row],[Review_date]],"YYYY")</f>
        <v>2024</v>
      </c>
      <c r="K1982" s="7" t="str">
        <f>TEXT(multilingual_mobile_app_reviews_2025[[#This Row],[Review_date]],"MMMM")</f>
        <v>March</v>
      </c>
      <c r="L1982" s="4" t="b">
        <v>1</v>
      </c>
      <c r="M1982" s="4" t="s">
        <v>22</v>
      </c>
      <c r="N1982" s="5">
        <v>703</v>
      </c>
      <c r="O1982" s="5">
        <v>70</v>
      </c>
      <c r="P1982" s="4" t="s">
        <v>23</v>
      </c>
      <c r="Q1982" s="8" t="s">
        <v>5</v>
      </c>
      <c r="R1982" s="4" t="s">
        <v>2333</v>
      </c>
      <c r="S1982" s="4"/>
      <c r="T1982"/>
      <c r="U1982" s="23"/>
    </row>
    <row r="1983" spans="1:21" ht="15.6" x14ac:dyDescent="0.3">
      <c r="A1983" s="4">
        <v>1982</v>
      </c>
      <c r="B1983" s="5">
        <v>8333534</v>
      </c>
      <c r="C1983" s="4" t="s">
        <v>69</v>
      </c>
      <c r="D1983" s="4" t="s">
        <v>60</v>
      </c>
      <c r="E1983" s="4" t="s">
        <v>2938</v>
      </c>
      <c r="F1983" s="4" t="s">
        <v>2940</v>
      </c>
      <c r="G1983" s="6">
        <v>3.7</v>
      </c>
      <c r="H1983" s="7">
        <v>45321.189571759256</v>
      </c>
      <c r="I1983" s="7" t="str">
        <f>TEXT(multilingual_mobile_app_reviews_2025[[#This Row],[Review_date]],"dd-mm-yyyy")</f>
        <v>30-01-2024</v>
      </c>
      <c r="J1983" s="7" t="str">
        <f>TEXT(multilingual_mobile_app_reviews_2025[[#This Row],[Review_date]],"YYYY")</f>
        <v>2024</v>
      </c>
      <c r="K1983" s="7" t="str">
        <f>TEXT(multilingual_mobile_app_reviews_2025[[#This Row],[Review_date]],"MMMM")</f>
        <v>January</v>
      </c>
      <c r="L1983" s="4" t="b">
        <v>1</v>
      </c>
      <c r="M1983" s="4" t="s">
        <v>98</v>
      </c>
      <c r="N1983" s="5">
        <v>847</v>
      </c>
      <c r="O1983" s="5">
        <v>19</v>
      </c>
      <c r="P1983" s="4" t="s">
        <v>17</v>
      </c>
      <c r="Q1983" s="8" t="s">
        <v>39</v>
      </c>
      <c r="R1983" s="4" t="s">
        <v>542</v>
      </c>
      <c r="S1983" s="4"/>
      <c r="T1983"/>
      <c r="U1983" s="23"/>
    </row>
    <row r="1984" spans="1:21" ht="15.6" x14ac:dyDescent="0.3">
      <c r="A1984" s="4">
        <v>1983</v>
      </c>
      <c r="B1984" s="5">
        <v>9119309</v>
      </c>
      <c r="C1984" s="4" t="s">
        <v>101</v>
      </c>
      <c r="D1984" s="4" t="s">
        <v>111</v>
      </c>
      <c r="E1984" s="4" t="s">
        <v>76</v>
      </c>
      <c r="F1984" s="4" t="s">
        <v>2958</v>
      </c>
      <c r="G1984" s="6">
        <v>3</v>
      </c>
      <c r="H1984" s="7">
        <v>45241.170659722222</v>
      </c>
      <c r="I1984" s="7" t="str">
        <f>TEXT(multilingual_mobile_app_reviews_2025[[#This Row],[Review_date]],"dd-mm-yyyy")</f>
        <v>11-11-2023</v>
      </c>
      <c r="J1984" s="7" t="str">
        <f>TEXT(multilingual_mobile_app_reviews_2025[[#This Row],[Review_date]],"YYYY")</f>
        <v>2023</v>
      </c>
      <c r="K1984" s="7" t="str">
        <f>TEXT(multilingual_mobile_app_reviews_2025[[#This Row],[Review_date]],"MMMM")</f>
        <v>November</v>
      </c>
      <c r="L1984" s="4" t="b">
        <v>1</v>
      </c>
      <c r="M1984" s="4" t="s">
        <v>22</v>
      </c>
      <c r="N1984" s="5">
        <v>257</v>
      </c>
      <c r="O1984" s="5">
        <v>61</v>
      </c>
      <c r="P1984" s="4" t="s">
        <v>34</v>
      </c>
      <c r="Q1984" s="8" t="s">
        <v>29</v>
      </c>
      <c r="R1984" s="4" t="s">
        <v>2334</v>
      </c>
      <c r="S1984" s="4"/>
      <c r="T1984"/>
      <c r="U1984" s="23"/>
    </row>
    <row r="1985" spans="1:21" ht="15.6" x14ac:dyDescent="0.3">
      <c r="A1985" s="4">
        <v>1984</v>
      </c>
      <c r="B1985" s="5">
        <v>2171885</v>
      </c>
      <c r="C1985" s="4" t="s">
        <v>75</v>
      </c>
      <c r="D1985" s="4" t="s">
        <v>157</v>
      </c>
      <c r="E1985" s="4" t="s">
        <v>130</v>
      </c>
      <c r="F1985" s="4" t="s">
        <v>2942</v>
      </c>
      <c r="G1985" s="6">
        <v>3.8</v>
      </c>
      <c r="H1985" s="7">
        <v>45214.204722222225</v>
      </c>
      <c r="I1985" s="7" t="str">
        <f>TEXT(multilingual_mobile_app_reviews_2025[[#This Row],[Review_date]],"dd-mm-yyyy")</f>
        <v>15-10-2023</v>
      </c>
      <c r="J1985" s="7" t="str">
        <f>TEXT(multilingual_mobile_app_reviews_2025[[#This Row],[Review_date]],"YYYY")</f>
        <v>2023</v>
      </c>
      <c r="K1985" s="7" t="str">
        <f>TEXT(multilingual_mobile_app_reviews_2025[[#This Row],[Review_date]],"MMMM")</f>
        <v>October</v>
      </c>
      <c r="L1985" s="4" t="b">
        <v>1</v>
      </c>
      <c r="M1985" s="4" t="s">
        <v>10</v>
      </c>
      <c r="N1985" s="5">
        <v>851</v>
      </c>
      <c r="O1985" s="5">
        <v>56</v>
      </c>
      <c r="P1985" s="4" t="s">
        <v>90</v>
      </c>
      <c r="Q1985" s="8" t="s">
        <v>12</v>
      </c>
      <c r="R1985" s="4" t="s">
        <v>2335</v>
      </c>
      <c r="S1985" s="4"/>
      <c r="T1985"/>
      <c r="U1985" s="23"/>
    </row>
    <row r="1986" spans="1:21" ht="15.6" x14ac:dyDescent="0.3">
      <c r="A1986" s="4">
        <v>1985</v>
      </c>
      <c r="B1986" s="5">
        <v>3762556</v>
      </c>
      <c r="C1986" s="4" t="s">
        <v>25</v>
      </c>
      <c r="D1986" s="4" t="s">
        <v>8</v>
      </c>
      <c r="E1986" s="4" t="s">
        <v>9</v>
      </c>
      <c r="F1986" s="4" t="s">
        <v>2950</v>
      </c>
      <c r="G1986" s="6">
        <v>4.5</v>
      </c>
      <c r="H1986" s="7">
        <v>45303.003842592596</v>
      </c>
      <c r="I1986" s="7" t="str">
        <f>TEXT(multilingual_mobile_app_reviews_2025[[#This Row],[Review_date]],"dd-mm-yyyy")</f>
        <v>12-01-2024</v>
      </c>
      <c r="J1986" s="7" t="str">
        <f>TEXT(multilingual_mobile_app_reviews_2025[[#This Row],[Review_date]],"YYYY")</f>
        <v>2024</v>
      </c>
      <c r="K1986" s="7" t="str">
        <f>TEXT(multilingual_mobile_app_reviews_2025[[#This Row],[Review_date]],"MMMM")</f>
        <v>January</v>
      </c>
      <c r="L1986" s="4" t="b">
        <v>1</v>
      </c>
      <c r="M1986" s="4" t="s">
        <v>10</v>
      </c>
      <c r="N1986" s="5">
        <v>244</v>
      </c>
      <c r="O1986" s="5">
        <v>57</v>
      </c>
      <c r="P1986" s="4" t="s">
        <v>90</v>
      </c>
      <c r="Q1986" s="8" t="s">
        <v>12</v>
      </c>
      <c r="R1986" s="4" t="s">
        <v>2336</v>
      </c>
      <c r="S1986" s="4"/>
      <c r="T1986"/>
      <c r="U1986" s="23"/>
    </row>
    <row r="1987" spans="1:21" ht="15.6" x14ac:dyDescent="0.3">
      <c r="A1987" s="4">
        <v>1986</v>
      </c>
      <c r="B1987" s="5">
        <v>9675512</v>
      </c>
      <c r="C1987" s="4" t="s">
        <v>92</v>
      </c>
      <c r="D1987" s="4" t="s">
        <v>31</v>
      </c>
      <c r="E1987" s="4" t="s">
        <v>93</v>
      </c>
      <c r="F1987" s="4" t="s">
        <v>2960</v>
      </c>
      <c r="G1987" s="6">
        <v>1.3</v>
      </c>
      <c r="H1987" s="7">
        <v>45363.62226851852</v>
      </c>
      <c r="I1987" s="7" t="str">
        <f>TEXT(multilingual_mobile_app_reviews_2025[[#This Row],[Review_date]],"dd-mm-yyyy")</f>
        <v>12-03-2024</v>
      </c>
      <c r="J1987" s="7" t="str">
        <f>TEXT(multilingual_mobile_app_reviews_2025[[#This Row],[Review_date]],"YYYY")</f>
        <v>2024</v>
      </c>
      <c r="K1987" s="7" t="str">
        <f>TEXT(multilingual_mobile_app_reviews_2025[[#This Row],[Review_date]],"MMMM")</f>
        <v>March</v>
      </c>
      <c r="L1987" s="4" t="b">
        <v>1</v>
      </c>
      <c r="M1987" s="4" t="s">
        <v>22</v>
      </c>
      <c r="N1987" s="5">
        <v>166</v>
      </c>
      <c r="O1987" s="5">
        <v>73</v>
      </c>
      <c r="P1987" s="4" t="s">
        <v>180</v>
      </c>
      <c r="Q1987" s="8" t="s">
        <v>29</v>
      </c>
      <c r="R1987" s="4" t="s">
        <v>1089</v>
      </c>
      <c r="S1987" s="4"/>
      <c r="T1987"/>
      <c r="U1987" s="23"/>
    </row>
    <row r="1988" spans="1:21" ht="15.6" x14ac:dyDescent="0.3">
      <c r="A1988" s="4">
        <v>1987</v>
      </c>
      <c r="B1988" s="5">
        <v>2769548</v>
      </c>
      <c r="C1988" s="4" t="s">
        <v>101</v>
      </c>
      <c r="D1988" s="4" t="s">
        <v>60</v>
      </c>
      <c r="E1988" s="4" t="s">
        <v>2337</v>
      </c>
      <c r="F1988" s="4" t="s">
        <v>2955</v>
      </c>
      <c r="G1988" s="6">
        <v>5</v>
      </c>
      <c r="H1988" s="7">
        <v>45783.454479166663</v>
      </c>
      <c r="I1988" s="7" t="str">
        <f>TEXT(multilingual_mobile_app_reviews_2025[[#This Row],[Review_date]],"dd-mm-yyyy")</f>
        <v>06-05-2025</v>
      </c>
      <c r="J1988" s="7" t="str">
        <f>TEXT(multilingual_mobile_app_reviews_2025[[#This Row],[Review_date]],"YYYY")</f>
        <v>2025</v>
      </c>
      <c r="K1988" s="7" t="str">
        <f>TEXT(multilingual_mobile_app_reviews_2025[[#This Row],[Review_date]],"MMMM")</f>
        <v>May</v>
      </c>
      <c r="L1988" s="4" t="b">
        <v>1</v>
      </c>
      <c r="M1988" s="4" t="s">
        <v>22</v>
      </c>
      <c r="N1988" s="5">
        <v>174</v>
      </c>
      <c r="O1988" s="5">
        <v>49</v>
      </c>
      <c r="P1988" s="4" t="s">
        <v>90</v>
      </c>
      <c r="Q1988" s="8" t="s">
        <v>5</v>
      </c>
      <c r="R1988" s="4" t="s">
        <v>2338</v>
      </c>
      <c r="S1988" s="4"/>
      <c r="T1988"/>
      <c r="U1988" s="23"/>
    </row>
    <row r="1989" spans="1:21" ht="15.6" x14ac:dyDescent="0.3">
      <c r="A1989" s="4">
        <v>1988</v>
      </c>
      <c r="B1989" s="5">
        <v>7884988</v>
      </c>
      <c r="C1989" s="4" t="s">
        <v>25</v>
      </c>
      <c r="D1989" s="4" t="s">
        <v>47</v>
      </c>
      <c r="E1989" s="4" t="s">
        <v>27</v>
      </c>
      <c r="F1989" s="4" t="s">
        <v>2939</v>
      </c>
      <c r="G1989" s="6">
        <v>4.8</v>
      </c>
      <c r="H1989" s="7">
        <v>45648.556585648148</v>
      </c>
      <c r="I1989" s="7" t="str">
        <f>TEXT(multilingual_mobile_app_reviews_2025[[#This Row],[Review_date]],"dd-mm-yyyy")</f>
        <v>22-12-2024</v>
      </c>
      <c r="J1989" s="7" t="str">
        <f>TEXT(multilingual_mobile_app_reviews_2025[[#This Row],[Review_date]],"YYYY")</f>
        <v>2024</v>
      </c>
      <c r="K1989" s="7" t="str">
        <f>TEXT(multilingual_mobile_app_reviews_2025[[#This Row],[Review_date]],"MMMM")</f>
        <v>December</v>
      </c>
      <c r="L1989" s="4" t="b">
        <v>1</v>
      </c>
      <c r="M1989" s="4" t="s">
        <v>22</v>
      </c>
      <c r="N1989" s="5">
        <v>988</v>
      </c>
      <c r="O1989" s="5">
        <v>31</v>
      </c>
      <c r="P1989" s="4" t="s">
        <v>11</v>
      </c>
      <c r="Q1989" s="8" t="s">
        <v>2963</v>
      </c>
      <c r="R1989" s="4" t="s">
        <v>2339</v>
      </c>
      <c r="S1989" s="4"/>
      <c r="T1989"/>
      <c r="U1989" s="23"/>
    </row>
    <row r="1990" spans="1:21" ht="15.6" x14ac:dyDescent="0.3">
      <c r="A1990" s="4">
        <v>1989</v>
      </c>
      <c r="B1990" s="5">
        <v>1749587</v>
      </c>
      <c r="C1990" s="4" t="s">
        <v>137</v>
      </c>
      <c r="D1990" s="4" t="s">
        <v>20</v>
      </c>
      <c r="E1990" s="4" t="s">
        <v>2340</v>
      </c>
      <c r="F1990" s="4" t="s">
        <v>2948</v>
      </c>
      <c r="G1990" s="6">
        <v>2.5</v>
      </c>
      <c r="H1990" s="7">
        <v>45612.450972222221</v>
      </c>
      <c r="I1990" s="7" t="str">
        <f>TEXT(multilingual_mobile_app_reviews_2025[[#This Row],[Review_date]],"dd-mm-yyyy")</f>
        <v>16-11-2024</v>
      </c>
      <c r="J1990" s="7" t="str">
        <f>TEXT(multilingual_mobile_app_reviews_2025[[#This Row],[Review_date]],"YYYY")</f>
        <v>2024</v>
      </c>
      <c r="K1990" s="7" t="str">
        <f>TEXT(multilingual_mobile_app_reviews_2025[[#This Row],[Review_date]],"MMMM")</f>
        <v>November</v>
      </c>
      <c r="L1990" s="4" t="b">
        <v>0</v>
      </c>
      <c r="M1990" s="4" t="s">
        <v>10</v>
      </c>
      <c r="N1990" s="5">
        <v>463</v>
      </c>
      <c r="O1990" s="5">
        <v>64</v>
      </c>
      <c r="P1990" s="4" t="s">
        <v>11</v>
      </c>
      <c r="Q1990" s="8" t="s">
        <v>12</v>
      </c>
      <c r="R1990" s="4" t="s">
        <v>2341</v>
      </c>
      <c r="S1990" s="4"/>
      <c r="T1990"/>
      <c r="U1990" s="23"/>
    </row>
    <row r="1991" spans="1:21" ht="15.6" x14ac:dyDescent="0.3">
      <c r="A1991" s="4">
        <v>1990</v>
      </c>
      <c r="B1991" s="5">
        <v>8545000</v>
      </c>
      <c r="C1991" s="4" t="s">
        <v>54</v>
      </c>
      <c r="D1991" s="4" t="s">
        <v>220</v>
      </c>
      <c r="E1991" s="4" t="s">
        <v>21</v>
      </c>
      <c r="F1991" s="4" t="s">
        <v>2952</v>
      </c>
      <c r="G1991" s="6">
        <v>4.0999999999999996</v>
      </c>
      <c r="H1991" s="7">
        <v>45201.40898148148</v>
      </c>
      <c r="I1991" s="7" t="str">
        <f>TEXT(multilingual_mobile_app_reviews_2025[[#This Row],[Review_date]],"dd-mm-yyyy")</f>
        <v>02-10-2023</v>
      </c>
      <c r="J1991" s="7" t="str">
        <f>TEXT(multilingual_mobile_app_reviews_2025[[#This Row],[Review_date]],"YYYY")</f>
        <v>2023</v>
      </c>
      <c r="K1991" s="7" t="str">
        <f>TEXT(multilingual_mobile_app_reviews_2025[[#This Row],[Review_date]],"MMMM")</f>
        <v>October</v>
      </c>
      <c r="L1991" s="4" t="b">
        <v>1</v>
      </c>
      <c r="M1991" s="4" t="s">
        <v>33</v>
      </c>
      <c r="N1991" s="5">
        <v>633</v>
      </c>
      <c r="O1991" s="5">
        <v>64</v>
      </c>
      <c r="P1991" s="4" t="s">
        <v>4</v>
      </c>
      <c r="Q1991" s="8" t="s">
        <v>12</v>
      </c>
      <c r="R1991" s="4" t="s">
        <v>2342</v>
      </c>
      <c r="S1991" s="4"/>
      <c r="T1991"/>
      <c r="U1991" s="23"/>
    </row>
    <row r="1992" spans="1:21" ht="15.6" x14ac:dyDescent="0.3">
      <c r="A1992" s="4">
        <v>1991</v>
      </c>
      <c r="B1992" s="5">
        <v>9672822</v>
      </c>
      <c r="C1992" s="4" t="s">
        <v>176</v>
      </c>
      <c r="D1992" s="4" t="s">
        <v>60</v>
      </c>
      <c r="E1992" s="4" t="s">
        <v>2343</v>
      </c>
      <c r="F1992" s="4" t="s">
        <v>2946</v>
      </c>
      <c r="G1992" s="6">
        <v>2.2000000000000002</v>
      </c>
      <c r="H1992" s="7">
        <v>45692.520590277774</v>
      </c>
      <c r="I1992" s="7" t="str">
        <f>TEXT(multilingual_mobile_app_reviews_2025[[#This Row],[Review_date]],"dd-mm-yyyy")</f>
        <v>04-02-2025</v>
      </c>
      <c r="J1992" s="7" t="str">
        <f>TEXT(multilingual_mobile_app_reviews_2025[[#This Row],[Review_date]],"YYYY")</f>
        <v>2025</v>
      </c>
      <c r="K1992" s="7" t="str">
        <f>TEXT(multilingual_mobile_app_reviews_2025[[#This Row],[Review_date]],"MMMM")</f>
        <v>February</v>
      </c>
      <c r="L1992" s="4" t="b">
        <v>1</v>
      </c>
      <c r="M1992" s="4" t="s">
        <v>3</v>
      </c>
      <c r="N1992" s="5">
        <v>423</v>
      </c>
      <c r="O1992" s="5">
        <v>60</v>
      </c>
      <c r="P1992" s="4" t="s">
        <v>73</v>
      </c>
      <c r="Q1992" s="8" t="s">
        <v>5</v>
      </c>
      <c r="R1992" s="4" t="s">
        <v>2344</v>
      </c>
      <c r="S1992" s="4"/>
      <c r="T1992"/>
      <c r="U1992" s="23"/>
    </row>
    <row r="1993" spans="1:21" ht="15.6" x14ac:dyDescent="0.3">
      <c r="A1993" s="4">
        <v>1992</v>
      </c>
      <c r="B1993" s="5">
        <v>5514413</v>
      </c>
      <c r="C1993" s="4" t="s">
        <v>192</v>
      </c>
      <c r="D1993" s="4" t="s">
        <v>31</v>
      </c>
      <c r="E1993" s="4" t="s">
        <v>2345</v>
      </c>
      <c r="F1993" s="4" t="s">
        <v>2961</v>
      </c>
      <c r="G1993" s="6">
        <v>3.3</v>
      </c>
      <c r="H1993" s="7">
        <v>45329.069340277776</v>
      </c>
      <c r="I1993" s="7" t="str">
        <f>TEXT(multilingual_mobile_app_reviews_2025[[#This Row],[Review_date]],"dd-mm-yyyy")</f>
        <v>07-02-2024</v>
      </c>
      <c r="J1993" s="7" t="str">
        <f>TEXT(multilingual_mobile_app_reviews_2025[[#This Row],[Review_date]],"YYYY")</f>
        <v>2024</v>
      </c>
      <c r="K1993" s="7" t="str">
        <f>TEXT(multilingual_mobile_app_reviews_2025[[#This Row],[Review_date]],"MMMM")</f>
        <v>February</v>
      </c>
      <c r="L1993" s="4" t="b">
        <v>1</v>
      </c>
      <c r="M1993" s="4" t="s">
        <v>33</v>
      </c>
      <c r="N1993" s="5">
        <v>845</v>
      </c>
      <c r="O1993" s="5">
        <v>74</v>
      </c>
      <c r="P1993" s="4" t="s">
        <v>180</v>
      </c>
      <c r="Q1993" s="8" t="s">
        <v>12</v>
      </c>
      <c r="R1993" s="4" t="s">
        <v>2346</v>
      </c>
      <c r="S1993" s="4"/>
      <c r="T1993"/>
      <c r="U1993" s="23"/>
    </row>
    <row r="1994" spans="1:21" ht="15.6" x14ac:dyDescent="0.3">
      <c r="A1994" s="4">
        <v>1993</v>
      </c>
      <c r="B1994" s="5">
        <v>1271758</v>
      </c>
      <c r="C1994" s="4" t="s">
        <v>134</v>
      </c>
      <c r="D1994" s="4" t="s">
        <v>1</v>
      </c>
      <c r="E1994" s="4" t="s">
        <v>93</v>
      </c>
      <c r="F1994" s="4" t="s">
        <v>2939</v>
      </c>
      <c r="G1994" s="6">
        <v>4.2</v>
      </c>
      <c r="H1994" s="7">
        <v>45144.224699074075</v>
      </c>
      <c r="I1994" s="7" t="str">
        <f>TEXT(multilingual_mobile_app_reviews_2025[[#This Row],[Review_date]],"dd-mm-yyyy")</f>
        <v>06-08-2023</v>
      </c>
      <c r="J1994" s="7" t="str">
        <f>TEXT(multilingual_mobile_app_reviews_2025[[#This Row],[Review_date]],"YYYY")</f>
        <v>2023</v>
      </c>
      <c r="K1994" s="7" t="str">
        <f>TEXT(multilingual_mobile_app_reviews_2025[[#This Row],[Review_date]],"MMMM")</f>
        <v>August</v>
      </c>
      <c r="L1994" s="4" t="b">
        <v>0</v>
      </c>
      <c r="M1994" s="4" t="s">
        <v>22</v>
      </c>
      <c r="N1994" s="5">
        <v>801</v>
      </c>
      <c r="O1994" s="5">
        <v>40</v>
      </c>
      <c r="P1994" s="4" t="s">
        <v>11</v>
      </c>
      <c r="Q1994" s="8" t="s">
        <v>29</v>
      </c>
      <c r="R1994" s="4" t="s">
        <v>2347</v>
      </c>
      <c r="S1994" s="4"/>
      <c r="T1994"/>
      <c r="U1994" s="23"/>
    </row>
    <row r="1995" spans="1:21" ht="15.6" x14ac:dyDescent="0.3">
      <c r="A1995" s="4">
        <v>1994</v>
      </c>
      <c r="B1995" s="5">
        <v>642282</v>
      </c>
      <c r="C1995" s="4" t="s">
        <v>264</v>
      </c>
      <c r="D1995" s="4" t="s">
        <v>8</v>
      </c>
      <c r="E1995" s="4" t="s">
        <v>109</v>
      </c>
      <c r="F1995" s="4" t="s">
        <v>2959</v>
      </c>
      <c r="G1995" s="6">
        <v>1.8</v>
      </c>
      <c r="H1995" s="7">
        <v>45668.621655092589</v>
      </c>
      <c r="I1995" s="7" t="str">
        <f>TEXT(multilingual_mobile_app_reviews_2025[[#This Row],[Review_date]],"dd-mm-yyyy")</f>
        <v>11-01-2025</v>
      </c>
      <c r="J1995" s="7" t="str">
        <f>TEXT(multilingual_mobile_app_reviews_2025[[#This Row],[Review_date]],"YYYY")</f>
        <v>2025</v>
      </c>
      <c r="K1995" s="7" t="str">
        <f>TEXT(multilingual_mobile_app_reviews_2025[[#This Row],[Review_date]],"MMMM")</f>
        <v>January</v>
      </c>
      <c r="L1995" s="4" t="b">
        <v>0</v>
      </c>
      <c r="M1995" s="4" t="s">
        <v>3</v>
      </c>
      <c r="N1995" s="5">
        <v>100</v>
      </c>
      <c r="O1995" s="5">
        <v>58</v>
      </c>
      <c r="P1995" s="4" t="s">
        <v>65</v>
      </c>
      <c r="Q1995" s="8" t="s">
        <v>2963</v>
      </c>
      <c r="R1995" s="4" t="s">
        <v>2348</v>
      </c>
      <c r="S1995" s="4"/>
      <c r="T1995"/>
      <c r="U1995" s="23"/>
    </row>
    <row r="1996" spans="1:21" ht="15.6" x14ac:dyDescent="0.3">
      <c r="A1996" s="4">
        <v>1995</v>
      </c>
      <c r="B1996" s="5">
        <v>6917366</v>
      </c>
      <c r="C1996" s="4" t="s">
        <v>0</v>
      </c>
      <c r="D1996" s="4" t="s">
        <v>220</v>
      </c>
      <c r="E1996" s="4" t="s">
        <v>2349</v>
      </c>
      <c r="F1996" s="4" t="s">
        <v>2951</v>
      </c>
      <c r="G1996" s="6">
        <v>4.4000000000000004</v>
      </c>
      <c r="H1996" s="7">
        <v>45735.992997685185</v>
      </c>
      <c r="I1996" s="7" t="str">
        <f>TEXT(multilingual_mobile_app_reviews_2025[[#This Row],[Review_date]],"dd-mm-yyyy")</f>
        <v>19-03-2025</v>
      </c>
      <c r="J1996" s="7" t="str">
        <f>TEXT(multilingual_mobile_app_reviews_2025[[#This Row],[Review_date]],"YYYY")</f>
        <v>2025</v>
      </c>
      <c r="K1996" s="7" t="str">
        <f>TEXT(multilingual_mobile_app_reviews_2025[[#This Row],[Review_date]],"MMMM")</f>
        <v>March</v>
      </c>
      <c r="L1996" s="4" t="b">
        <v>1</v>
      </c>
      <c r="M1996" s="4" t="s">
        <v>3</v>
      </c>
      <c r="N1996" s="5">
        <v>675</v>
      </c>
      <c r="O1996" s="5">
        <v>39</v>
      </c>
      <c r="P1996" s="4" t="s">
        <v>70</v>
      </c>
      <c r="Q1996" s="8" t="s">
        <v>12</v>
      </c>
      <c r="R1996" s="4" t="s">
        <v>644</v>
      </c>
      <c r="S1996" s="4"/>
      <c r="T1996"/>
      <c r="U1996" s="23"/>
    </row>
    <row r="1997" spans="1:21" ht="15.6" x14ac:dyDescent="0.3">
      <c r="A1997" s="4">
        <v>1996</v>
      </c>
      <c r="B1997" s="5">
        <v>6196391</v>
      </c>
      <c r="C1997" s="4" t="s">
        <v>75</v>
      </c>
      <c r="D1997" s="4" t="s">
        <v>79</v>
      </c>
      <c r="E1997" s="4" t="s">
        <v>16</v>
      </c>
      <c r="F1997" s="4" t="s">
        <v>2951</v>
      </c>
      <c r="G1997" s="6">
        <v>3.8</v>
      </c>
      <c r="H1997" s="7">
        <v>45449.124282407407</v>
      </c>
      <c r="I1997" s="7" t="str">
        <f>TEXT(multilingual_mobile_app_reviews_2025[[#This Row],[Review_date]],"dd-mm-yyyy")</f>
        <v>06-06-2024</v>
      </c>
      <c r="J1997" s="7" t="str">
        <f>TEXT(multilingual_mobile_app_reviews_2025[[#This Row],[Review_date]],"YYYY")</f>
        <v>2024</v>
      </c>
      <c r="K1997" s="7" t="str">
        <f>TEXT(multilingual_mobile_app_reviews_2025[[#This Row],[Review_date]],"MMMM")</f>
        <v>June</v>
      </c>
      <c r="L1997" s="4" t="b">
        <v>0</v>
      </c>
      <c r="M1997" s="4" t="s">
        <v>3</v>
      </c>
      <c r="N1997" s="5">
        <v>675</v>
      </c>
      <c r="O1997" s="5">
        <v>22</v>
      </c>
      <c r="P1997" s="4" t="s">
        <v>114</v>
      </c>
      <c r="Q1997" s="8" t="s">
        <v>2963</v>
      </c>
      <c r="R1997" s="4" t="s">
        <v>2350</v>
      </c>
      <c r="S1997" s="4"/>
      <c r="T1997"/>
      <c r="U1997" s="23"/>
    </row>
    <row r="1998" spans="1:21" ht="15.6" x14ac:dyDescent="0.3">
      <c r="A1998" s="4">
        <v>1997</v>
      </c>
      <c r="B1998" s="5">
        <v>8682547</v>
      </c>
      <c r="C1998" s="4" t="s">
        <v>137</v>
      </c>
      <c r="D1998" s="4" t="s">
        <v>97</v>
      </c>
      <c r="E1998" s="4" t="s">
        <v>2351</v>
      </c>
      <c r="F1998" s="4" t="s">
        <v>2942</v>
      </c>
      <c r="G1998" s="6">
        <v>2.1</v>
      </c>
      <c r="H1998" s="7">
        <v>45513.717789351853</v>
      </c>
      <c r="I1998" s="7" t="str">
        <f>TEXT(multilingual_mobile_app_reviews_2025[[#This Row],[Review_date]],"dd-mm-yyyy")</f>
        <v>09-08-2024</v>
      </c>
      <c r="J1998" s="7" t="str">
        <f>TEXT(multilingual_mobile_app_reviews_2025[[#This Row],[Review_date]],"YYYY")</f>
        <v>2024</v>
      </c>
      <c r="K1998" s="7" t="str">
        <f>TEXT(multilingual_mobile_app_reviews_2025[[#This Row],[Review_date]],"MMMM")</f>
        <v>August</v>
      </c>
      <c r="L1998" s="4" t="b">
        <v>1</v>
      </c>
      <c r="M1998" s="4" t="s">
        <v>3</v>
      </c>
      <c r="N1998" s="5">
        <v>904</v>
      </c>
      <c r="O1998" s="5">
        <v>44</v>
      </c>
      <c r="P1998" s="4" t="s">
        <v>90</v>
      </c>
      <c r="Q1998" s="8" t="s">
        <v>39</v>
      </c>
      <c r="R1998" s="4" t="s">
        <v>2352</v>
      </c>
      <c r="S1998" s="4"/>
      <c r="T1998"/>
      <c r="U1998" s="23"/>
    </row>
    <row r="1999" spans="1:21" ht="15.6" x14ac:dyDescent="0.3">
      <c r="A1999" s="4">
        <v>1998</v>
      </c>
      <c r="B1999" s="5">
        <v>4537702</v>
      </c>
      <c r="C1999" s="4" t="s">
        <v>7</v>
      </c>
      <c r="D1999" s="4" t="s">
        <v>79</v>
      </c>
      <c r="E1999" s="4" t="s">
        <v>93</v>
      </c>
      <c r="F1999" s="4" t="s">
        <v>2956</v>
      </c>
      <c r="G1999" s="6">
        <v>2.2999999999999998</v>
      </c>
      <c r="H1999" s="7">
        <v>45214.318032407406</v>
      </c>
      <c r="I1999" s="7" t="str">
        <f>TEXT(multilingual_mobile_app_reviews_2025[[#This Row],[Review_date]],"dd-mm-yyyy")</f>
        <v>15-10-2023</v>
      </c>
      <c r="J1999" s="7" t="str">
        <f>TEXT(multilingual_mobile_app_reviews_2025[[#This Row],[Review_date]],"YYYY")</f>
        <v>2023</v>
      </c>
      <c r="K1999" s="7" t="str">
        <f>TEXT(multilingual_mobile_app_reviews_2025[[#This Row],[Review_date]],"MMMM")</f>
        <v>October</v>
      </c>
      <c r="L1999" s="4" t="b">
        <v>1</v>
      </c>
      <c r="M1999" s="4" t="s">
        <v>10</v>
      </c>
      <c r="N1999" s="5">
        <v>1154</v>
      </c>
      <c r="O1999" s="5">
        <v>55</v>
      </c>
      <c r="P1999" s="4" t="s">
        <v>118</v>
      </c>
      <c r="Q1999" s="8" t="s">
        <v>5</v>
      </c>
      <c r="R1999" s="4" t="s">
        <v>2353</v>
      </c>
      <c r="S1999" s="4"/>
      <c r="T1999"/>
      <c r="U1999" s="23"/>
    </row>
    <row r="2000" spans="1:21" ht="15.6" x14ac:dyDescent="0.3">
      <c r="A2000" s="4">
        <v>1999</v>
      </c>
      <c r="B2000" s="5">
        <v>1342680</v>
      </c>
      <c r="C2000" s="4" t="s">
        <v>87</v>
      </c>
      <c r="D2000" s="4" t="s">
        <v>26</v>
      </c>
      <c r="E2000" s="4" t="s">
        <v>2354</v>
      </c>
      <c r="F2000" s="4" t="s">
        <v>2949</v>
      </c>
      <c r="G2000" s="6">
        <v>4.4000000000000004</v>
      </c>
      <c r="H2000" s="7">
        <v>45579.777233796296</v>
      </c>
      <c r="I2000" s="7" t="str">
        <f>TEXT(multilingual_mobile_app_reviews_2025[[#This Row],[Review_date]],"dd-mm-yyyy")</f>
        <v>14-10-2024</v>
      </c>
      <c r="J2000" s="7" t="str">
        <f>TEXT(multilingual_mobile_app_reviews_2025[[#This Row],[Review_date]],"YYYY")</f>
        <v>2024</v>
      </c>
      <c r="K2000" s="7" t="str">
        <f>TEXT(multilingual_mobile_app_reviews_2025[[#This Row],[Review_date]],"MMMM")</f>
        <v>October</v>
      </c>
      <c r="L2000" s="4" t="b">
        <v>0</v>
      </c>
      <c r="M2000" s="4" t="s">
        <v>10</v>
      </c>
      <c r="N2000" s="5">
        <v>696</v>
      </c>
      <c r="O2000" s="5">
        <v>14</v>
      </c>
      <c r="P2000" s="4" t="s">
        <v>44</v>
      </c>
      <c r="Q2000" s="8" t="s">
        <v>12</v>
      </c>
      <c r="R2000" s="4" t="s">
        <v>2355</v>
      </c>
      <c r="S2000" s="4"/>
      <c r="T2000"/>
      <c r="U2000" s="23"/>
    </row>
    <row r="2001" spans="1:21" ht="15.6" x14ac:dyDescent="0.3">
      <c r="A2001" s="4">
        <v>2000</v>
      </c>
      <c r="B2001" s="5">
        <v>5212711</v>
      </c>
      <c r="C2001" s="4" t="s">
        <v>159</v>
      </c>
      <c r="D2001" s="4" t="s">
        <v>57</v>
      </c>
      <c r="E2001" s="4" t="s">
        <v>9</v>
      </c>
      <c r="F2001" s="4" t="s">
        <v>2950</v>
      </c>
      <c r="G2001" s="6">
        <v>4</v>
      </c>
      <c r="H2001" s="7">
        <v>45508.042916666665</v>
      </c>
      <c r="I2001" s="7" t="str">
        <f>TEXT(multilingual_mobile_app_reviews_2025[[#This Row],[Review_date]],"dd-mm-yyyy")</f>
        <v>04-08-2024</v>
      </c>
      <c r="J2001" s="7" t="str">
        <f>TEXT(multilingual_mobile_app_reviews_2025[[#This Row],[Review_date]],"YYYY")</f>
        <v>2024</v>
      </c>
      <c r="K2001" s="7" t="str">
        <f>TEXT(multilingual_mobile_app_reviews_2025[[#This Row],[Review_date]],"MMMM")</f>
        <v>August</v>
      </c>
      <c r="L2001" s="4" t="b">
        <v>0</v>
      </c>
      <c r="M2001" s="4" t="s">
        <v>3</v>
      </c>
      <c r="N2001" s="5">
        <v>31</v>
      </c>
      <c r="O2001" s="5">
        <v>72</v>
      </c>
      <c r="P2001" s="4" t="s">
        <v>80</v>
      </c>
      <c r="Q2001" s="8" t="s">
        <v>2963</v>
      </c>
      <c r="R2001" s="4" t="s">
        <v>2356</v>
      </c>
      <c r="S2001" s="4"/>
      <c r="T2001"/>
      <c r="U2001" s="23"/>
    </row>
    <row r="2002" spans="1:21" ht="15.6" x14ac:dyDescent="0.3">
      <c r="A2002" s="4">
        <v>2001</v>
      </c>
      <c r="B2002" s="5">
        <v>7479665</v>
      </c>
      <c r="C2002" s="4" t="s">
        <v>46</v>
      </c>
      <c r="D2002" s="4" t="s">
        <v>26</v>
      </c>
      <c r="E2002" s="4" t="s">
        <v>109</v>
      </c>
      <c r="F2002" s="4" t="s">
        <v>2946</v>
      </c>
      <c r="G2002" s="6">
        <v>1.5</v>
      </c>
      <c r="H2002" s="7">
        <v>45661.829305555555</v>
      </c>
      <c r="I2002" s="7" t="str">
        <f>TEXT(multilingual_mobile_app_reviews_2025[[#This Row],[Review_date]],"dd-mm-yyyy")</f>
        <v>04-01-2025</v>
      </c>
      <c r="J2002" s="7" t="str">
        <f>TEXT(multilingual_mobile_app_reviews_2025[[#This Row],[Review_date]],"YYYY")</f>
        <v>2025</v>
      </c>
      <c r="K2002" s="7" t="str">
        <f>TEXT(multilingual_mobile_app_reviews_2025[[#This Row],[Review_date]],"MMMM")</f>
        <v>January</v>
      </c>
      <c r="L2002" s="4" t="b">
        <v>1</v>
      </c>
      <c r="M2002" s="4" t="s">
        <v>22</v>
      </c>
      <c r="N2002" s="5">
        <v>59</v>
      </c>
      <c r="O2002" s="5">
        <v>70</v>
      </c>
      <c r="P2002" s="4" t="s">
        <v>17</v>
      </c>
      <c r="Q2002" s="8" t="s">
        <v>5</v>
      </c>
      <c r="R2002" s="4" t="s">
        <v>2357</v>
      </c>
      <c r="S2002" s="4"/>
      <c r="T2002"/>
      <c r="U2002" s="23"/>
    </row>
    <row r="2003" spans="1:21" ht="15.6" x14ac:dyDescent="0.3">
      <c r="A2003" s="4">
        <v>2002</v>
      </c>
      <c r="B2003" s="5">
        <v>2691094</v>
      </c>
      <c r="C2003" s="4" t="s">
        <v>25</v>
      </c>
      <c r="D2003" s="4" t="s">
        <v>157</v>
      </c>
      <c r="E2003" s="4" t="s">
        <v>109</v>
      </c>
      <c r="F2003" s="4" t="s">
        <v>2959</v>
      </c>
      <c r="G2003" s="6">
        <v>3.6</v>
      </c>
      <c r="H2003" s="7">
        <v>45716.552893518521</v>
      </c>
      <c r="I2003" s="7" t="str">
        <f>TEXT(multilingual_mobile_app_reviews_2025[[#This Row],[Review_date]],"dd-mm-yyyy")</f>
        <v>28-02-2025</v>
      </c>
      <c r="J2003" s="7" t="str">
        <f>TEXT(multilingual_mobile_app_reviews_2025[[#This Row],[Review_date]],"YYYY")</f>
        <v>2025</v>
      </c>
      <c r="K2003" s="7" t="str">
        <f>TEXT(multilingual_mobile_app_reviews_2025[[#This Row],[Review_date]],"MMMM")</f>
        <v>February</v>
      </c>
      <c r="L2003" s="4" t="b">
        <v>0</v>
      </c>
      <c r="M2003" s="4" t="s">
        <v>22</v>
      </c>
      <c r="N2003" s="5">
        <v>604</v>
      </c>
      <c r="O2003" s="5">
        <v>62</v>
      </c>
      <c r="P2003" s="4" t="s">
        <v>230</v>
      </c>
      <c r="Q2003" s="8" t="s">
        <v>2963</v>
      </c>
      <c r="R2003" s="4" t="s">
        <v>2358</v>
      </c>
      <c r="S2003" s="4"/>
      <c r="T2003"/>
      <c r="U2003" s="23"/>
    </row>
    <row r="2004" spans="1:21" ht="15.6" x14ac:dyDescent="0.3">
      <c r="A2004" s="4">
        <v>2003</v>
      </c>
      <c r="B2004" s="5">
        <v>2256762</v>
      </c>
      <c r="C2004" s="4" t="s">
        <v>134</v>
      </c>
      <c r="D2004" s="4" t="s">
        <v>42</v>
      </c>
      <c r="E2004" s="4" t="s">
        <v>2359</v>
      </c>
      <c r="F2004" s="4" t="s">
        <v>2950</v>
      </c>
      <c r="G2004" s="6">
        <v>2.6</v>
      </c>
      <c r="H2004" s="7">
        <v>45799.806712962964</v>
      </c>
      <c r="I2004" s="7" t="str">
        <f>TEXT(multilingual_mobile_app_reviews_2025[[#This Row],[Review_date]],"dd-mm-yyyy")</f>
        <v>22-05-2025</v>
      </c>
      <c r="J2004" s="7" t="str">
        <f>TEXT(multilingual_mobile_app_reviews_2025[[#This Row],[Review_date]],"YYYY")</f>
        <v>2025</v>
      </c>
      <c r="K2004" s="7" t="str">
        <f>TEXT(multilingual_mobile_app_reviews_2025[[#This Row],[Review_date]],"MMMM")</f>
        <v>May</v>
      </c>
      <c r="L2004" s="4" t="b">
        <v>1</v>
      </c>
      <c r="M2004" s="4" t="s">
        <v>3</v>
      </c>
      <c r="N2004" s="5">
        <v>69</v>
      </c>
      <c r="O2004" s="5">
        <v>33</v>
      </c>
      <c r="P2004" s="4" t="s">
        <v>230</v>
      </c>
      <c r="Q2004" s="8" t="s">
        <v>29</v>
      </c>
      <c r="R2004" s="4" t="s">
        <v>2360</v>
      </c>
      <c r="S2004" s="4"/>
      <c r="T2004"/>
      <c r="U2004" s="23"/>
    </row>
    <row r="2005" spans="1:21" ht="15.6" x14ac:dyDescent="0.3">
      <c r="A2005" s="4">
        <v>2004</v>
      </c>
      <c r="B2005" s="5">
        <v>9884981</v>
      </c>
      <c r="C2005" s="4" t="s">
        <v>244</v>
      </c>
      <c r="D2005" s="4" t="s">
        <v>26</v>
      </c>
      <c r="E2005" s="4" t="s">
        <v>2361</v>
      </c>
      <c r="F2005" s="4" t="s">
        <v>2957</v>
      </c>
      <c r="G2005" s="6">
        <v>1.2</v>
      </c>
      <c r="H2005" s="7">
        <v>45433.933865740742</v>
      </c>
      <c r="I2005" s="7" t="str">
        <f>TEXT(multilingual_mobile_app_reviews_2025[[#This Row],[Review_date]],"dd-mm-yyyy")</f>
        <v>21-05-2024</v>
      </c>
      <c r="J2005" s="7" t="str">
        <f>TEXT(multilingual_mobile_app_reviews_2025[[#This Row],[Review_date]],"YYYY")</f>
        <v>2024</v>
      </c>
      <c r="K2005" s="7" t="str">
        <f>TEXT(multilingual_mobile_app_reviews_2025[[#This Row],[Review_date]],"MMMM")</f>
        <v>May</v>
      </c>
      <c r="L2005" s="4" t="b">
        <v>1</v>
      </c>
      <c r="M2005" s="4" t="s">
        <v>10</v>
      </c>
      <c r="N2005" s="5">
        <v>1059</v>
      </c>
      <c r="O2005" s="5">
        <v>74</v>
      </c>
      <c r="P2005" s="4" t="s">
        <v>85</v>
      </c>
      <c r="Q2005" s="8" t="s">
        <v>29</v>
      </c>
      <c r="R2005" s="4" t="s">
        <v>2362</v>
      </c>
      <c r="S2005" s="4"/>
      <c r="T2005"/>
      <c r="U2005" s="23"/>
    </row>
    <row r="2006" spans="1:21" ht="15.6" x14ac:dyDescent="0.3">
      <c r="A2006" s="4">
        <v>2005</v>
      </c>
      <c r="B2006" s="5">
        <v>1186368</v>
      </c>
      <c r="C2006" s="4" t="s">
        <v>50</v>
      </c>
      <c r="D2006" s="4" t="s">
        <v>47</v>
      </c>
      <c r="E2006" s="4" t="s">
        <v>2938</v>
      </c>
      <c r="F2006" s="4" t="s">
        <v>2940</v>
      </c>
      <c r="G2006" s="6">
        <v>3.7</v>
      </c>
      <c r="H2006" s="7">
        <v>45349.738020833334</v>
      </c>
      <c r="I2006" s="7" t="str">
        <f>TEXT(multilingual_mobile_app_reviews_2025[[#This Row],[Review_date]],"dd-mm-yyyy")</f>
        <v>27-02-2024</v>
      </c>
      <c r="J2006" s="7" t="str">
        <f>TEXT(multilingual_mobile_app_reviews_2025[[#This Row],[Review_date]],"YYYY")</f>
        <v>2024</v>
      </c>
      <c r="K2006" s="7" t="str">
        <f>TEXT(multilingual_mobile_app_reviews_2025[[#This Row],[Review_date]],"MMMM")</f>
        <v>February</v>
      </c>
      <c r="L2006" s="4" t="b">
        <v>1</v>
      </c>
      <c r="M2006" s="4" t="s">
        <v>33</v>
      </c>
      <c r="N2006" s="5">
        <v>671</v>
      </c>
      <c r="O2006" s="5">
        <v>46</v>
      </c>
      <c r="P2006" s="4" t="s">
        <v>23</v>
      </c>
      <c r="Q2006" s="8" t="s">
        <v>39</v>
      </c>
      <c r="R2006" s="4" t="s">
        <v>2363</v>
      </c>
      <c r="S2006" s="4"/>
      <c r="T2006"/>
      <c r="U2006" s="23"/>
    </row>
    <row r="2007" spans="1:21" ht="15.6" x14ac:dyDescent="0.3">
      <c r="A2007" s="4">
        <v>2006</v>
      </c>
      <c r="B2007" s="5">
        <v>9071681</v>
      </c>
      <c r="C2007" s="4" t="s">
        <v>69</v>
      </c>
      <c r="D2007" s="4" t="s">
        <v>42</v>
      </c>
      <c r="E2007" s="4" t="s">
        <v>2364</v>
      </c>
      <c r="F2007" s="4" t="s">
        <v>2959</v>
      </c>
      <c r="G2007" s="6">
        <v>3.1</v>
      </c>
      <c r="H2007" s="7">
        <v>45354.400682870371</v>
      </c>
      <c r="I2007" s="7" t="str">
        <f>TEXT(multilingual_mobile_app_reviews_2025[[#This Row],[Review_date]],"dd-mm-yyyy")</f>
        <v>03-03-2024</v>
      </c>
      <c r="J2007" s="7" t="str">
        <f>TEXT(multilingual_mobile_app_reviews_2025[[#This Row],[Review_date]],"YYYY")</f>
        <v>2024</v>
      </c>
      <c r="K2007" s="7" t="str">
        <f>TEXT(multilingual_mobile_app_reviews_2025[[#This Row],[Review_date]],"MMMM")</f>
        <v>March</v>
      </c>
      <c r="L2007" s="4" t="b">
        <v>1</v>
      </c>
      <c r="M2007" s="4" t="s">
        <v>10</v>
      </c>
      <c r="N2007" s="5">
        <v>527</v>
      </c>
      <c r="O2007" s="5">
        <v>38</v>
      </c>
      <c r="P2007" s="4" t="s">
        <v>70</v>
      </c>
      <c r="Q2007" s="8" t="s">
        <v>5</v>
      </c>
      <c r="R2007" s="4" t="s">
        <v>2365</v>
      </c>
      <c r="S2007" s="4"/>
      <c r="T2007"/>
      <c r="U2007" s="23"/>
    </row>
    <row r="2008" spans="1:21" ht="15.6" x14ac:dyDescent="0.3">
      <c r="A2008" s="4">
        <v>2007</v>
      </c>
      <c r="B2008" s="5">
        <v>3287908</v>
      </c>
      <c r="C2008" s="4" t="s">
        <v>154</v>
      </c>
      <c r="D2008" s="4" t="s">
        <v>63</v>
      </c>
      <c r="E2008" s="4" t="s">
        <v>64</v>
      </c>
      <c r="F2008" s="4" t="s">
        <v>2954</v>
      </c>
      <c r="G2008" s="6">
        <v>4.8</v>
      </c>
      <c r="H2008" s="7">
        <v>45708.478148148148</v>
      </c>
      <c r="I2008" s="7" t="str">
        <f>TEXT(multilingual_mobile_app_reviews_2025[[#This Row],[Review_date]],"dd-mm-yyyy")</f>
        <v>20-02-2025</v>
      </c>
      <c r="J2008" s="7" t="str">
        <f>TEXT(multilingual_mobile_app_reviews_2025[[#This Row],[Review_date]],"YYYY")</f>
        <v>2025</v>
      </c>
      <c r="K2008" s="7" t="str">
        <f>TEXT(multilingual_mobile_app_reviews_2025[[#This Row],[Review_date]],"MMMM")</f>
        <v>February</v>
      </c>
      <c r="L2008" s="4" t="b">
        <v>1</v>
      </c>
      <c r="M2008" s="4" t="s">
        <v>3</v>
      </c>
      <c r="N2008" s="5">
        <v>1019</v>
      </c>
      <c r="O2008" s="5">
        <v>17</v>
      </c>
      <c r="P2008" s="4" t="s">
        <v>2963</v>
      </c>
      <c r="Q2008" s="8" t="s">
        <v>5</v>
      </c>
      <c r="R2008" s="4" t="s">
        <v>440</v>
      </c>
      <c r="S2008" s="4"/>
      <c r="T2008"/>
      <c r="U2008" s="23"/>
    </row>
    <row r="2009" spans="1:21" ht="15.6" x14ac:dyDescent="0.3">
      <c r="A2009" s="4">
        <v>2008</v>
      </c>
      <c r="B2009" s="5">
        <v>2323802</v>
      </c>
      <c r="C2009" s="4" t="s">
        <v>56</v>
      </c>
      <c r="D2009" s="4" t="s">
        <v>111</v>
      </c>
      <c r="E2009" s="4" t="s">
        <v>93</v>
      </c>
      <c r="F2009" s="4" t="s">
        <v>2956</v>
      </c>
      <c r="G2009" s="6">
        <v>1.2</v>
      </c>
      <c r="H2009" s="7">
        <v>45544.760833333334</v>
      </c>
      <c r="I2009" s="7" t="str">
        <f>TEXT(multilingual_mobile_app_reviews_2025[[#This Row],[Review_date]],"dd-mm-yyyy")</f>
        <v>09-09-2024</v>
      </c>
      <c r="J2009" s="7" t="str">
        <f>TEXT(multilingual_mobile_app_reviews_2025[[#This Row],[Review_date]],"YYYY")</f>
        <v>2024</v>
      </c>
      <c r="K2009" s="7" t="str">
        <f>TEXT(multilingual_mobile_app_reviews_2025[[#This Row],[Review_date]],"MMMM")</f>
        <v>September</v>
      </c>
      <c r="L2009" s="4" t="b">
        <v>1</v>
      </c>
      <c r="M2009" s="4" t="s">
        <v>10</v>
      </c>
      <c r="N2009" s="5">
        <v>1231</v>
      </c>
      <c r="O2009" s="5">
        <v>32</v>
      </c>
      <c r="P2009" s="4" t="s">
        <v>44</v>
      </c>
      <c r="Q2009" s="8" t="s">
        <v>12</v>
      </c>
      <c r="R2009" s="4" t="s">
        <v>2366</v>
      </c>
      <c r="S2009" s="4"/>
      <c r="T2009"/>
      <c r="U2009" s="23"/>
    </row>
    <row r="2010" spans="1:21" ht="15.6" x14ac:dyDescent="0.3">
      <c r="A2010" s="4">
        <v>2009</v>
      </c>
      <c r="B2010" s="5">
        <v>1121147</v>
      </c>
      <c r="C2010" s="4" t="s">
        <v>25</v>
      </c>
      <c r="D2010" s="4" t="s">
        <v>57</v>
      </c>
      <c r="E2010" s="4" t="s">
        <v>2367</v>
      </c>
      <c r="F2010" s="4" t="s">
        <v>2953</v>
      </c>
      <c r="G2010" s="6">
        <v>3.2</v>
      </c>
      <c r="H2010" s="7">
        <v>45745.819374999999</v>
      </c>
      <c r="I2010" s="7" t="str">
        <f>TEXT(multilingual_mobile_app_reviews_2025[[#This Row],[Review_date]],"dd-mm-yyyy")</f>
        <v>29-03-2025</v>
      </c>
      <c r="J2010" s="7" t="str">
        <f>TEXT(multilingual_mobile_app_reviews_2025[[#This Row],[Review_date]],"YYYY")</f>
        <v>2025</v>
      </c>
      <c r="K2010" s="7" t="str">
        <f>TEXT(multilingual_mobile_app_reviews_2025[[#This Row],[Review_date]],"MMMM")</f>
        <v>March</v>
      </c>
      <c r="L2010" s="4" t="b">
        <v>1</v>
      </c>
      <c r="M2010" s="4" t="s">
        <v>3</v>
      </c>
      <c r="N2010" s="5">
        <v>857</v>
      </c>
      <c r="O2010" s="5">
        <v>42</v>
      </c>
      <c r="P2010" s="4" t="s">
        <v>11</v>
      </c>
      <c r="Q2010" s="8" t="s">
        <v>29</v>
      </c>
      <c r="R2010" s="4" t="s">
        <v>2368</v>
      </c>
      <c r="S2010" s="4"/>
      <c r="T2010"/>
      <c r="U2010" s="23"/>
    </row>
    <row r="2011" spans="1:21" ht="15.6" x14ac:dyDescent="0.3">
      <c r="A2011" s="4">
        <v>2010</v>
      </c>
      <c r="B2011" s="5">
        <v>5449555</v>
      </c>
      <c r="C2011" s="4" t="s">
        <v>208</v>
      </c>
      <c r="D2011" s="4" t="s">
        <v>20</v>
      </c>
      <c r="E2011" s="4" t="s">
        <v>93</v>
      </c>
      <c r="F2011" s="4" t="s">
        <v>2955</v>
      </c>
      <c r="G2011" s="6">
        <v>4.3</v>
      </c>
      <c r="H2011" s="7">
        <v>45752.501932870371</v>
      </c>
      <c r="I2011" s="7" t="str">
        <f>TEXT(multilingual_mobile_app_reviews_2025[[#This Row],[Review_date]],"dd-mm-yyyy")</f>
        <v>05-04-2025</v>
      </c>
      <c r="J2011" s="7" t="str">
        <f>TEXT(multilingual_mobile_app_reviews_2025[[#This Row],[Review_date]],"YYYY")</f>
        <v>2025</v>
      </c>
      <c r="K2011" s="7" t="str">
        <f>TEXT(multilingual_mobile_app_reviews_2025[[#This Row],[Review_date]],"MMMM")</f>
        <v>April</v>
      </c>
      <c r="L2011" s="4" t="b">
        <v>0</v>
      </c>
      <c r="M2011" s="4" t="s">
        <v>3</v>
      </c>
      <c r="N2011" s="5">
        <v>1126</v>
      </c>
      <c r="O2011" s="5">
        <v>26</v>
      </c>
      <c r="P2011" s="4" t="s">
        <v>34</v>
      </c>
      <c r="Q2011" s="8" t="s">
        <v>2963</v>
      </c>
      <c r="R2011" s="4" t="s">
        <v>2369</v>
      </c>
      <c r="S2011" s="4"/>
      <c r="T2011"/>
      <c r="U2011" s="23"/>
    </row>
    <row r="2012" spans="1:21" ht="15.6" x14ac:dyDescent="0.3">
      <c r="A2012" s="4">
        <v>2011</v>
      </c>
      <c r="B2012" s="5">
        <v>1325651</v>
      </c>
      <c r="C2012" s="4" t="s">
        <v>89</v>
      </c>
      <c r="D2012" s="4" t="s">
        <v>157</v>
      </c>
      <c r="E2012" s="4" t="s">
        <v>130</v>
      </c>
      <c r="F2012" s="4" t="s">
        <v>2958</v>
      </c>
      <c r="G2012" s="6">
        <v>1</v>
      </c>
      <c r="H2012" s="7">
        <v>45291.44672453704</v>
      </c>
      <c r="I2012" s="7" t="str">
        <f>TEXT(multilingual_mobile_app_reviews_2025[[#This Row],[Review_date]],"dd-mm-yyyy")</f>
        <v>31-12-2023</v>
      </c>
      <c r="J2012" s="7" t="str">
        <f>TEXT(multilingual_mobile_app_reviews_2025[[#This Row],[Review_date]],"YYYY")</f>
        <v>2023</v>
      </c>
      <c r="K2012" s="7" t="str">
        <f>TEXT(multilingual_mobile_app_reviews_2025[[#This Row],[Review_date]],"MMMM")</f>
        <v>December</v>
      </c>
      <c r="L2012" s="4" t="b">
        <v>1</v>
      </c>
      <c r="M2012" s="4" t="s">
        <v>3</v>
      </c>
      <c r="N2012" s="5">
        <v>782</v>
      </c>
      <c r="O2012" s="5">
        <v>28</v>
      </c>
      <c r="P2012" s="4" t="s">
        <v>85</v>
      </c>
      <c r="Q2012" s="8" t="s">
        <v>5</v>
      </c>
      <c r="R2012" s="4" t="s">
        <v>170</v>
      </c>
      <c r="S2012" s="4"/>
      <c r="T2012"/>
      <c r="U2012" s="23"/>
    </row>
    <row r="2013" spans="1:21" ht="15.6" x14ac:dyDescent="0.3">
      <c r="A2013" s="4">
        <v>2012</v>
      </c>
      <c r="B2013" s="5">
        <v>2052975</v>
      </c>
      <c r="C2013" s="4" t="s">
        <v>208</v>
      </c>
      <c r="D2013" s="4" t="s">
        <v>1</v>
      </c>
      <c r="E2013" s="4" t="s">
        <v>109</v>
      </c>
      <c r="F2013" s="4" t="s">
        <v>2954</v>
      </c>
      <c r="G2013" s="6">
        <v>2.8</v>
      </c>
      <c r="H2013" s="7">
        <v>45482.110648148147</v>
      </c>
      <c r="I2013" s="7" t="str">
        <f>TEXT(multilingual_mobile_app_reviews_2025[[#This Row],[Review_date]],"dd-mm-yyyy")</f>
        <v>09-07-2024</v>
      </c>
      <c r="J2013" s="7" t="str">
        <f>TEXT(multilingual_mobile_app_reviews_2025[[#This Row],[Review_date]],"YYYY")</f>
        <v>2024</v>
      </c>
      <c r="K2013" s="7" t="str">
        <f>TEXT(multilingual_mobile_app_reviews_2025[[#This Row],[Review_date]],"MMMM")</f>
        <v>July</v>
      </c>
      <c r="L2013" s="4" t="b">
        <v>1</v>
      </c>
      <c r="M2013" s="4" t="s">
        <v>3</v>
      </c>
      <c r="N2013" s="5">
        <v>831</v>
      </c>
      <c r="O2013" s="5">
        <v>66</v>
      </c>
      <c r="P2013" s="4" t="s">
        <v>70</v>
      </c>
      <c r="Q2013" s="8" t="s">
        <v>29</v>
      </c>
      <c r="R2013" s="4" t="s">
        <v>2370</v>
      </c>
      <c r="S2013" s="4"/>
      <c r="T2013"/>
      <c r="U2013" s="23"/>
    </row>
    <row r="2014" spans="1:21" ht="15.6" x14ac:dyDescent="0.3">
      <c r="A2014" s="4">
        <v>2013</v>
      </c>
      <c r="B2014" s="5">
        <v>8086555</v>
      </c>
      <c r="C2014" s="4" t="s">
        <v>46</v>
      </c>
      <c r="D2014" s="4" t="s">
        <v>31</v>
      </c>
      <c r="E2014" s="4" t="s">
        <v>130</v>
      </c>
      <c r="F2014" s="4" t="s">
        <v>2954</v>
      </c>
      <c r="G2014" s="6">
        <v>4.2</v>
      </c>
      <c r="H2014" s="7">
        <v>45292.200462962966</v>
      </c>
      <c r="I2014" s="7" t="str">
        <f>TEXT(multilingual_mobile_app_reviews_2025[[#This Row],[Review_date]],"dd-mm-yyyy")</f>
        <v>01-01-2024</v>
      </c>
      <c r="J2014" s="7" t="str">
        <f>TEXT(multilingual_mobile_app_reviews_2025[[#This Row],[Review_date]],"YYYY")</f>
        <v>2024</v>
      </c>
      <c r="K2014" s="7" t="str">
        <f>TEXT(multilingual_mobile_app_reviews_2025[[#This Row],[Review_date]],"MMMM")</f>
        <v>January</v>
      </c>
      <c r="L2014" s="4" t="b">
        <v>1</v>
      </c>
      <c r="M2014" s="4" t="s">
        <v>10</v>
      </c>
      <c r="N2014" s="5">
        <v>68</v>
      </c>
      <c r="O2014" s="5">
        <v>35</v>
      </c>
      <c r="P2014" s="4" t="s">
        <v>85</v>
      </c>
      <c r="Q2014" s="8" t="s">
        <v>2963</v>
      </c>
      <c r="R2014" s="4" t="s">
        <v>1610</v>
      </c>
      <c r="S2014" s="4"/>
      <c r="T2014"/>
      <c r="U2014" s="23"/>
    </row>
    <row r="2015" spans="1:21" ht="15.6" x14ac:dyDescent="0.3">
      <c r="A2015" s="4">
        <v>2014</v>
      </c>
      <c r="B2015" s="5">
        <v>9199439</v>
      </c>
      <c r="C2015" s="4" t="s">
        <v>101</v>
      </c>
      <c r="D2015" s="4" t="s">
        <v>57</v>
      </c>
      <c r="E2015" s="4" t="s">
        <v>2371</v>
      </c>
      <c r="F2015" s="4" t="s">
        <v>2955</v>
      </c>
      <c r="G2015" s="6">
        <v>2.9</v>
      </c>
      <c r="H2015" s="7">
        <v>45455.135682870372</v>
      </c>
      <c r="I2015" s="7" t="str">
        <f>TEXT(multilingual_mobile_app_reviews_2025[[#This Row],[Review_date]],"dd-mm-yyyy")</f>
        <v>12-06-2024</v>
      </c>
      <c r="J2015" s="7" t="str">
        <f>TEXT(multilingual_mobile_app_reviews_2025[[#This Row],[Review_date]],"YYYY")</f>
        <v>2024</v>
      </c>
      <c r="K2015" s="7" t="str">
        <f>TEXT(multilingual_mobile_app_reviews_2025[[#This Row],[Review_date]],"MMMM")</f>
        <v>June</v>
      </c>
      <c r="L2015" s="4" t="b">
        <v>1</v>
      </c>
      <c r="M2015" s="4" t="s">
        <v>22</v>
      </c>
      <c r="N2015" s="5">
        <v>774</v>
      </c>
      <c r="O2015" s="5">
        <v>33</v>
      </c>
      <c r="P2015" s="4" t="s">
        <v>73</v>
      </c>
      <c r="Q2015" s="8" t="s">
        <v>29</v>
      </c>
      <c r="R2015" s="4" t="s">
        <v>2372</v>
      </c>
      <c r="S2015" s="4"/>
      <c r="T2015"/>
      <c r="U2015" s="23"/>
    </row>
    <row r="2016" spans="1:21" ht="15.6" x14ac:dyDescent="0.3">
      <c r="A2016" s="4">
        <v>2015</v>
      </c>
      <c r="B2016" s="5">
        <v>4642317</v>
      </c>
      <c r="C2016" s="4" t="s">
        <v>87</v>
      </c>
      <c r="D2016" s="4" t="s">
        <v>79</v>
      </c>
      <c r="E2016" s="4" t="s">
        <v>76</v>
      </c>
      <c r="F2016" s="4" t="s">
        <v>2943</v>
      </c>
      <c r="G2016" s="6">
        <v>2.8</v>
      </c>
      <c r="H2016" s="7">
        <v>45521.495995370373</v>
      </c>
      <c r="I2016" s="7" t="str">
        <f>TEXT(multilingual_mobile_app_reviews_2025[[#This Row],[Review_date]],"dd-mm-yyyy")</f>
        <v>17-08-2024</v>
      </c>
      <c r="J2016" s="7" t="str">
        <f>TEXT(multilingual_mobile_app_reviews_2025[[#This Row],[Review_date]],"YYYY")</f>
        <v>2024</v>
      </c>
      <c r="K2016" s="7" t="str">
        <f>TEXT(multilingual_mobile_app_reviews_2025[[#This Row],[Review_date]],"MMMM")</f>
        <v>August</v>
      </c>
      <c r="L2016" s="4" t="b">
        <v>0</v>
      </c>
      <c r="M2016" s="4" t="s">
        <v>10</v>
      </c>
      <c r="N2016" s="5">
        <v>608</v>
      </c>
      <c r="O2016" s="5">
        <v>56</v>
      </c>
      <c r="P2016" s="4" t="s">
        <v>85</v>
      </c>
      <c r="Q2016" s="8" t="s">
        <v>2963</v>
      </c>
      <c r="R2016" s="4" t="s">
        <v>2373</v>
      </c>
      <c r="S2016" s="4"/>
      <c r="T2016"/>
      <c r="U2016" s="23"/>
    </row>
    <row r="2017" spans="1:21" ht="15.6" x14ac:dyDescent="0.3">
      <c r="A2017" s="4">
        <v>2016</v>
      </c>
      <c r="B2017" s="5">
        <v>3061713</v>
      </c>
      <c r="C2017" s="4" t="s">
        <v>137</v>
      </c>
      <c r="D2017" s="4" t="s">
        <v>63</v>
      </c>
      <c r="E2017" s="4" t="s">
        <v>2374</v>
      </c>
      <c r="F2017" s="4" t="s">
        <v>2954</v>
      </c>
      <c r="G2017" s="6">
        <v>3.9</v>
      </c>
      <c r="H2017" s="7">
        <v>45352.701053240744</v>
      </c>
      <c r="I2017" s="7" t="str">
        <f>TEXT(multilingual_mobile_app_reviews_2025[[#This Row],[Review_date]],"dd-mm-yyyy")</f>
        <v>01-03-2024</v>
      </c>
      <c r="J2017" s="7" t="str">
        <f>TEXT(multilingual_mobile_app_reviews_2025[[#This Row],[Review_date]],"YYYY")</f>
        <v>2024</v>
      </c>
      <c r="K2017" s="7" t="str">
        <f>TEXT(multilingual_mobile_app_reviews_2025[[#This Row],[Review_date]],"MMMM")</f>
        <v>March</v>
      </c>
      <c r="L2017" s="4" t="b">
        <v>0</v>
      </c>
      <c r="M2017" s="4" t="s">
        <v>3</v>
      </c>
      <c r="N2017" s="5">
        <v>511</v>
      </c>
      <c r="O2017" s="5">
        <v>63</v>
      </c>
      <c r="P2017" s="4" t="s">
        <v>17</v>
      </c>
      <c r="Q2017" s="8" t="s">
        <v>2963</v>
      </c>
      <c r="R2017" s="4" t="s">
        <v>2375</v>
      </c>
      <c r="S2017" s="4"/>
      <c r="T2017"/>
      <c r="U2017" s="23"/>
    </row>
    <row r="2018" spans="1:21" ht="15.6" x14ac:dyDescent="0.3">
      <c r="A2018" s="4">
        <v>2017</v>
      </c>
      <c r="B2018" s="5">
        <v>9516452</v>
      </c>
      <c r="C2018" s="4" t="s">
        <v>78</v>
      </c>
      <c r="D2018" s="4" t="s">
        <v>79</v>
      </c>
      <c r="E2018" s="4" t="s">
        <v>2376</v>
      </c>
      <c r="F2018" s="4" t="s">
        <v>2948</v>
      </c>
      <c r="G2018" s="6">
        <v>3.9</v>
      </c>
      <c r="H2018" s="7">
        <v>45504.331342592595</v>
      </c>
      <c r="I2018" s="7" t="str">
        <f>TEXT(multilingual_mobile_app_reviews_2025[[#This Row],[Review_date]],"dd-mm-yyyy")</f>
        <v>31-07-2024</v>
      </c>
      <c r="J2018" s="7" t="str">
        <f>TEXT(multilingual_mobile_app_reviews_2025[[#This Row],[Review_date]],"YYYY")</f>
        <v>2024</v>
      </c>
      <c r="K2018" s="7" t="str">
        <f>TEXT(multilingual_mobile_app_reviews_2025[[#This Row],[Review_date]],"MMMM")</f>
        <v>July</v>
      </c>
      <c r="L2018" s="4" t="b">
        <v>1</v>
      </c>
      <c r="M2018" s="4" t="s">
        <v>98</v>
      </c>
      <c r="N2018" s="5">
        <v>1193</v>
      </c>
      <c r="O2018" s="5">
        <v>27</v>
      </c>
      <c r="P2018" s="4" t="s">
        <v>230</v>
      </c>
      <c r="Q2018" s="8" t="s">
        <v>29</v>
      </c>
      <c r="R2018" s="4" t="s">
        <v>2377</v>
      </c>
      <c r="S2018" s="4"/>
      <c r="T2018"/>
      <c r="U2018" s="23"/>
    </row>
    <row r="2019" spans="1:21" ht="15.6" x14ac:dyDescent="0.3">
      <c r="A2019" s="4">
        <v>2018</v>
      </c>
      <c r="B2019" s="5">
        <v>2836881</v>
      </c>
      <c r="C2019" s="4" t="s">
        <v>75</v>
      </c>
      <c r="D2019" s="4" t="s">
        <v>8</v>
      </c>
      <c r="E2019" s="4" t="s">
        <v>27</v>
      </c>
      <c r="F2019" s="4" t="s">
        <v>2959</v>
      </c>
      <c r="G2019" s="6">
        <v>4.0999999999999996</v>
      </c>
      <c r="H2019" s="7">
        <v>45277.752581018518</v>
      </c>
      <c r="I2019" s="7" t="str">
        <f>TEXT(multilingual_mobile_app_reviews_2025[[#This Row],[Review_date]],"dd-mm-yyyy")</f>
        <v>17-12-2023</v>
      </c>
      <c r="J2019" s="7" t="str">
        <f>TEXT(multilingual_mobile_app_reviews_2025[[#This Row],[Review_date]],"YYYY")</f>
        <v>2023</v>
      </c>
      <c r="K2019" s="7" t="str">
        <f>TEXT(multilingual_mobile_app_reviews_2025[[#This Row],[Review_date]],"MMMM")</f>
        <v>December</v>
      </c>
      <c r="L2019" s="4" t="b">
        <v>1</v>
      </c>
      <c r="M2019" s="4" t="s">
        <v>33</v>
      </c>
      <c r="N2019" s="5">
        <v>308</v>
      </c>
      <c r="O2019" s="5">
        <v>28</v>
      </c>
      <c r="P2019" s="4" t="s">
        <v>114</v>
      </c>
      <c r="Q2019" s="8" t="s">
        <v>2963</v>
      </c>
      <c r="R2019" s="4" t="s">
        <v>2378</v>
      </c>
      <c r="S2019" s="4"/>
      <c r="T2019"/>
      <c r="U2019" s="23"/>
    </row>
    <row r="2020" spans="1:21" ht="15.6" x14ac:dyDescent="0.3">
      <c r="A2020" s="4">
        <v>2019</v>
      </c>
      <c r="B2020" s="5">
        <v>7348007</v>
      </c>
      <c r="C2020" s="4" t="s">
        <v>264</v>
      </c>
      <c r="D2020" s="4" t="s">
        <v>26</v>
      </c>
      <c r="E2020" s="4" t="s">
        <v>2379</v>
      </c>
      <c r="F2020" s="4" t="s">
        <v>2960</v>
      </c>
      <c r="G2020" s="6">
        <v>1.8</v>
      </c>
      <c r="H2020" s="7">
        <v>45289.248344907406</v>
      </c>
      <c r="I2020" s="7" t="str">
        <f>TEXT(multilingual_mobile_app_reviews_2025[[#This Row],[Review_date]],"dd-mm-yyyy")</f>
        <v>29-12-2023</v>
      </c>
      <c r="J2020" s="7" t="str">
        <f>TEXT(multilingual_mobile_app_reviews_2025[[#This Row],[Review_date]],"YYYY")</f>
        <v>2023</v>
      </c>
      <c r="K2020" s="7" t="str">
        <f>TEXT(multilingual_mobile_app_reviews_2025[[#This Row],[Review_date]],"MMMM")</f>
        <v>December</v>
      </c>
      <c r="L2020" s="4" t="b">
        <v>0</v>
      </c>
      <c r="M2020" s="4" t="s">
        <v>33</v>
      </c>
      <c r="N2020" s="5">
        <v>15</v>
      </c>
      <c r="O2020" s="5">
        <v>65</v>
      </c>
      <c r="P2020" s="4" t="s">
        <v>38</v>
      </c>
      <c r="Q2020" s="8" t="s">
        <v>5</v>
      </c>
      <c r="R2020" s="4" t="s">
        <v>2380</v>
      </c>
      <c r="S2020" s="4"/>
      <c r="T2020"/>
      <c r="U2020" s="23"/>
    </row>
    <row r="2021" spans="1:21" ht="15.6" x14ac:dyDescent="0.3">
      <c r="A2021" s="4">
        <v>2020</v>
      </c>
      <c r="B2021" s="5">
        <v>1923879</v>
      </c>
      <c r="C2021" s="4" t="s">
        <v>69</v>
      </c>
      <c r="D2021" s="4" t="s">
        <v>20</v>
      </c>
      <c r="E2021" s="4" t="s">
        <v>2381</v>
      </c>
      <c r="F2021" s="4" t="s">
        <v>2948</v>
      </c>
      <c r="G2021" s="6">
        <v>4.5999999999999996</v>
      </c>
      <c r="H2021" s="7">
        <v>45646.459444444445</v>
      </c>
      <c r="I2021" s="7" t="str">
        <f>TEXT(multilingual_mobile_app_reviews_2025[[#This Row],[Review_date]],"dd-mm-yyyy")</f>
        <v>20-12-2024</v>
      </c>
      <c r="J2021" s="7" t="str">
        <f>TEXT(multilingual_mobile_app_reviews_2025[[#This Row],[Review_date]],"YYYY")</f>
        <v>2024</v>
      </c>
      <c r="K2021" s="7" t="str">
        <f>TEXT(multilingual_mobile_app_reviews_2025[[#This Row],[Review_date]],"MMMM")</f>
        <v>December</v>
      </c>
      <c r="L2021" s="4" t="b">
        <v>1</v>
      </c>
      <c r="M2021" s="4" t="s">
        <v>3</v>
      </c>
      <c r="N2021" s="5">
        <v>1187</v>
      </c>
      <c r="O2021" s="5">
        <v>72</v>
      </c>
      <c r="P2021" s="4" t="s">
        <v>70</v>
      </c>
      <c r="Q2021" s="8" t="s">
        <v>39</v>
      </c>
      <c r="R2021" s="4" t="s">
        <v>2382</v>
      </c>
      <c r="S2021" s="4"/>
      <c r="T2021"/>
      <c r="U2021" s="23"/>
    </row>
    <row r="2022" spans="1:21" ht="15.6" x14ac:dyDescent="0.3">
      <c r="A2022" s="4">
        <v>2021</v>
      </c>
      <c r="B2022" s="5">
        <v>7094575</v>
      </c>
      <c r="C2022" s="4" t="s">
        <v>54</v>
      </c>
      <c r="D2022" s="4" t="s">
        <v>42</v>
      </c>
      <c r="E2022" s="4" t="s">
        <v>130</v>
      </c>
      <c r="F2022" s="4" t="s">
        <v>2958</v>
      </c>
      <c r="G2022" s="6">
        <v>1.7</v>
      </c>
      <c r="H2022" s="7">
        <v>45744.531817129631</v>
      </c>
      <c r="I2022" s="7" t="str">
        <f>TEXT(multilingual_mobile_app_reviews_2025[[#This Row],[Review_date]],"dd-mm-yyyy")</f>
        <v>28-03-2025</v>
      </c>
      <c r="J2022" s="7" t="str">
        <f>TEXT(multilingual_mobile_app_reviews_2025[[#This Row],[Review_date]],"YYYY")</f>
        <v>2025</v>
      </c>
      <c r="K2022" s="7" t="str">
        <f>TEXT(multilingual_mobile_app_reviews_2025[[#This Row],[Review_date]],"MMMM")</f>
        <v>March</v>
      </c>
      <c r="L2022" s="4" t="b">
        <v>0</v>
      </c>
      <c r="M2022" s="4" t="s">
        <v>33</v>
      </c>
      <c r="N2022" s="5">
        <v>196</v>
      </c>
      <c r="O2022" s="5">
        <v>49</v>
      </c>
      <c r="P2022" s="4" t="s">
        <v>127</v>
      </c>
      <c r="Q2022" s="8" t="s">
        <v>12</v>
      </c>
      <c r="R2022" s="4" t="s">
        <v>2383</v>
      </c>
      <c r="S2022" s="4"/>
      <c r="T2022"/>
      <c r="U2022" s="23"/>
    </row>
    <row r="2023" spans="1:21" ht="15.6" x14ac:dyDescent="0.3">
      <c r="A2023" s="4">
        <v>2022</v>
      </c>
      <c r="B2023" s="5">
        <v>4619499</v>
      </c>
      <c r="C2023" s="4" t="s">
        <v>92</v>
      </c>
      <c r="D2023" s="4" t="s">
        <v>8</v>
      </c>
      <c r="E2023" s="4" t="s">
        <v>27</v>
      </c>
      <c r="F2023" s="4" t="s">
        <v>2957</v>
      </c>
      <c r="G2023" s="6">
        <v>3.3</v>
      </c>
      <c r="H2023" s="7">
        <v>45316.533136574071</v>
      </c>
      <c r="I2023" s="7" t="str">
        <f>TEXT(multilingual_mobile_app_reviews_2025[[#This Row],[Review_date]],"dd-mm-yyyy")</f>
        <v>25-01-2024</v>
      </c>
      <c r="J2023" s="7" t="str">
        <f>TEXT(multilingual_mobile_app_reviews_2025[[#This Row],[Review_date]],"YYYY")</f>
        <v>2024</v>
      </c>
      <c r="K2023" s="7" t="str">
        <f>TEXT(multilingual_mobile_app_reviews_2025[[#This Row],[Review_date]],"MMMM")</f>
        <v>January</v>
      </c>
      <c r="L2023" s="4" t="b">
        <v>1</v>
      </c>
      <c r="M2023" s="4" t="s">
        <v>98</v>
      </c>
      <c r="N2023" s="5">
        <v>1027</v>
      </c>
      <c r="O2023" s="5">
        <v>36</v>
      </c>
      <c r="P2023" s="4" t="s">
        <v>230</v>
      </c>
      <c r="Q2023" s="8" t="s">
        <v>39</v>
      </c>
      <c r="R2023" s="4" t="s">
        <v>2384</v>
      </c>
      <c r="S2023" s="4"/>
      <c r="T2023"/>
      <c r="U2023" s="23"/>
    </row>
    <row r="2024" spans="1:21" ht="15.6" x14ac:dyDescent="0.3">
      <c r="A2024" s="4">
        <v>2023</v>
      </c>
      <c r="B2024" s="5">
        <v>8018538</v>
      </c>
      <c r="C2024" s="4" t="s">
        <v>41</v>
      </c>
      <c r="D2024" s="4" t="s">
        <v>8</v>
      </c>
      <c r="E2024" s="4" t="s">
        <v>2385</v>
      </c>
      <c r="F2024" s="4" t="s">
        <v>2953</v>
      </c>
      <c r="G2024" s="6">
        <v>1.1000000000000001</v>
      </c>
      <c r="H2024" s="7">
        <v>45456.393125000002</v>
      </c>
      <c r="I2024" s="7" t="str">
        <f>TEXT(multilingual_mobile_app_reviews_2025[[#This Row],[Review_date]],"dd-mm-yyyy")</f>
        <v>13-06-2024</v>
      </c>
      <c r="J2024" s="7" t="str">
        <f>TEXT(multilingual_mobile_app_reviews_2025[[#This Row],[Review_date]],"YYYY")</f>
        <v>2024</v>
      </c>
      <c r="K2024" s="7" t="str">
        <f>TEXT(multilingual_mobile_app_reviews_2025[[#This Row],[Review_date]],"MMMM")</f>
        <v>June</v>
      </c>
      <c r="L2024" s="4" t="b">
        <v>1</v>
      </c>
      <c r="M2024" s="4" t="s">
        <v>22</v>
      </c>
      <c r="N2024" s="5">
        <v>1034</v>
      </c>
      <c r="O2024" s="5">
        <v>22</v>
      </c>
      <c r="P2024" s="4" t="s">
        <v>90</v>
      </c>
      <c r="Q2024" s="8" t="s">
        <v>2963</v>
      </c>
      <c r="R2024" s="4" t="s">
        <v>2386</v>
      </c>
      <c r="S2024" s="4"/>
      <c r="T2024"/>
      <c r="U2024" s="23"/>
    </row>
    <row r="2025" spans="1:21" ht="15.6" x14ac:dyDescent="0.3">
      <c r="A2025" s="4">
        <v>2024</v>
      </c>
      <c r="B2025" s="5">
        <v>2447640</v>
      </c>
      <c r="C2025" s="4" t="s">
        <v>50</v>
      </c>
      <c r="D2025" s="4" t="s">
        <v>51</v>
      </c>
      <c r="E2025" s="4" t="s">
        <v>2387</v>
      </c>
      <c r="F2025" s="4" t="s">
        <v>2958</v>
      </c>
      <c r="G2025" s="6">
        <v>2.7</v>
      </c>
      <c r="H2025" s="7">
        <v>45503.838449074072</v>
      </c>
      <c r="I2025" s="7" t="str">
        <f>TEXT(multilingual_mobile_app_reviews_2025[[#This Row],[Review_date]],"dd-mm-yyyy")</f>
        <v>30-07-2024</v>
      </c>
      <c r="J2025" s="7" t="str">
        <f>TEXT(multilingual_mobile_app_reviews_2025[[#This Row],[Review_date]],"YYYY")</f>
        <v>2024</v>
      </c>
      <c r="K2025" s="7" t="str">
        <f>TEXT(multilingual_mobile_app_reviews_2025[[#This Row],[Review_date]],"MMMM")</f>
        <v>July</v>
      </c>
      <c r="L2025" s="4" t="b">
        <v>1</v>
      </c>
      <c r="M2025" s="4" t="s">
        <v>22</v>
      </c>
      <c r="N2025" s="5">
        <v>189</v>
      </c>
      <c r="O2025" s="5">
        <v>25</v>
      </c>
      <c r="P2025" s="4" t="s">
        <v>180</v>
      </c>
      <c r="Q2025" s="8" t="s">
        <v>39</v>
      </c>
      <c r="R2025" s="4" t="s">
        <v>2388</v>
      </c>
      <c r="S2025" s="4"/>
      <c r="T2025"/>
      <c r="U2025" s="23"/>
    </row>
    <row r="2026" spans="1:21" ht="15.6" x14ac:dyDescent="0.3">
      <c r="A2026" s="4">
        <v>2025</v>
      </c>
      <c r="B2026" s="5">
        <v>6644171</v>
      </c>
      <c r="C2026" s="4" t="s">
        <v>101</v>
      </c>
      <c r="D2026" s="4" t="s">
        <v>71</v>
      </c>
      <c r="E2026" s="4" t="s">
        <v>64</v>
      </c>
      <c r="F2026" s="4" t="s">
        <v>2949</v>
      </c>
      <c r="G2026" s="6">
        <v>1.7</v>
      </c>
      <c r="H2026" s="7">
        <v>45673.109074074076</v>
      </c>
      <c r="I2026" s="7" t="str">
        <f>TEXT(multilingual_mobile_app_reviews_2025[[#This Row],[Review_date]],"dd-mm-yyyy")</f>
        <v>16-01-2025</v>
      </c>
      <c r="J2026" s="7" t="str">
        <f>TEXT(multilingual_mobile_app_reviews_2025[[#This Row],[Review_date]],"YYYY")</f>
        <v>2025</v>
      </c>
      <c r="K2026" s="7" t="str">
        <f>TEXT(multilingual_mobile_app_reviews_2025[[#This Row],[Review_date]],"MMMM")</f>
        <v>January</v>
      </c>
      <c r="L2026" s="4" t="b">
        <v>0</v>
      </c>
      <c r="M2026" s="4" t="s">
        <v>98</v>
      </c>
      <c r="N2026" s="5">
        <v>1180</v>
      </c>
      <c r="O2026" s="5">
        <v>23</v>
      </c>
      <c r="P2026" s="4" t="s">
        <v>162</v>
      </c>
      <c r="Q2026" s="8" t="s">
        <v>2963</v>
      </c>
      <c r="R2026" s="4" t="s">
        <v>2389</v>
      </c>
      <c r="S2026" s="4"/>
      <c r="T2026"/>
      <c r="U2026" s="23"/>
    </row>
    <row r="2027" spans="1:21" ht="15.6" x14ac:dyDescent="0.3">
      <c r="A2027" s="4">
        <v>2026</v>
      </c>
      <c r="B2027" s="5">
        <v>8271197</v>
      </c>
      <c r="C2027" s="4" t="s">
        <v>113</v>
      </c>
      <c r="D2027" s="4" t="s">
        <v>15</v>
      </c>
      <c r="E2027" s="4" t="s">
        <v>64</v>
      </c>
      <c r="F2027" s="4" t="s">
        <v>2962</v>
      </c>
      <c r="G2027" s="6">
        <v>2.5</v>
      </c>
      <c r="H2027" s="7">
        <v>45332.93949074074</v>
      </c>
      <c r="I2027" s="7" t="str">
        <f>TEXT(multilingual_mobile_app_reviews_2025[[#This Row],[Review_date]],"dd-mm-yyyy")</f>
        <v>10-02-2024</v>
      </c>
      <c r="J2027" s="7" t="str">
        <f>TEXT(multilingual_mobile_app_reviews_2025[[#This Row],[Review_date]],"YYYY")</f>
        <v>2024</v>
      </c>
      <c r="K2027" s="7" t="str">
        <f>TEXT(multilingual_mobile_app_reviews_2025[[#This Row],[Review_date]],"MMMM")</f>
        <v>February</v>
      </c>
      <c r="L2027" s="4" t="b">
        <v>1</v>
      </c>
      <c r="M2027" s="4" t="s">
        <v>98</v>
      </c>
      <c r="N2027" s="5">
        <v>960</v>
      </c>
      <c r="O2027" s="5">
        <v>23</v>
      </c>
      <c r="P2027" s="4" t="s">
        <v>44</v>
      </c>
      <c r="Q2027" s="8" t="s">
        <v>29</v>
      </c>
      <c r="R2027" s="4" t="s">
        <v>160</v>
      </c>
      <c r="S2027" s="4"/>
      <c r="T2027"/>
      <c r="U2027" s="23"/>
    </row>
    <row r="2028" spans="1:21" ht="15.6" x14ac:dyDescent="0.3">
      <c r="A2028" s="4">
        <v>2027</v>
      </c>
      <c r="B2028" s="5">
        <v>9933367</v>
      </c>
      <c r="C2028" s="4" t="s">
        <v>159</v>
      </c>
      <c r="D2028" s="4" t="s">
        <v>71</v>
      </c>
      <c r="E2028" s="4" t="s">
        <v>16</v>
      </c>
      <c r="F2028" s="4" t="s">
        <v>2956</v>
      </c>
      <c r="G2028" s="6">
        <v>1.4</v>
      </c>
      <c r="H2028" s="7">
        <v>45430.1641087963</v>
      </c>
      <c r="I2028" s="7" t="str">
        <f>TEXT(multilingual_mobile_app_reviews_2025[[#This Row],[Review_date]],"dd-mm-yyyy")</f>
        <v>18-05-2024</v>
      </c>
      <c r="J2028" s="7" t="str">
        <f>TEXT(multilingual_mobile_app_reviews_2025[[#This Row],[Review_date]],"YYYY")</f>
        <v>2024</v>
      </c>
      <c r="K2028" s="7" t="str">
        <f>TEXT(multilingual_mobile_app_reviews_2025[[#This Row],[Review_date]],"MMMM")</f>
        <v>May</v>
      </c>
      <c r="L2028" s="4" t="b">
        <v>1</v>
      </c>
      <c r="M2028" s="4" t="s">
        <v>22</v>
      </c>
      <c r="N2028" s="5">
        <v>520</v>
      </c>
      <c r="O2028" s="5">
        <v>67</v>
      </c>
      <c r="P2028" s="4" t="s">
        <v>38</v>
      </c>
      <c r="Q2028" s="8" t="s">
        <v>5</v>
      </c>
      <c r="R2028" s="4" t="s">
        <v>2390</v>
      </c>
      <c r="S2028" s="4"/>
      <c r="T2028"/>
      <c r="U2028" s="23"/>
    </row>
    <row r="2029" spans="1:21" ht="15.6" x14ac:dyDescent="0.3">
      <c r="A2029" s="4">
        <v>2028</v>
      </c>
      <c r="B2029" s="5">
        <v>1801879</v>
      </c>
      <c r="C2029" s="4" t="s">
        <v>134</v>
      </c>
      <c r="D2029" s="4" t="s">
        <v>15</v>
      </c>
      <c r="E2029" s="4" t="s">
        <v>76</v>
      </c>
      <c r="F2029" s="4" t="s">
        <v>2948</v>
      </c>
      <c r="G2029" s="6">
        <v>2.1</v>
      </c>
      <c r="H2029" s="7">
        <v>45182.463738425926</v>
      </c>
      <c r="I2029" s="7" t="str">
        <f>TEXT(multilingual_mobile_app_reviews_2025[[#This Row],[Review_date]],"dd-mm-yyyy")</f>
        <v>13-09-2023</v>
      </c>
      <c r="J2029" s="7" t="str">
        <f>TEXT(multilingual_mobile_app_reviews_2025[[#This Row],[Review_date]],"YYYY")</f>
        <v>2023</v>
      </c>
      <c r="K2029" s="7" t="str">
        <f>TEXT(multilingual_mobile_app_reviews_2025[[#This Row],[Review_date]],"MMMM")</f>
        <v>September</v>
      </c>
      <c r="L2029" s="4" t="b">
        <v>0</v>
      </c>
      <c r="M2029" s="4" t="s">
        <v>10</v>
      </c>
      <c r="N2029" s="5">
        <v>626</v>
      </c>
      <c r="O2029" s="5">
        <v>17</v>
      </c>
      <c r="P2029" s="4" t="s">
        <v>114</v>
      </c>
      <c r="Q2029" s="8" t="s">
        <v>12</v>
      </c>
      <c r="R2029" s="4" t="s">
        <v>2391</v>
      </c>
      <c r="S2029" s="4"/>
      <c r="T2029"/>
      <c r="U2029" s="23"/>
    </row>
    <row r="2030" spans="1:21" ht="15.6" x14ac:dyDescent="0.3">
      <c r="A2030" s="4">
        <v>2029</v>
      </c>
      <c r="B2030" s="5">
        <v>5849416</v>
      </c>
      <c r="C2030" s="4" t="s">
        <v>199</v>
      </c>
      <c r="D2030" s="4" t="s">
        <v>47</v>
      </c>
      <c r="E2030" s="4" t="s">
        <v>64</v>
      </c>
      <c r="F2030" s="4" t="s">
        <v>2962</v>
      </c>
      <c r="G2030" s="6">
        <v>3.1</v>
      </c>
      <c r="H2030" s="7">
        <v>45353.289710648147</v>
      </c>
      <c r="I2030" s="7" t="str">
        <f>TEXT(multilingual_mobile_app_reviews_2025[[#This Row],[Review_date]],"dd-mm-yyyy")</f>
        <v>02-03-2024</v>
      </c>
      <c r="J2030" s="7" t="str">
        <f>TEXT(multilingual_mobile_app_reviews_2025[[#This Row],[Review_date]],"YYYY")</f>
        <v>2024</v>
      </c>
      <c r="K2030" s="7" t="str">
        <f>TEXT(multilingual_mobile_app_reviews_2025[[#This Row],[Review_date]],"MMMM")</f>
        <v>March</v>
      </c>
      <c r="L2030" s="4" t="b">
        <v>1</v>
      </c>
      <c r="M2030" s="4" t="s">
        <v>98</v>
      </c>
      <c r="N2030" s="5">
        <v>74</v>
      </c>
      <c r="O2030" s="5">
        <v>37</v>
      </c>
      <c r="P2030" s="4" t="s">
        <v>44</v>
      </c>
      <c r="Q2030" s="8" t="s">
        <v>29</v>
      </c>
      <c r="R2030" s="4" t="s">
        <v>2392</v>
      </c>
      <c r="S2030" s="4"/>
      <c r="T2030"/>
      <c r="U2030" s="23"/>
    </row>
    <row r="2031" spans="1:21" ht="15.6" x14ac:dyDescent="0.3">
      <c r="A2031" s="4">
        <v>2030</v>
      </c>
      <c r="B2031" s="5">
        <v>6298322</v>
      </c>
      <c r="C2031" s="4" t="s">
        <v>244</v>
      </c>
      <c r="D2031" s="4" t="s">
        <v>71</v>
      </c>
      <c r="E2031" s="4" t="s">
        <v>9</v>
      </c>
      <c r="F2031" s="4" t="s">
        <v>2959</v>
      </c>
      <c r="G2031" s="6">
        <v>3</v>
      </c>
      <c r="H2031" s="7">
        <v>45479.179525462961</v>
      </c>
      <c r="I2031" s="7" t="str">
        <f>TEXT(multilingual_mobile_app_reviews_2025[[#This Row],[Review_date]],"dd-mm-yyyy")</f>
        <v>06-07-2024</v>
      </c>
      <c r="J2031" s="7" t="str">
        <f>TEXT(multilingual_mobile_app_reviews_2025[[#This Row],[Review_date]],"YYYY")</f>
        <v>2024</v>
      </c>
      <c r="K2031" s="7" t="str">
        <f>TEXT(multilingual_mobile_app_reviews_2025[[#This Row],[Review_date]],"MMMM")</f>
        <v>July</v>
      </c>
      <c r="L2031" s="4" t="b">
        <v>1</v>
      </c>
      <c r="M2031" s="4" t="s">
        <v>33</v>
      </c>
      <c r="N2031" s="5">
        <v>216</v>
      </c>
      <c r="O2031" s="5">
        <v>71</v>
      </c>
      <c r="P2031" s="4" t="s">
        <v>44</v>
      </c>
      <c r="Q2031" s="8" t="s">
        <v>29</v>
      </c>
      <c r="R2031" s="4" t="s">
        <v>2393</v>
      </c>
      <c r="S2031" s="4"/>
      <c r="T2031"/>
      <c r="U2031" s="23"/>
    </row>
    <row r="2032" spans="1:21" ht="15.6" x14ac:dyDescent="0.3">
      <c r="A2032" s="4">
        <v>2031</v>
      </c>
      <c r="B2032" s="5">
        <v>1962787</v>
      </c>
      <c r="C2032" s="4" t="s">
        <v>101</v>
      </c>
      <c r="D2032" s="4" t="s">
        <v>60</v>
      </c>
      <c r="E2032" s="4" t="s">
        <v>2394</v>
      </c>
      <c r="F2032" s="4" t="s">
        <v>2941</v>
      </c>
      <c r="G2032" s="6">
        <v>2.7</v>
      </c>
      <c r="H2032" s="7">
        <v>45371.006296296298</v>
      </c>
      <c r="I2032" s="7" t="str">
        <f>TEXT(multilingual_mobile_app_reviews_2025[[#This Row],[Review_date]],"dd-mm-yyyy")</f>
        <v>20-03-2024</v>
      </c>
      <c r="J2032" s="7" t="str">
        <f>TEXT(multilingual_mobile_app_reviews_2025[[#This Row],[Review_date]],"YYYY")</f>
        <v>2024</v>
      </c>
      <c r="K2032" s="7" t="str">
        <f>TEXT(multilingual_mobile_app_reviews_2025[[#This Row],[Review_date]],"MMMM")</f>
        <v>March</v>
      </c>
      <c r="L2032" s="4" t="b">
        <v>1</v>
      </c>
      <c r="M2032" s="4" t="s">
        <v>98</v>
      </c>
      <c r="N2032" s="5">
        <v>363</v>
      </c>
      <c r="O2032" s="5">
        <v>71</v>
      </c>
      <c r="P2032" s="4" t="s">
        <v>94</v>
      </c>
      <c r="Q2032" s="8" t="s">
        <v>39</v>
      </c>
      <c r="R2032" s="4" t="s">
        <v>982</v>
      </c>
      <c r="S2032" s="4"/>
      <c r="T2032"/>
      <c r="U2032" s="23"/>
    </row>
    <row r="2033" spans="1:21" ht="15.6" x14ac:dyDescent="0.3">
      <c r="A2033" s="4">
        <v>2032</v>
      </c>
      <c r="B2033" s="5">
        <v>3455347</v>
      </c>
      <c r="C2033" s="4" t="s">
        <v>87</v>
      </c>
      <c r="D2033" s="4" t="s">
        <v>42</v>
      </c>
      <c r="E2033" s="4" t="s">
        <v>2395</v>
      </c>
      <c r="F2033" s="4" t="s">
        <v>2943</v>
      </c>
      <c r="G2033" s="6">
        <v>1.1000000000000001</v>
      </c>
      <c r="H2033" s="7">
        <v>45315.724328703705</v>
      </c>
      <c r="I2033" s="7" t="str">
        <f>TEXT(multilingual_mobile_app_reviews_2025[[#This Row],[Review_date]],"dd-mm-yyyy")</f>
        <v>24-01-2024</v>
      </c>
      <c r="J2033" s="7" t="str">
        <f>TEXT(multilingual_mobile_app_reviews_2025[[#This Row],[Review_date]],"YYYY")</f>
        <v>2024</v>
      </c>
      <c r="K2033" s="7" t="str">
        <f>TEXT(multilingual_mobile_app_reviews_2025[[#This Row],[Review_date]],"MMMM")</f>
        <v>January</v>
      </c>
      <c r="L2033" s="4" t="b">
        <v>1</v>
      </c>
      <c r="M2033" s="4" t="s">
        <v>22</v>
      </c>
      <c r="N2033" s="5">
        <v>52</v>
      </c>
      <c r="O2033" s="5">
        <v>35</v>
      </c>
      <c r="P2033" s="4" t="s">
        <v>38</v>
      </c>
      <c r="Q2033" s="8" t="s">
        <v>12</v>
      </c>
      <c r="R2033" s="4" t="s">
        <v>2396</v>
      </c>
      <c r="S2033" s="4"/>
      <c r="T2033"/>
      <c r="U2033" s="23"/>
    </row>
    <row r="2034" spans="1:21" ht="15.6" x14ac:dyDescent="0.3">
      <c r="A2034" s="4">
        <v>2033</v>
      </c>
      <c r="B2034" s="5">
        <v>6176771</v>
      </c>
      <c r="C2034" s="4" t="s">
        <v>154</v>
      </c>
      <c r="D2034" s="4" t="s">
        <v>220</v>
      </c>
      <c r="E2034" s="4" t="s">
        <v>9</v>
      </c>
      <c r="F2034" s="4" t="s">
        <v>2943</v>
      </c>
      <c r="G2034" s="6">
        <v>2</v>
      </c>
      <c r="H2034" s="7">
        <v>45397.536412037036</v>
      </c>
      <c r="I2034" s="7" t="str">
        <f>TEXT(multilingual_mobile_app_reviews_2025[[#This Row],[Review_date]],"dd-mm-yyyy")</f>
        <v>15-04-2024</v>
      </c>
      <c r="J2034" s="7" t="str">
        <f>TEXT(multilingual_mobile_app_reviews_2025[[#This Row],[Review_date]],"YYYY")</f>
        <v>2024</v>
      </c>
      <c r="K2034" s="7" t="str">
        <f>TEXT(multilingual_mobile_app_reviews_2025[[#This Row],[Review_date]],"MMMM")</f>
        <v>April</v>
      </c>
      <c r="L2034" s="4" t="b">
        <v>1</v>
      </c>
      <c r="M2034" s="4" t="s">
        <v>98</v>
      </c>
      <c r="N2034" s="5">
        <v>349</v>
      </c>
      <c r="O2034" s="5">
        <v>49</v>
      </c>
      <c r="P2034" s="4" t="s">
        <v>34</v>
      </c>
      <c r="Q2034" s="8" t="s">
        <v>2963</v>
      </c>
      <c r="R2034" s="4" t="s">
        <v>2397</v>
      </c>
      <c r="S2034" s="4"/>
      <c r="T2034"/>
      <c r="U2034" s="23"/>
    </row>
    <row r="2035" spans="1:21" ht="15.6" x14ac:dyDescent="0.3">
      <c r="A2035" s="4">
        <v>2034</v>
      </c>
      <c r="B2035" s="5">
        <v>4445732</v>
      </c>
      <c r="C2035" s="4" t="s">
        <v>192</v>
      </c>
      <c r="D2035" s="4" t="s">
        <v>51</v>
      </c>
      <c r="E2035" s="4" t="s">
        <v>9</v>
      </c>
      <c r="F2035" s="4" t="s">
        <v>2951</v>
      </c>
      <c r="G2035" s="6">
        <v>1.4</v>
      </c>
      <c r="H2035" s="7">
        <v>45337.220520833333</v>
      </c>
      <c r="I2035" s="7" t="str">
        <f>TEXT(multilingual_mobile_app_reviews_2025[[#This Row],[Review_date]],"dd-mm-yyyy")</f>
        <v>15-02-2024</v>
      </c>
      <c r="J2035" s="7" t="str">
        <f>TEXT(multilingual_mobile_app_reviews_2025[[#This Row],[Review_date]],"YYYY")</f>
        <v>2024</v>
      </c>
      <c r="K2035" s="7" t="str">
        <f>TEXT(multilingual_mobile_app_reviews_2025[[#This Row],[Review_date]],"MMMM")</f>
        <v>February</v>
      </c>
      <c r="L2035" s="4" t="b">
        <v>1</v>
      </c>
      <c r="M2035" s="4" t="s">
        <v>3</v>
      </c>
      <c r="N2035" s="5">
        <v>803</v>
      </c>
      <c r="O2035" s="5">
        <v>48</v>
      </c>
      <c r="P2035" s="4" t="s">
        <v>118</v>
      </c>
      <c r="Q2035" s="8" t="s">
        <v>12</v>
      </c>
      <c r="R2035" s="4" t="s">
        <v>2398</v>
      </c>
      <c r="S2035" s="4"/>
      <c r="T2035"/>
      <c r="U2035" s="23"/>
    </row>
    <row r="2036" spans="1:21" ht="15.6" x14ac:dyDescent="0.3">
      <c r="A2036" s="4">
        <v>2035</v>
      </c>
      <c r="B2036" s="5">
        <v>488196</v>
      </c>
      <c r="C2036" s="4" t="s">
        <v>208</v>
      </c>
      <c r="D2036" s="4" t="s">
        <v>63</v>
      </c>
      <c r="E2036" s="4" t="s">
        <v>2399</v>
      </c>
      <c r="F2036" s="4" t="s">
        <v>2953</v>
      </c>
      <c r="G2036" s="6">
        <v>4.5</v>
      </c>
      <c r="H2036" s="7">
        <v>45176.185115740744</v>
      </c>
      <c r="I2036" s="7" t="str">
        <f>TEXT(multilingual_mobile_app_reviews_2025[[#This Row],[Review_date]],"dd-mm-yyyy")</f>
        <v>07-09-2023</v>
      </c>
      <c r="J2036" s="7" t="str">
        <f>TEXT(multilingual_mobile_app_reviews_2025[[#This Row],[Review_date]],"YYYY")</f>
        <v>2023</v>
      </c>
      <c r="K2036" s="7" t="str">
        <f>TEXT(multilingual_mobile_app_reviews_2025[[#This Row],[Review_date]],"MMMM")</f>
        <v>September</v>
      </c>
      <c r="L2036" s="4" t="b">
        <v>1</v>
      </c>
      <c r="M2036" s="4" t="s">
        <v>10</v>
      </c>
      <c r="N2036" s="5">
        <v>488</v>
      </c>
      <c r="O2036" s="5">
        <v>16</v>
      </c>
      <c r="P2036" s="4" t="s">
        <v>17</v>
      </c>
      <c r="Q2036" s="8" t="s">
        <v>5</v>
      </c>
      <c r="R2036" s="4" t="s">
        <v>2400</v>
      </c>
      <c r="S2036" s="4"/>
      <c r="T2036"/>
      <c r="U2036" s="23"/>
    </row>
    <row r="2037" spans="1:21" ht="15.6" x14ac:dyDescent="0.3">
      <c r="A2037" s="4">
        <v>2036</v>
      </c>
      <c r="B2037" s="5">
        <v>1111437</v>
      </c>
      <c r="C2037" s="4" t="s">
        <v>199</v>
      </c>
      <c r="D2037" s="4" t="s">
        <v>8</v>
      </c>
      <c r="E2037" s="4" t="s">
        <v>27</v>
      </c>
      <c r="F2037" s="4" t="s">
        <v>2947</v>
      </c>
      <c r="G2037" s="6">
        <v>3.6</v>
      </c>
      <c r="H2037" s="7">
        <v>45848.012511574074</v>
      </c>
      <c r="I2037" s="7" t="str">
        <f>TEXT(multilingual_mobile_app_reviews_2025[[#This Row],[Review_date]],"dd-mm-yyyy")</f>
        <v>10-07-2025</v>
      </c>
      <c r="J2037" s="7" t="str">
        <f>TEXT(multilingual_mobile_app_reviews_2025[[#This Row],[Review_date]],"YYYY")</f>
        <v>2025</v>
      </c>
      <c r="K2037" s="7" t="str">
        <f>TEXT(multilingual_mobile_app_reviews_2025[[#This Row],[Review_date]],"MMMM")</f>
        <v>July</v>
      </c>
      <c r="L2037" s="4" t="b">
        <v>1</v>
      </c>
      <c r="M2037" s="4" t="s">
        <v>10</v>
      </c>
      <c r="N2037" s="5">
        <v>526</v>
      </c>
      <c r="O2037" s="5">
        <v>26</v>
      </c>
      <c r="P2037" s="4" t="s">
        <v>144</v>
      </c>
      <c r="Q2037" s="8" t="s">
        <v>2963</v>
      </c>
      <c r="R2037" s="4" t="s">
        <v>175</v>
      </c>
      <c r="S2037" s="4"/>
      <c r="T2037"/>
      <c r="U2037" s="23"/>
    </row>
    <row r="2038" spans="1:21" ht="15.6" x14ac:dyDescent="0.3">
      <c r="A2038" s="4">
        <v>2037</v>
      </c>
      <c r="B2038" s="5">
        <v>6365860</v>
      </c>
      <c r="C2038" s="4" t="s">
        <v>132</v>
      </c>
      <c r="D2038" s="4" t="s">
        <v>220</v>
      </c>
      <c r="E2038" s="4" t="s">
        <v>2401</v>
      </c>
      <c r="F2038" s="4" t="s">
        <v>2945</v>
      </c>
      <c r="G2038" s="6">
        <v>3.6</v>
      </c>
      <c r="H2038" s="7">
        <v>45287.144942129627</v>
      </c>
      <c r="I2038" s="7" t="str">
        <f>TEXT(multilingual_mobile_app_reviews_2025[[#This Row],[Review_date]],"dd-mm-yyyy")</f>
        <v>27-12-2023</v>
      </c>
      <c r="J2038" s="7" t="str">
        <f>TEXT(multilingual_mobile_app_reviews_2025[[#This Row],[Review_date]],"YYYY")</f>
        <v>2023</v>
      </c>
      <c r="K2038" s="7" t="str">
        <f>TEXT(multilingual_mobile_app_reviews_2025[[#This Row],[Review_date]],"MMMM")</f>
        <v>December</v>
      </c>
      <c r="L2038" s="4" t="b">
        <v>0</v>
      </c>
      <c r="M2038" s="4" t="s">
        <v>22</v>
      </c>
      <c r="N2038" s="5">
        <v>1209</v>
      </c>
      <c r="O2038" s="5">
        <v>54</v>
      </c>
      <c r="P2038" s="4" t="s">
        <v>23</v>
      </c>
      <c r="Q2038" s="8" t="s">
        <v>2963</v>
      </c>
      <c r="R2038" s="4" t="s">
        <v>2402</v>
      </c>
      <c r="S2038" s="4"/>
      <c r="T2038"/>
      <c r="U2038" s="23"/>
    </row>
    <row r="2039" spans="1:21" ht="15.6" x14ac:dyDescent="0.3">
      <c r="A2039" s="4">
        <v>2038</v>
      </c>
      <c r="B2039" s="5">
        <v>1326138</v>
      </c>
      <c r="C2039" s="4" t="s">
        <v>192</v>
      </c>
      <c r="D2039" s="4" t="s">
        <v>60</v>
      </c>
      <c r="E2039" s="4" t="s">
        <v>2403</v>
      </c>
      <c r="F2039" s="4" t="s">
        <v>2951</v>
      </c>
      <c r="G2039" s="6">
        <v>4.5999999999999996</v>
      </c>
      <c r="H2039" s="7">
        <v>45389.2815625</v>
      </c>
      <c r="I2039" s="7" t="str">
        <f>TEXT(multilingual_mobile_app_reviews_2025[[#This Row],[Review_date]],"dd-mm-yyyy")</f>
        <v>07-04-2024</v>
      </c>
      <c r="J2039" s="7" t="str">
        <f>TEXT(multilingual_mobile_app_reviews_2025[[#This Row],[Review_date]],"YYYY")</f>
        <v>2024</v>
      </c>
      <c r="K2039" s="7" t="str">
        <f>TEXT(multilingual_mobile_app_reviews_2025[[#This Row],[Review_date]],"MMMM")</f>
        <v>April</v>
      </c>
      <c r="L2039" s="4" t="b">
        <v>1</v>
      </c>
      <c r="M2039" s="4" t="s">
        <v>3</v>
      </c>
      <c r="N2039" s="5">
        <v>999</v>
      </c>
      <c r="O2039" s="5">
        <v>23</v>
      </c>
      <c r="P2039" s="4" t="s">
        <v>80</v>
      </c>
      <c r="Q2039" s="8" t="s">
        <v>12</v>
      </c>
      <c r="R2039" s="4" t="s">
        <v>2404</v>
      </c>
      <c r="S2039" s="4"/>
      <c r="T2039"/>
      <c r="U2039" s="23"/>
    </row>
    <row r="2040" spans="1:21" ht="15.6" x14ac:dyDescent="0.3">
      <c r="A2040" s="4">
        <v>2039</v>
      </c>
      <c r="B2040" s="5">
        <v>2624885</v>
      </c>
      <c r="C2040" s="4" t="s">
        <v>25</v>
      </c>
      <c r="D2040" s="4" t="s">
        <v>1</v>
      </c>
      <c r="E2040" s="4" t="s">
        <v>2405</v>
      </c>
      <c r="F2040" s="4" t="s">
        <v>2939</v>
      </c>
      <c r="G2040" s="6">
        <v>1.1000000000000001</v>
      </c>
      <c r="H2040" s="7">
        <v>45553.199421296296</v>
      </c>
      <c r="I2040" s="7" t="str">
        <f>TEXT(multilingual_mobile_app_reviews_2025[[#This Row],[Review_date]],"dd-mm-yyyy")</f>
        <v>18-09-2024</v>
      </c>
      <c r="J2040" s="7" t="str">
        <f>TEXT(multilingual_mobile_app_reviews_2025[[#This Row],[Review_date]],"YYYY")</f>
        <v>2024</v>
      </c>
      <c r="K2040" s="7" t="str">
        <f>TEXT(multilingual_mobile_app_reviews_2025[[#This Row],[Review_date]],"MMMM")</f>
        <v>September</v>
      </c>
      <c r="L2040" s="4" t="b">
        <v>1</v>
      </c>
      <c r="M2040" s="4" t="s">
        <v>10</v>
      </c>
      <c r="N2040" s="5">
        <v>730</v>
      </c>
      <c r="O2040" s="5">
        <v>38</v>
      </c>
      <c r="P2040" s="4" t="s">
        <v>85</v>
      </c>
      <c r="Q2040" s="8" t="s">
        <v>2963</v>
      </c>
      <c r="R2040" s="4" t="s">
        <v>2406</v>
      </c>
      <c r="S2040" s="4"/>
      <c r="T2040"/>
      <c r="U2040" s="23"/>
    </row>
    <row r="2041" spans="1:21" ht="15.6" x14ac:dyDescent="0.3">
      <c r="A2041" s="4">
        <v>2040</v>
      </c>
      <c r="B2041" s="5">
        <v>761904</v>
      </c>
      <c r="C2041" s="4" t="s">
        <v>113</v>
      </c>
      <c r="D2041" s="4" t="s">
        <v>60</v>
      </c>
      <c r="E2041" s="4" t="s">
        <v>109</v>
      </c>
      <c r="F2041" s="4" t="s">
        <v>2946</v>
      </c>
      <c r="G2041" s="6">
        <v>1.5</v>
      </c>
      <c r="H2041" s="7">
        <v>45744.305254629631</v>
      </c>
      <c r="I2041" s="7" t="str">
        <f>TEXT(multilingual_mobile_app_reviews_2025[[#This Row],[Review_date]],"dd-mm-yyyy")</f>
        <v>28-03-2025</v>
      </c>
      <c r="J2041" s="7" t="str">
        <f>TEXT(multilingual_mobile_app_reviews_2025[[#This Row],[Review_date]],"YYYY")</f>
        <v>2025</v>
      </c>
      <c r="K2041" s="7" t="str">
        <f>TEXT(multilingual_mobile_app_reviews_2025[[#This Row],[Review_date]],"MMMM")</f>
        <v>March</v>
      </c>
      <c r="L2041" s="4" t="b">
        <v>1</v>
      </c>
      <c r="M2041" s="4" t="s">
        <v>3</v>
      </c>
      <c r="N2041" s="5">
        <v>775</v>
      </c>
      <c r="O2041" s="5">
        <v>59</v>
      </c>
      <c r="P2041" s="4" t="s">
        <v>23</v>
      </c>
      <c r="Q2041" s="8" t="s">
        <v>39</v>
      </c>
      <c r="R2041" s="4" t="s">
        <v>2065</v>
      </c>
      <c r="S2041" s="4"/>
      <c r="T2041"/>
      <c r="U2041" s="23"/>
    </row>
    <row r="2042" spans="1:21" ht="15.6" x14ac:dyDescent="0.3">
      <c r="A2042" s="4">
        <v>2041</v>
      </c>
      <c r="B2042" s="5">
        <v>9160975</v>
      </c>
      <c r="C2042" s="4" t="s">
        <v>56</v>
      </c>
      <c r="D2042" s="4" t="s">
        <v>42</v>
      </c>
      <c r="E2042" s="4" t="s">
        <v>2938</v>
      </c>
      <c r="F2042" s="4" t="s">
        <v>2943</v>
      </c>
      <c r="G2042" s="6">
        <v>4.4000000000000004</v>
      </c>
      <c r="H2042" s="7">
        <v>45409.581446759257</v>
      </c>
      <c r="I2042" s="7" t="str">
        <f>TEXT(multilingual_mobile_app_reviews_2025[[#This Row],[Review_date]],"dd-mm-yyyy")</f>
        <v>27-04-2024</v>
      </c>
      <c r="J2042" s="7" t="str">
        <f>TEXT(multilingual_mobile_app_reviews_2025[[#This Row],[Review_date]],"YYYY")</f>
        <v>2024</v>
      </c>
      <c r="K2042" s="7" t="str">
        <f>TEXT(multilingual_mobile_app_reviews_2025[[#This Row],[Review_date]],"MMMM")</f>
        <v>April</v>
      </c>
      <c r="L2042" s="4" t="b">
        <v>1</v>
      </c>
      <c r="M2042" s="4" t="s">
        <v>22</v>
      </c>
      <c r="N2042" s="5">
        <v>1092</v>
      </c>
      <c r="O2042" s="5">
        <v>56</v>
      </c>
      <c r="P2042" s="4" t="s">
        <v>28</v>
      </c>
      <c r="Q2042" s="8" t="s">
        <v>39</v>
      </c>
      <c r="R2042" s="4" t="s">
        <v>1076</v>
      </c>
      <c r="S2042" s="4"/>
      <c r="T2042"/>
      <c r="U2042" s="23"/>
    </row>
    <row r="2043" spans="1:21" ht="15.6" x14ac:dyDescent="0.3">
      <c r="A2043" s="4">
        <v>2042</v>
      </c>
      <c r="B2043" s="5">
        <v>5593884</v>
      </c>
      <c r="C2043" s="4" t="s">
        <v>174</v>
      </c>
      <c r="D2043" s="4" t="s">
        <v>15</v>
      </c>
      <c r="E2043" s="4" t="s">
        <v>32</v>
      </c>
      <c r="F2043" s="4" t="s">
        <v>2945</v>
      </c>
      <c r="G2043" s="6">
        <v>3.2</v>
      </c>
      <c r="H2043" s="7">
        <v>45815.05914351852</v>
      </c>
      <c r="I2043" s="7" t="str">
        <f>TEXT(multilingual_mobile_app_reviews_2025[[#This Row],[Review_date]],"dd-mm-yyyy")</f>
        <v>07-06-2025</v>
      </c>
      <c r="J2043" s="7" t="str">
        <f>TEXT(multilingual_mobile_app_reviews_2025[[#This Row],[Review_date]],"YYYY")</f>
        <v>2025</v>
      </c>
      <c r="K2043" s="7" t="str">
        <f>TEXT(multilingual_mobile_app_reviews_2025[[#This Row],[Review_date]],"MMMM")</f>
        <v>June</v>
      </c>
      <c r="L2043" s="4" t="b">
        <v>1</v>
      </c>
      <c r="M2043" s="4" t="s">
        <v>33</v>
      </c>
      <c r="N2043" s="5">
        <v>105</v>
      </c>
      <c r="O2043" s="5">
        <v>26</v>
      </c>
      <c r="P2043" s="4" t="s">
        <v>94</v>
      </c>
      <c r="Q2043" s="8" t="s">
        <v>12</v>
      </c>
      <c r="R2043" s="4" t="s">
        <v>1507</v>
      </c>
      <c r="S2043" s="4"/>
      <c r="T2043"/>
      <c r="U2043" s="23"/>
    </row>
    <row r="2044" spans="1:21" ht="15.6" x14ac:dyDescent="0.3">
      <c r="A2044" s="4">
        <v>2043</v>
      </c>
      <c r="B2044" s="5">
        <v>3960502</v>
      </c>
      <c r="C2044" s="4" t="s">
        <v>46</v>
      </c>
      <c r="D2044" s="4" t="s">
        <v>20</v>
      </c>
      <c r="E2044" s="4" t="s">
        <v>2407</v>
      </c>
      <c r="F2044" s="4" t="s">
        <v>2948</v>
      </c>
      <c r="G2044" s="6">
        <v>1.9</v>
      </c>
      <c r="H2044" s="7">
        <v>45771.51866898148</v>
      </c>
      <c r="I2044" s="7" t="str">
        <f>TEXT(multilingual_mobile_app_reviews_2025[[#This Row],[Review_date]],"dd-mm-yyyy")</f>
        <v>24-04-2025</v>
      </c>
      <c r="J2044" s="7" t="str">
        <f>TEXT(multilingual_mobile_app_reviews_2025[[#This Row],[Review_date]],"YYYY")</f>
        <v>2025</v>
      </c>
      <c r="K2044" s="7" t="str">
        <f>TEXT(multilingual_mobile_app_reviews_2025[[#This Row],[Review_date]],"MMMM")</f>
        <v>April</v>
      </c>
      <c r="L2044" s="4" t="b">
        <v>1</v>
      </c>
      <c r="M2044" s="4" t="s">
        <v>33</v>
      </c>
      <c r="N2044" s="5">
        <v>450</v>
      </c>
      <c r="O2044" s="5">
        <v>13</v>
      </c>
      <c r="P2044" s="4" t="s">
        <v>127</v>
      </c>
      <c r="Q2044" s="8" t="s">
        <v>2963</v>
      </c>
      <c r="R2044" s="4" t="s">
        <v>2408</v>
      </c>
      <c r="S2044" s="4"/>
      <c r="T2044"/>
      <c r="U2044" s="23"/>
    </row>
    <row r="2045" spans="1:21" ht="15.6" x14ac:dyDescent="0.3">
      <c r="A2045" s="4">
        <v>2044</v>
      </c>
      <c r="B2045" s="5">
        <v>1657794</v>
      </c>
      <c r="C2045" s="4" t="s">
        <v>159</v>
      </c>
      <c r="D2045" s="4" t="s">
        <v>63</v>
      </c>
      <c r="E2045" s="4" t="s">
        <v>64</v>
      </c>
      <c r="F2045" s="4" t="s">
        <v>2946</v>
      </c>
      <c r="G2045" s="6">
        <v>4.5</v>
      </c>
      <c r="H2045" s="7">
        <v>45274.879965277774</v>
      </c>
      <c r="I2045" s="7" t="str">
        <f>TEXT(multilingual_mobile_app_reviews_2025[[#This Row],[Review_date]],"dd-mm-yyyy")</f>
        <v>14-12-2023</v>
      </c>
      <c r="J2045" s="7" t="str">
        <f>TEXT(multilingual_mobile_app_reviews_2025[[#This Row],[Review_date]],"YYYY")</f>
        <v>2023</v>
      </c>
      <c r="K2045" s="7" t="str">
        <f>TEXT(multilingual_mobile_app_reviews_2025[[#This Row],[Review_date]],"MMMM")</f>
        <v>December</v>
      </c>
      <c r="L2045" s="4" t="b">
        <v>1</v>
      </c>
      <c r="M2045" s="4" t="s">
        <v>10</v>
      </c>
      <c r="N2045" s="5">
        <v>61</v>
      </c>
      <c r="O2045" s="5">
        <v>18</v>
      </c>
      <c r="P2045" s="4" t="s">
        <v>4</v>
      </c>
      <c r="Q2045" s="8" t="s">
        <v>39</v>
      </c>
      <c r="R2045" s="4" t="s">
        <v>367</v>
      </c>
      <c r="S2045" s="4"/>
      <c r="T2045"/>
      <c r="U2045" s="23"/>
    </row>
    <row r="2046" spans="1:21" ht="15.6" x14ac:dyDescent="0.3">
      <c r="A2046" s="4">
        <v>2045</v>
      </c>
      <c r="B2046" s="5">
        <v>9802323</v>
      </c>
      <c r="C2046" s="4" t="s">
        <v>19</v>
      </c>
      <c r="D2046" s="4" t="s">
        <v>60</v>
      </c>
      <c r="E2046" s="4" t="s">
        <v>2409</v>
      </c>
      <c r="F2046" s="4" t="s">
        <v>2950</v>
      </c>
      <c r="G2046" s="6">
        <v>4.9000000000000004</v>
      </c>
      <c r="H2046" s="7">
        <v>45287.21770833333</v>
      </c>
      <c r="I2046" s="7" t="str">
        <f>TEXT(multilingual_mobile_app_reviews_2025[[#This Row],[Review_date]],"dd-mm-yyyy")</f>
        <v>27-12-2023</v>
      </c>
      <c r="J2046" s="7" t="str">
        <f>TEXT(multilingual_mobile_app_reviews_2025[[#This Row],[Review_date]],"YYYY")</f>
        <v>2023</v>
      </c>
      <c r="K2046" s="7" t="str">
        <f>TEXT(multilingual_mobile_app_reviews_2025[[#This Row],[Review_date]],"MMMM")</f>
        <v>December</v>
      </c>
      <c r="L2046" s="4" t="b">
        <v>1</v>
      </c>
      <c r="M2046" s="4" t="s">
        <v>3</v>
      </c>
      <c r="N2046" s="5">
        <v>1093</v>
      </c>
      <c r="O2046" s="5">
        <v>17</v>
      </c>
      <c r="P2046" s="4" t="s">
        <v>144</v>
      </c>
      <c r="Q2046" s="8" t="s">
        <v>39</v>
      </c>
      <c r="R2046" s="4" t="s">
        <v>2410</v>
      </c>
      <c r="S2046" s="4"/>
      <c r="T2046"/>
      <c r="U2046" s="23"/>
    </row>
    <row r="2047" spans="1:21" ht="15.6" x14ac:dyDescent="0.3">
      <c r="A2047" s="4">
        <v>2046</v>
      </c>
      <c r="B2047" s="5">
        <v>1623219</v>
      </c>
      <c r="C2047" s="4" t="s">
        <v>104</v>
      </c>
      <c r="D2047" s="4" t="s">
        <v>8</v>
      </c>
      <c r="E2047" s="4" t="s">
        <v>2411</v>
      </c>
      <c r="F2047" s="4" t="s">
        <v>2954</v>
      </c>
      <c r="G2047" s="6">
        <v>2.9</v>
      </c>
      <c r="H2047" s="7">
        <v>45804.912835648145</v>
      </c>
      <c r="I2047" s="7" t="str">
        <f>TEXT(multilingual_mobile_app_reviews_2025[[#This Row],[Review_date]],"dd-mm-yyyy")</f>
        <v>27-05-2025</v>
      </c>
      <c r="J2047" s="7" t="str">
        <f>TEXT(multilingual_mobile_app_reviews_2025[[#This Row],[Review_date]],"YYYY")</f>
        <v>2025</v>
      </c>
      <c r="K2047" s="7" t="str">
        <f>TEXT(multilingual_mobile_app_reviews_2025[[#This Row],[Review_date]],"MMMM")</f>
        <v>May</v>
      </c>
      <c r="L2047" s="4" t="b">
        <v>1</v>
      </c>
      <c r="M2047" s="4" t="s">
        <v>3</v>
      </c>
      <c r="N2047" s="5">
        <v>1108</v>
      </c>
      <c r="O2047" s="5">
        <v>70</v>
      </c>
      <c r="P2047" s="4" t="s">
        <v>44</v>
      </c>
      <c r="Q2047" s="8" t="s">
        <v>2963</v>
      </c>
      <c r="R2047" s="4" t="s">
        <v>736</v>
      </c>
      <c r="S2047" s="4"/>
      <c r="T2047"/>
      <c r="U2047" s="23"/>
    </row>
    <row r="2048" spans="1:21" ht="15.6" x14ac:dyDescent="0.3">
      <c r="A2048" s="4">
        <v>2047</v>
      </c>
      <c r="B2048" s="5">
        <v>6050561</v>
      </c>
      <c r="C2048" s="4" t="s">
        <v>59</v>
      </c>
      <c r="D2048" s="4" t="s">
        <v>26</v>
      </c>
      <c r="E2048" s="4" t="s">
        <v>76</v>
      </c>
      <c r="F2048" s="4" t="s">
        <v>2942</v>
      </c>
      <c r="G2048" s="6">
        <v>4.5999999999999996</v>
      </c>
      <c r="H2048" s="7">
        <v>45418.803356481483</v>
      </c>
      <c r="I2048" s="7" t="str">
        <f>TEXT(multilingual_mobile_app_reviews_2025[[#This Row],[Review_date]],"dd-mm-yyyy")</f>
        <v>06-05-2024</v>
      </c>
      <c r="J2048" s="7" t="str">
        <f>TEXT(multilingual_mobile_app_reviews_2025[[#This Row],[Review_date]],"YYYY")</f>
        <v>2024</v>
      </c>
      <c r="K2048" s="7" t="str">
        <f>TEXT(multilingual_mobile_app_reviews_2025[[#This Row],[Review_date]],"MMMM")</f>
        <v>May</v>
      </c>
      <c r="L2048" s="4" t="b">
        <v>1</v>
      </c>
      <c r="M2048" s="4" t="s">
        <v>33</v>
      </c>
      <c r="N2048" s="5">
        <v>1036</v>
      </c>
      <c r="O2048" s="5">
        <v>42</v>
      </c>
      <c r="P2048" s="4" t="s">
        <v>94</v>
      </c>
      <c r="Q2048" s="8" t="s">
        <v>29</v>
      </c>
      <c r="R2048" s="4" t="s">
        <v>1501</v>
      </c>
      <c r="S2048" s="4"/>
      <c r="T2048"/>
      <c r="U2048" s="23"/>
    </row>
    <row r="2049" spans="1:21" ht="15.6" x14ac:dyDescent="0.3">
      <c r="A2049" s="4">
        <v>2048</v>
      </c>
      <c r="B2049" s="5">
        <v>1195646</v>
      </c>
      <c r="C2049" s="4" t="s">
        <v>101</v>
      </c>
      <c r="D2049" s="4" t="s">
        <v>26</v>
      </c>
      <c r="E2049" s="4" t="s">
        <v>16</v>
      </c>
      <c r="F2049" s="4" t="s">
        <v>2942</v>
      </c>
      <c r="G2049" s="6">
        <v>1.1000000000000001</v>
      </c>
      <c r="H2049" s="7">
        <v>45476.091678240744</v>
      </c>
      <c r="I2049" s="7" t="str">
        <f>TEXT(multilingual_mobile_app_reviews_2025[[#This Row],[Review_date]],"dd-mm-yyyy")</f>
        <v>03-07-2024</v>
      </c>
      <c r="J2049" s="7" t="str">
        <f>TEXT(multilingual_mobile_app_reviews_2025[[#This Row],[Review_date]],"YYYY")</f>
        <v>2024</v>
      </c>
      <c r="K2049" s="7" t="str">
        <f>TEXT(multilingual_mobile_app_reviews_2025[[#This Row],[Review_date]],"MMMM")</f>
        <v>July</v>
      </c>
      <c r="L2049" s="4" t="b">
        <v>0</v>
      </c>
      <c r="M2049" s="4" t="s">
        <v>33</v>
      </c>
      <c r="N2049" s="5">
        <v>679</v>
      </c>
      <c r="O2049" s="5">
        <v>41</v>
      </c>
      <c r="P2049" s="4" t="s">
        <v>34</v>
      </c>
      <c r="Q2049" s="8" t="s">
        <v>29</v>
      </c>
      <c r="R2049" s="4" t="s">
        <v>2412</v>
      </c>
      <c r="S2049" s="4"/>
      <c r="T2049"/>
      <c r="U2049" s="23"/>
    </row>
    <row r="2050" spans="1:21" ht="15.6" x14ac:dyDescent="0.3">
      <c r="A2050" s="4">
        <v>2049</v>
      </c>
      <c r="B2050" s="5">
        <v>5144815</v>
      </c>
      <c r="C2050" s="4" t="s">
        <v>176</v>
      </c>
      <c r="D2050" s="4" t="s">
        <v>51</v>
      </c>
      <c r="E2050" s="4" t="s">
        <v>2413</v>
      </c>
      <c r="F2050" s="4" t="s">
        <v>2949</v>
      </c>
      <c r="G2050" s="6">
        <v>3.5</v>
      </c>
      <c r="H2050" s="7">
        <v>45146.081562500003</v>
      </c>
      <c r="I2050" s="7" t="str">
        <f>TEXT(multilingual_mobile_app_reviews_2025[[#This Row],[Review_date]],"dd-mm-yyyy")</f>
        <v>08-08-2023</v>
      </c>
      <c r="J2050" s="7" t="str">
        <f>TEXT(multilingual_mobile_app_reviews_2025[[#This Row],[Review_date]],"YYYY")</f>
        <v>2023</v>
      </c>
      <c r="K2050" s="7" t="str">
        <f>TEXT(multilingual_mobile_app_reviews_2025[[#This Row],[Review_date]],"MMMM")</f>
        <v>August</v>
      </c>
      <c r="L2050" s="4" t="b">
        <v>1</v>
      </c>
      <c r="M2050" s="4" t="s">
        <v>33</v>
      </c>
      <c r="N2050" s="5">
        <v>1042</v>
      </c>
      <c r="O2050" s="5">
        <v>36</v>
      </c>
      <c r="P2050" s="4" t="s">
        <v>38</v>
      </c>
      <c r="Q2050" s="8" t="s">
        <v>5</v>
      </c>
      <c r="R2050" s="4" t="s">
        <v>2414</v>
      </c>
      <c r="S2050" s="4"/>
      <c r="T2050"/>
      <c r="U2050" s="23"/>
    </row>
    <row r="2051" spans="1:21" ht="15.6" x14ac:dyDescent="0.3">
      <c r="A2051" s="4">
        <v>2050</v>
      </c>
      <c r="B2051" s="5">
        <v>8801033</v>
      </c>
      <c r="C2051" s="4" t="s">
        <v>0</v>
      </c>
      <c r="D2051" s="4" t="s">
        <v>97</v>
      </c>
      <c r="E2051" s="4" t="s">
        <v>2415</v>
      </c>
      <c r="F2051" s="4" t="s">
        <v>2946</v>
      </c>
      <c r="G2051" s="6">
        <v>3.9</v>
      </c>
      <c r="H2051" s="7">
        <v>45301.854629629626</v>
      </c>
      <c r="I2051" s="7" t="str">
        <f>TEXT(multilingual_mobile_app_reviews_2025[[#This Row],[Review_date]],"dd-mm-yyyy")</f>
        <v>10-01-2024</v>
      </c>
      <c r="J2051" s="7" t="str">
        <f>TEXT(multilingual_mobile_app_reviews_2025[[#This Row],[Review_date]],"YYYY")</f>
        <v>2024</v>
      </c>
      <c r="K2051" s="7" t="str">
        <f>TEXT(multilingual_mobile_app_reviews_2025[[#This Row],[Review_date]],"MMMM")</f>
        <v>January</v>
      </c>
      <c r="L2051" s="4" t="b">
        <v>0</v>
      </c>
      <c r="M2051" s="4" t="s">
        <v>98</v>
      </c>
      <c r="N2051" s="5">
        <v>569</v>
      </c>
      <c r="O2051" s="5">
        <v>26</v>
      </c>
      <c r="P2051" s="4" t="s">
        <v>70</v>
      </c>
      <c r="Q2051" s="8" t="s">
        <v>29</v>
      </c>
      <c r="R2051" s="4" t="s">
        <v>2416</v>
      </c>
      <c r="S2051" s="4"/>
      <c r="T2051"/>
      <c r="U2051" s="23"/>
    </row>
    <row r="2052" spans="1:21" ht="15.6" x14ac:dyDescent="0.3">
      <c r="A2052" s="4">
        <v>2051</v>
      </c>
      <c r="B2052" s="5">
        <v>5017143</v>
      </c>
      <c r="C2052" s="4" t="s">
        <v>59</v>
      </c>
      <c r="D2052" s="4" t="s">
        <v>1</v>
      </c>
      <c r="E2052" s="4" t="s">
        <v>2417</v>
      </c>
      <c r="F2052" s="4" t="s">
        <v>2944</v>
      </c>
      <c r="G2052" s="6">
        <v>4</v>
      </c>
      <c r="H2052" s="7">
        <v>45767.571493055555</v>
      </c>
      <c r="I2052" s="7" t="str">
        <f>TEXT(multilingual_mobile_app_reviews_2025[[#This Row],[Review_date]],"dd-mm-yyyy")</f>
        <v>20-04-2025</v>
      </c>
      <c r="J2052" s="7" t="str">
        <f>TEXT(multilingual_mobile_app_reviews_2025[[#This Row],[Review_date]],"YYYY")</f>
        <v>2025</v>
      </c>
      <c r="K2052" s="7" t="str">
        <f>TEXT(multilingual_mobile_app_reviews_2025[[#This Row],[Review_date]],"MMMM")</f>
        <v>April</v>
      </c>
      <c r="L2052" s="4" t="b">
        <v>0</v>
      </c>
      <c r="M2052" s="4" t="s">
        <v>98</v>
      </c>
      <c r="N2052" s="5">
        <v>9</v>
      </c>
      <c r="O2052" s="5">
        <v>16</v>
      </c>
      <c r="P2052" s="4" t="s">
        <v>44</v>
      </c>
      <c r="Q2052" s="8" t="s">
        <v>39</v>
      </c>
      <c r="R2052" s="4" t="s">
        <v>2418</v>
      </c>
      <c r="S2052" s="4"/>
      <c r="T2052"/>
      <c r="U2052" s="23"/>
    </row>
    <row r="2053" spans="1:21" ht="15.6" x14ac:dyDescent="0.3">
      <c r="A2053" s="4">
        <v>2052</v>
      </c>
      <c r="B2053" s="5">
        <v>3146988</v>
      </c>
      <c r="C2053" s="4" t="s">
        <v>14</v>
      </c>
      <c r="D2053" s="4" t="s">
        <v>63</v>
      </c>
      <c r="E2053" s="4" t="s">
        <v>2419</v>
      </c>
      <c r="F2053" s="4" t="s">
        <v>2952</v>
      </c>
      <c r="G2053" s="6">
        <v>3.3</v>
      </c>
      <c r="H2053" s="7">
        <v>45709.731458333335</v>
      </c>
      <c r="I2053" s="7" t="str">
        <f>TEXT(multilingual_mobile_app_reviews_2025[[#This Row],[Review_date]],"dd-mm-yyyy")</f>
        <v>21-02-2025</v>
      </c>
      <c r="J2053" s="7" t="str">
        <f>TEXT(multilingual_mobile_app_reviews_2025[[#This Row],[Review_date]],"YYYY")</f>
        <v>2025</v>
      </c>
      <c r="K2053" s="7" t="str">
        <f>TEXT(multilingual_mobile_app_reviews_2025[[#This Row],[Review_date]],"MMMM")</f>
        <v>February</v>
      </c>
      <c r="L2053" s="4" t="b">
        <v>1</v>
      </c>
      <c r="M2053" s="4" t="s">
        <v>33</v>
      </c>
      <c r="N2053" s="5">
        <v>330</v>
      </c>
      <c r="O2053" s="5">
        <v>24</v>
      </c>
      <c r="P2053" s="4" t="s">
        <v>44</v>
      </c>
      <c r="Q2053" s="8" t="s">
        <v>2963</v>
      </c>
      <c r="R2053" s="4" t="s">
        <v>2420</v>
      </c>
      <c r="S2053" s="4"/>
      <c r="T2053"/>
      <c r="U2053" s="23"/>
    </row>
    <row r="2054" spans="1:21" ht="15.6" x14ac:dyDescent="0.3">
      <c r="A2054" s="4">
        <v>2053</v>
      </c>
      <c r="B2054" s="5">
        <v>6939304</v>
      </c>
      <c r="C2054" s="4" t="s">
        <v>113</v>
      </c>
      <c r="D2054" s="4" t="s">
        <v>111</v>
      </c>
      <c r="E2054" s="4" t="s">
        <v>2421</v>
      </c>
      <c r="F2054" s="4" t="s">
        <v>2943</v>
      </c>
      <c r="G2054" s="6">
        <v>1.5</v>
      </c>
      <c r="H2054" s="7">
        <v>45270.719409722224</v>
      </c>
      <c r="I2054" s="7" t="str">
        <f>TEXT(multilingual_mobile_app_reviews_2025[[#This Row],[Review_date]],"dd-mm-yyyy")</f>
        <v>10-12-2023</v>
      </c>
      <c r="J2054" s="7" t="str">
        <f>TEXT(multilingual_mobile_app_reviews_2025[[#This Row],[Review_date]],"YYYY")</f>
        <v>2023</v>
      </c>
      <c r="K2054" s="7" t="str">
        <f>TEXT(multilingual_mobile_app_reviews_2025[[#This Row],[Review_date]],"MMMM")</f>
        <v>December</v>
      </c>
      <c r="L2054" s="4" t="b">
        <v>1</v>
      </c>
      <c r="M2054" s="4" t="s">
        <v>33</v>
      </c>
      <c r="N2054" s="5">
        <v>983</v>
      </c>
      <c r="O2054" s="5">
        <v>57</v>
      </c>
      <c r="P2054" s="4" t="s">
        <v>127</v>
      </c>
      <c r="Q2054" s="8" t="s">
        <v>29</v>
      </c>
      <c r="R2054" s="4" t="s">
        <v>2422</v>
      </c>
      <c r="S2054" s="4"/>
      <c r="T2054"/>
      <c r="U2054" s="23"/>
    </row>
    <row r="2055" spans="1:21" ht="15.6" x14ac:dyDescent="0.3">
      <c r="A2055" s="4">
        <v>2054</v>
      </c>
      <c r="B2055" s="5">
        <v>1779655</v>
      </c>
      <c r="C2055" s="4" t="s">
        <v>258</v>
      </c>
      <c r="D2055" s="4" t="s">
        <v>97</v>
      </c>
      <c r="E2055" s="4" t="s">
        <v>2423</v>
      </c>
      <c r="F2055" s="4" t="s">
        <v>2954</v>
      </c>
      <c r="G2055" s="6">
        <v>1.8</v>
      </c>
      <c r="H2055" s="7">
        <v>45389.663831018515</v>
      </c>
      <c r="I2055" s="7" t="str">
        <f>TEXT(multilingual_mobile_app_reviews_2025[[#This Row],[Review_date]],"dd-mm-yyyy")</f>
        <v>07-04-2024</v>
      </c>
      <c r="J2055" s="7" t="str">
        <f>TEXT(multilingual_mobile_app_reviews_2025[[#This Row],[Review_date]],"YYYY")</f>
        <v>2024</v>
      </c>
      <c r="K2055" s="7" t="str">
        <f>TEXT(multilingual_mobile_app_reviews_2025[[#This Row],[Review_date]],"MMMM")</f>
        <v>April</v>
      </c>
      <c r="L2055" s="4" t="b">
        <v>0</v>
      </c>
      <c r="M2055" s="4" t="s">
        <v>33</v>
      </c>
      <c r="N2055" s="5">
        <v>292</v>
      </c>
      <c r="O2055" s="5">
        <v>35</v>
      </c>
      <c r="P2055" s="4" t="s">
        <v>38</v>
      </c>
      <c r="Q2055" s="8" t="s">
        <v>2963</v>
      </c>
      <c r="R2055" s="4" t="s">
        <v>2424</v>
      </c>
      <c r="S2055" s="4"/>
      <c r="T2055"/>
      <c r="U2055" s="23"/>
    </row>
    <row r="2056" spans="1:21" ht="15.6" x14ac:dyDescent="0.3">
      <c r="A2056" s="4">
        <v>2055</v>
      </c>
      <c r="B2056" s="5">
        <v>9159463</v>
      </c>
      <c r="C2056" s="4" t="s">
        <v>89</v>
      </c>
      <c r="D2056" s="4" t="s">
        <v>15</v>
      </c>
      <c r="E2056" s="4" t="s">
        <v>2425</v>
      </c>
      <c r="F2056" s="4" t="s">
        <v>2952</v>
      </c>
      <c r="G2056" s="6">
        <v>2.4</v>
      </c>
      <c r="H2056" s="7">
        <v>45236.615636574075</v>
      </c>
      <c r="I2056" s="7" t="str">
        <f>TEXT(multilingual_mobile_app_reviews_2025[[#This Row],[Review_date]],"dd-mm-yyyy")</f>
        <v>06-11-2023</v>
      </c>
      <c r="J2056" s="7" t="str">
        <f>TEXT(multilingual_mobile_app_reviews_2025[[#This Row],[Review_date]],"YYYY")</f>
        <v>2023</v>
      </c>
      <c r="K2056" s="7" t="str">
        <f>TEXT(multilingual_mobile_app_reviews_2025[[#This Row],[Review_date]],"MMMM")</f>
        <v>November</v>
      </c>
      <c r="L2056" s="4" t="b">
        <v>1</v>
      </c>
      <c r="M2056" s="4" t="s">
        <v>98</v>
      </c>
      <c r="N2056" s="5">
        <v>95</v>
      </c>
      <c r="O2056" s="5">
        <v>31</v>
      </c>
      <c r="P2056" s="4" t="s">
        <v>80</v>
      </c>
      <c r="Q2056" s="8" t="s">
        <v>5</v>
      </c>
      <c r="R2056" s="4" t="s">
        <v>475</v>
      </c>
      <c r="S2056" s="4"/>
      <c r="T2056"/>
      <c r="U2056" s="23"/>
    </row>
    <row r="2057" spans="1:21" ht="15.6" x14ac:dyDescent="0.3">
      <c r="A2057" s="4">
        <v>2056</v>
      </c>
      <c r="B2057" s="5">
        <v>8735804</v>
      </c>
      <c r="C2057" s="4" t="s">
        <v>54</v>
      </c>
      <c r="D2057" s="4" t="s">
        <v>42</v>
      </c>
      <c r="E2057" s="4" t="s">
        <v>2426</v>
      </c>
      <c r="F2057" s="4" t="s">
        <v>2946</v>
      </c>
      <c r="G2057" s="6">
        <v>1.4</v>
      </c>
      <c r="H2057" s="7">
        <v>45652.448912037034</v>
      </c>
      <c r="I2057" s="7" t="str">
        <f>TEXT(multilingual_mobile_app_reviews_2025[[#This Row],[Review_date]],"dd-mm-yyyy")</f>
        <v>26-12-2024</v>
      </c>
      <c r="J2057" s="7" t="str">
        <f>TEXT(multilingual_mobile_app_reviews_2025[[#This Row],[Review_date]],"YYYY")</f>
        <v>2024</v>
      </c>
      <c r="K2057" s="7" t="str">
        <f>TEXT(multilingual_mobile_app_reviews_2025[[#This Row],[Review_date]],"MMMM")</f>
        <v>December</v>
      </c>
      <c r="L2057" s="4" t="b">
        <v>1</v>
      </c>
      <c r="M2057" s="4" t="s">
        <v>3</v>
      </c>
      <c r="N2057" s="5">
        <v>436</v>
      </c>
      <c r="O2057" s="5">
        <v>60</v>
      </c>
      <c r="P2057" s="4" t="s">
        <v>73</v>
      </c>
      <c r="Q2057" s="8" t="s">
        <v>12</v>
      </c>
      <c r="R2057" s="4" t="s">
        <v>2427</v>
      </c>
      <c r="S2057" s="4"/>
      <c r="T2057"/>
      <c r="U2057" s="23"/>
    </row>
    <row r="2058" spans="1:21" ht="15.6" x14ac:dyDescent="0.3">
      <c r="A2058" s="4">
        <v>2057</v>
      </c>
      <c r="B2058" s="5">
        <v>9820191</v>
      </c>
      <c r="C2058" s="4" t="s">
        <v>25</v>
      </c>
      <c r="D2058" s="4" t="s">
        <v>42</v>
      </c>
      <c r="E2058" s="4" t="s">
        <v>130</v>
      </c>
      <c r="F2058" s="4" t="s">
        <v>2961</v>
      </c>
      <c r="G2058" s="6">
        <v>2.6</v>
      </c>
      <c r="H2058" s="7">
        <v>45710.865081018521</v>
      </c>
      <c r="I2058" s="7" t="str">
        <f>TEXT(multilingual_mobile_app_reviews_2025[[#This Row],[Review_date]],"dd-mm-yyyy")</f>
        <v>22-02-2025</v>
      </c>
      <c r="J2058" s="7" t="str">
        <f>TEXT(multilingual_mobile_app_reviews_2025[[#This Row],[Review_date]],"YYYY")</f>
        <v>2025</v>
      </c>
      <c r="K2058" s="7" t="str">
        <f>TEXT(multilingual_mobile_app_reviews_2025[[#This Row],[Review_date]],"MMMM")</f>
        <v>February</v>
      </c>
      <c r="L2058" s="4" t="b">
        <v>1</v>
      </c>
      <c r="M2058" s="4" t="s">
        <v>3</v>
      </c>
      <c r="N2058" s="5">
        <v>277</v>
      </c>
      <c r="O2058" s="5">
        <v>72</v>
      </c>
      <c r="P2058" s="4" t="s">
        <v>65</v>
      </c>
      <c r="Q2058" s="8" t="s">
        <v>29</v>
      </c>
      <c r="R2058" s="4" t="s">
        <v>2428</v>
      </c>
      <c r="S2058" s="4"/>
      <c r="T2058"/>
      <c r="U2058" s="23"/>
    </row>
    <row r="2059" spans="1:21" ht="15.6" x14ac:dyDescent="0.3">
      <c r="A2059" s="4">
        <v>2058</v>
      </c>
      <c r="B2059" s="5">
        <v>6559731</v>
      </c>
      <c r="C2059" s="4" t="s">
        <v>154</v>
      </c>
      <c r="D2059" s="4" t="s">
        <v>20</v>
      </c>
      <c r="E2059" s="4" t="s">
        <v>2429</v>
      </c>
      <c r="F2059" s="4" t="s">
        <v>2945</v>
      </c>
      <c r="G2059" s="6">
        <v>1.2</v>
      </c>
      <c r="H2059" s="7">
        <v>45490.884143518517</v>
      </c>
      <c r="I2059" s="7" t="str">
        <f>TEXT(multilingual_mobile_app_reviews_2025[[#This Row],[Review_date]],"dd-mm-yyyy")</f>
        <v>17-07-2024</v>
      </c>
      <c r="J2059" s="7" t="str">
        <f>TEXT(multilingual_mobile_app_reviews_2025[[#This Row],[Review_date]],"YYYY")</f>
        <v>2024</v>
      </c>
      <c r="K2059" s="7" t="str">
        <f>TEXT(multilingual_mobile_app_reviews_2025[[#This Row],[Review_date]],"MMMM")</f>
        <v>July</v>
      </c>
      <c r="L2059" s="4" t="b">
        <v>0</v>
      </c>
      <c r="M2059" s="4" t="s">
        <v>10</v>
      </c>
      <c r="N2059" s="5">
        <v>786</v>
      </c>
      <c r="O2059" s="5">
        <v>64</v>
      </c>
      <c r="P2059" s="4" t="s">
        <v>70</v>
      </c>
      <c r="Q2059" s="8" t="s">
        <v>2963</v>
      </c>
      <c r="R2059" s="4" t="s">
        <v>2430</v>
      </c>
      <c r="S2059" s="4"/>
      <c r="T2059"/>
      <c r="U2059" s="23"/>
    </row>
    <row r="2060" spans="1:21" ht="15.6" x14ac:dyDescent="0.3">
      <c r="A2060" s="4">
        <v>2059</v>
      </c>
      <c r="B2060" s="5">
        <v>4509130</v>
      </c>
      <c r="C2060" s="4" t="s">
        <v>134</v>
      </c>
      <c r="D2060" s="4" t="s">
        <v>26</v>
      </c>
      <c r="E2060" s="4" t="s">
        <v>2431</v>
      </c>
      <c r="F2060" s="4" t="s">
        <v>2939</v>
      </c>
      <c r="G2060" s="6">
        <v>3.8</v>
      </c>
      <c r="H2060" s="7">
        <v>45542.054131944446</v>
      </c>
      <c r="I2060" s="7" t="str">
        <f>TEXT(multilingual_mobile_app_reviews_2025[[#This Row],[Review_date]],"dd-mm-yyyy")</f>
        <v>07-09-2024</v>
      </c>
      <c r="J2060" s="7" t="str">
        <f>TEXT(multilingual_mobile_app_reviews_2025[[#This Row],[Review_date]],"YYYY")</f>
        <v>2024</v>
      </c>
      <c r="K2060" s="7" t="str">
        <f>TEXT(multilingual_mobile_app_reviews_2025[[#This Row],[Review_date]],"MMMM")</f>
        <v>September</v>
      </c>
      <c r="L2060" s="4" t="b">
        <v>1</v>
      </c>
      <c r="M2060" s="4" t="s">
        <v>3</v>
      </c>
      <c r="N2060" s="5">
        <v>463</v>
      </c>
      <c r="O2060" s="5">
        <v>18</v>
      </c>
      <c r="P2060" s="4" t="s">
        <v>180</v>
      </c>
      <c r="Q2060" s="8" t="s">
        <v>5</v>
      </c>
      <c r="R2060" s="4" t="s">
        <v>2432</v>
      </c>
      <c r="S2060" s="4"/>
      <c r="T2060"/>
      <c r="U2060" s="23"/>
    </row>
    <row r="2061" spans="1:21" ht="15.6" x14ac:dyDescent="0.3">
      <c r="A2061" s="4">
        <v>2060</v>
      </c>
      <c r="B2061" s="5">
        <v>1158940</v>
      </c>
      <c r="C2061" s="4" t="s">
        <v>165</v>
      </c>
      <c r="D2061" s="4" t="s">
        <v>15</v>
      </c>
      <c r="E2061" s="4" t="s">
        <v>76</v>
      </c>
      <c r="F2061" s="4" t="s">
        <v>2944</v>
      </c>
      <c r="G2061" s="6">
        <v>1.6</v>
      </c>
      <c r="H2061" s="7">
        <v>45746.240104166667</v>
      </c>
      <c r="I2061" s="7" t="str">
        <f>TEXT(multilingual_mobile_app_reviews_2025[[#This Row],[Review_date]],"dd-mm-yyyy")</f>
        <v>30-03-2025</v>
      </c>
      <c r="J2061" s="7" t="str">
        <f>TEXT(multilingual_mobile_app_reviews_2025[[#This Row],[Review_date]],"YYYY")</f>
        <v>2025</v>
      </c>
      <c r="K2061" s="7" t="str">
        <f>TEXT(multilingual_mobile_app_reviews_2025[[#This Row],[Review_date]],"MMMM")</f>
        <v>March</v>
      </c>
      <c r="L2061" s="4" t="b">
        <v>1</v>
      </c>
      <c r="M2061" s="4" t="s">
        <v>98</v>
      </c>
      <c r="N2061" s="5">
        <v>843</v>
      </c>
      <c r="O2061" s="5">
        <v>75</v>
      </c>
      <c r="P2061" s="4" t="s">
        <v>28</v>
      </c>
      <c r="Q2061" s="8" t="s">
        <v>39</v>
      </c>
      <c r="R2061" s="4" t="s">
        <v>2433</v>
      </c>
      <c r="S2061" s="4"/>
      <c r="T2061"/>
      <c r="U2061" s="23"/>
    </row>
    <row r="2062" spans="1:21" ht="15.6" x14ac:dyDescent="0.3">
      <c r="A2062" s="4">
        <v>2061</v>
      </c>
      <c r="B2062" s="5">
        <v>7255726</v>
      </c>
      <c r="C2062" s="4" t="s">
        <v>264</v>
      </c>
      <c r="D2062" s="4" t="s">
        <v>57</v>
      </c>
      <c r="E2062" s="4" t="s">
        <v>64</v>
      </c>
      <c r="F2062" s="4" t="s">
        <v>2940</v>
      </c>
      <c r="G2062" s="6">
        <v>4.8</v>
      </c>
      <c r="H2062" s="7">
        <v>45637.761759259258</v>
      </c>
      <c r="I2062" s="7" t="str">
        <f>TEXT(multilingual_mobile_app_reviews_2025[[#This Row],[Review_date]],"dd-mm-yyyy")</f>
        <v>11-12-2024</v>
      </c>
      <c r="J2062" s="7" t="str">
        <f>TEXT(multilingual_mobile_app_reviews_2025[[#This Row],[Review_date]],"YYYY")</f>
        <v>2024</v>
      </c>
      <c r="K2062" s="7" t="str">
        <f>TEXT(multilingual_mobile_app_reviews_2025[[#This Row],[Review_date]],"MMMM")</f>
        <v>December</v>
      </c>
      <c r="L2062" s="4" t="b">
        <v>1</v>
      </c>
      <c r="M2062" s="4" t="s">
        <v>3</v>
      </c>
      <c r="N2062" s="5">
        <v>459</v>
      </c>
      <c r="O2062" s="5">
        <v>24</v>
      </c>
      <c r="P2062" s="4" t="s">
        <v>80</v>
      </c>
      <c r="Q2062" s="8" t="s">
        <v>5</v>
      </c>
      <c r="R2062" s="4" t="s">
        <v>2434</v>
      </c>
      <c r="S2062" s="4"/>
      <c r="T2062"/>
      <c r="U2062" s="23"/>
    </row>
    <row r="2063" spans="1:21" ht="15.6" x14ac:dyDescent="0.3">
      <c r="A2063" s="4">
        <v>2062</v>
      </c>
      <c r="B2063" s="5">
        <v>9215376</v>
      </c>
      <c r="C2063" s="4" t="s">
        <v>46</v>
      </c>
      <c r="D2063" s="4" t="s">
        <v>15</v>
      </c>
      <c r="E2063" s="4" t="s">
        <v>2938</v>
      </c>
      <c r="F2063" s="4" t="s">
        <v>2942</v>
      </c>
      <c r="G2063" s="6">
        <v>1.1000000000000001</v>
      </c>
      <c r="H2063" s="7">
        <v>45236.922592592593</v>
      </c>
      <c r="I2063" s="7" t="str">
        <f>TEXT(multilingual_mobile_app_reviews_2025[[#This Row],[Review_date]],"dd-mm-yyyy")</f>
        <v>06-11-2023</v>
      </c>
      <c r="J2063" s="7" t="str">
        <f>TEXT(multilingual_mobile_app_reviews_2025[[#This Row],[Review_date]],"YYYY")</f>
        <v>2023</v>
      </c>
      <c r="K2063" s="7" t="str">
        <f>TEXT(multilingual_mobile_app_reviews_2025[[#This Row],[Review_date]],"MMMM")</f>
        <v>November</v>
      </c>
      <c r="L2063" s="4" t="b">
        <v>1</v>
      </c>
      <c r="M2063" s="4" t="s">
        <v>98</v>
      </c>
      <c r="N2063" s="5">
        <v>712</v>
      </c>
      <c r="O2063" s="5">
        <v>55</v>
      </c>
      <c r="P2063" s="4" t="s">
        <v>162</v>
      </c>
      <c r="Q2063" s="8" t="s">
        <v>29</v>
      </c>
      <c r="R2063" s="4" t="s">
        <v>1089</v>
      </c>
      <c r="S2063" s="4"/>
      <c r="T2063"/>
      <c r="U2063" s="23"/>
    </row>
    <row r="2064" spans="1:21" ht="15.6" x14ac:dyDescent="0.3">
      <c r="A2064" s="4">
        <v>2063</v>
      </c>
      <c r="B2064" s="5">
        <v>3910526</v>
      </c>
      <c r="C2064" s="4" t="s">
        <v>159</v>
      </c>
      <c r="D2064" s="4" t="s">
        <v>51</v>
      </c>
      <c r="E2064" s="4" t="s">
        <v>2435</v>
      </c>
      <c r="F2064" s="4" t="s">
        <v>2950</v>
      </c>
      <c r="G2064" s="6">
        <v>3.3</v>
      </c>
      <c r="H2064" s="7">
        <v>45256.762442129628</v>
      </c>
      <c r="I2064" s="7" t="str">
        <f>TEXT(multilingual_mobile_app_reviews_2025[[#This Row],[Review_date]],"dd-mm-yyyy")</f>
        <v>26-11-2023</v>
      </c>
      <c r="J2064" s="7" t="str">
        <f>TEXT(multilingual_mobile_app_reviews_2025[[#This Row],[Review_date]],"YYYY")</f>
        <v>2023</v>
      </c>
      <c r="K2064" s="7" t="str">
        <f>TEXT(multilingual_mobile_app_reviews_2025[[#This Row],[Review_date]],"MMMM")</f>
        <v>November</v>
      </c>
      <c r="L2064" s="4" t="b">
        <v>1</v>
      </c>
      <c r="M2064" s="4" t="s">
        <v>33</v>
      </c>
      <c r="N2064" s="5">
        <v>1206</v>
      </c>
      <c r="O2064" s="5">
        <v>40</v>
      </c>
      <c r="P2064" s="4" t="s">
        <v>38</v>
      </c>
      <c r="Q2064" s="8" t="s">
        <v>5</v>
      </c>
      <c r="R2064" s="4" t="s">
        <v>1056</v>
      </c>
      <c r="S2064" s="4"/>
      <c r="T2064"/>
      <c r="U2064" s="23"/>
    </row>
    <row r="2065" spans="1:21" ht="15.6" x14ac:dyDescent="0.3">
      <c r="A2065" s="4">
        <v>2064</v>
      </c>
      <c r="B2065" s="5">
        <v>9001345</v>
      </c>
      <c r="C2065" s="4" t="s">
        <v>208</v>
      </c>
      <c r="D2065" s="4" t="s">
        <v>157</v>
      </c>
      <c r="E2065" s="4" t="s">
        <v>16</v>
      </c>
      <c r="F2065" s="4" t="s">
        <v>2943</v>
      </c>
      <c r="G2065" s="6">
        <v>1.3</v>
      </c>
      <c r="H2065" s="7">
        <v>45546.69295138889</v>
      </c>
      <c r="I2065" s="7" t="str">
        <f>TEXT(multilingual_mobile_app_reviews_2025[[#This Row],[Review_date]],"dd-mm-yyyy")</f>
        <v>11-09-2024</v>
      </c>
      <c r="J2065" s="7" t="str">
        <f>TEXT(multilingual_mobile_app_reviews_2025[[#This Row],[Review_date]],"YYYY")</f>
        <v>2024</v>
      </c>
      <c r="K2065" s="7" t="str">
        <f>TEXT(multilingual_mobile_app_reviews_2025[[#This Row],[Review_date]],"MMMM")</f>
        <v>September</v>
      </c>
      <c r="L2065" s="4" t="b">
        <v>1</v>
      </c>
      <c r="M2065" s="4" t="s">
        <v>33</v>
      </c>
      <c r="N2065" s="5">
        <v>914</v>
      </c>
      <c r="O2065" s="5">
        <v>57</v>
      </c>
      <c r="P2065" s="4" t="s">
        <v>162</v>
      </c>
      <c r="Q2065" s="8" t="s">
        <v>12</v>
      </c>
      <c r="R2065" s="4" t="s">
        <v>2436</v>
      </c>
      <c r="S2065" s="4"/>
      <c r="T2065"/>
      <c r="U2065" s="23"/>
    </row>
    <row r="2066" spans="1:21" ht="15.6" x14ac:dyDescent="0.3">
      <c r="A2066" s="4">
        <v>2065</v>
      </c>
      <c r="B2066" s="5">
        <v>9044877</v>
      </c>
      <c r="C2066" s="4" t="s">
        <v>264</v>
      </c>
      <c r="D2066" s="4" t="s">
        <v>47</v>
      </c>
      <c r="E2066" s="4" t="s">
        <v>109</v>
      </c>
      <c r="F2066" s="4" t="s">
        <v>2957</v>
      </c>
      <c r="G2066" s="6">
        <v>1.3</v>
      </c>
      <c r="H2066" s="7">
        <v>45420.561631944445</v>
      </c>
      <c r="I2066" s="7" t="str">
        <f>TEXT(multilingual_mobile_app_reviews_2025[[#This Row],[Review_date]],"dd-mm-yyyy")</f>
        <v>08-05-2024</v>
      </c>
      <c r="J2066" s="7" t="str">
        <f>TEXT(multilingual_mobile_app_reviews_2025[[#This Row],[Review_date]],"YYYY")</f>
        <v>2024</v>
      </c>
      <c r="K2066" s="7" t="str">
        <f>TEXT(multilingual_mobile_app_reviews_2025[[#This Row],[Review_date]],"MMMM")</f>
        <v>May</v>
      </c>
      <c r="L2066" s="4" t="b">
        <v>1</v>
      </c>
      <c r="M2066" s="4" t="s">
        <v>3</v>
      </c>
      <c r="N2066" s="5">
        <v>866</v>
      </c>
      <c r="O2066" s="5">
        <v>57</v>
      </c>
      <c r="P2066" s="4" t="s">
        <v>65</v>
      </c>
      <c r="Q2066" s="8" t="s">
        <v>12</v>
      </c>
      <c r="R2066" s="4" t="s">
        <v>2437</v>
      </c>
      <c r="S2066" s="4"/>
      <c r="T2066"/>
      <c r="U2066" s="23"/>
    </row>
    <row r="2067" spans="1:21" ht="15.6" x14ac:dyDescent="0.3">
      <c r="A2067" s="4">
        <v>2066</v>
      </c>
      <c r="B2067" s="5">
        <v>3965865</v>
      </c>
      <c r="C2067" s="4" t="s">
        <v>264</v>
      </c>
      <c r="D2067" s="4" t="s">
        <v>26</v>
      </c>
      <c r="E2067" s="4" t="s">
        <v>76</v>
      </c>
      <c r="F2067" s="4" t="s">
        <v>2951</v>
      </c>
      <c r="G2067" s="6">
        <v>4.4000000000000004</v>
      </c>
      <c r="H2067" s="7">
        <v>45677.686909722222</v>
      </c>
      <c r="I2067" s="7" t="str">
        <f>TEXT(multilingual_mobile_app_reviews_2025[[#This Row],[Review_date]],"dd-mm-yyyy")</f>
        <v>20-01-2025</v>
      </c>
      <c r="J2067" s="7" t="str">
        <f>TEXT(multilingual_mobile_app_reviews_2025[[#This Row],[Review_date]],"YYYY")</f>
        <v>2025</v>
      </c>
      <c r="K2067" s="7" t="str">
        <f>TEXT(multilingual_mobile_app_reviews_2025[[#This Row],[Review_date]],"MMMM")</f>
        <v>January</v>
      </c>
      <c r="L2067" s="4" t="b">
        <v>1</v>
      </c>
      <c r="M2067" s="4" t="s">
        <v>10</v>
      </c>
      <c r="N2067" s="5">
        <v>920</v>
      </c>
      <c r="O2067" s="5">
        <v>15</v>
      </c>
      <c r="P2067" s="4" t="s">
        <v>44</v>
      </c>
      <c r="Q2067" s="8" t="s">
        <v>2963</v>
      </c>
      <c r="R2067" s="4" t="s">
        <v>899</v>
      </c>
      <c r="S2067" s="4"/>
      <c r="T2067"/>
      <c r="U2067" s="23"/>
    </row>
    <row r="2068" spans="1:21" ht="15.6" x14ac:dyDescent="0.3">
      <c r="A2068" s="4">
        <v>2067</v>
      </c>
      <c r="B2068" s="5">
        <v>2897658</v>
      </c>
      <c r="C2068" s="4" t="s">
        <v>50</v>
      </c>
      <c r="D2068" s="4" t="s">
        <v>57</v>
      </c>
      <c r="E2068" s="4" t="s">
        <v>64</v>
      </c>
      <c r="F2068" s="4" t="s">
        <v>2955</v>
      </c>
      <c r="G2068" s="6">
        <v>4.5</v>
      </c>
      <c r="H2068" s="7">
        <v>45429.739363425928</v>
      </c>
      <c r="I2068" s="7" t="str">
        <f>TEXT(multilingual_mobile_app_reviews_2025[[#This Row],[Review_date]],"dd-mm-yyyy")</f>
        <v>17-05-2024</v>
      </c>
      <c r="J2068" s="7" t="str">
        <f>TEXT(multilingual_mobile_app_reviews_2025[[#This Row],[Review_date]],"YYYY")</f>
        <v>2024</v>
      </c>
      <c r="K2068" s="7" t="str">
        <f>TEXT(multilingual_mobile_app_reviews_2025[[#This Row],[Review_date]],"MMMM")</f>
        <v>May</v>
      </c>
      <c r="L2068" s="4" t="b">
        <v>1</v>
      </c>
      <c r="M2068" s="4" t="s">
        <v>10</v>
      </c>
      <c r="N2068" s="5">
        <v>504</v>
      </c>
      <c r="O2068" s="5">
        <v>41</v>
      </c>
      <c r="P2068" s="4" t="s">
        <v>114</v>
      </c>
      <c r="Q2068" s="8" t="s">
        <v>2963</v>
      </c>
      <c r="R2068" s="4" t="s">
        <v>2438</v>
      </c>
      <c r="S2068" s="4"/>
      <c r="T2068"/>
      <c r="U2068" s="23"/>
    </row>
    <row r="2069" spans="1:21" ht="15.6" x14ac:dyDescent="0.3">
      <c r="A2069" s="4">
        <v>2068</v>
      </c>
      <c r="B2069" s="5">
        <v>1780038</v>
      </c>
      <c r="C2069" s="4" t="s">
        <v>174</v>
      </c>
      <c r="D2069" s="4" t="s">
        <v>15</v>
      </c>
      <c r="E2069" s="4" t="s">
        <v>109</v>
      </c>
      <c r="F2069" s="4" t="s">
        <v>2948</v>
      </c>
      <c r="G2069" s="6">
        <v>4.4000000000000004</v>
      </c>
      <c r="H2069" s="7">
        <v>45667.358171296299</v>
      </c>
      <c r="I2069" s="7" t="str">
        <f>TEXT(multilingual_mobile_app_reviews_2025[[#This Row],[Review_date]],"dd-mm-yyyy")</f>
        <v>10-01-2025</v>
      </c>
      <c r="J2069" s="7" t="str">
        <f>TEXT(multilingual_mobile_app_reviews_2025[[#This Row],[Review_date]],"YYYY")</f>
        <v>2025</v>
      </c>
      <c r="K2069" s="7" t="str">
        <f>TEXT(multilingual_mobile_app_reviews_2025[[#This Row],[Review_date]],"MMMM")</f>
        <v>January</v>
      </c>
      <c r="L2069" s="4" t="b">
        <v>1</v>
      </c>
      <c r="M2069" s="4" t="s">
        <v>10</v>
      </c>
      <c r="N2069" s="5">
        <v>1054</v>
      </c>
      <c r="O2069" s="5">
        <v>47</v>
      </c>
      <c r="P2069" s="4" t="s">
        <v>28</v>
      </c>
      <c r="Q2069" s="8" t="s">
        <v>2963</v>
      </c>
      <c r="R2069" s="4" t="s">
        <v>2439</v>
      </c>
      <c r="S2069" s="4"/>
      <c r="T2069"/>
      <c r="U2069" s="23"/>
    </row>
    <row r="2070" spans="1:21" ht="15.6" x14ac:dyDescent="0.3">
      <c r="A2070" s="4">
        <v>2069</v>
      </c>
      <c r="B2070" s="5">
        <v>3895970</v>
      </c>
      <c r="C2070" s="4" t="s">
        <v>14</v>
      </c>
      <c r="D2070" s="4" t="s">
        <v>111</v>
      </c>
      <c r="E2070" s="4" t="s">
        <v>109</v>
      </c>
      <c r="F2070" s="4" t="s">
        <v>2949</v>
      </c>
      <c r="G2070" s="6">
        <v>4.4000000000000004</v>
      </c>
      <c r="H2070" s="7">
        <v>45793.841203703705</v>
      </c>
      <c r="I2070" s="7" t="str">
        <f>TEXT(multilingual_mobile_app_reviews_2025[[#This Row],[Review_date]],"dd-mm-yyyy")</f>
        <v>16-05-2025</v>
      </c>
      <c r="J2070" s="7" t="str">
        <f>TEXT(multilingual_mobile_app_reviews_2025[[#This Row],[Review_date]],"YYYY")</f>
        <v>2025</v>
      </c>
      <c r="K2070" s="7" t="str">
        <f>TEXT(multilingual_mobile_app_reviews_2025[[#This Row],[Review_date]],"MMMM")</f>
        <v>May</v>
      </c>
      <c r="L2070" s="4" t="b">
        <v>0</v>
      </c>
      <c r="M2070" s="4" t="s">
        <v>98</v>
      </c>
      <c r="N2070" s="5">
        <v>98</v>
      </c>
      <c r="O2070" s="5">
        <v>34</v>
      </c>
      <c r="P2070" s="4" t="s">
        <v>11</v>
      </c>
      <c r="Q2070" s="8" t="s">
        <v>5</v>
      </c>
      <c r="R2070" s="4" t="s">
        <v>2440</v>
      </c>
      <c r="S2070" s="4"/>
      <c r="T2070"/>
      <c r="U2070" s="23"/>
    </row>
    <row r="2071" spans="1:21" ht="15.6" x14ac:dyDescent="0.3">
      <c r="A2071" s="4">
        <v>2070</v>
      </c>
      <c r="B2071" s="5">
        <v>2650993</v>
      </c>
      <c r="C2071" s="4" t="s">
        <v>50</v>
      </c>
      <c r="D2071" s="4" t="s">
        <v>63</v>
      </c>
      <c r="E2071" s="4" t="s">
        <v>32</v>
      </c>
      <c r="F2071" s="4" t="s">
        <v>2950</v>
      </c>
      <c r="G2071" s="6">
        <v>2.2000000000000002</v>
      </c>
      <c r="H2071" s="7">
        <v>45558.946793981479</v>
      </c>
      <c r="I2071" s="7" t="str">
        <f>TEXT(multilingual_mobile_app_reviews_2025[[#This Row],[Review_date]],"dd-mm-yyyy")</f>
        <v>23-09-2024</v>
      </c>
      <c r="J2071" s="7" t="str">
        <f>TEXT(multilingual_mobile_app_reviews_2025[[#This Row],[Review_date]],"YYYY")</f>
        <v>2024</v>
      </c>
      <c r="K2071" s="7" t="str">
        <f>TEXT(multilingual_mobile_app_reviews_2025[[#This Row],[Review_date]],"MMMM")</f>
        <v>September</v>
      </c>
      <c r="L2071" s="4" t="b">
        <v>0</v>
      </c>
      <c r="M2071" s="4" t="s">
        <v>98</v>
      </c>
      <c r="N2071" s="5">
        <v>280</v>
      </c>
      <c r="O2071" s="5">
        <v>74</v>
      </c>
      <c r="P2071" s="4" t="s">
        <v>38</v>
      </c>
      <c r="Q2071" s="8" t="s">
        <v>12</v>
      </c>
      <c r="R2071" s="4" t="s">
        <v>2441</v>
      </c>
      <c r="S2071" s="4"/>
      <c r="T2071"/>
      <c r="U2071" s="23"/>
    </row>
    <row r="2072" spans="1:21" ht="15.6" x14ac:dyDescent="0.3">
      <c r="A2072" s="4">
        <v>2071</v>
      </c>
      <c r="B2072" s="5">
        <v>7213803</v>
      </c>
      <c r="C2072" s="4" t="s">
        <v>165</v>
      </c>
      <c r="D2072" s="4" t="s">
        <v>111</v>
      </c>
      <c r="E2072" s="4" t="s">
        <v>27</v>
      </c>
      <c r="F2072" s="4" t="s">
        <v>2960</v>
      </c>
      <c r="G2072" s="6">
        <v>4.0999999999999996</v>
      </c>
      <c r="H2072" s="7">
        <v>45805.535856481481</v>
      </c>
      <c r="I2072" s="7" t="str">
        <f>TEXT(multilingual_mobile_app_reviews_2025[[#This Row],[Review_date]],"dd-mm-yyyy")</f>
        <v>28-05-2025</v>
      </c>
      <c r="J2072" s="7" t="str">
        <f>TEXT(multilingual_mobile_app_reviews_2025[[#This Row],[Review_date]],"YYYY")</f>
        <v>2025</v>
      </c>
      <c r="K2072" s="7" t="str">
        <f>TEXT(multilingual_mobile_app_reviews_2025[[#This Row],[Review_date]],"MMMM")</f>
        <v>May</v>
      </c>
      <c r="L2072" s="4" t="b">
        <v>1</v>
      </c>
      <c r="M2072" s="4" t="s">
        <v>98</v>
      </c>
      <c r="N2072" s="5">
        <v>936</v>
      </c>
      <c r="O2072" s="5">
        <v>65</v>
      </c>
      <c r="P2072" s="4" t="s">
        <v>230</v>
      </c>
      <c r="Q2072" s="8" t="s">
        <v>2963</v>
      </c>
      <c r="R2072" s="4" t="s">
        <v>2442</v>
      </c>
      <c r="S2072" s="4"/>
      <c r="T2072"/>
      <c r="U2072" s="23"/>
    </row>
    <row r="2073" spans="1:21" ht="15.6" x14ac:dyDescent="0.3">
      <c r="A2073" s="4">
        <v>2072</v>
      </c>
      <c r="B2073" s="5">
        <v>4771135</v>
      </c>
      <c r="C2073" s="4" t="s">
        <v>208</v>
      </c>
      <c r="D2073" s="4" t="s">
        <v>20</v>
      </c>
      <c r="E2073" s="4" t="s">
        <v>27</v>
      </c>
      <c r="F2073" s="4" t="s">
        <v>2953</v>
      </c>
      <c r="G2073" s="6">
        <v>1.3</v>
      </c>
      <c r="H2073" s="7">
        <v>45176.869479166664</v>
      </c>
      <c r="I2073" s="7" t="str">
        <f>TEXT(multilingual_mobile_app_reviews_2025[[#This Row],[Review_date]],"dd-mm-yyyy")</f>
        <v>07-09-2023</v>
      </c>
      <c r="J2073" s="7" t="str">
        <f>TEXT(multilingual_mobile_app_reviews_2025[[#This Row],[Review_date]],"YYYY")</f>
        <v>2023</v>
      </c>
      <c r="K2073" s="7" t="str">
        <f>TEXT(multilingual_mobile_app_reviews_2025[[#This Row],[Review_date]],"MMMM")</f>
        <v>September</v>
      </c>
      <c r="L2073" s="4" t="b">
        <v>1</v>
      </c>
      <c r="M2073" s="4" t="s">
        <v>10</v>
      </c>
      <c r="N2073" s="5">
        <v>886</v>
      </c>
      <c r="O2073" s="5">
        <v>36</v>
      </c>
      <c r="P2073" s="4" t="s">
        <v>90</v>
      </c>
      <c r="Q2073" s="8" t="s">
        <v>39</v>
      </c>
      <c r="R2073" s="4" t="s">
        <v>2443</v>
      </c>
      <c r="S2073" s="4"/>
      <c r="T2073"/>
      <c r="U2073" s="23"/>
    </row>
    <row r="2074" spans="1:21" ht="15.6" x14ac:dyDescent="0.3">
      <c r="A2074" s="4">
        <v>2073</v>
      </c>
      <c r="B2074" s="5">
        <v>5074384</v>
      </c>
      <c r="C2074" s="4" t="s">
        <v>192</v>
      </c>
      <c r="D2074" s="4" t="s">
        <v>1</v>
      </c>
      <c r="E2074" s="4" t="s">
        <v>109</v>
      </c>
      <c r="F2074" s="4" t="s">
        <v>2962</v>
      </c>
      <c r="G2074" s="6">
        <v>1.9</v>
      </c>
      <c r="H2074" s="7">
        <v>45441.623437499999</v>
      </c>
      <c r="I2074" s="7" t="str">
        <f>TEXT(multilingual_mobile_app_reviews_2025[[#This Row],[Review_date]],"dd-mm-yyyy")</f>
        <v>29-05-2024</v>
      </c>
      <c r="J2074" s="7" t="str">
        <f>TEXT(multilingual_mobile_app_reviews_2025[[#This Row],[Review_date]],"YYYY")</f>
        <v>2024</v>
      </c>
      <c r="K2074" s="7" t="str">
        <f>TEXT(multilingual_mobile_app_reviews_2025[[#This Row],[Review_date]],"MMMM")</f>
        <v>May</v>
      </c>
      <c r="L2074" s="4" t="b">
        <v>1</v>
      </c>
      <c r="M2074" s="4" t="s">
        <v>33</v>
      </c>
      <c r="N2074" s="5">
        <v>1166</v>
      </c>
      <c r="O2074" s="5">
        <v>56</v>
      </c>
      <c r="P2074" s="4" t="s">
        <v>11</v>
      </c>
      <c r="Q2074" s="8" t="s">
        <v>39</v>
      </c>
      <c r="R2074" s="4" t="s">
        <v>2444</v>
      </c>
      <c r="S2074" s="4"/>
      <c r="T2074"/>
      <c r="U2074" s="23"/>
    </row>
    <row r="2075" spans="1:21" ht="15.6" x14ac:dyDescent="0.3">
      <c r="A2075" s="4">
        <v>2074</v>
      </c>
      <c r="B2075" s="5">
        <v>7167639</v>
      </c>
      <c r="C2075" s="4" t="s">
        <v>25</v>
      </c>
      <c r="D2075" s="4" t="s">
        <v>26</v>
      </c>
      <c r="E2075" s="4" t="s">
        <v>76</v>
      </c>
      <c r="F2075" s="4" t="s">
        <v>2944</v>
      </c>
      <c r="G2075" s="6">
        <v>4.5999999999999996</v>
      </c>
      <c r="H2075" s="7">
        <v>45833.070138888892</v>
      </c>
      <c r="I2075" s="7" t="str">
        <f>TEXT(multilingual_mobile_app_reviews_2025[[#This Row],[Review_date]],"dd-mm-yyyy")</f>
        <v>25-06-2025</v>
      </c>
      <c r="J2075" s="7" t="str">
        <f>TEXT(multilingual_mobile_app_reviews_2025[[#This Row],[Review_date]],"YYYY")</f>
        <v>2025</v>
      </c>
      <c r="K2075" s="7" t="str">
        <f>TEXT(multilingual_mobile_app_reviews_2025[[#This Row],[Review_date]],"MMMM")</f>
        <v>June</v>
      </c>
      <c r="L2075" s="4" t="b">
        <v>1</v>
      </c>
      <c r="M2075" s="4" t="s">
        <v>33</v>
      </c>
      <c r="N2075" s="5">
        <v>1001</v>
      </c>
      <c r="O2075" s="5">
        <v>37</v>
      </c>
      <c r="P2075" s="4" t="s">
        <v>230</v>
      </c>
      <c r="Q2075" s="8" t="s">
        <v>12</v>
      </c>
      <c r="R2075" s="4" t="s">
        <v>170</v>
      </c>
      <c r="S2075" s="4"/>
      <c r="T2075"/>
      <c r="U2075" s="23"/>
    </row>
    <row r="2076" spans="1:21" ht="15.6" x14ac:dyDescent="0.3">
      <c r="A2076" s="4">
        <v>2075</v>
      </c>
      <c r="B2076" s="5">
        <v>7951806</v>
      </c>
      <c r="C2076" s="4" t="s">
        <v>258</v>
      </c>
      <c r="D2076" s="4" t="s">
        <v>60</v>
      </c>
      <c r="E2076" s="4" t="s">
        <v>109</v>
      </c>
      <c r="F2076" s="4" t="s">
        <v>2958</v>
      </c>
      <c r="G2076" s="6">
        <v>2.2999999999999998</v>
      </c>
      <c r="H2076" s="7">
        <v>45388.9219212963</v>
      </c>
      <c r="I2076" s="7" t="str">
        <f>TEXT(multilingual_mobile_app_reviews_2025[[#This Row],[Review_date]],"dd-mm-yyyy")</f>
        <v>06-04-2024</v>
      </c>
      <c r="J2076" s="7" t="str">
        <f>TEXT(multilingual_mobile_app_reviews_2025[[#This Row],[Review_date]],"YYYY")</f>
        <v>2024</v>
      </c>
      <c r="K2076" s="7" t="str">
        <f>TEXT(multilingual_mobile_app_reviews_2025[[#This Row],[Review_date]],"MMMM")</f>
        <v>April</v>
      </c>
      <c r="L2076" s="4" t="b">
        <v>1</v>
      </c>
      <c r="M2076" s="4" t="s">
        <v>33</v>
      </c>
      <c r="N2076" s="5">
        <v>409</v>
      </c>
      <c r="O2076" s="5">
        <v>49</v>
      </c>
      <c r="P2076" s="4" t="s">
        <v>17</v>
      </c>
      <c r="Q2076" s="8" t="s">
        <v>39</v>
      </c>
      <c r="R2076" s="4" t="s">
        <v>2445</v>
      </c>
      <c r="S2076" s="4"/>
      <c r="T2076"/>
      <c r="U2076" s="23"/>
    </row>
    <row r="2077" spans="1:21" ht="15.6" x14ac:dyDescent="0.3">
      <c r="A2077" s="4">
        <v>2076</v>
      </c>
      <c r="B2077" s="5">
        <v>5133050</v>
      </c>
      <c r="C2077" s="4" t="s">
        <v>19</v>
      </c>
      <c r="D2077" s="4" t="s">
        <v>31</v>
      </c>
      <c r="E2077" s="4" t="s">
        <v>64</v>
      </c>
      <c r="F2077" s="4" t="s">
        <v>2942</v>
      </c>
      <c r="G2077" s="6">
        <v>3.4</v>
      </c>
      <c r="H2077" s="7">
        <v>45139.152928240743</v>
      </c>
      <c r="I2077" s="7" t="str">
        <f>TEXT(multilingual_mobile_app_reviews_2025[[#This Row],[Review_date]],"dd-mm-yyyy")</f>
        <v>01-08-2023</v>
      </c>
      <c r="J2077" s="7" t="str">
        <f>TEXT(multilingual_mobile_app_reviews_2025[[#This Row],[Review_date]],"YYYY")</f>
        <v>2023</v>
      </c>
      <c r="K2077" s="7" t="str">
        <f>TEXT(multilingual_mobile_app_reviews_2025[[#This Row],[Review_date]],"MMMM")</f>
        <v>August</v>
      </c>
      <c r="L2077" s="4" t="b">
        <v>1</v>
      </c>
      <c r="M2077" s="4" t="s">
        <v>98</v>
      </c>
      <c r="N2077" s="5">
        <v>887</v>
      </c>
      <c r="O2077" s="5">
        <v>52</v>
      </c>
      <c r="P2077" s="4" t="s">
        <v>11</v>
      </c>
      <c r="Q2077" s="8" t="s">
        <v>39</v>
      </c>
      <c r="R2077" s="4" t="s">
        <v>2446</v>
      </c>
      <c r="S2077" s="4"/>
      <c r="T2077"/>
      <c r="U2077" s="23"/>
    </row>
    <row r="2078" spans="1:21" ht="15.6" x14ac:dyDescent="0.3">
      <c r="A2078" s="4">
        <v>2077</v>
      </c>
      <c r="B2078" s="5">
        <v>4316604</v>
      </c>
      <c r="C2078" s="4" t="s">
        <v>199</v>
      </c>
      <c r="D2078" s="4" t="s">
        <v>57</v>
      </c>
      <c r="E2078" s="4" t="s">
        <v>16</v>
      </c>
      <c r="F2078" s="4" t="s">
        <v>2952</v>
      </c>
      <c r="G2078" s="6">
        <v>2.9</v>
      </c>
      <c r="H2078" s="7">
        <v>45689.063032407408</v>
      </c>
      <c r="I2078" s="7" t="str">
        <f>TEXT(multilingual_mobile_app_reviews_2025[[#This Row],[Review_date]],"dd-mm-yyyy")</f>
        <v>01-02-2025</v>
      </c>
      <c r="J2078" s="7" t="str">
        <f>TEXT(multilingual_mobile_app_reviews_2025[[#This Row],[Review_date]],"YYYY")</f>
        <v>2025</v>
      </c>
      <c r="K2078" s="7" t="str">
        <f>TEXT(multilingual_mobile_app_reviews_2025[[#This Row],[Review_date]],"MMMM")</f>
        <v>February</v>
      </c>
      <c r="L2078" s="4" t="b">
        <v>1</v>
      </c>
      <c r="M2078" s="4" t="s">
        <v>22</v>
      </c>
      <c r="N2078" s="5">
        <v>520</v>
      </c>
      <c r="O2078" s="5">
        <v>20</v>
      </c>
      <c r="P2078" s="4" t="s">
        <v>34</v>
      </c>
      <c r="Q2078" s="8" t="s">
        <v>5</v>
      </c>
      <c r="R2078" s="4" t="s">
        <v>2447</v>
      </c>
      <c r="S2078" s="4"/>
      <c r="T2078"/>
      <c r="U2078" s="23"/>
    </row>
    <row r="2079" spans="1:21" ht="15.6" x14ac:dyDescent="0.3">
      <c r="A2079" s="4">
        <v>2078</v>
      </c>
      <c r="B2079" s="5">
        <v>5327870</v>
      </c>
      <c r="C2079" s="4" t="s">
        <v>54</v>
      </c>
      <c r="D2079" s="4" t="s">
        <v>51</v>
      </c>
      <c r="E2079" s="4" t="s">
        <v>130</v>
      </c>
      <c r="F2079" s="4" t="s">
        <v>2947</v>
      </c>
      <c r="G2079" s="6">
        <v>1.3</v>
      </c>
      <c r="H2079" s="7">
        <v>45301.022916666669</v>
      </c>
      <c r="I2079" s="7" t="str">
        <f>TEXT(multilingual_mobile_app_reviews_2025[[#This Row],[Review_date]],"dd-mm-yyyy")</f>
        <v>10-01-2024</v>
      </c>
      <c r="J2079" s="7" t="str">
        <f>TEXT(multilingual_mobile_app_reviews_2025[[#This Row],[Review_date]],"YYYY")</f>
        <v>2024</v>
      </c>
      <c r="K2079" s="7" t="str">
        <f>TEXT(multilingual_mobile_app_reviews_2025[[#This Row],[Review_date]],"MMMM")</f>
        <v>January</v>
      </c>
      <c r="L2079" s="4" t="b">
        <v>0</v>
      </c>
      <c r="M2079" s="4" t="s">
        <v>98</v>
      </c>
      <c r="N2079" s="5">
        <v>861</v>
      </c>
      <c r="O2079" s="5">
        <v>21</v>
      </c>
      <c r="P2079" s="4" t="s">
        <v>28</v>
      </c>
      <c r="Q2079" s="8" t="s">
        <v>39</v>
      </c>
      <c r="R2079" s="4" t="s">
        <v>2448</v>
      </c>
      <c r="S2079" s="4"/>
      <c r="T2079"/>
      <c r="U2079" s="23"/>
    </row>
    <row r="2080" spans="1:21" ht="15.6" x14ac:dyDescent="0.3">
      <c r="A2080" s="4">
        <v>2079</v>
      </c>
      <c r="B2080" s="5">
        <v>1220966</v>
      </c>
      <c r="C2080" s="4" t="s">
        <v>96</v>
      </c>
      <c r="D2080" s="4" t="s">
        <v>111</v>
      </c>
      <c r="E2080" s="4" t="s">
        <v>21</v>
      </c>
      <c r="F2080" s="4" t="s">
        <v>2958</v>
      </c>
      <c r="G2080" s="6">
        <v>2</v>
      </c>
      <c r="H2080" s="7">
        <v>45184.877534722225</v>
      </c>
      <c r="I2080" s="7" t="str">
        <f>TEXT(multilingual_mobile_app_reviews_2025[[#This Row],[Review_date]],"dd-mm-yyyy")</f>
        <v>15-09-2023</v>
      </c>
      <c r="J2080" s="7" t="str">
        <f>TEXT(multilingual_mobile_app_reviews_2025[[#This Row],[Review_date]],"YYYY")</f>
        <v>2023</v>
      </c>
      <c r="K2080" s="7" t="str">
        <f>TEXT(multilingual_mobile_app_reviews_2025[[#This Row],[Review_date]],"MMMM")</f>
        <v>September</v>
      </c>
      <c r="L2080" s="4" t="b">
        <v>0</v>
      </c>
      <c r="M2080" s="4" t="s">
        <v>98</v>
      </c>
      <c r="N2080" s="5">
        <v>62</v>
      </c>
      <c r="O2080" s="5">
        <v>60</v>
      </c>
      <c r="P2080" s="4" t="s">
        <v>127</v>
      </c>
      <c r="Q2080" s="8" t="s">
        <v>5</v>
      </c>
      <c r="R2080" s="4" t="s">
        <v>1071</v>
      </c>
      <c r="S2080" s="4"/>
      <c r="T2080"/>
      <c r="U2080" s="23"/>
    </row>
    <row r="2081" spans="1:21" ht="15.6" x14ac:dyDescent="0.3">
      <c r="A2081" s="4">
        <v>2080</v>
      </c>
      <c r="B2081" s="5">
        <v>6984958</v>
      </c>
      <c r="C2081" s="4" t="s">
        <v>165</v>
      </c>
      <c r="D2081" s="4" t="s">
        <v>57</v>
      </c>
      <c r="E2081" s="4" t="s">
        <v>130</v>
      </c>
      <c r="F2081" s="4" t="s">
        <v>2961</v>
      </c>
      <c r="G2081" s="6">
        <v>2</v>
      </c>
      <c r="H2081" s="7">
        <v>45247.855046296296</v>
      </c>
      <c r="I2081" s="7" t="str">
        <f>TEXT(multilingual_mobile_app_reviews_2025[[#This Row],[Review_date]],"dd-mm-yyyy")</f>
        <v>17-11-2023</v>
      </c>
      <c r="J2081" s="7" t="str">
        <f>TEXT(multilingual_mobile_app_reviews_2025[[#This Row],[Review_date]],"YYYY")</f>
        <v>2023</v>
      </c>
      <c r="K2081" s="7" t="str">
        <f>TEXT(multilingual_mobile_app_reviews_2025[[#This Row],[Review_date]],"MMMM")</f>
        <v>November</v>
      </c>
      <c r="L2081" s="4" t="b">
        <v>1</v>
      </c>
      <c r="M2081" s="4" t="s">
        <v>3</v>
      </c>
      <c r="N2081" s="5">
        <v>278</v>
      </c>
      <c r="O2081" s="5">
        <v>61</v>
      </c>
      <c r="P2081" s="4" t="s">
        <v>23</v>
      </c>
      <c r="Q2081" s="8" t="s">
        <v>12</v>
      </c>
      <c r="R2081" s="4" t="s">
        <v>2449</v>
      </c>
      <c r="S2081" s="4"/>
      <c r="T2081"/>
      <c r="U2081" s="23"/>
    </row>
    <row r="2082" spans="1:21" ht="15.6" x14ac:dyDescent="0.3">
      <c r="A2082" s="4">
        <v>2081</v>
      </c>
      <c r="B2082" s="5">
        <v>8168702</v>
      </c>
      <c r="C2082" s="4" t="s">
        <v>67</v>
      </c>
      <c r="D2082" s="4" t="s">
        <v>57</v>
      </c>
      <c r="E2082" s="4" t="s">
        <v>2450</v>
      </c>
      <c r="F2082" s="4" t="s">
        <v>2946</v>
      </c>
      <c r="G2082" s="6">
        <v>2.9</v>
      </c>
      <c r="H2082" s="7">
        <v>45702.762800925928</v>
      </c>
      <c r="I2082" s="7" t="str">
        <f>TEXT(multilingual_mobile_app_reviews_2025[[#This Row],[Review_date]],"dd-mm-yyyy")</f>
        <v>14-02-2025</v>
      </c>
      <c r="J2082" s="7" t="str">
        <f>TEXT(multilingual_mobile_app_reviews_2025[[#This Row],[Review_date]],"YYYY")</f>
        <v>2025</v>
      </c>
      <c r="K2082" s="7" t="str">
        <f>TEXT(multilingual_mobile_app_reviews_2025[[#This Row],[Review_date]],"MMMM")</f>
        <v>February</v>
      </c>
      <c r="L2082" s="4" t="b">
        <v>0</v>
      </c>
      <c r="M2082" s="4" t="s">
        <v>3</v>
      </c>
      <c r="N2082" s="5">
        <v>708</v>
      </c>
      <c r="O2082" s="5">
        <v>54</v>
      </c>
      <c r="P2082" s="4" t="s">
        <v>17</v>
      </c>
      <c r="Q2082" s="8" t="s">
        <v>5</v>
      </c>
      <c r="R2082" s="4" t="s">
        <v>2451</v>
      </c>
      <c r="S2082" s="4"/>
      <c r="T2082"/>
      <c r="U2082" s="23"/>
    </row>
    <row r="2083" spans="1:21" ht="15.6" x14ac:dyDescent="0.3">
      <c r="A2083" s="4">
        <v>2082</v>
      </c>
      <c r="B2083" s="5">
        <v>9930269</v>
      </c>
      <c r="C2083" s="4" t="s">
        <v>154</v>
      </c>
      <c r="D2083" s="4" t="s">
        <v>31</v>
      </c>
      <c r="E2083" s="4" t="s">
        <v>76</v>
      </c>
      <c r="F2083" s="4" t="s">
        <v>2946</v>
      </c>
      <c r="G2083" s="6">
        <v>2.8</v>
      </c>
      <c r="H2083" s="7">
        <v>45661.082569444443</v>
      </c>
      <c r="I2083" s="7" t="str">
        <f>TEXT(multilingual_mobile_app_reviews_2025[[#This Row],[Review_date]],"dd-mm-yyyy")</f>
        <v>04-01-2025</v>
      </c>
      <c r="J2083" s="7" t="str">
        <f>TEXT(multilingual_mobile_app_reviews_2025[[#This Row],[Review_date]],"YYYY")</f>
        <v>2025</v>
      </c>
      <c r="K2083" s="7" t="str">
        <f>TEXT(multilingual_mobile_app_reviews_2025[[#This Row],[Review_date]],"MMMM")</f>
        <v>January</v>
      </c>
      <c r="L2083" s="4" t="b">
        <v>1</v>
      </c>
      <c r="M2083" s="4" t="s">
        <v>10</v>
      </c>
      <c r="N2083" s="5">
        <v>913</v>
      </c>
      <c r="O2083" s="5">
        <v>56</v>
      </c>
      <c r="P2083" s="4" t="s">
        <v>73</v>
      </c>
      <c r="Q2083" s="8" t="s">
        <v>12</v>
      </c>
      <c r="R2083" s="4" t="s">
        <v>2452</v>
      </c>
      <c r="S2083" s="4"/>
      <c r="T2083"/>
      <c r="U2083" s="23"/>
    </row>
    <row r="2084" spans="1:21" ht="15.6" x14ac:dyDescent="0.3">
      <c r="A2084" s="4">
        <v>2083</v>
      </c>
      <c r="B2084" s="5">
        <v>3553272</v>
      </c>
      <c r="C2084" s="4" t="s">
        <v>106</v>
      </c>
      <c r="D2084" s="4" t="s">
        <v>1</v>
      </c>
      <c r="E2084" s="4" t="s">
        <v>2453</v>
      </c>
      <c r="F2084" s="4" t="s">
        <v>2960</v>
      </c>
      <c r="G2084" s="6">
        <v>1.8</v>
      </c>
      <c r="H2084" s="7">
        <v>45469.692789351851</v>
      </c>
      <c r="I2084" s="7" t="str">
        <f>TEXT(multilingual_mobile_app_reviews_2025[[#This Row],[Review_date]],"dd-mm-yyyy")</f>
        <v>26-06-2024</v>
      </c>
      <c r="J2084" s="7" t="str">
        <f>TEXT(multilingual_mobile_app_reviews_2025[[#This Row],[Review_date]],"YYYY")</f>
        <v>2024</v>
      </c>
      <c r="K2084" s="7" t="str">
        <f>TEXT(multilingual_mobile_app_reviews_2025[[#This Row],[Review_date]],"MMMM")</f>
        <v>June</v>
      </c>
      <c r="L2084" s="4" t="b">
        <v>1</v>
      </c>
      <c r="M2084" s="4" t="s">
        <v>22</v>
      </c>
      <c r="N2084" s="5">
        <v>1192</v>
      </c>
      <c r="O2084" s="5">
        <v>65</v>
      </c>
      <c r="P2084" s="4" t="s">
        <v>11</v>
      </c>
      <c r="Q2084" s="8" t="s">
        <v>2963</v>
      </c>
      <c r="R2084" s="4" t="s">
        <v>2454</v>
      </c>
      <c r="S2084" s="4"/>
      <c r="T2084"/>
      <c r="U2084" s="23"/>
    </row>
    <row r="2085" spans="1:21" ht="15.6" x14ac:dyDescent="0.3">
      <c r="A2085" s="4">
        <v>2084</v>
      </c>
      <c r="B2085" s="5">
        <v>2926222</v>
      </c>
      <c r="C2085" s="4" t="s">
        <v>96</v>
      </c>
      <c r="D2085" s="4" t="s">
        <v>57</v>
      </c>
      <c r="E2085" s="4" t="s">
        <v>64</v>
      </c>
      <c r="F2085" s="4" t="s">
        <v>2955</v>
      </c>
      <c r="G2085" s="6">
        <v>2.2000000000000002</v>
      </c>
      <c r="H2085" s="7">
        <v>45819.475798611114</v>
      </c>
      <c r="I2085" s="7" t="str">
        <f>TEXT(multilingual_mobile_app_reviews_2025[[#This Row],[Review_date]],"dd-mm-yyyy")</f>
        <v>11-06-2025</v>
      </c>
      <c r="J2085" s="7" t="str">
        <f>TEXT(multilingual_mobile_app_reviews_2025[[#This Row],[Review_date]],"YYYY")</f>
        <v>2025</v>
      </c>
      <c r="K2085" s="7" t="str">
        <f>TEXT(multilingual_mobile_app_reviews_2025[[#This Row],[Review_date]],"MMMM")</f>
        <v>June</v>
      </c>
      <c r="L2085" s="4" t="b">
        <v>0</v>
      </c>
      <c r="M2085" s="4" t="s">
        <v>3</v>
      </c>
      <c r="N2085" s="5">
        <v>114</v>
      </c>
      <c r="O2085" s="5">
        <v>69</v>
      </c>
      <c r="P2085" s="4" t="s">
        <v>11</v>
      </c>
      <c r="Q2085" s="8" t="s">
        <v>2963</v>
      </c>
      <c r="R2085" s="4" t="s">
        <v>2455</v>
      </c>
      <c r="S2085" s="4"/>
      <c r="T2085"/>
      <c r="U2085" s="23"/>
    </row>
    <row r="2086" spans="1:21" ht="15.6" x14ac:dyDescent="0.3">
      <c r="A2086" s="4">
        <v>2085</v>
      </c>
      <c r="B2086" s="5">
        <v>8275606</v>
      </c>
      <c r="C2086" s="4" t="s">
        <v>67</v>
      </c>
      <c r="D2086" s="4" t="s">
        <v>31</v>
      </c>
      <c r="E2086" s="4" t="s">
        <v>32</v>
      </c>
      <c r="F2086" s="4" t="s">
        <v>2958</v>
      </c>
      <c r="G2086" s="6">
        <v>3.7</v>
      </c>
      <c r="H2086" s="7">
        <v>45727.991203703707</v>
      </c>
      <c r="I2086" s="7" t="str">
        <f>TEXT(multilingual_mobile_app_reviews_2025[[#This Row],[Review_date]],"dd-mm-yyyy")</f>
        <v>11-03-2025</v>
      </c>
      <c r="J2086" s="7" t="str">
        <f>TEXT(multilingual_mobile_app_reviews_2025[[#This Row],[Review_date]],"YYYY")</f>
        <v>2025</v>
      </c>
      <c r="K2086" s="7" t="str">
        <f>TEXT(multilingual_mobile_app_reviews_2025[[#This Row],[Review_date]],"MMMM")</f>
        <v>March</v>
      </c>
      <c r="L2086" s="4" t="b">
        <v>1</v>
      </c>
      <c r="M2086" s="4" t="s">
        <v>3</v>
      </c>
      <c r="N2086" s="5">
        <v>1212</v>
      </c>
      <c r="O2086" s="5">
        <v>73</v>
      </c>
      <c r="P2086" s="4" t="s">
        <v>114</v>
      </c>
      <c r="Q2086" s="8" t="s">
        <v>29</v>
      </c>
      <c r="R2086" s="4" t="s">
        <v>2456</v>
      </c>
      <c r="S2086" s="4"/>
      <c r="T2086"/>
      <c r="U2086" s="23"/>
    </row>
    <row r="2087" spans="1:21" ht="15.6" x14ac:dyDescent="0.3">
      <c r="A2087" s="4">
        <v>2086</v>
      </c>
      <c r="B2087" s="5">
        <v>3868723</v>
      </c>
      <c r="C2087" s="4" t="s">
        <v>25</v>
      </c>
      <c r="D2087" s="4" t="s">
        <v>97</v>
      </c>
      <c r="E2087" s="4" t="s">
        <v>2457</v>
      </c>
      <c r="F2087" s="4" t="s">
        <v>2954</v>
      </c>
      <c r="G2087" s="6">
        <v>3.5</v>
      </c>
      <c r="H2087" s="7">
        <v>45148.918275462966</v>
      </c>
      <c r="I2087" s="7" t="str">
        <f>TEXT(multilingual_mobile_app_reviews_2025[[#This Row],[Review_date]],"dd-mm-yyyy")</f>
        <v>10-08-2023</v>
      </c>
      <c r="J2087" s="7" t="str">
        <f>TEXT(multilingual_mobile_app_reviews_2025[[#This Row],[Review_date]],"YYYY")</f>
        <v>2023</v>
      </c>
      <c r="K2087" s="7" t="str">
        <f>TEXT(multilingual_mobile_app_reviews_2025[[#This Row],[Review_date]],"MMMM")</f>
        <v>August</v>
      </c>
      <c r="L2087" s="4" t="b">
        <v>1</v>
      </c>
      <c r="M2087" s="4" t="s">
        <v>10</v>
      </c>
      <c r="N2087" s="5">
        <v>671</v>
      </c>
      <c r="O2087" s="5">
        <v>75</v>
      </c>
      <c r="P2087" s="4" t="s">
        <v>28</v>
      </c>
      <c r="Q2087" s="8" t="s">
        <v>5</v>
      </c>
      <c r="R2087" s="4" t="s">
        <v>2458</v>
      </c>
      <c r="S2087" s="4"/>
      <c r="T2087"/>
      <c r="U2087" s="23"/>
    </row>
    <row r="2088" spans="1:21" ht="15.6" x14ac:dyDescent="0.3">
      <c r="A2088" s="4">
        <v>2087</v>
      </c>
      <c r="B2088" s="5">
        <v>8246156</v>
      </c>
      <c r="C2088" s="4" t="s">
        <v>154</v>
      </c>
      <c r="D2088" s="4" t="s">
        <v>26</v>
      </c>
      <c r="E2088" s="4" t="s">
        <v>130</v>
      </c>
      <c r="F2088" s="4" t="s">
        <v>2950</v>
      </c>
      <c r="G2088" s="6">
        <v>2.7</v>
      </c>
      <c r="H2088" s="7">
        <v>45327.423275462963</v>
      </c>
      <c r="I2088" s="7" t="str">
        <f>TEXT(multilingual_mobile_app_reviews_2025[[#This Row],[Review_date]],"dd-mm-yyyy")</f>
        <v>05-02-2024</v>
      </c>
      <c r="J2088" s="7" t="str">
        <f>TEXT(multilingual_mobile_app_reviews_2025[[#This Row],[Review_date]],"YYYY")</f>
        <v>2024</v>
      </c>
      <c r="K2088" s="7" t="str">
        <f>TEXT(multilingual_mobile_app_reviews_2025[[#This Row],[Review_date]],"MMMM")</f>
        <v>February</v>
      </c>
      <c r="L2088" s="4" t="b">
        <v>1</v>
      </c>
      <c r="M2088" s="4" t="s">
        <v>3</v>
      </c>
      <c r="N2088" s="5">
        <v>402</v>
      </c>
      <c r="O2088" s="5">
        <v>45</v>
      </c>
      <c r="P2088" s="4" t="s">
        <v>28</v>
      </c>
      <c r="Q2088" s="8" t="s">
        <v>29</v>
      </c>
      <c r="R2088" s="4" t="s">
        <v>2459</v>
      </c>
      <c r="S2088" s="4"/>
      <c r="T2088"/>
      <c r="U2088" s="23"/>
    </row>
    <row r="2089" spans="1:21" ht="15.6" x14ac:dyDescent="0.3">
      <c r="A2089" s="4">
        <v>2088</v>
      </c>
      <c r="B2089" s="5">
        <v>8404320</v>
      </c>
      <c r="C2089" s="4" t="s">
        <v>59</v>
      </c>
      <c r="D2089" s="4" t="s">
        <v>57</v>
      </c>
      <c r="E2089" s="4" t="s">
        <v>76</v>
      </c>
      <c r="F2089" s="4" t="s">
        <v>2951</v>
      </c>
      <c r="G2089" s="6">
        <v>1.1000000000000001</v>
      </c>
      <c r="H2089" s="7">
        <v>45310.835520833331</v>
      </c>
      <c r="I2089" s="7" t="str">
        <f>TEXT(multilingual_mobile_app_reviews_2025[[#This Row],[Review_date]],"dd-mm-yyyy")</f>
        <v>19-01-2024</v>
      </c>
      <c r="J2089" s="7" t="str">
        <f>TEXT(multilingual_mobile_app_reviews_2025[[#This Row],[Review_date]],"YYYY")</f>
        <v>2024</v>
      </c>
      <c r="K2089" s="7" t="str">
        <f>TEXT(multilingual_mobile_app_reviews_2025[[#This Row],[Review_date]],"MMMM")</f>
        <v>January</v>
      </c>
      <c r="L2089" s="4" t="b">
        <v>1</v>
      </c>
      <c r="M2089" s="4" t="s">
        <v>33</v>
      </c>
      <c r="N2089" s="5">
        <v>252</v>
      </c>
      <c r="O2089" s="5">
        <v>14</v>
      </c>
      <c r="P2089" s="4" t="s">
        <v>118</v>
      </c>
      <c r="Q2089" s="8" t="s">
        <v>12</v>
      </c>
      <c r="R2089" s="4" t="s">
        <v>2460</v>
      </c>
      <c r="S2089" s="4"/>
      <c r="T2089"/>
      <c r="U2089" s="23"/>
    </row>
    <row r="2090" spans="1:21" ht="15.6" x14ac:dyDescent="0.3">
      <c r="A2090" s="4">
        <v>2089</v>
      </c>
      <c r="B2090" s="5">
        <v>7377403</v>
      </c>
      <c r="C2090" s="4" t="s">
        <v>159</v>
      </c>
      <c r="D2090" s="4" t="s">
        <v>47</v>
      </c>
      <c r="E2090" s="4" t="s">
        <v>16</v>
      </c>
      <c r="F2090" s="4" t="s">
        <v>2944</v>
      </c>
      <c r="G2090" s="6">
        <v>4.5</v>
      </c>
      <c r="H2090" s="7">
        <v>45655.887199074074</v>
      </c>
      <c r="I2090" s="7" t="str">
        <f>TEXT(multilingual_mobile_app_reviews_2025[[#This Row],[Review_date]],"dd-mm-yyyy")</f>
        <v>29-12-2024</v>
      </c>
      <c r="J2090" s="7" t="str">
        <f>TEXT(multilingual_mobile_app_reviews_2025[[#This Row],[Review_date]],"YYYY")</f>
        <v>2024</v>
      </c>
      <c r="K2090" s="7" t="str">
        <f>TEXT(multilingual_mobile_app_reviews_2025[[#This Row],[Review_date]],"MMMM")</f>
        <v>December</v>
      </c>
      <c r="L2090" s="4" t="b">
        <v>1</v>
      </c>
      <c r="M2090" s="4" t="s">
        <v>98</v>
      </c>
      <c r="N2090" s="5">
        <v>1157</v>
      </c>
      <c r="O2090" s="5">
        <v>57</v>
      </c>
      <c r="P2090" s="4" t="s">
        <v>11</v>
      </c>
      <c r="Q2090" s="8" t="s">
        <v>29</v>
      </c>
      <c r="R2090" s="4" t="s">
        <v>2461</v>
      </c>
      <c r="S2090" s="4"/>
      <c r="T2090"/>
      <c r="U2090" s="23"/>
    </row>
    <row r="2091" spans="1:21" ht="15.6" x14ac:dyDescent="0.3">
      <c r="A2091" s="4">
        <v>2090</v>
      </c>
      <c r="B2091" s="5">
        <v>1844250</v>
      </c>
      <c r="C2091" s="4" t="s">
        <v>244</v>
      </c>
      <c r="D2091" s="4" t="s">
        <v>42</v>
      </c>
      <c r="E2091" s="4" t="s">
        <v>76</v>
      </c>
      <c r="F2091" s="4" t="s">
        <v>2944</v>
      </c>
      <c r="G2091" s="6">
        <v>1.6</v>
      </c>
      <c r="H2091" s="7">
        <v>45745.438263888886</v>
      </c>
      <c r="I2091" s="7" t="str">
        <f>TEXT(multilingual_mobile_app_reviews_2025[[#This Row],[Review_date]],"dd-mm-yyyy")</f>
        <v>29-03-2025</v>
      </c>
      <c r="J2091" s="7" t="str">
        <f>TEXT(multilingual_mobile_app_reviews_2025[[#This Row],[Review_date]],"YYYY")</f>
        <v>2025</v>
      </c>
      <c r="K2091" s="7" t="str">
        <f>TEXT(multilingual_mobile_app_reviews_2025[[#This Row],[Review_date]],"MMMM")</f>
        <v>March</v>
      </c>
      <c r="L2091" s="4" t="b">
        <v>0</v>
      </c>
      <c r="M2091" s="4" t="s">
        <v>22</v>
      </c>
      <c r="N2091" s="5">
        <v>990</v>
      </c>
      <c r="O2091" s="5">
        <v>67</v>
      </c>
      <c r="P2091" s="4" t="s">
        <v>94</v>
      </c>
      <c r="Q2091" s="8" t="s">
        <v>39</v>
      </c>
      <c r="R2091" s="4" t="s">
        <v>2462</v>
      </c>
      <c r="S2091" s="4"/>
      <c r="T2091"/>
      <c r="U2091" s="23"/>
    </row>
    <row r="2092" spans="1:21" ht="15.6" x14ac:dyDescent="0.3">
      <c r="A2092" s="4">
        <v>2091</v>
      </c>
      <c r="B2092" s="5">
        <v>8284965</v>
      </c>
      <c r="C2092" s="4" t="s">
        <v>174</v>
      </c>
      <c r="D2092" s="4" t="s">
        <v>71</v>
      </c>
      <c r="E2092" s="4" t="s">
        <v>16</v>
      </c>
      <c r="F2092" s="4" t="s">
        <v>2950</v>
      </c>
      <c r="G2092" s="6">
        <v>2.9</v>
      </c>
      <c r="H2092" s="7">
        <v>45574.364120370374</v>
      </c>
      <c r="I2092" s="7" t="str">
        <f>TEXT(multilingual_mobile_app_reviews_2025[[#This Row],[Review_date]],"dd-mm-yyyy")</f>
        <v>09-10-2024</v>
      </c>
      <c r="J2092" s="7" t="str">
        <f>TEXT(multilingual_mobile_app_reviews_2025[[#This Row],[Review_date]],"YYYY")</f>
        <v>2024</v>
      </c>
      <c r="K2092" s="7" t="str">
        <f>TEXT(multilingual_mobile_app_reviews_2025[[#This Row],[Review_date]],"MMMM")</f>
        <v>October</v>
      </c>
      <c r="L2092" s="4" t="b">
        <v>1</v>
      </c>
      <c r="M2092" s="4" t="s">
        <v>10</v>
      </c>
      <c r="N2092" s="5">
        <v>130</v>
      </c>
      <c r="O2092" s="5">
        <v>24</v>
      </c>
      <c r="P2092" s="4" t="s">
        <v>38</v>
      </c>
      <c r="Q2092" s="8" t="s">
        <v>5</v>
      </c>
      <c r="R2092" s="4" t="s">
        <v>2463</v>
      </c>
      <c r="S2092" s="4"/>
      <c r="T2092"/>
      <c r="U2092" s="23"/>
    </row>
    <row r="2093" spans="1:21" ht="15.6" x14ac:dyDescent="0.3">
      <c r="A2093" s="4">
        <v>2092</v>
      </c>
      <c r="B2093" s="5">
        <v>9589530</v>
      </c>
      <c r="C2093" s="4" t="s">
        <v>165</v>
      </c>
      <c r="D2093" s="4" t="s">
        <v>57</v>
      </c>
      <c r="E2093" s="4" t="s">
        <v>21</v>
      </c>
      <c r="F2093" s="4" t="s">
        <v>2961</v>
      </c>
      <c r="G2093" s="6">
        <v>4.0999999999999996</v>
      </c>
      <c r="H2093" s="7">
        <v>45430.788113425922</v>
      </c>
      <c r="I2093" s="7" t="str">
        <f>TEXT(multilingual_mobile_app_reviews_2025[[#This Row],[Review_date]],"dd-mm-yyyy")</f>
        <v>18-05-2024</v>
      </c>
      <c r="J2093" s="7" t="str">
        <f>TEXT(multilingual_mobile_app_reviews_2025[[#This Row],[Review_date]],"YYYY")</f>
        <v>2024</v>
      </c>
      <c r="K2093" s="7" t="str">
        <f>TEXT(multilingual_mobile_app_reviews_2025[[#This Row],[Review_date]],"MMMM")</f>
        <v>May</v>
      </c>
      <c r="L2093" s="4" t="b">
        <v>1</v>
      </c>
      <c r="M2093" s="4" t="s">
        <v>22</v>
      </c>
      <c r="N2093" s="5">
        <v>794</v>
      </c>
      <c r="O2093" s="5">
        <v>64</v>
      </c>
      <c r="P2093" s="4" t="s">
        <v>73</v>
      </c>
      <c r="Q2093" s="8" t="s">
        <v>2963</v>
      </c>
      <c r="R2093" s="4" t="s">
        <v>2464</v>
      </c>
      <c r="S2093" s="4"/>
      <c r="T2093"/>
      <c r="U2093" s="23"/>
    </row>
    <row r="2094" spans="1:21" ht="15.6" x14ac:dyDescent="0.3">
      <c r="A2094" s="4">
        <v>2093</v>
      </c>
      <c r="B2094" s="5">
        <v>8806817</v>
      </c>
      <c r="C2094" s="4" t="s">
        <v>50</v>
      </c>
      <c r="D2094" s="4" t="s">
        <v>57</v>
      </c>
      <c r="E2094" s="4" t="s">
        <v>2465</v>
      </c>
      <c r="F2094" s="4" t="s">
        <v>2957</v>
      </c>
      <c r="G2094" s="6">
        <v>3.5</v>
      </c>
      <c r="H2094" s="7">
        <v>45584.208437499998</v>
      </c>
      <c r="I2094" s="7" t="str">
        <f>TEXT(multilingual_mobile_app_reviews_2025[[#This Row],[Review_date]],"dd-mm-yyyy")</f>
        <v>19-10-2024</v>
      </c>
      <c r="J2094" s="7" t="str">
        <f>TEXT(multilingual_mobile_app_reviews_2025[[#This Row],[Review_date]],"YYYY")</f>
        <v>2024</v>
      </c>
      <c r="K2094" s="7" t="str">
        <f>TEXT(multilingual_mobile_app_reviews_2025[[#This Row],[Review_date]],"MMMM")</f>
        <v>October</v>
      </c>
      <c r="L2094" s="4" t="b">
        <v>1</v>
      </c>
      <c r="M2094" s="4" t="s">
        <v>33</v>
      </c>
      <c r="N2094" s="5">
        <v>61</v>
      </c>
      <c r="O2094" s="5">
        <v>74</v>
      </c>
      <c r="P2094" s="4" t="s">
        <v>90</v>
      </c>
      <c r="Q2094" s="8" t="s">
        <v>12</v>
      </c>
      <c r="R2094" s="4" t="s">
        <v>2466</v>
      </c>
      <c r="S2094" s="4"/>
      <c r="T2094"/>
      <c r="U2094" s="23"/>
    </row>
    <row r="2095" spans="1:21" ht="15.6" x14ac:dyDescent="0.3">
      <c r="A2095" s="4">
        <v>2094</v>
      </c>
      <c r="B2095" s="5">
        <v>725391</v>
      </c>
      <c r="C2095" s="4" t="s">
        <v>159</v>
      </c>
      <c r="D2095" s="4" t="s">
        <v>15</v>
      </c>
      <c r="E2095" s="4" t="s">
        <v>16</v>
      </c>
      <c r="F2095" s="4" t="s">
        <v>2946</v>
      </c>
      <c r="G2095" s="6">
        <v>1.5</v>
      </c>
      <c r="H2095" s="7">
        <v>45869.150868055556</v>
      </c>
      <c r="I2095" s="7" t="str">
        <f>TEXT(multilingual_mobile_app_reviews_2025[[#This Row],[Review_date]],"dd-mm-yyyy")</f>
        <v>31-07-2025</v>
      </c>
      <c r="J2095" s="7" t="str">
        <f>TEXT(multilingual_mobile_app_reviews_2025[[#This Row],[Review_date]],"YYYY")</f>
        <v>2025</v>
      </c>
      <c r="K2095" s="7" t="str">
        <f>TEXT(multilingual_mobile_app_reviews_2025[[#This Row],[Review_date]],"MMMM")</f>
        <v>July</v>
      </c>
      <c r="L2095" s="4" t="b">
        <v>1</v>
      </c>
      <c r="M2095" s="4" t="s">
        <v>22</v>
      </c>
      <c r="N2095" s="5">
        <v>593</v>
      </c>
      <c r="O2095" s="5">
        <v>62</v>
      </c>
      <c r="P2095" s="4" t="s">
        <v>17</v>
      </c>
      <c r="Q2095" s="8" t="s">
        <v>39</v>
      </c>
      <c r="R2095" s="4" t="s">
        <v>2467</v>
      </c>
      <c r="S2095" s="4"/>
      <c r="T2095"/>
      <c r="U2095" s="23"/>
    </row>
    <row r="2096" spans="1:21" ht="15.6" x14ac:dyDescent="0.3">
      <c r="A2096" s="4">
        <v>2095</v>
      </c>
      <c r="B2096" s="5">
        <v>7344357</v>
      </c>
      <c r="C2096" s="4" t="s">
        <v>113</v>
      </c>
      <c r="D2096" s="4" t="s">
        <v>31</v>
      </c>
      <c r="E2096" s="4" t="s">
        <v>2468</v>
      </c>
      <c r="F2096" s="4" t="s">
        <v>2949</v>
      </c>
      <c r="G2096" s="6">
        <v>2.8</v>
      </c>
      <c r="H2096" s="7">
        <v>45774.523819444446</v>
      </c>
      <c r="I2096" s="7" t="str">
        <f>TEXT(multilingual_mobile_app_reviews_2025[[#This Row],[Review_date]],"dd-mm-yyyy")</f>
        <v>27-04-2025</v>
      </c>
      <c r="J2096" s="7" t="str">
        <f>TEXT(multilingual_mobile_app_reviews_2025[[#This Row],[Review_date]],"YYYY")</f>
        <v>2025</v>
      </c>
      <c r="K2096" s="7" t="str">
        <f>TEXT(multilingual_mobile_app_reviews_2025[[#This Row],[Review_date]],"MMMM")</f>
        <v>April</v>
      </c>
      <c r="L2096" s="4" t="b">
        <v>0</v>
      </c>
      <c r="M2096" s="4" t="s">
        <v>3</v>
      </c>
      <c r="N2096" s="5">
        <v>1002</v>
      </c>
      <c r="O2096" s="5">
        <v>26</v>
      </c>
      <c r="P2096" s="4" t="s">
        <v>73</v>
      </c>
      <c r="Q2096" s="8" t="s">
        <v>12</v>
      </c>
      <c r="R2096" s="4" t="s">
        <v>2469</v>
      </c>
      <c r="S2096" s="4"/>
      <c r="T2096"/>
      <c r="U2096" s="23"/>
    </row>
    <row r="2097" spans="1:21" ht="15.6" x14ac:dyDescent="0.3">
      <c r="A2097" s="4">
        <v>2096</v>
      </c>
      <c r="B2097" s="5">
        <v>5872196</v>
      </c>
      <c r="C2097" s="4" t="s">
        <v>41</v>
      </c>
      <c r="D2097" s="4" t="s">
        <v>8</v>
      </c>
      <c r="E2097" s="4" t="s">
        <v>32</v>
      </c>
      <c r="F2097" s="4" t="s">
        <v>2961</v>
      </c>
      <c r="G2097" s="6">
        <v>3.7</v>
      </c>
      <c r="H2097" s="7">
        <v>45412.578703703701</v>
      </c>
      <c r="I2097" s="7" t="str">
        <f>TEXT(multilingual_mobile_app_reviews_2025[[#This Row],[Review_date]],"dd-mm-yyyy")</f>
        <v>30-04-2024</v>
      </c>
      <c r="J2097" s="7" t="str">
        <f>TEXT(multilingual_mobile_app_reviews_2025[[#This Row],[Review_date]],"YYYY")</f>
        <v>2024</v>
      </c>
      <c r="K2097" s="7" t="str">
        <f>TEXT(multilingual_mobile_app_reviews_2025[[#This Row],[Review_date]],"MMMM")</f>
        <v>April</v>
      </c>
      <c r="L2097" s="4" t="b">
        <v>1</v>
      </c>
      <c r="M2097" s="4" t="s">
        <v>98</v>
      </c>
      <c r="N2097" s="5">
        <v>375</v>
      </c>
      <c r="O2097" s="5">
        <v>56</v>
      </c>
      <c r="P2097" s="4" t="s">
        <v>11</v>
      </c>
      <c r="Q2097" s="8" t="s">
        <v>12</v>
      </c>
      <c r="R2097" s="4" t="s">
        <v>2470</v>
      </c>
      <c r="S2097" s="4"/>
      <c r="T2097"/>
      <c r="U2097" s="23"/>
    </row>
    <row r="2098" spans="1:21" ht="15.6" x14ac:dyDescent="0.3">
      <c r="A2098" s="4">
        <v>2097</v>
      </c>
      <c r="B2098" s="5">
        <v>4741122</v>
      </c>
      <c r="C2098" s="4" t="s">
        <v>67</v>
      </c>
      <c r="D2098" s="4" t="s">
        <v>1</v>
      </c>
      <c r="E2098" s="4" t="s">
        <v>21</v>
      </c>
      <c r="F2098" s="4" t="s">
        <v>2944</v>
      </c>
      <c r="G2098" s="6">
        <v>1.9</v>
      </c>
      <c r="H2098" s="7">
        <v>45485.302141203705</v>
      </c>
      <c r="I2098" s="7" t="str">
        <f>TEXT(multilingual_mobile_app_reviews_2025[[#This Row],[Review_date]],"dd-mm-yyyy")</f>
        <v>12-07-2024</v>
      </c>
      <c r="J2098" s="7" t="str">
        <f>TEXT(multilingual_mobile_app_reviews_2025[[#This Row],[Review_date]],"YYYY")</f>
        <v>2024</v>
      </c>
      <c r="K2098" s="7" t="str">
        <f>TEXT(multilingual_mobile_app_reviews_2025[[#This Row],[Review_date]],"MMMM")</f>
        <v>July</v>
      </c>
      <c r="L2098" s="4" t="b">
        <v>1</v>
      </c>
      <c r="M2098" s="4" t="s">
        <v>98</v>
      </c>
      <c r="N2098" s="5">
        <v>1194</v>
      </c>
      <c r="O2098" s="5">
        <v>33</v>
      </c>
      <c r="P2098" s="4" t="s">
        <v>4</v>
      </c>
      <c r="Q2098" s="8" t="s">
        <v>2963</v>
      </c>
      <c r="R2098" s="4" t="s">
        <v>2471</v>
      </c>
      <c r="S2098" s="4"/>
      <c r="T2098"/>
      <c r="U2098" s="23"/>
    </row>
    <row r="2099" spans="1:21" ht="15.6" x14ac:dyDescent="0.3">
      <c r="A2099" s="4">
        <v>2098</v>
      </c>
      <c r="B2099" s="5">
        <v>5544414</v>
      </c>
      <c r="C2099" s="4" t="s">
        <v>159</v>
      </c>
      <c r="D2099" s="4" t="s">
        <v>220</v>
      </c>
      <c r="E2099" s="4" t="s">
        <v>16</v>
      </c>
      <c r="F2099" s="4" t="s">
        <v>2960</v>
      </c>
      <c r="G2099" s="6">
        <v>2</v>
      </c>
      <c r="H2099" s="7">
        <v>45494.776284722226</v>
      </c>
      <c r="I2099" s="7" t="str">
        <f>TEXT(multilingual_mobile_app_reviews_2025[[#This Row],[Review_date]],"dd-mm-yyyy")</f>
        <v>21-07-2024</v>
      </c>
      <c r="J2099" s="7" t="str">
        <f>TEXT(multilingual_mobile_app_reviews_2025[[#This Row],[Review_date]],"YYYY")</f>
        <v>2024</v>
      </c>
      <c r="K2099" s="7" t="str">
        <f>TEXT(multilingual_mobile_app_reviews_2025[[#This Row],[Review_date]],"MMMM")</f>
        <v>July</v>
      </c>
      <c r="L2099" s="4" t="b">
        <v>0</v>
      </c>
      <c r="M2099" s="4" t="s">
        <v>3</v>
      </c>
      <c r="N2099" s="5">
        <v>1045</v>
      </c>
      <c r="O2099" s="5">
        <v>42</v>
      </c>
      <c r="P2099" s="4" t="s">
        <v>44</v>
      </c>
      <c r="Q2099" s="8" t="s">
        <v>12</v>
      </c>
      <c r="R2099" s="4" t="s">
        <v>2472</v>
      </c>
      <c r="S2099" s="4"/>
      <c r="T2099"/>
      <c r="U2099" s="23"/>
    </row>
    <row r="2100" spans="1:21" ht="15.6" x14ac:dyDescent="0.3">
      <c r="A2100" s="4">
        <v>2099</v>
      </c>
      <c r="B2100" s="5">
        <v>4515321</v>
      </c>
      <c r="C2100" s="4" t="s">
        <v>258</v>
      </c>
      <c r="D2100" s="4" t="s">
        <v>220</v>
      </c>
      <c r="E2100" s="4" t="s">
        <v>76</v>
      </c>
      <c r="F2100" s="4" t="s">
        <v>2947</v>
      </c>
      <c r="G2100" s="6">
        <v>4.7</v>
      </c>
      <c r="H2100" s="7">
        <v>45735.876192129632</v>
      </c>
      <c r="I2100" s="7" t="str">
        <f>TEXT(multilingual_mobile_app_reviews_2025[[#This Row],[Review_date]],"dd-mm-yyyy")</f>
        <v>19-03-2025</v>
      </c>
      <c r="J2100" s="7" t="str">
        <f>TEXT(multilingual_mobile_app_reviews_2025[[#This Row],[Review_date]],"YYYY")</f>
        <v>2025</v>
      </c>
      <c r="K2100" s="7" t="str">
        <f>TEXT(multilingual_mobile_app_reviews_2025[[#This Row],[Review_date]],"MMMM")</f>
        <v>March</v>
      </c>
      <c r="L2100" s="4" t="b">
        <v>1</v>
      </c>
      <c r="M2100" s="4" t="s">
        <v>22</v>
      </c>
      <c r="N2100" s="5">
        <v>1219</v>
      </c>
      <c r="O2100" s="5">
        <v>33</v>
      </c>
      <c r="P2100" s="4" t="s">
        <v>28</v>
      </c>
      <c r="Q2100" s="8" t="s">
        <v>2963</v>
      </c>
      <c r="R2100" s="4" t="s">
        <v>2473</v>
      </c>
      <c r="S2100" s="4"/>
      <c r="T2100"/>
      <c r="U2100" s="23"/>
    </row>
    <row r="2101" spans="1:21" ht="15.6" x14ac:dyDescent="0.3">
      <c r="A2101" s="4">
        <v>2100</v>
      </c>
      <c r="B2101" s="5">
        <v>3612830</v>
      </c>
      <c r="C2101" s="4" t="s">
        <v>50</v>
      </c>
      <c r="D2101" s="4" t="s">
        <v>63</v>
      </c>
      <c r="E2101" s="4" t="s">
        <v>93</v>
      </c>
      <c r="F2101" s="4" t="s">
        <v>2942</v>
      </c>
      <c r="G2101" s="6">
        <v>2.2999999999999998</v>
      </c>
      <c r="H2101" s="7">
        <v>45572.660775462966</v>
      </c>
      <c r="I2101" s="7" t="str">
        <f>TEXT(multilingual_mobile_app_reviews_2025[[#This Row],[Review_date]],"dd-mm-yyyy")</f>
        <v>07-10-2024</v>
      </c>
      <c r="J2101" s="7" t="str">
        <f>TEXT(multilingual_mobile_app_reviews_2025[[#This Row],[Review_date]],"YYYY")</f>
        <v>2024</v>
      </c>
      <c r="K2101" s="7" t="str">
        <f>TEXT(multilingual_mobile_app_reviews_2025[[#This Row],[Review_date]],"MMMM")</f>
        <v>October</v>
      </c>
      <c r="L2101" s="4" t="b">
        <v>0</v>
      </c>
      <c r="M2101" s="4" t="s">
        <v>33</v>
      </c>
      <c r="N2101" s="5">
        <v>374</v>
      </c>
      <c r="O2101" s="5">
        <v>75</v>
      </c>
      <c r="P2101" s="4" t="s">
        <v>99</v>
      </c>
      <c r="Q2101" s="8" t="s">
        <v>12</v>
      </c>
      <c r="R2101" s="4" t="s">
        <v>2474</v>
      </c>
      <c r="S2101" s="4"/>
      <c r="T2101"/>
      <c r="U2101" s="23"/>
    </row>
    <row r="2102" spans="1:21" ht="15.6" x14ac:dyDescent="0.3">
      <c r="A2102" s="4">
        <v>2101</v>
      </c>
      <c r="B2102" s="5">
        <v>9281796</v>
      </c>
      <c r="C2102" s="4" t="s">
        <v>113</v>
      </c>
      <c r="D2102" s="4" t="s">
        <v>31</v>
      </c>
      <c r="E2102" s="4" t="s">
        <v>2475</v>
      </c>
      <c r="F2102" s="4" t="s">
        <v>2952</v>
      </c>
      <c r="G2102" s="6">
        <v>1.3</v>
      </c>
      <c r="H2102" s="7">
        <v>45412.133055555554</v>
      </c>
      <c r="I2102" s="7" t="str">
        <f>TEXT(multilingual_mobile_app_reviews_2025[[#This Row],[Review_date]],"dd-mm-yyyy")</f>
        <v>30-04-2024</v>
      </c>
      <c r="J2102" s="7" t="str">
        <f>TEXT(multilingual_mobile_app_reviews_2025[[#This Row],[Review_date]],"YYYY")</f>
        <v>2024</v>
      </c>
      <c r="K2102" s="7" t="str">
        <f>TEXT(multilingual_mobile_app_reviews_2025[[#This Row],[Review_date]],"MMMM")</f>
        <v>April</v>
      </c>
      <c r="L2102" s="4" t="b">
        <v>0</v>
      </c>
      <c r="M2102" s="4" t="s">
        <v>3</v>
      </c>
      <c r="N2102" s="5">
        <v>1116</v>
      </c>
      <c r="O2102" s="5">
        <v>67</v>
      </c>
      <c r="P2102" s="4" t="s">
        <v>34</v>
      </c>
      <c r="Q2102" s="8" t="s">
        <v>39</v>
      </c>
      <c r="R2102" s="4" t="s">
        <v>2476</v>
      </c>
      <c r="S2102" s="4"/>
      <c r="T2102"/>
      <c r="U2102" s="23"/>
    </row>
    <row r="2103" spans="1:21" ht="15.6" x14ac:dyDescent="0.3">
      <c r="A2103" s="4">
        <v>2102</v>
      </c>
      <c r="B2103" s="5">
        <v>9130080</v>
      </c>
      <c r="C2103" s="4" t="s">
        <v>264</v>
      </c>
      <c r="D2103" s="4" t="s">
        <v>97</v>
      </c>
      <c r="E2103" s="4" t="s">
        <v>2477</v>
      </c>
      <c r="F2103" s="4" t="s">
        <v>2941</v>
      </c>
      <c r="G2103" s="6">
        <v>2.9</v>
      </c>
      <c r="H2103" s="7">
        <v>45725.126122685186</v>
      </c>
      <c r="I2103" s="7" t="str">
        <f>TEXT(multilingual_mobile_app_reviews_2025[[#This Row],[Review_date]],"dd-mm-yyyy")</f>
        <v>09-03-2025</v>
      </c>
      <c r="J2103" s="7" t="str">
        <f>TEXT(multilingual_mobile_app_reviews_2025[[#This Row],[Review_date]],"YYYY")</f>
        <v>2025</v>
      </c>
      <c r="K2103" s="7" t="str">
        <f>TEXT(multilingual_mobile_app_reviews_2025[[#This Row],[Review_date]],"MMMM")</f>
        <v>March</v>
      </c>
      <c r="L2103" s="4" t="b">
        <v>1</v>
      </c>
      <c r="M2103" s="4" t="s">
        <v>10</v>
      </c>
      <c r="N2103" s="5">
        <v>688</v>
      </c>
      <c r="O2103" s="5">
        <v>48</v>
      </c>
      <c r="P2103" s="4" t="s">
        <v>144</v>
      </c>
      <c r="Q2103" s="8" t="s">
        <v>5</v>
      </c>
      <c r="R2103" s="4" t="s">
        <v>2478</v>
      </c>
      <c r="S2103" s="4"/>
      <c r="T2103"/>
      <c r="U2103" s="23"/>
    </row>
    <row r="2104" spans="1:21" ht="15.6" x14ac:dyDescent="0.3">
      <c r="A2104" s="4">
        <v>2103</v>
      </c>
      <c r="B2104" s="5">
        <v>2927685</v>
      </c>
      <c r="C2104" s="4" t="s">
        <v>46</v>
      </c>
      <c r="D2104" s="4" t="s">
        <v>60</v>
      </c>
      <c r="E2104" s="4" t="s">
        <v>2479</v>
      </c>
      <c r="F2104" s="4" t="s">
        <v>2949</v>
      </c>
      <c r="G2104" s="6">
        <v>4.0999999999999996</v>
      </c>
      <c r="H2104" s="7">
        <v>45573.781967592593</v>
      </c>
      <c r="I2104" s="7" t="str">
        <f>TEXT(multilingual_mobile_app_reviews_2025[[#This Row],[Review_date]],"dd-mm-yyyy")</f>
        <v>08-10-2024</v>
      </c>
      <c r="J2104" s="7" t="str">
        <f>TEXT(multilingual_mobile_app_reviews_2025[[#This Row],[Review_date]],"YYYY")</f>
        <v>2024</v>
      </c>
      <c r="K2104" s="7" t="str">
        <f>TEXT(multilingual_mobile_app_reviews_2025[[#This Row],[Review_date]],"MMMM")</f>
        <v>October</v>
      </c>
      <c r="L2104" s="4" t="b">
        <v>1</v>
      </c>
      <c r="M2104" s="4" t="s">
        <v>22</v>
      </c>
      <c r="N2104" s="5">
        <v>1245</v>
      </c>
      <c r="O2104" s="5">
        <v>72</v>
      </c>
      <c r="P2104" s="4" t="s">
        <v>17</v>
      </c>
      <c r="Q2104" s="8" t="s">
        <v>5</v>
      </c>
      <c r="R2104" s="4" t="s">
        <v>2480</v>
      </c>
      <c r="S2104" s="4"/>
      <c r="T2104"/>
      <c r="U2104" s="23"/>
    </row>
    <row r="2105" spans="1:21" ht="15.6" x14ac:dyDescent="0.3">
      <c r="A2105" s="4">
        <v>2104</v>
      </c>
      <c r="B2105" s="5">
        <v>3084802</v>
      </c>
      <c r="C2105" s="4" t="s">
        <v>258</v>
      </c>
      <c r="D2105" s="4" t="s">
        <v>220</v>
      </c>
      <c r="E2105" s="4" t="s">
        <v>76</v>
      </c>
      <c r="F2105" s="4" t="s">
        <v>2945</v>
      </c>
      <c r="G2105" s="6">
        <v>3.1</v>
      </c>
      <c r="H2105" s="7">
        <v>45447.991666666669</v>
      </c>
      <c r="I2105" s="7" t="str">
        <f>TEXT(multilingual_mobile_app_reviews_2025[[#This Row],[Review_date]],"dd-mm-yyyy")</f>
        <v>04-06-2024</v>
      </c>
      <c r="J2105" s="7" t="str">
        <f>TEXT(multilingual_mobile_app_reviews_2025[[#This Row],[Review_date]],"YYYY")</f>
        <v>2024</v>
      </c>
      <c r="K2105" s="7" t="str">
        <f>TEXT(multilingual_mobile_app_reviews_2025[[#This Row],[Review_date]],"MMMM")</f>
        <v>June</v>
      </c>
      <c r="L2105" s="4" t="b">
        <v>0</v>
      </c>
      <c r="M2105" s="4" t="s">
        <v>10</v>
      </c>
      <c r="N2105" s="5">
        <v>1021</v>
      </c>
      <c r="O2105" s="5">
        <v>30</v>
      </c>
      <c r="P2105" s="4" t="s">
        <v>90</v>
      </c>
      <c r="Q2105" s="8" t="s">
        <v>39</v>
      </c>
      <c r="R2105" s="4" t="s">
        <v>2481</v>
      </c>
      <c r="S2105" s="4"/>
      <c r="T2105"/>
      <c r="U2105" s="23"/>
    </row>
    <row r="2106" spans="1:21" ht="15.6" x14ac:dyDescent="0.3">
      <c r="A2106" s="4">
        <v>2105</v>
      </c>
      <c r="B2106" s="5">
        <v>1373983</v>
      </c>
      <c r="C2106" s="4" t="s">
        <v>134</v>
      </c>
      <c r="D2106" s="4" t="s">
        <v>42</v>
      </c>
      <c r="E2106" s="4" t="s">
        <v>109</v>
      </c>
      <c r="F2106" s="4" t="s">
        <v>2949</v>
      </c>
      <c r="G2106" s="6">
        <v>2.9</v>
      </c>
      <c r="H2106" s="7">
        <v>45293.150682870371</v>
      </c>
      <c r="I2106" s="7" t="str">
        <f>TEXT(multilingual_mobile_app_reviews_2025[[#This Row],[Review_date]],"dd-mm-yyyy")</f>
        <v>02-01-2024</v>
      </c>
      <c r="J2106" s="7" t="str">
        <f>TEXT(multilingual_mobile_app_reviews_2025[[#This Row],[Review_date]],"YYYY")</f>
        <v>2024</v>
      </c>
      <c r="K2106" s="7" t="str">
        <f>TEXT(multilingual_mobile_app_reviews_2025[[#This Row],[Review_date]],"MMMM")</f>
        <v>January</v>
      </c>
      <c r="L2106" s="4" t="b">
        <v>1</v>
      </c>
      <c r="M2106" s="4" t="s">
        <v>3</v>
      </c>
      <c r="N2106" s="5">
        <v>635</v>
      </c>
      <c r="O2106" s="5">
        <v>65</v>
      </c>
      <c r="P2106" s="4" t="s">
        <v>162</v>
      </c>
      <c r="Q2106" s="8" t="s">
        <v>2963</v>
      </c>
      <c r="R2106" s="4" t="s">
        <v>2482</v>
      </c>
      <c r="S2106" s="4"/>
      <c r="T2106"/>
      <c r="U2106" s="23"/>
    </row>
    <row r="2107" spans="1:21" ht="15.6" x14ac:dyDescent="0.3">
      <c r="A2107" s="4">
        <v>2106</v>
      </c>
      <c r="B2107" s="5">
        <v>1619046</v>
      </c>
      <c r="C2107" s="4" t="s">
        <v>134</v>
      </c>
      <c r="D2107" s="4" t="s">
        <v>42</v>
      </c>
      <c r="E2107" s="4" t="s">
        <v>21</v>
      </c>
      <c r="F2107" s="4" t="s">
        <v>2944</v>
      </c>
      <c r="G2107" s="6">
        <v>3</v>
      </c>
      <c r="H2107" s="7">
        <v>45691.645254629628</v>
      </c>
      <c r="I2107" s="7" t="str">
        <f>TEXT(multilingual_mobile_app_reviews_2025[[#This Row],[Review_date]],"dd-mm-yyyy")</f>
        <v>03-02-2025</v>
      </c>
      <c r="J2107" s="7" t="str">
        <f>TEXT(multilingual_mobile_app_reviews_2025[[#This Row],[Review_date]],"YYYY")</f>
        <v>2025</v>
      </c>
      <c r="K2107" s="7" t="str">
        <f>TEXT(multilingual_mobile_app_reviews_2025[[#This Row],[Review_date]],"MMMM")</f>
        <v>February</v>
      </c>
      <c r="L2107" s="4" t="b">
        <v>1</v>
      </c>
      <c r="M2107" s="4" t="s">
        <v>98</v>
      </c>
      <c r="N2107" s="5">
        <v>1204</v>
      </c>
      <c r="O2107" s="5">
        <v>26</v>
      </c>
      <c r="P2107" s="4" t="s">
        <v>70</v>
      </c>
      <c r="Q2107" s="8" t="s">
        <v>2963</v>
      </c>
      <c r="R2107" s="4" t="s">
        <v>2483</v>
      </c>
      <c r="S2107" s="4"/>
      <c r="T2107"/>
      <c r="U2107" s="23"/>
    </row>
    <row r="2108" spans="1:21" ht="15.6" x14ac:dyDescent="0.3">
      <c r="A2108" s="4">
        <v>2107</v>
      </c>
      <c r="B2108" s="5">
        <v>6888683</v>
      </c>
      <c r="C2108" s="4" t="s">
        <v>0</v>
      </c>
      <c r="D2108" s="4" t="s">
        <v>71</v>
      </c>
      <c r="E2108" s="4" t="s">
        <v>130</v>
      </c>
      <c r="F2108" s="4" t="s">
        <v>2946</v>
      </c>
      <c r="G2108" s="6">
        <v>2.1</v>
      </c>
      <c r="H2108" s="7">
        <v>45800.808425925927</v>
      </c>
      <c r="I2108" s="7" t="str">
        <f>TEXT(multilingual_mobile_app_reviews_2025[[#This Row],[Review_date]],"dd-mm-yyyy")</f>
        <v>23-05-2025</v>
      </c>
      <c r="J2108" s="7" t="str">
        <f>TEXT(multilingual_mobile_app_reviews_2025[[#This Row],[Review_date]],"YYYY")</f>
        <v>2025</v>
      </c>
      <c r="K2108" s="7" t="str">
        <f>TEXT(multilingual_mobile_app_reviews_2025[[#This Row],[Review_date]],"MMMM")</f>
        <v>May</v>
      </c>
      <c r="L2108" s="4" t="b">
        <v>1</v>
      </c>
      <c r="M2108" s="4" t="s">
        <v>33</v>
      </c>
      <c r="N2108" s="5">
        <v>836</v>
      </c>
      <c r="O2108" s="5">
        <v>75</v>
      </c>
      <c r="P2108" s="4" t="s">
        <v>17</v>
      </c>
      <c r="Q2108" s="8" t="s">
        <v>5</v>
      </c>
      <c r="R2108" s="4" t="s">
        <v>523</v>
      </c>
      <c r="S2108" s="4"/>
      <c r="T2108"/>
      <c r="U2108" s="23"/>
    </row>
    <row r="2109" spans="1:21" ht="15.6" x14ac:dyDescent="0.3">
      <c r="A2109" s="4">
        <v>2108</v>
      </c>
      <c r="B2109" s="5">
        <v>2545538</v>
      </c>
      <c r="C2109" s="4" t="s">
        <v>165</v>
      </c>
      <c r="D2109" s="4" t="s">
        <v>47</v>
      </c>
      <c r="E2109" s="4" t="s">
        <v>27</v>
      </c>
      <c r="F2109" s="4" t="s">
        <v>2947</v>
      </c>
      <c r="G2109" s="6">
        <v>2.2000000000000002</v>
      </c>
      <c r="H2109" s="7">
        <v>45694.925000000003</v>
      </c>
      <c r="I2109" s="7" t="str">
        <f>TEXT(multilingual_mobile_app_reviews_2025[[#This Row],[Review_date]],"dd-mm-yyyy")</f>
        <v>06-02-2025</v>
      </c>
      <c r="J2109" s="7" t="str">
        <f>TEXT(multilingual_mobile_app_reviews_2025[[#This Row],[Review_date]],"YYYY")</f>
        <v>2025</v>
      </c>
      <c r="K2109" s="7" t="str">
        <f>TEXT(multilingual_mobile_app_reviews_2025[[#This Row],[Review_date]],"MMMM")</f>
        <v>February</v>
      </c>
      <c r="L2109" s="4" t="b">
        <v>1</v>
      </c>
      <c r="M2109" s="4" t="s">
        <v>33</v>
      </c>
      <c r="N2109" s="5">
        <v>1021</v>
      </c>
      <c r="O2109" s="5">
        <v>28</v>
      </c>
      <c r="P2109" s="4" t="s">
        <v>114</v>
      </c>
      <c r="Q2109" s="8" t="s">
        <v>39</v>
      </c>
      <c r="R2109" s="4" t="s">
        <v>2484</v>
      </c>
      <c r="S2109" s="4"/>
      <c r="T2109"/>
      <c r="U2109" s="23"/>
    </row>
    <row r="2110" spans="1:21" ht="15.6" x14ac:dyDescent="0.3">
      <c r="A2110" s="4">
        <v>2109</v>
      </c>
      <c r="B2110" s="5">
        <v>9039366</v>
      </c>
      <c r="C2110" s="4" t="s">
        <v>0</v>
      </c>
      <c r="D2110" s="4" t="s">
        <v>42</v>
      </c>
      <c r="E2110" s="4" t="s">
        <v>93</v>
      </c>
      <c r="F2110" s="4" t="s">
        <v>2945</v>
      </c>
      <c r="G2110" s="6">
        <v>1.7</v>
      </c>
      <c r="H2110" s="7">
        <v>45413.682581018518</v>
      </c>
      <c r="I2110" s="7" t="str">
        <f>TEXT(multilingual_mobile_app_reviews_2025[[#This Row],[Review_date]],"dd-mm-yyyy")</f>
        <v>01-05-2024</v>
      </c>
      <c r="J2110" s="7" t="str">
        <f>TEXT(multilingual_mobile_app_reviews_2025[[#This Row],[Review_date]],"YYYY")</f>
        <v>2024</v>
      </c>
      <c r="K2110" s="7" t="str">
        <f>TEXT(multilingual_mobile_app_reviews_2025[[#This Row],[Review_date]],"MMMM")</f>
        <v>May</v>
      </c>
      <c r="L2110" s="4" t="b">
        <v>1</v>
      </c>
      <c r="M2110" s="4" t="s">
        <v>98</v>
      </c>
      <c r="N2110" s="5">
        <v>552</v>
      </c>
      <c r="O2110" s="5">
        <v>35</v>
      </c>
      <c r="P2110" s="4" t="s">
        <v>28</v>
      </c>
      <c r="Q2110" s="8" t="s">
        <v>2963</v>
      </c>
      <c r="R2110" s="4" t="s">
        <v>2485</v>
      </c>
      <c r="S2110" s="4"/>
      <c r="T2110"/>
      <c r="U2110" s="23"/>
    </row>
    <row r="2111" spans="1:21" ht="15.6" x14ac:dyDescent="0.3">
      <c r="A2111" s="4">
        <v>2110</v>
      </c>
      <c r="B2111" s="5">
        <v>2331911</v>
      </c>
      <c r="C2111" s="4" t="s">
        <v>208</v>
      </c>
      <c r="D2111" s="4" t="s">
        <v>1</v>
      </c>
      <c r="E2111" s="4" t="s">
        <v>27</v>
      </c>
      <c r="F2111" s="4" t="s">
        <v>2960</v>
      </c>
      <c r="G2111" s="6">
        <v>2.7</v>
      </c>
      <c r="H2111" s="7">
        <v>45854.440763888888</v>
      </c>
      <c r="I2111" s="7" t="str">
        <f>TEXT(multilingual_mobile_app_reviews_2025[[#This Row],[Review_date]],"dd-mm-yyyy")</f>
        <v>16-07-2025</v>
      </c>
      <c r="J2111" s="7" t="str">
        <f>TEXT(multilingual_mobile_app_reviews_2025[[#This Row],[Review_date]],"YYYY")</f>
        <v>2025</v>
      </c>
      <c r="K2111" s="7" t="str">
        <f>TEXT(multilingual_mobile_app_reviews_2025[[#This Row],[Review_date]],"MMMM")</f>
        <v>July</v>
      </c>
      <c r="L2111" s="4" t="b">
        <v>1</v>
      </c>
      <c r="M2111" s="4" t="s">
        <v>22</v>
      </c>
      <c r="N2111" s="5">
        <v>903</v>
      </c>
      <c r="O2111" s="5">
        <v>54</v>
      </c>
      <c r="P2111" s="4" t="s">
        <v>85</v>
      </c>
      <c r="Q2111" s="8" t="s">
        <v>2963</v>
      </c>
      <c r="R2111" s="4" t="s">
        <v>2486</v>
      </c>
      <c r="S2111" s="4"/>
      <c r="T2111"/>
      <c r="U2111" s="23"/>
    </row>
    <row r="2112" spans="1:21" ht="15.6" x14ac:dyDescent="0.3">
      <c r="A2112" s="4">
        <v>2111</v>
      </c>
      <c r="B2112" s="5">
        <v>1838556</v>
      </c>
      <c r="C2112" s="4" t="s">
        <v>84</v>
      </c>
      <c r="D2112" s="4" t="s">
        <v>79</v>
      </c>
      <c r="E2112" s="4" t="s">
        <v>21</v>
      </c>
      <c r="F2112" s="4" t="s">
        <v>2944</v>
      </c>
      <c r="G2112" s="6">
        <v>4.8</v>
      </c>
      <c r="H2112" s="7">
        <v>45795.216539351852</v>
      </c>
      <c r="I2112" s="7" t="str">
        <f>TEXT(multilingual_mobile_app_reviews_2025[[#This Row],[Review_date]],"dd-mm-yyyy")</f>
        <v>18-05-2025</v>
      </c>
      <c r="J2112" s="7" t="str">
        <f>TEXT(multilingual_mobile_app_reviews_2025[[#This Row],[Review_date]],"YYYY")</f>
        <v>2025</v>
      </c>
      <c r="K2112" s="7" t="str">
        <f>TEXT(multilingual_mobile_app_reviews_2025[[#This Row],[Review_date]],"MMMM")</f>
        <v>May</v>
      </c>
      <c r="L2112" s="4" t="b">
        <v>0</v>
      </c>
      <c r="M2112" s="4" t="s">
        <v>33</v>
      </c>
      <c r="N2112" s="5">
        <v>799</v>
      </c>
      <c r="O2112" s="5">
        <v>17</v>
      </c>
      <c r="P2112" s="4" t="s">
        <v>90</v>
      </c>
      <c r="Q2112" s="8" t="s">
        <v>5</v>
      </c>
      <c r="R2112" s="4" t="s">
        <v>2487</v>
      </c>
      <c r="S2112" s="4"/>
      <c r="T2112"/>
      <c r="U2112" s="23"/>
    </row>
    <row r="2113" spans="1:21" ht="15.6" x14ac:dyDescent="0.3">
      <c r="A2113" s="4">
        <v>2112</v>
      </c>
      <c r="B2113" s="5">
        <v>5031029</v>
      </c>
      <c r="C2113" s="4" t="s">
        <v>19</v>
      </c>
      <c r="D2113" s="4" t="s">
        <v>8</v>
      </c>
      <c r="E2113" s="4" t="s">
        <v>64</v>
      </c>
      <c r="F2113" s="4" t="s">
        <v>2946</v>
      </c>
      <c r="G2113" s="6">
        <v>2.8</v>
      </c>
      <c r="H2113" s="7">
        <v>45615.335694444446</v>
      </c>
      <c r="I2113" s="7" t="str">
        <f>TEXT(multilingual_mobile_app_reviews_2025[[#This Row],[Review_date]],"dd-mm-yyyy")</f>
        <v>19-11-2024</v>
      </c>
      <c r="J2113" s="7" t="str">
        <f>TEXT(multilingual_mobile_app_reviews_2025[[#This Row],[Review_date]],"YYYY")</f>
        <v>2024</v>
      </c>
      <c r="K2113" s="7" t="str">
        <f>TEXT(multilingual_mobile_app_reviews_2025[[#This Row],[Review_date]],"MMMM")</f>
        <v>November</v>
      </c>
      <c r="L2113" s="4" t="b">
        <v>1</v>
      </c>
      <c r="M2113" s="4" t="s">
        <v>3</v>
      </c>
      <c r="N2113" s="5">
        <v>148</v>
      </c>
      <c r="O2113" s="5">
        <v>63</v>
      </c>
      <c r="P2113" s="4" t="s">
        <v>144</v>
      </c>
      <c r="Q2113" s="8" t="s">
        <v>12</v>
      </c>
      <c r="R2113" s="4" t="s">
        <v>400</v>
      </c>
      <c r="S2113" s="4"/>
      <c r="T2113"/>
      <c r="U2113" s="23"/>
    </row>
    <row r="2114" spans="1:21" ht="15.6" x14ac:dyDescent="0.3">
      <c r="A2114" s="4">
        <v>2113</v>
      </c>
      <c r="B2114" s="5">
        <v>1479281</v>
      </c>
      <c r="C2114" s="4" t="s">
        <v>50</v>
      </c>
      <c r="D2114" s="4" t="s">
        <v>51</v>
      </c>
      <c r="E2114" s="4" t="s">
        <v>109</v>
      </c>
      <c r="F2114" s="4" t="s">
        <v>2940</v>
      </c>
      <c r="G2114" s="6">
        <v>2.2999999999999998</v>
      </c>
      <c r="H2114" s="7">
        <v>45390.409351851849</v>
      </c>
      <c r="I2114" s="7" t="str">
        <f>TEXT(multilingual_mobile_app_reviews_2025[[#This Row],[Review_date]],"dd-mm-yyyy")</f>
        <v>08-04-2024</v>
      </c>
      <c r="J2114" s="7" t="str">
        <f>TEXT(multilingual_mobile_app_reviews_2025[[#This Row],[Review_date]],"YYYY")</f>
        <v>2024</v>
      </c>
      <c r="K2114" s="7" t="str">
        <f>TEXT(multilingual_mobile_app_reviews_2025[[#This Row],[Review_date]],"MMMM")</f>
        <v>April</v>
      </c>
      <c r="L2114" s="4" t="b">
        <v>1</v>
      </c>
      <c r="M2114" s="4" t="s">
        <v>98</v>
      </c>
      <c r="N2114" s="5">
        <v>654</v>
      </c>
      <c r="O2114" s="5">
        <v>31</v>
      </c>
      <c r="P2114" s="4" t="s">
        <v>162</v>
      </c>
      <c r="Q2114" s="8" t="s">
        <v>12</v>
      </c>
      <c r="R2114" s="4" t="s">
        <v>2488</v>
      </c>
      <c r="S2114" s="4"/>
      <c r="T2114"/>
      <c r="U2114" s="23"/>
    </row>
    <row r="2115" spans="1:21" ht="15.6" x14ac:dyDescent="0.3">
      <c r="A2115" s="4">
        <v>2114</v>
      </c>
      <c r="B2115" s="5">
        <v>7524522</v>
      </c>
      <c r="C2115" s="4" t="s">
        <v>25</v>
      </c>
      <c r="D2115" s="4" t="s">
        <v>20</v>
      </c>
      <c r="E2115" s="4" t="s">
        <v>76</v>
      </c>
      <c r="F2115" s="4" t="s">
        <v>2957</v>
      </c>
      <c r="G2115" s="6">
        <v>4</v>
      </c>
      <c r="H2115" s="7">
        <v>45780.555543981478</v>
      </c>
      <c r="I2115" s="7" t="str">
        <f>TEXT(multilingual_mobile_app_reviews_2025[[#This Row],[Review_date]],"dd-mm-yyyy")</f>
        <v>03-05-2025</v>
      </c>
      <c r="J2115" s="7" t="str">
        <f>TEXT(multilingual_mobile_app_reviews_2025[[#This Row],[Review_date]],"YYYY")</f>
        <v>2025</v>
      </c>
      <c r="K2115" s="7" t="str">
        <f>TEXT(multilingual_mobile_app_reviews_2025[[#This Row],[Review_date]],"MMMM")</f>
        <v>May</v>
      </c>
      <c r="L2115" s="4" t="b">
        <v>1</v>
      </c>
      <c r="M2115" s="4" t="s">
        <v>3</v>
      </c>
      <c r="N2115" s="5">
        <v>211</v>
      </c>
      <c r="O2115" s="5">
        <v>75</v>
      </c>
      <c r="P2115" s="4" t="s">
        <v>180</v>
      </c>
      <c r="Q2115" s="8" t="s">
        <v>5</v>
      </c>
      <c r="R2115" s="4" t="s">
        <v>517</v>
      </c>
      <c r="S2115" s="4"/>
      <c r="T2115"/>
      <c r="U2115" s="23"/>
    </row>
    <row r="2116" spans="1:21" ht="15.6" x14ac:dyDescent="0.3">
      <c r="A2116" s="4">
        <v>2115</v>
      </c>
      <c r="B2116" s="5">
        <v>4225577</v>
      </c>
      <c r="C2116" s="4" t="s">
        <v>7</v>
      </c>
      <c r="D2116" s="4" t="s">
        <v>26</v>
      </c>
      <c r="E2116" s="4" t="s">
        <v>130</v>
      </c>
      <c r="F2116" s="4" t="s">
        <v>2954</v>
      </c>
      <c r="G2116" s="6">
        <v>4.7</v>
      </c>
      <c r="H2116" s="7">
        <v>45564.512523148151</v>
      </c>
      <c r="I2116" s="7" t="str">
        <f>TEXT(multilingual_mobile_app_reviews_2025[[#This Row],[Review_date]],"dd-mm-yyyy")</f>
        <v>29-09-2024</v>
      </c>
      <c r="J2116" s="7" t="str">
        <f>TEXT(multilingual_mobile_app_reviews_2025[[#This Row],[Review_date]],"YYYY")</f>
        <v>2024</v>
      </c>
      <c r="K2116" s="7" t="str">
        <f>TEXT(multilingual_mobile_app_reviews_2025[[#This Row],[Review_date]],"MMMM")</f>
        <v>September</v>
      </c>
      <c r="L2116" s="4" t="b">
        <v>1</v>
      </c>
      <c r="M2116" s="4" t="s">
        <v>33</v>
      </c>
      <c r="N2116" s="5">
        <v>1109</v>
      </c>
      <c r="O2116" s="5">
        <v>14</v>
      </c>
      <c r="P2116" s="4" t="s">
        <v>28</v>
      </c>
      <c r="Q2116" s="8" t="s">
        <v>29</v>
      </c>
      <c r="R2116" s="4" t="s">
        <v>2489</v>
      </c>
      <c r="S2116" s="4"/>
      <c r="T2116"/>
      <c r="U2116" s="23"/>
    </row>
    <row r="2117" spans="1:21" ht="15.6" x14ac:dyDescent="0.3">
      <c r="A2117" s="4">
        <v>2116</v>
      </c>
      <c r="B2117" s="5">
        <v>4693405</v>
      </c>
      <c r="C2117" s="4" t="s">
        <v>244</v>
      </c>
      <c r="D2117" s="4" t="s">
        <v>97</v>
      </c>
      <c r="E2117" s="4" t="s">
        <v>64</v>
      </c>
      <c r="F2117" s="4" t="s">
        <v>2951</v>
      </c>
      <c r="G2117" s="6">
        <v>4.0999999999999996</v>
      </c>
      <c r="H2117" s="7">
        <v>45159.352060185185</v>
      </c>
      <c r="I2117" s="7" t="str">
        <f>TEXT(multilingual_mobile_app_reviews_2025[[#This Row],[Review_date]],"dd-mm-yyyy")</f>
        <v>21-08-2023</v>
      </c>
      <c r="J2117" s="7" t="str">
        <f>TEXT(multilingual_mobile_app_reviews_2025[[#This Row],[Review_date]],"YYYY")</f>
        <v>2023</v>
      </c>
      <c r="K2117" s="7" t="str">
        <f>TEXT(multilingual_mobile_app_reviews_2025[[#This Row],[Review_date]],"MMMM")</f>
        <v>August</v>
      </c>
      <c r="L2117" s="4" t="b">
        <v>1</v>
      </c>
      <c r="M2117" s="4" t="s">
        <v>3</v>
      </c>
      <c r="N2117" s="5">
        <v>389</v>
      </c>
      <c r="O2117" s="5">
        <v>42</v>
      </c>
      <c r="P2117" s="4" t="s">
        <v>90</v>
      </c>
      <c r="Q2117" s="8" t="s">
        <v>5</v>
      </c>
      <c r="R2117" s="4" t="s">
        <v>2490</v>
      </c>
      <c r="S2117" s="4"/>
      <c r="T2117"/>
      <c r="U2117" s="23"/>
    </row>
    <row r="2118" spans="1:21" ht="15.6" x14ac:dyDescent="0.3">
      <c r="A2118" s="4">
        <v>2117</v>
      </c>
      <c r="B2118" s="5">
        <v>3865958</v>
      </c>
      <c r="C2118" s="4" t="s">
        <v>67</v>
      </c>
      <c r="D2118" s="4" t="s">
        <v>157</v>
      </c>
      <c r="E2118" s="4" t="s">
        <v>93</v>
      </c>
      <c r="F2118" s="4" t="s">
        <v>2947</v>
      </c>
      <c r="G2118" s="6">
        <v>3</v>
      </c>
      <c r="H2118" s="7">
        <v>45786.081099537034</v>
      </c>
      <c r="I2118" s="7" t="str">
        <f>TEXT(multilingual_mobile_app_reviews_2025[[#This Row],[Review_date]],"dd-mm-yyyy")</f>
        <v>09-05-2025</v>
      </c>
      <c r="J2118" s="7" t="str">
        <f>TEXT(multilingual_mobile_app_reviews_2025[[#This Row],[Review_date]],"YYYY")</f>
        <v>2025</v>
      </c>
      <c r="K2118" s="7" t="str">
        <f>TEXT(multilingual_mobile_app_reviews_2025[[#This Row],[Review_date]],"MMMM")</f>
        <v>May</v>
      </c>
      <c r="L2118" s="4" t="b">
        <v>0</v>
      </c>
      <c r="M2118" s="4" t="s">
        <v>10</v>
      </c>
      <c r="N2118" s="5">
        <v>686</v>
      </c>
      <c r="O2118" s="5">
        <v>75</v>
      </c>
      <c r="P2118" s="4" t="s">
        <v>118</v>
      </c>
      <c r="Q2118" s="8" t="s">
        <v>12</v>
      </c>
      <c r="R2118" s="4" t="s">
        <v>2491</v>
      </c>
      <c r="S2118" s="4"/>
      <c r="T2118"/>
      <c r="U2118" s="23"/>
    </row>
    <row r="2119" spans="1:21" ht="15.6" x14ac:dyDescent="0.3">
      <c r="A2119" s="4">
        <v>2118</v>
      </c>
      <c r="B2119" s="5">
        <v>3773793</v>
      </c>
      <c r="C2119" s="4" t="s">
        <v>174</v>
      </c>
      <c r="D2119" s="4" t="s">
        <v>15</v>
      </c>
      <c r="E2119" s="4" t="s">
        <v>130</v>
      </c>
      <c r="F2119" s="4" t="s">
        <v>2955</v>
      </c>
      <c r="G2119" s="6">
        <v>1.9</v>
      </c>
      <c r="H2119" s="7">
        <v>45329.448599537034</v>
      </c>
      <c r="I2119" s="7" t="str">
        <f>TEXT(multilingual_mobile_app_reviews_2025[[#This Row],[Review_date]],"dd-mm-yyyy")</f>
        <v>07-02-2024</v>
      </c>
      <c r="J2119" s="7" t="str">
        <f>TEXT(multilingual_mobile_app_reviews_2025[[#This Row],[Review_date]],"YYYY")</f>
        <v>2024</v>
      </c>
      <c r="K2119" s="7" t="str">
        <f>TEXT(multilingual_mobile_app_reviews_2025[[#This Row],[Review_date]],"MMMM")</f>
        <v>February</v>
      </c>
      <c r="L2119" s="4" t="b">
        <v>1</v>
      </c>
      <c r="M2119" s="4" t="s">
        <v>22</v>
      </c>
      <c r="N2119" s="5">
        <v>302</v>
      </c>
      <c r="O2119" s="5">
        <v>38</v>
      </c>
      <c r="P2119" s="4" t="s">
        <v>162</v>
      </c>
      <c r="Q2119" s="8" t="s">
        <v>5</v>
      </c>
      <c r="R2119" s="4" t="s">
        <v>2492</v>
      </c>
      <c r="S2119" s="4"/>
      <c r="T2119"/>
      <c r="U2119" s="23"/>
    </row>
    <row r="2120" spans="1:21" ht="15.6" x14ac:dyDescent="0.3">
      <c r="A2120" s="4">
        <v>2119</v>
      </c>
      <c r="B2120" s="5">
        <v>7487946</v>
      </c>
      <c r="C2120" s="4" t="s">
        <v>123</v>
      </c>
      <c r="D2120" s="4" t="s">
        <v>20</v>
      </c>
      <c r="E2120" s="4" t="s">
        <v>130</v>
      </c>
      <c r="F2120" s="4" t="s">
        <v>2954</v>
      </c>
      <c r="G2120" s="6">
        <v>1.8</v>
      </c>
      <c r="H2120" s="7">
        <v>45642.113229166665</v>
      </c>
      <c r="I2120" s="7" t="str">
        <f>TEXT(multilingual_mobile_app_reviews_2025[[#This Row],[Review_date]],"dd-mm-yyyy")</f>
        <v>16-12-2024</v>
      </c>
      <c r="J2120" s="7" t="str">
        <f>TEXT(multilingual_mobile_app_reviews_2025[[#This Row],[Review_date]],"YYYY")</f>
        <v>2024</v>
      </c>
      <c r="K2120" s="7" t="str">
        <f>TEXT(multilingual_mobile_app_reviews_2025[[#This Row],[Review_date]],"MMMM")</f>
        <v>December</v>
      </c>
      <c r="L2120" s="4" t="b">
        <v>1</v>
      </c>
      <c r="M2120" s="4" t="s">
        <v>33</v>
      </c>
      <c r="N2120" s="5">
        <v>905</v>
      </c>
      <c r="O2120" s="5">
        <v>23</v>
      </c>
      <c r="P2120" s="4" t="s">
        <v>230</v>
      </c>
      <c r="Q2120" s="8" t="s">
        <v>39</v>
      </c>
      <c r="R2120" s="4" t="s">
        <v>2493</v>
      </c>
      <c r="S2120" s="4"/>
      <c r="T2120"/>
      <c r="U2120" s="23"/>
    </row>
    <row r="2121" spans="1:21" ht="15.6" x14ac:dyDescent="0.3">
      <c r="A2121" s="4">
        <v>2120</v>
      </c>
      <c r="B2121" s="5">
        <v>2539016</v>
      </c>
      <c r="C2121" s="4" t="s">
        <v>78</v>
      </c>
      <c r="D2121" s="4" t="s">
        <v>97</v>
      </c>
      <c r="E2121" s="4" t="s">
        <v>9</v>
      </c>
      <c r="F2121" s="4" t="s">
        <v>2959</v>
      </c>
      <c r="G2121" s="6">
        <v>3.8</v>
      </c>
      <c r="H2121" s="7">
        <v>45148.523888888885</v>
      </c>
      <c r="I2121" s="7" t="str">
        <f>TEXT(multilingual_mobile_app_reviews_2025[[#This Row],[Review_date]],"dd-mm-yyyy")</f>
        <v>10-08-2023</v>
      </c>
      <c r="J2121" s="7" t="str">
        <f>TEXT(multilingual_mobile_app_reviews_2025[[#This Row],[Review_date]],"YYYY")</f>
        <v>2023</v>
      </c>
      <c r="K2121" s="7" t="str">
        <f>TEXT(multilingual_mobile_app_reviews_2025[[#This Row],[Review_date]],"MMMM")</f>
        <v>August</v>
      </c>
      <c r="L2121" s="4" t="b">
        <v>1</v>
      </c>
      <c r="M2121" s="4" t="s">
        <v>98</v>
      </c>
      <c r="N2121" s="5">
        <v>746</v>
      </c>
      <c r="O2121" s="5">
        <v>25</v>
      </c>
      <c r="P2121" s="4" t="s">
        <v>44</v>
      </c>
      <c r="Q2121" s="8" t="s">
        <v>29</v>
      </c>
      <c r="R2121" s="4" t="s">
        <v>2494</v>
      </c>
      <c r="S2121" s="4"/>
      <c r="T2121"/>
      <c r="U2121" s="23"/>
    </row>
    <row r="2122" spans="1:21" ht="15.6" x14ac:dyDescent="0.3">
      <c r="A2122" s="4">
        <v>2121</v>
      </c>
      <c r="B2122" s="5">
        <v>4188275</v>
      </c>
      <c r="C2122" s="4" t="s">
        <v>258</v>
      </c>
      <c r="D2122" s="4" t="s">
        <v>63</v>
      </c>
      <c r="E2122" s="4" t="s">
        <v>27</v>
      </c>
      <c r="F2122" s="4" t="s">
        <v>2940</v>
      </c>
      <c r="G2122" s="6">
        <v>2.6</v>
      </c>
      <c r="H2122" s="7">
        <v>45155.013877314814</v>
      </c>
      <c r="I2122" s="7" t="str">
        <f>TEXT(multilingual_mobile_app_reviews_2025[[#This Row],[Review_date]],"dd-mm-yyyy")</f>
        <v>17-08-2023</v>
      </c>
      <c r="J2122" s="7" t="str">
        <f>TEXT(multilingual_mobile_app_reviews_2025[[#This Row],[Review_date]],"YYYY")</f>
        <v>2023</v>
      </c>
      <c r="K2122" s="7" t="str">
        <f>TEXT(multilingual_mobile_app_reviews_2025[[#This Row],[Review_date]],"MMMM")</f>
        <v>August</v>
      </c>
      <c r="L2122" s="4" t="b">
        <v>0</v>
      </c>
      <c r="M2122" s="4" t="s">
        <v>3</v>
      </c>
      <c r="N2122" s="5">
        <v>918</v>
      </c>
      <c r="O2122" s="5">
        <v>24</v>
      </c>
      <c r="P2122" s="4" t="s">
        <v>4</v>
      </c>
      <c r="Q2122" s="8" t="s">
        <v>5</v>
      </c>
      <c r="R2122" s="4" t="s">
        <v>2495</v>
      </c>
      <c r="S2122" s="4"/>
      <c r="T2122"/>
      <c r="U2122" s="23"/>
    </row>
    <row r="2123" spans="1:21" ht="15.6" x14ac:dyDescent="0.3">
      <c r="A2123" s="4">
        <v>2122</v>
      </c>
      <c r="B2123" s="5">
        <v>8207980</v>
      </c>
      <c r="C2123" s="4" t="s">
        <v>92</v>
      </c>
      <c r="D2123" s="4" t="s">
        <v>60</v>
      </c>
      <c r="E2123" s="4" t="s">
        <v>64</v>
      </c>
      <c r="F2123" s="4" t="s">
        <v>2951</v>
      </c>
      <c r="G2123" s="6">
        <v>1.4</v>
      </c>
      <c r="H2123" s="7">
        <v>45789.718298611115</v>
      </c>
      <c r="I2123" s="7" t="str">
        <f>TEXT(multilingual_mobile_app_reviews_2025[[#This Row],[Review_date]],"dd-mm-yyyy")</f>
        <v>12-05-2025</v>
      </c>
      <c r="J2123" s="7" t="str">
        <f>TEXT(multilingual_mobile_app_reviews_2025[[#This Row],[Review_date]],"YYYY")</f>
        <v>2025</v>
      </c>
      <c r="K2123" s="7" t="str">
        <f>TEXT(multilingual_mobile_app_reviews_2025[[#This Row],[Review_date]],"MMMM")</f>
        <v>May</v>
      </c>
      <c r="L2123" s="4" t="b">
        <v>1</v>
      </c>
      <c r="M2123" s="4" t="s">
        <v>33</v>
      </c>
      <c r="N2123" s="5">
        <v>349</v>
      </c>
      <c r="O2123" s="5">
        <v>32</v>
      </c>
      <c r="P2123" s="4" t="s">
        <v>2963</v>
      </c>
      <c r="Q2123" s="8" t="s">
        <v>5</v>
      </c>
      <c r="R2123" s="4" t="s">
        <v>2496</v>
      </c>
      <c r="S2123" s="4"/>
      <c r="T2123"/>
      <c r="U2123" s="23"/>
    </row>
    <row r="2124" spans="1:21" ht="15.6" x14ac:dyDescent="0.3">
      <c r="A2124" s="4">
        <v>2123</v>
      </c>
      <c r="B2124" s="5">
        <v>7054589</v>
      </c>
      <c r="C2124" s="4" t="s">
        <v>25</v>
      </c>
      <c r="D2124" s="4" t="s">
        <v>63</v>
      </c>
      <c r="E2124" s="4" t="s">
        <v>64</v>
      </c>
      <c r="F2124" s="4" t="s">
        <v>2944</v>
      </c>
      <c r="G2124" s="6">
        <v>3.7</v>
      </c>
      <c r="H2124" s="7">
        <v>45570.986608796295</v>
      </c>
      <c r="I2124" s="7" t="str">
        <f>TEXT(multilingual_mobile_app_reviews_2025[[#This Row],[Review_date]],"dd-mm-yyyy")</f>
        <v>05-10-2024</v>
      </c>
      <c r="J2124" s="7" t="str">
        <f>TEXT(multilingual_mobile_app_reviews_2025[[#This Row],[Review_date]],"YYYY")</f>
        <v>2024</v>
      </c>
      <c r="K2124" s="7" t="str">
        <f>TEXT(multilingual_mobile_app_reviews_2025[[#This Row],[Review_date]],"MMMM")</f>
        <v>October</v>
      </c>
      <c r="L2124" s="4" t="b">
        <v>1</v>
      </c>
      <c r="M2124" s="4" t="s">
        <v>33</v>
      </c>
      <c r="N2124" s="5">
        <v>418</v>
      </c>
      <c r="O2124" s="5">
        <v>75</v>
      </c>
      <c r="P2124" s="4" t="s">
        <v>90</v>
      </c>
      <c r="Q2124" s="8" t="s">
        <v>2963</v>
      </c>
      <c r="R2124" s="4" t="s">
        <v>272</v>
      </c>
      <c r="S2124" s="4"/>
      <c r="T2124"/>
      <c r="U2124" s="23"/>
    </row>
    <row r="2125" spans="1:21" ht="15.6" x14ac:dyDescent="0.3">
      <c r="A2125" s="4">
        <v>2124</v>
      </c>
      <c r="B2125" s="5">
        <v>9630896</v>
      </c>
      <c r="C2125" s="4" t="s">
        <v>7</v>
      </c>
      <c r="D2125" s="4" t="s">
        <v>63</v>
      </c>
      <c r="E2125" s="4" t="s">
        <v>2497</v>
      </c>
      <c r="F2125" s="4" t="s">
        <v>2943</v>
      </c>
      <c r="G2125" s="6">
        <v>2.8</v>
      </c>
      <c r="H2125" s="7">
        <v>45684.47552083333</v>
      </c>
      <c r="I2125" s="7" t="str">
        <f>TEXT(multilingual_mobile_app_reviews_2025[[#This Row],[Review_date]],"dd-mm-yyyy")</f>
        <v>27-01-2025</v>
      </c>
      <c r="J2125" s="7" t="str">
        <f>TEXT(multilingual_mobile_app_reviews_2025[[#This Row],[Review_date]],"YYYY")</f>
        <v>2025</v>
      </c>
      <c r="K2125" s="7" t="str">
        <f>TEXT(multilingual_mobile_app_reviews_2025[[#This Row],[Review_date]],"MMMM")</f>
        <v>January</v>
      </c>
      <c r="L2125" s="4" t="b">
        <v>1</v>
      </c>
      <c r="M2125" s="4" t="s">
        <v>22</v>
      </c>
      <c r="N2125" s="5">
        <v>669</v>
      </c>
      <c r="O2125" s="5">
        <v>31</v>
      </c>
      <c r="P2125" s="4" t="s">
        <v>80</v>
      </c>
      <c r="Q2125" s="8" t="s">
        <v>12</v>
      </c>
      <c r="R2125" s="4" t="s">
        <v>2498</v>
      </c>
      <c r="S2125" s="4"/>
      <c r="T2125"/>
      <c r="U2125" s="23"/>
    </row>
    <row r="2126" spans="1:21" ht="15.6" x14ac:dyDescent="0.3">
      <c r="A2126" s="4">
        <v>2125</v>
      </c>
      <c r="B2126" s="5">
        <v>9130763</v>
      </c>
      <c r="C2126" s="4" t="s">
        <v>174</v>
      </c>
      <c r="D2126" s="4" t="s">
        <v>79</v>
      </c>
      <c r="E2126" s="4" t="s">
        <v>64</v>
      </c>
      <c r="F2126" s="4" t="s">
        <v>2956</v>
      </c>
      <c r="G2126" s="6">
        <v>3.5</v>
      </c>
      <c r="H2126" s="7">
        <v>45588.568611111114</v>
      </c>
      <c r="I2126" s="7" t="str">
        <f>TEXT(multilingual_mobile_app_reviews_2025[[#This Row],[Review_date]],"dd-mm-yyyy")</f>
        <v>23-10-2024</v>
      </c>
      <c r="J2126" s="7" t="str">
        <f>TEXT(multilingual_mobile_app_reviews_2025[[#This Row],[Review_date]],"YYYY")</f>
        <v>2024</v>
      </c>
      <c r="K2126" s="7" t="str">
        <f>TEXT(multilingual_mobile_app_reviews_2025[[#This Row],[Review_date]],"MMMM")</f>
        <v>October</v>
      </c>
      <c r="L2126" s="4" t="b">
        <v>1</v>
      </c>
      <c r="M2126" s="4" t="s">
        <v>33</v>
      </c>
      <c r="N2126" s="5">
        <v>1122</v>
      </c>
      <c r="O2126" s="5">
        <v>17</v>
      </c>
      <c r="P2126" s="4" t="s">
        <v>118</v>
      </c>
      <c r="Q2126" s="8" t="s">
        <v>2963</v>
      </c>
      <c r="R2126" s="4" t="s">
        <v>2499</v>
      </c>
      <c r="S2126" s="4"/>
      <c r="T2126"/>
      <c r="U2126" s="23"/>
    </row>
    <row r="2127" spans="1:21" ht="15.6" x14ac:dyDescent="0.3">
      <c r="A2127" s="4">
        <v>2126</v>
      </c>
      <c r="B2127" s="5">
        <v>1721038</v>
      </c>
      <c r="C2127" s="4" t="s">
        <v>192</v>
      </c>
      <c r="D2127" s="4" t="s">
        <v>71</v>
      </c>
      <c r="E2127" s="4" t="s">
        <v>76</v>
      </c>
      <c r="F2127" s="4" t="s">
        <v>2962</v>
      </c>
      <c r="G2127" s="6">
        <v>4.8</v>
      </c>
      <c r="H2127" s="7">
        <v>45851.505624999998</v>
      </c>
      <c r="I2127" s="7" t="str">
        <f>TEXT(multilingual_mobile_app_reviews_2025[[#This Row],[Review_date]],"dd-mm-yyyy")</f>
        <v>13-07-2025</v>
      </c>
      <c r="J2127" s="7" t="str">
        <f>TEXT(multilingual_mobile_app_reviews_2025[[#This Row],[Review_date]],"YYYY")</f>
        <v>2025</v>
      </c>
      <c r="K2127" s="7" t="str">
        <f>TEXT(multilingual_mobile_app_reviews_2025[[#This Row],[Review_date]],"MMMM")</f>
        <v>July</v>
      </c>
      <c r="L2127" s="4" t="b">
        <v>1</v>
      </c>
      <c r="M2127" s="4" t="s">
        <v>98</v>
      </c>
      <c r="N2127" s="5">
        <v>586</v>
      </c>
      <c r="O2127" s="5">
        <v>18</v>
      </c>
      <c r="P2127" s="4" t="s">
        <v>162</v>
      </c>
      <c r="Q2127" s="8" t="s">
        <v>12</v>
      </c>
      <c r="R2127" s="4" t="s">
        <v>2500</v>
      </c>
      <c r="S2127" s="4"/>
      <c r="T2127"/>
      <c r="U2127" s="23"/>
    </row>
    <row r="2128" spans="1:21" ht="15.6" x14ac:dyDescent="0.3">
      <c r="A2128" s="4">
        <v>2127</v>
      </c>
      <c r="B2128" s="5">
        <v>8081554</v>
      </c>
      <c r="C2128" s="4" t="s">
        <v>159</v>
      </c>
      <c r="D2128" s="4" t="s">
        <v>15</v>
      </c>
      <c r="E2128" s="4" t="s">
        <v>2501</v>
      </c>
      <c r="F2128" s="4" t="s">
        <v>2941</v>
      </c>
      <c r="G2128" s="6">
        <v>2.4</v>
      </c>
      <c r="H2128" s="7">
        <v>45312.836099537039</v>
      </c>
      <c r="I2128" s="7" t="str">
        <f>TEXT(multilingual_mobile_app_reviews_2025[[#This Row],[Review_date]],"dd-mm-yyyy")</f>
        <v>21-01-2024</v>
      </c>
      <c r="J2128" s="7" t="str">
        <f>TEXT(multilingual_mobile_app_reviews_2025[[#This Row],[Review_date]],"YYYY")</f>
        <v>2024</v>
      </c>
      <c r="K2128" s="7" t="str">
        <f>TEXT(multilingual_mobile_app_reviews_2025[[#This Row],[Review_date]],"MMMM")</f>
        <v>January</v>
      </c>
      <c r="L2128" s="4" t="b">
        <v>1</v>
      </c>
      <c r="M2128" s="4" t="s">
        <v>10</v>
      </c>
      <c r="N2128" s="5">
        <v>783</v>
      </c>
      <c r="O2128" s="5">
        <v>75</v>
      </c>
      <c r="P2128" s="4" t="s">
        <v>90</v>
      </c>
      <c r="Q2128" s="8" t="s">
        <v>12</v>
      </c>
      <c r="R2128" s="4" t="s">
        <v>2502</v>
      </c>
      <c r="S2128" s="4"/>
      <c r="T2128"/>
      <c r="U2128" s="23"/>
    </row>
    <row r="2129" spans="1:21" ht="15.6" x14ac:dyDescent="0.3">
      <c r="A2129" s="4">
        <v>2128</v>
      </c>
      <c r="B2129" s="5">
        <v>4615309</v>
      </c>
      <c r="C2129" s="4" t="s">
        <v>78</v>
      </c>
      <c r="D2129" s="4" t="s">
        <v>63</v>
      </c>
      <c r="E2129" s="4" t="s">
        <v>64</v>
      </c>
      <c r="F2129" s="4" t="s">
        <v>2950</v>
      </c>
      <c r="G2129" s="6">
        <v>1.6</v>
      </c>
      <c r="H2129" s="7">
        <v>45584.918541666666</v>
      </c>
      <c r="I2129" s="7" t="str">
        <f>TEXT(multilingual_mobile_app_reviews_2025[[#This Row],[Review_date]],"dd-mm-yyyy")</f>
        <v>19-10-2024</v>
      </c>
      <c r="J2129" s="7" t="str">
        <f>TEXT(multilingual_mobile_app_reviews_2025[[#This Row],[Review_date]],"YYYY")</f>
        <v>2024</v>
      </c>
      <c r="K2129" s="7" t="str">
        <f>TEXT(multilingual_mobile_app_reviews_2025[[#This Row],[Review_date]],"MMMM")</f>
        <v>October</v>
      </c>
      <c r="L2129" s="4" t="b">
        <v>1</v>
      </c>
      <c r="M2129" s="4" t="s">
        <v>3</v>
      </c>
      <c r="N2129" s="5">
        <v>47</v>
      </c>
      <c r="O2129" s="5">
        <v>38</v>
      </c>
      <c r="P2129" s="4" t="s">
        <v>28</v>
      </c>
      <c r="Q2129" s="8" t="s">
        <v>2963</v>
      </c>
      <c r="R2129" s="4" t="s">
        <v>2503</v>
      </c>
      <c r="S2129" s="4"/>
      <c r="T2129"/>
      <c r="U2129" s="23"/>
    </row>
    <row r="2130" spans="1:21" ht="15.6" x14ac:dyDescent="0.3">
      <c r="A2130" s="4">
        <v>2129</v>
      </c>
      <c r="B2130" s="5">
        <v>7821526</v>
      </c>
      <c r="C2130" s="4" t="s">
        <v>67</v>
      </c>
      <c r="D2130" s="4" t="s">
        <v>26</v>
      </c>
      <c r="E2130" s="4" t="s">
        <v>2504</v>
      </c>
      <c r="F2130" s="4" t="s">
        <v>2960</v>
      </c>
      <c r="G2130" s="6">
        <v>1.8</v>
      </c>
      <c r="H2130" s="7">
        <v>45242.459548611114</v>
      </c>
      <c r="I2130" s="7" t="str">
        <f>TEXT(multilingual_mobile_app_reviews_2025[[#This Row],[Review_date]],"dd-mm-yyyy")</f>
        <v>12-11-2023</v>
      </c>
      <c r="J2130" s="7" t="str">
        <f>TEXT(multilingual_mobile_app_reviews_2025[[#This Row],[Review_date]],"YYYY")</f>
        <v>2023</v>
      </c>
      <c r="K2130" s="7" t="str">
        <f>TEXT(multilingual_mobile_app_reviews_2025[[#This Row],[Review_date]],"MMMM")</f>
        <v>November</v>
      </c>
      <c r="L2130" s="4" t="b">
        <v>1</v>
      </c>
      <c r="M2130" s="4" t="s">
        <v>22</v>
      </c>
      <c r="N2130" s="5">
        <v>826</v>
      </c>
      <c r="O2130" s="5">
        <v>31</v>
      </c>
      <c r="P2130" s="4" t="s">
        <v>99</v>
      </c>
      <c r="Q2130" s="8" t="s">
        <v>5</v>
      </c>
      <c r="R2130" s="4" t="s">
        <v>2505</v>
      </c>
      <c r="S2130" s="4"/>
      <c r="T2130"/>
      <c r="U2130" s="23"/>
    </row>
    <row r="2131" spans="1:21" ht="15.6" x14ac:dyDescent="0.3">
      <c r="A2131" s="4">
        <v>2130</v>
      </c>
      <c r="B2131" s="5">
        <v>3710526</v>
      </c>
      <c r="C2131" s="4" t="s">
        <v>59</v>
      </c>
      <c r="D2131" s="4" t="s">
        <v>63</v>
      </c>
      <c r="E2131" s="4" t="s">
        <v>2506</v>
      </c>
      <c r="F2131" s="4" t="s">
        <v>2956</v>
      </c>
      <c r="G2131" s="6">
        <v>3.7</v>
      </c>
      <c r="H2131" s="7">
        <v>45740.544120370374</v>
      </c>
      <c r="I2131" s="7" t="str">
        <f>TEXT(multilingual_mobile_app_reviews_2025[[#This Row],[Review_date]],"dd-mm-yyyy")</f>
        <v>24-03-2025</v>
      </c>
      <c r="J2131" s="7" t="str">
        <f>TEXT(multilingual_mobile_app_reviews_2025[[#This Row],[Review_date]],"YYYY")</f>
        <v>2025</v>
      </c>
      <c r="K2131" s="7" t="str">
        <f>TEXT(multilingual_mobile_app_reviews_2025[[#This Row],[Review_date]],"MMMM")</f>
        <v>March</v>
      </c>
      <c r="L2131" s="4" t="b">
        <v>1</v>
      </c>
      <c r="M2131" s="4" t="s">
        <v>10</v>
      </c>
      <c r="N2131" s="5">
        <v>557</v>
      </c>
      <c r="O2131" s="5">
        <v>54</v>
      </c>
      <c r="P2131" s="4" t="s">
        <v>38</v>
      </c>
      <c r="Q2131" s="8" t="s">
        <v>2963</v>
      </c>
      <c r="R2131" s="4" t="s">
        <v>2507</v>
      </c>
      <c r="S2131" s="4"/>
      <c r="T2131"/>
      <c r="U2131" s="23"/>
    </row>
    <row r="2132" spans="1:21" ht="15.6" x14ac:dyDescent="0.3">
      <c r="A2132" s="4">
        <v>2131</v>
      </c>
      <c r="B2132" s="5">
        <v>1167513</v>
      </c>
      <c r="C2132" s="4" t="s">
        <v>78</v>
      </c>
      <c r="D2132" s="4" t="s">
        <v>63</v>
      </c>
      <c r="E2132" s="4" t="s">
        <v>64</v>
      </c>
      <c r="F2132" s="4" t="s">
        <v>2949</v>
      </c>
      <c r="G2132" s="6">
        <v>3</v>
      </c>
      <c r="H2132" s="7">
        <v>45550.364328703705</v>
      </c>
      <c r="I2132" s="7" t="str">
        <f>TEXT(multilingual_mobile_app_reviews_2025[[#This Row],[Review_date]],"dd-mm-yyyy")</f>
        <v>15-09-2024</v>
      </c>
      <c r="J2132" s="7" t="str">
        <f>TEXT(multilingual_mobile_app_reviews_2025[[#This Row],[Review_date]],"YYYY")</f>
        <v>2024</v>
      </c>
      <c r="K2132" s="7" t="str">
        <f>TEXT(multilingual_mobile_app_reviews_2025[[#This Row],[Review_date]],"MMMM")</f>
        <v>September</v>
      </c>
      <c r="L2132" s="4" t="b">
        <v>1</v>
      </c>
      <c r="M2132" s="4" t="s">
        <v>3</v>
      </c>
      <c r="N2132" s="5">
        <v>1015</v>
      </c>
      <c r="O2132" s="5">
        <v>53</v>
      </c>
      <c r="P2132" s="4" t="s">
        <v>65</v>
      </c>
      <c r="Q2132" s="8" t="s">
        <v>39</v>
      </c>
      <c r="R2132" s="4" t="s">
        <v>2508</v>
      </c>
      <c r="S2132" s="4"/>
      <c r="T2132"/>
      <c r="U2132" s="23"/>
    </row>
    <row r="2133" spans="1:21" ht="15.6" x14ac:dyDescent="0.3">
      <c r="A2133" s="4">
        <v>2132</v>
      </c>
      <c r="B2133" s="5">
        <v>2804608</v>
      </c>
      <c r="C2133" s="4" t="s">
        <v>25</v>
      </c>
      <c r="D2133" s="4" t="s">
        <v>97</v>
      </c>
      <c r="E2133" s="4" t="s">
        <v>2509</v>
      </c>
      <c r="F2133" s="4" t="s">
        <v>2960</v>
      </c>
      <c r="G2133" s="6">
        <v>4.9000000000000004</v>
      </c>
      <c r="H2133" s="7">
        <v>45643.287604166668</v>
      </c>
      <c r="I2133" s="7" t="str">
        <f>TEXT(multilingual_mobile_app_reviews_2025[[#This Row],[Review_date]],"dd-mm-yyyy")</f>
        <v>17-12-2024</v>
      </c>
      <c r="J2133" s="7" t="str">
        <f>TEXT(multilingual_mobile_app_reviews_2025[[#This Row],[Review_date]],"YYYY")</f>
        <v>2024</v>
      </c>
      <c r="K2133" s="7" t="str">
        <f>TEXT(multilingual_mobile_app_reviews_2025[[#This Row],[Review_date]],"MMMM")</f>
        <v>December</v>
      </c>
      <c r="L2133" s="4" t="b">
        <v>1</v>
      </c>
      <c r="M2133" s="4" t="s">
        <v>33</v>
      </c>
      <c r="N2133" s="5">
        <v>1148</v>
      </c>
      <c r="O2133" s="5">
        <v>19</v>
      </c>
      <c r="P2133" s="4" t="s">
        <v>17</v>
      </c>
      <c r="Q2133" s="8" t="s">
        <v>12</v>
      </c>
      <c r="R2133" s="4" t="s">
        <v>2510</v>
      </c>
      <c r="S2133" s="4"/>
      <c r="T2133"/>
      <c r="U2133" s="23"/>
    </row>
    <row r="2134" spans="1:21" ht="15.6" x14ac:dyDescent="0.3">
      <c r="A2134" s="4">
        <v>2133</v>
      </c>
      <c r="B2134" s="5">
        <v>2104878</v>
      </c>
      <c r="C2134" s="4" t="s">
        <v>46</v>
      </c>
      <c r="D2134" s="4" t="s">
        <v>1</v>
      </c>
      <c r="E2134" s="4" t="s">
        <v>32</v>
      </c>
      <c r="F2134" s="4" t="s">
        <v>2960</v>
      </c>
      <c r="G2134" s="6">
        <v>5</v>
      </c>
      <c r="H2134" s="7">
        <v>45396.587268518517</v>
      </c>
      <c r="I2134" s="7" t="str">
        <f>TEXT(multilingual_mobile_app_reviews_2025[[#This Row],[Review_date]],"dd-mm-yyyy")</f>
        <v>14-04-2024</v>
      </c>
      <c r="J2134" s="7" t="str">
        <f>TEXT(multilingual_mobile_app_reviews_2025[[#This Row],[Review_date]],"YYYY")</f>
        <v>2024</v>
      </c>
      <c r="K2134" s="7" t="str">
        <f>TEXT(multilingual_mobile_app_reviews_2025[[#This Row],[Review_date]],"MMMM")</f>
        <v>April</v>
      </c>
      <c r="L2134" s="4" t="b">
        <v>1</v>
      </c>
      <c r="M2134" s="4" t="s">
        <v>10</v>
      </c>
      <c r="N2134" s="5">
        <v>899</v>
      </c>
      <c r="O2134" s="5">
        <v>27</v>
      </c>
      <c r="P2134" s="4" t="s">
        <v>80</v>
      </c>
      <c r="Q2134" s="8" t="s">
        <v>5</v>
      </c>
      <c r="R2134" s="4" t="s">
        <v>2511</v>
      </c>
      <c r="S2134" s="4"/>
      <c r="T2134"/>
      <c r="U2134" s="23"/>
    </row>
    <row r="2135" spans="1:21" ht="15.6" x14ac:dyDescent="0.3">
      <c r="A2135" s="4">
        <v>2134</v>
      </c>
      <c r="B2135" s="5">
        <v>1679766</v>
      </c>
      <c r="C2135" s="4" t="s">
        <v>104</v>
      </c>
      <c r="D2135" s="4" t="s">
        <v>15</v>
      </c>
      <c r="E2135" s="4" t="s">
        <v>2512</v>
      </c>
      <c r="F2135" s="4" t="s">
        <v>2956</v>
      </c>
      <c r="G2135" s="6">
        <v>3.3</v>
      </c>
      <c r="H2135" s="7">
        <v>45722.830543981479</v>
      </c>
      <c r="I2135" s="7" t="str">
        <f>TEXT(multilingual_mobile_app_reviews_2025[[#This Row],[Review_date]],"dd-mm-yyyy")</f>
        <v>06-03-2025</v>
      </c>
      <c r="J2135" s="7" t="str">
        <f>TEXT(multilingual_mobile_app_reviews_2025[[#This Row],[Review_date]],"YYYY")</f>
        <v>2025</v>
      </c>
      <c r="K2135" s="7" t="str">
        <f>TEXT(multilingual_mobile_app_reviews_2025[[#This Row],[Review_date]],"MMMM")</f>
        <v>March</v>
      </c>
      <c r="L2135" s="4" t="b">
        <v>1</v>
      </c>
      <c r="M2135" s="4" t="s">
        <v>10</v>
      </c>
      <c r="N2135" s="5">
        <v>1000</v>
      </c>
      <c r="O2135" s="5">
        <v>30</v>
      </c>
      <c r="P2135" s="4" t="s">
        <v>162</v>
      </c>
      <c r="Q2135" s="8" t="s">
        <v>12</v>
      </c>
      <c r="R2135" s="4" t="s">
        <v>2513</v>
      </c>
      <c r="S2135" s="4"/>
      <c r="T2135"/>
      <c r="U2135" s="23"/>
    </row>
    <row r="2136" spans="1:21" ht="15.6" x14ac:dyDescent="0.3">
      <c r="A2136" s="4">
        <v>2135</v>
      </c>
      <c r="B2136" s="5">
        <v>8889034</v>
      </c>
      <c r="C2136" s="4" t="s">
        <v>69</v>
      </c>
      <c r="D2136" s="4" t="s">
        <v>8</v>
      </c>
      <c r="E2136" s="4" t="s">
        <v>32</v>
      </c>
      <c r="F2136" s="4" t="s">
        <v>2940</v>
      </c>
      <c r="G2136" s="6">
        <v>4.5999999999999996</v>
      </c>
      <c r="H2136" s="7">
        <v>45339.092465277776</v>
      </c>
      <c r="I2136" s="7" t="str">
        <f>TEXT(multilingual_mobile_app_reviews_2025[[#This Row],[Review_date]],"dd-mm-yyyy")</f>
        <v>17-02-2024</v>
      </c>
      <c r="J2136" s="7" t="str">
        <f>TEXT(multilingual_mobile_app_reviews_2025[[#This Row],[Review_date]],"YYYY")</f>
        <v>2024</v>
      </c>
      <c r="K2136" s="7" t="str">
        <f>TEXT(multilingual_mobile_app_reviews_2025[[#This Row],[Review_date]],"MMMM")</f>
        <v>February</v>
      </c>
      <c r="L2136" s="4" t="b">
        <v>1</v>
      </c>
      <c r="M2136" s="4" t="s">
        <v>22</v>
      </c>
      <c r="N2136" s="5">
        <v>783</v>
      </c>
      <c r="O2136" s="5">
        <v>73</v>
      </c>
      <c r="P2136" s="4" t="s">
        <v>4</v>
      </c>
      <c r="Q2136" s="8" t="s">
        <v>39</v>
      </c>
      <c r="R2136" s="4" t="s">
        <v>2514</v>
      </c>
      <c r="S2136" s="4"/>
      <c r="T2136"/>
      <c r="U2136" s="23"/>
    </row>
    <row r="2137" spans="1:21" ht="15.6" x14ac:dyDescent="0.3">
      <c r="A2137" s="4">
        <v>2136</v>
      </c>
      <c r="B2137" s="5">
        <v>1121747</v>
      </c>
      <c r="C2137" s="4" t="s">
        <v>87</v>
      </c>
      <c r="D2137" s="4" t="s">
        <v>111</v>
      </c>
      <c r="E2137" s="4" t="s">
        <v>9</v>
      </c>
      <c r="F2137" s="4" t="s">
        <v>2957</v>
      </c>
      <c r="G2137" s="6">
        <v>3.6</v>
      </c>
      <c r="H2137" s="7">
        <v>45571.612685185188</v>
      </c>
      <c r="I2137" s="7" t="str">
        <f>TEXT(multilingual_mobile_app_reviews_2025[[#This Row],[Review_date]],"dd-mm-yyyy")</f>
        <v>06-10-2024</v>
      </c>
      <c r="J2137" s="7" t="str">
        <f>TEXT(multilingual_mobile_app_reviews_2025[[#This Row],[Review_date]],"YYYY")</f>
        <v>2024</v>
      </c>
      <c r="K2137" s="7" t="str">
        <f>TEXT(multilingual_mobile_app_reviews_2025[[#This Row],[Review_date]],"MMMM")</f>
        <v>October</v>
      </c>
      <c r="L2137" s="4" t="b">
        <v>1</v>
      </c>
      <c r="M2137" s="4" t="s">
        <v>22</v>
      </c>
      <c r="N2137" s="5">
        <v>1227</v>
      </c>
      <c r="O2137" s="5">
        <v>70</v>
      </c>
      <c r="P2137" s="4" t="s">
        <v>90</v>
      </c>
      <c r="Q2137" s="8" t="s">
        <v>2963</v>
      </c>
      <c r="R2137" s="4" t="s">
        <v>2515</v>
      </c>
      <c r="S2137" s="4"/>
      <c r="T2137"/>
      <c r="U2137" s="23"/>
    </row>
    <row r="2138" spans="1:21" ht="15.6" x14ac:dyDescent="0.3">
      <c r="A2138" s="4">
        <v>2137</v>
      </c>
      <c r="B2138" s="5">
        <v>6360367</v>
      </c>
      <c r="C2138" s="4" t="s">
        <v>14</v>
      </c>
      <c r="D2138" s="4" t="s">
        <v>8</v>
      </c>
      <c r="E2138" s="4" t="s">
        <v>130</v>
      </c>
      <c r="F2138" s="4" t="s">
        <v>2945</v>
      </c>
      <c r="G2138" s="6">
        <v>1.5</v>
      </c>
      <c r="H2138" s="7">
        <v>45213.047800925924</v>
      </c>
      <c r="I2138" s="7" t="str">
        <f>TEXT(multilingual_mobile_app_reviews_2025[[#This Row],[Review_date]],"dd-mm-yyyy")</f>
        <v>14-10-2023</v>
      </c>
      <c r="J2138" s="7" t="str">
        <f>TEXT(multilingual_mobile_app_reviews_2025[[#This Row],[Review_date]],"YYYY")</f>
        <v>2023</v>
      </c>
      <c r="K2138" s="7" t="str">
        <f>TEXT(multilingual_mobile_app_reviews_2025[[#This Row],[Review_date]],"MMMM")</f>
        <v>October</v>
      </c>
      <c r="L2138" s="4" t="b">
        <v>1</v>
      </c>
      <c r="M2138" s="4" t="s">
        <v>33</v>
      </c>
      <c r="N2138" s="5">
        <v>387</v>
      </c>
      <c r="O2138" s="5">
        <v>64</v>
      </c>
      <c r="P2138" s="4" t="s">
        <v>34</v>
      </c>
      <c r="Q2138" s="8" t="s">
        <v>5</v>
      </c>
      <c r="R2138" s="4" t="s">
        <v>2516</v>
      </c>
      <c r="S2138" s="4"/>
      <c r="T2138"/>
      <c r="U2138" s="23"/>
    </row>
    <row r="2139" spans="1:21" ht="15.6" x14ac:dyDescent="0.3">
      <c r="A2139" s="4">
        <v>2138</v>
      </c>
      <c r="B2139" s="5">
        <v>129006</v>
      </c>
      <c r="C2139" s="4" t="s">
        <v>92</v>
      </c>
      <c r="D2139" s="4" t="s">
        <v>60</v>
      </c>
      <c r="E2139" s="4" t="s">
        <v>16</v>
      </c>
      <c r="F2139" s="4" t="s">
        <v>2962</v>
      </c>
      <c r="G2139" s="6">
        <v>2.7</v>
      </c>
      <c r="H2139" s="7">
        <v>45549.858680555553</v>
      </c>
      <c r="I2139" s="7" t="str">
        <f>TEXT(multilingual_mobile_app_reviews_2025[[#This Row],[Review_date]],"dd-mm-yyyy")</f>
        <v>14-09-2024</v>
      </c>
      <c r="J2139" s="7" t="str">
        <f>TEXT(multilingual_mobile_app_reviews_2025[[#This Row],[Review_date]],"YYYY")</f>
        <v>2024</v>
      </c>
      <c r="K2139" s="7" t="str">
        <f>TEXT(multilingual_mobile_app_reviews_2025[[#This Row],[Review_date]],"MMMM")</f>
        <v>September</v>
      </c>
      <c r="L2139" s="4" t="b">
        <v>1</v>
      </c>
      <c r="M2139" s="4" t="s">
        <v>10</v>
      </c>
      <c r="N2139" s="5">
        <v>6</v>
      </c>
      <c r="O2139" s="5">
        <v>63</v>
      </c>
      <c r="P2139" s="4" t="s">
        <v>65</v>
      </c>
      <c r="Q2139" s="8" t="s">
        <v>29</v>
      </c>
      <c r="R2139" s="4" t="s">
        <v>2517</v>
      </c>
      <c r="S2139" s="4"/>
      <c r="T2139"/>
      <c r="U2139" s="23"/>
    </row>
    <row r="2140" spans="1:21" ht="15.6" x14ac:dyDescent="0.3">
      <c r="A2140" s="4">
        <v>2139</v>
      </c>
      <c r="B2140" s="5">
        <v>178199</v>
      </c>
      <c r="C2140" s="4" t="s">
        <v>101</v>
      </c>
      <c r="D2140" s="4" t="s">
        <v>20</v>
      </c>
      <c r="E2140" s="4" t="s">
        <v>2518</v>
      </c>
      <c r="F2140" s="4" t="s">
        <v>2944</v>
      </c>
      <c r="G2140" s="6">
        <v>4.8</v>
      </c>
      <c r="H2140" s="7">
        <v>45822.139664351853</v>
      </c>
      <c r="I2140" s="7" t="str">
        <f>TEXT(multilingual_mobile_app_reviews_2025[[#This Row],[Review_date]],"dd-mm-yyyy")</f>
        <v>14-06-2025</v>
      </c>
      <c r="J2140" s="7" t="str">
        <f>TEXT(multilingual_mobile_app_reviews_2025[[#This Row],[Review_date]],"YYYY")</f>
        <v>2025</v>
      </c>
      <c r="K2140" s="7" t="str">
        <f>TEXT(multilingual_mobile_app_reviews_2025[[#This Row],[Review_date]],"MMMM")</f>
        <v>June</v>
      </c>
      <c r="L2140" s="4" t="b">
        <v>0</v>
      </c>
      <c r="M2140" s="4" t="s">
        <v>10</v>
      </c>
      <c r="N2140" s="5">
        <v>705</v>
      </c>
      <c r="O2140" s="5">
        <v>17</v>
      </c>
      <c r="P2140" s="4" t="s">
        <v>118</v>
      </c>
      <c r="Q2140" s="8" t="s">
        <v>2963</v>
      </c>
      <c r="R2140" s="4" t="s">
        <v>186</v>
      </c>
      <c r="S2140" s="4"/>
      <c r="T2140"/>
      <c r="U2140" s="23"/>
    </row>
    <row r="2141" spans="1:21" ht="15.6" x14ac:dyDescent="0.3">
      <c r="A2141" s="4">
        <v>2140</v>
      </c>
      <c r="B2141" s="5">
        <v>3077821</v>
      </c>
      <c r="C2141" s="4" t="s">
        <v>199</v>
      </c>
      <c r="D2141" s="4" t="s">
        <v>60</v>
      </c>
      <c r="E2141" s="4" t="s">
        <v>109</v>
      </c>
      <c r="F2141" s="4" t="s">
        <v>2948</v>
      </c>
      <c r="G2141" s="6">
        <v>4.5999999999999996</v>
      </c>
      <c r="H2141" s="7">
        <v>45532.932141203702</v>
      </c>
      <c r="I2141" s="7" t="str">
        <f>TEXT(multilingual_mobile_app_reviews_2025[[#This Row],[Review_date]],"dd-mm-yyyy")</f>
        <v>28-08-2024</v>
      </c>
      <c r="J2141" s="7" t="str">
        <f>TEXT(multilingual_mobile_app_reviews_2025[[#This Row],[Review_date]],"YYYY")</f>
        <v>2024</v>
      </c>
      <c r="K2141" s="7" t="str">
        <f>TEXT(multilingual_mobile_app_reviews_2025[[#This Row],[Review_date]],"MMMM")</f>
        <v>August</v>
      </c>
      <c r="L2141" s="4" t="b">
        <v>1</v>
      </c>
      <c r="M2141" s="4" t="s">
        <v>33</v>
      </c>
      <c r="N2141" s="5">
        <v>352</v>
      </c>
      <c r="O2141" s="5">
        <v>57</v>
      </c>
      <c r="P2141" s="4" t="s">
        <v>118</v>
      </c>
      <c r="Q2141" s="8" t="s">
        <v>29</v>
      </c>
      <c r="R2141" s="4" t="s">
        <v>2519</v>
      </c>
      <c r="S2141" s="4"/>
      <c r="T2141"/>
      <c r="U2141" s="23"/>
    </row>
    <row r="2142" spans="1:21" ht="15.6" x14ac:dyDescent="0.3">
      <c r="A2142" s="4">
        <v>2141</v>
      </c>
      <c r="B2142" s="5">
        <v>7567647</v>
      </c>
      <c r="C2142" s="4" t="s">
        <v>92</v>
      </c>
      <c r="D2142" s="4" t="s">
        <v>220</v>
      </c>
      <c r="E2142" s="4" t="s">
        <v>76</v>
      </c>
      <c r="F2142" s="4" t="s">
        <v>2946</v>
      </c>
      <c r="G2142" s="6">
        <v>2</v>
      </c>
      <c r="H2142" s="7">
        <v>45162.445335648146</v>
      </c>
      <c r="I2142" s="7" t="str">
        <f>TEXT(multilingual_mobile_app_reviews_2025[[#This Row],[Review_date]],"dd-mm-yyyy")</f>
        <v>24-08-2023</v>
      </c>
      <c r="J2142" s="7" t="str">
        <f>TEXT(multilingual_mobile_app_reviews_2025[[#This Row],[Review_date]],"YYYY")</f>
        <v>2023</v>
      </c>
      <c r="K2142" s="7" t="str">
        <f>TEXT(multilingual_mobile_app_reviews_2025[[#This Row],[Review_date]],"MMMM")</f>
        <v>August</v>
      </c>
      <c r="L2142" s="4" t="b">
        <v>0</v>
      </c>
      <c r="M2142" s="4" t="s">
        <v>22</v>
      </c>
      <c r="N2142" s="5">
        <v>838</v>
      </c>
      <c r="O2142" s="5">
        <v>21</v>
      </c>
      <c r="P2142" s="4" t="s">
        <v>70</v>
      </c>
      <c r="Q2142" s="8" t="s">
        <v>29</v>
      </c>
      <c r="R2142" s="4" t="s">
        <v>140</v>
      </c>
      <c r="S2142" s="4"/>
      <c r="T2142"/>
      <c r="U2142" s="23"/>
    </row>
    <row r="2143" spans="1:21" ht="15.6" x14ac:dyDescent="0.3">
      <c r="A2143" s="4">
        <v>2142</v>
      </c>
      <c r="B2143" s="5">
        <v>750524</v>
      </c>
      <c r="C2143" s="4" t="s">
        <v>192</v>
      </c>
      <c r="D2143" s="4" t="s">
        <v>97</v>
      </c>
      <c r="E2143" s="4" t="s">
        <v>130</v>
      </c>
      <c r="F2143" s="4" t="s">
        <v>2956</v>
      </c>
      <c r="G2143" s="6">
        <v>3.8</v>
      </c>
      <c r="H2143" s="7">
        <v>45865.341851851852</v>
      </c>
      <c r="I2143" s="7" t="str">
        <f>TEXT(multilingual_mobile_app_reviews_2025[[#This Row],[Review_date]],"dd-mm-yyyy")</f>
        <v>27-07-2025</v>
      </c>
      <c r="J2143" s="7" t="str">
        <f>TEXT(multilingual_mobile_app_reviews_2025[[#This Row],[Review_date]],"YYYY")</f>
        <v>2025</v>
      </c>
      <c r="K2143" s="7" t="str">
        <f>TEXT(multilingual_mobile_app_reviews_2025[[#This Row],[Review_date]],"MMMM")</f>
        <v>July</v>
      </c>
      <c r="L2143" s="4" t="b">
        <v>1</v>
      </c>
      <c r="M2143" s="4" t="s">
        <v>10</v>
      </c>
      <c r="N2143" s="5">
        <v>1195</v>
      </c>
      <c r="O2143" s="5">
        <v>56</v>
      </c>
      <c r="P2143" s="4" t="s">
        <v>180</v>
      </c>
      <c r="Q2143" s="8" t="s">
        <v>2963</v>
      </c>
      <c r="R2143" s="4" t="s">
        <v>2520</v>
      </c>
      <c r="S2143" s="4"/>
      <c r="T2143"/>
      <c r="U2143" s="23"/>
    </row>
    <row r="2144" spans="1:21" ht="15.6" x14ac:dyDescent="0.3">
      <c r="A2144" s="4">
        <v>2143</v>
      </c>
      <c r="B2144" s="5">
        <v>2118015</v>
      </c>
      <c r="C2144" s="4" t="s">
        <v>84</v>
      </c>
      <c r="D2144" s="4" t="s">
        <v>60</v>
      </c>
      <c r="E2144" s="4" t="s">
        <v>2521</v>
      </c>
      <c r="F2144" s="4" t="s">
        <v>2957</v>
      </c>
      <c r="G2144" s="6">
        <v>2.2999999999999998</v>
      </c>
      <c r="H2144" s="7">
        <v>45216.334305555552</v>
      </c>
      <c r="I2144" s="7" t="str">
        <f>TEXT(multilingual_mobile_app_reviews_2025[[#This Row],[Review_date]],"dd-mm-yyyy")</f>
        <v>17-10-2023</v>
      </c>
      <c r="J2144" s="7" t="str">
        <f>TEXT(multilingual_mobile_app_reviews_2025[[#This Row],[Review_date]],"YYYY")</f>
        <v>2023</v>
      </c>
      <c r="K2144" s="7" t="str">
        <f>TEXT(multilingual_mobile_app_reviews_2025[[#This Row],[Review_date]],"MMMM")</f>
        <v>October</v>
      </c>
      <c r="L2144" s="4" t="b">
        <v>1</v>
      </c>
      <c r="M2144" s="4" t="s">
        <v>3</v>
      </c>
      <c r="N2144" s="5">
        <v>865</v>
      </c>
      <c r="O2144" s="5">
        <v>70</v>
      </c>
      <c r="P2144" s="4" t="s">
        <v>70</v>
      </c>
      <c r="Q2144" s="8" t="s">
        <v>2963</v>
      </c>
      <c r="R2144" s="4" t="s">
        <v>2522</v>
      </c>
      <c r="S2144" s="4"/>
      <c r="T2144"/>
      <c r="U2144" s="23"/>
    </row>
    <row r="2145" spans="1:21" ht="15.6" x14ac:dyDescent="0.3">
      <c r="A2145" s="4">
        <v>2144</v>
      </c>
      <c r="B2145" s="5">
        <v>3340681</v>
      </c>
      <c r="C2145" s="4" t="s">
        <v>113</v>
      </c>
      <c r="D2145" s="4" t="s">
        <v>1</v>
      </c>
      <c r="E2145" s="4" t="s">
        <v>109</v>
      </c>
      <c r="F2145" s="4" t="s">
        <v>2959</v>
      </c>
      <c r="G2145" s="6">
        <v>3.2</v>
      </c>
      <c r="H2145" s="7">
        <v>45607.633194444446</v>
      </c>
      <c r="I2145" s="7" t="str">
        <f>TEXT(multilingual_mobile_app_reviews_2025[[#This Row],[Review_date]],"dd-mm-yyyy")</f>
        <v>11-11-2024</v>
      </c>
      <c r="J2145" s="7" t="str">
        <f>TEXT(multilingual_mobile_app_reviews_2025[[#This Row],[Review_date]],"YYYY")</f>
        <v>2024</v>
      </c>
      <c r="K2145" s="7" t="str">
        <f>TEXT(multilingual_mobile_app_reviews_2025[[#This Row],[Review_date]],"MMMM")</f>
        <v>November</v>
      </c>
      <c r="L2145" s="4" t="b">
        <v>1</v>
      </c>
      <c r="M2145" s="4" t="s">
        <v>33</v>
      </c>
      <c r="N2145" s="5">
        <v>453</v>
      </c>
      <c r="O2145" s="5">
        <v>25</v>
      </c>
      <c r="P2145" s="4" t="s">
        <v>127</v>
      </c>
      <c r="Q2145" s="8" t="s">
        <v>12</v>
      </c>
      <c r="R2145" s="4" t="s">
        <v>2523</v>
      </c>
      <c r="S2145" s="4"/>
      <c r="T2145"/>
      <c r="U2145" s="23"/>
    </row>
    <row r="2146" spans="1:21" ht="15.6" x14ac:dyDescent="0.3">
      <c r="A2146" s="4">
        <v>2145</v>
      </c>
      <c r="B2146" s="5">
        <v>5760577</v>
      </c>
      <c r="C2146" s="4" t="s">
        <v>132</v>
      </c>
      <c r="D2146" s="4" t="s">
        <v>1</v>
      </c>
      <c r="E2146" s="4" t="s">
        <v>32</v>
      </c>
      <c r="F2146" s="4" t="s">
        <v>2951</v>
      </c>
      <c r="G2146" s="6">
        <v>3.2</v>
      </c>
      <c r="H2146" s="7">
        <v>45867.303252314814</v>
      </c>
      <c r="I2146" s="7" t="str">
        <f>TEXT(multilingual_mobile_app_reviews_2025[[#This Row],[Review_date]],"dd-mm-yyyy")</f>
        <v>29-07-2025</v>
      </c>
      <c r="J2146" s="7" t="str">
        <f>TEXT(multilingual_mobile_app_reviews_2025[[#This Row],[Review_date]],"YYYY")</f>
        <v>2025</v>
      </c>
      <c r="K2146" s="7" t="str">
        <f>TEXT(multilingual_mobile_app_reviews_2025[[#This Row],[Review_date]],"MMMM")</f>
        <v>July</v>
      </c>
      <c r="L2146" s="4" t="b">
        <v>1</v>
      </c>
      <c r="M2146" s="4" t="s">
        <v>98</v>
      </c>
      <c r="N2146" s="5">
        <v>1222</v>
      </c>
      <c r="O2146" s="5">
        <v>27</v>
      </c>
      <c r="P2146" s="4" t="s">
        <v>85</v>
      </c>
      <c r="Q2146" s="8" t="s">
        <v>2963</v>
      </c>
      <c r="R2146" s="4" t="s">
        <v>2524</v>
      </c>
      <c r="S2146" s="4"/>
      <c r="T2146"/>
      <c r="U2146" s="23"/>
    </row>
    <row r="2147" spans="1:21" ht="15.6" x14ac:dyDescent="0.3">
      <c r="A2147" s="4">
        <v>2146</v>
      </c>
      <c r="B2147" s="5">
        <v>9293586</v>
      </c>
      <c r="C2147" s="4" t="s">
        <v>264</v>
      </c>
      <c r="D2147" s="4" t="s">
        <v>1</v>
      </c>
      <c r="E2147" s="4" t="s">
        <v>16</v>
      </c>
      <c r="F2147" s="4" t="s">
        <v>2943</v>
      </c>
      <c r="G2147" s="6">
        <v>2.9</v>
      </c>
      <c r="H2147" s="7">
        <v>45784.933229166665</v>
      </c>
      <c r="I2147" s="7" t="str">
        <f>TEXT(multilingual_mobile_app_reviews_2025[[#This Row],[Review_date]],"dd-mm-yyyy")</f>
        <v>07-05-2025</v>
      </c>
      <c r="J2147" s="7" t="str">
        <f>TEXT(multilingual_mobile_app_reviews_2025[[#This Row],[Review_date]],"YYYY")</f>
        <v>2025</v>
      </c>
      <c r="K2147" s="7" t="str">
        <f>TEXT(multilingual_mobile_app_reviews_2025[[#This Row],[Review_date]],"MMMM")</f>
        <v>May</v>
      </c>
      <c r="L2147" s="4" t="b">
        <v>1</v>
      </c>
      <c r="M2147" s="4" t="s">
        <v>10</v>
      </c>
      <c r="N2147" s="5">
        <v>177</v>
      </c>
      <c r="O2147" s="5">
        <v>68</v>
      </c>
      <c r="P2147" s="4" t="s">
        <v>73</v>
      </c>
      <c r="Q2147" s="8" t="s">
        <v>2963</v>
      </c>
      <c r="R2147" s="4" t="s">
        <v>2525</v>
      </c>
      <c r="S2147" s="4"/>
      <c r="T2147"/>
      <c r="U2147" s="23"/>
    </row>
    <row r="2148" spans="1:21" ht="15.6" x14ac:dyDescent="0.3">
      <c r="A2148" s="4">
        <v>2147</v>
      </c>
      <c r="B2148" s="5">
        <v>7615111</v>
      </c>
      <c r="C2148" s="4" t="s">
        <v>92</v>
      </c>
      <c r="D2148" s="4" t="s">
        <v>8</v>
      </c>
      <c r="E2148" s="4" t="s">
        <v>76</v>
      </c>
      <c r="F2148" s="4" t="s">
        <v>2945</v>
      </c>
      <c r="G2148" s="6">
        <v>4.7</v>
      </c>
      <c r="H2148" s="7">
        <v>45229.274548611109</v>
      </c>
      <c r="I2148" s="7" t="str">
        <f>TEXT(multilingual_mobile_app_reviews_2025[[#This Row],[Review_date]],"dd-mm-yyyy")</f>
        <v>30-10-2023</v>
      </c>
      <c r="J2148" s="7" t="str">
        <f>TEXT(multilingual_mobile_app_reviews_2025[[#This Row],[Review_date]],"YYYY")</f>
        <v>2023</v>
      </c>
      <c r="K2148" s="7" t="str">
        <f>TEXT(multilingual_mobile_app_reviews_2025[[#This Row],[Review_date]],"MMMM")</f>
        <v>October</v>
      </c>
      <c r="L2148" s="4" t="b">
        <v>0</v>
      </c>
      <c r="M2148" s="4" t="s">
        <v>22</v>
      </c>
      <c r="N2148" s="5">
        <v>293</v>
      </c>
      <c r="O2148" s="5">
        <v>32</v>
      </c>
      <c r="P2148" s="4" t="s">
        <v>99</v>
      </c>
      <c r="Q2148" s="8" t="s">
        <v>2963</v>
      </c>
      <c r="R2148" s="4" t="s">
        <v>411</v>
      </c>
      <c r="S2148" s="4"/>
      <c r="T2148"/>
      <c r="U2148" s="23"/>
    </row>
    <row r="2149" spans="1:21" ht="15.6" x14ac:dyDescent="0.3">
      <c r="A2149" s="4">
        <v>2148</v>
      </c>
      <c r="B2149" s="5">
        <v>9402326</v>
      </c>
      <c r="C2149" s="4" t="s">
        <v>46</v>
      </c>
      <c r="D2149" s="4" t="s">
        <v>31</v>
      </c>
      <c r="E2149" s="4" t="s">
        <v>32</v>
      </c>
      <c r="F2149" s="4" t="s">
        <v>2951</v>
      </c>
      <c r="G2149" s="6">
        <v>1.3</v>
      </c>
      <c r="H2149" s="7">
        <v>45189.725335648145</v>
      </c>
      <c r="I2149" s="7" t="str">
        <f>TEXT(multilingual_mobile_app_reviews_2025[[#This Row],[Review_date]],"dd-mm-yyyy")</f>
        <v>20-09-2023</v>
      </c>
      <c r="J2149" s="7" t="str">
        <f>TEXT(multilingual_mobile_app_reviews_2025[[#This Row],[Review_date]],"YYYY")</f>
        <v>2023</v>
      </c>
      <c r="K2149" s="7" t="str">
        <f>TEXT(multilingual_mobile_app_reviews_2025[[#This Row],[Review_date]],"MMMM")</f>
        <v>September</v>
      </c>
      <c r="L2149" s="4" t="b">
        <v>1</v>
      </c>
      <c r="M2149" s="4" t="s">
        <v>33</v>
      </c>
      <c r="N2149" s="5">
        <v>592</v>
      </c>
      <c r="O2149" s="5">
        <v>15</v>
      </c>
      <c r="P2149" s="4" t="s">
        <v>4</v>
      </c>
      <c r="Q2149" s="8" t="s">
        <v>39</v>
      </c>
      <c r="R2149" s="4" t="s">
        <v>363</v>
      </c>
      <c r="S2149" s="4"/>
      <c r="T2149"/>
      <c r="U2149" s="23"/>
    </row>
    <row r="2150" spans="1:21" ht="15.6" x14ac:dyDescent="0.3">
      <c r="A2150" s="4">
        <v>2149</v>
      </c>
      <c r="B2150" s="5">
        <v>4230922</v>
      </c>
      <c r="C2150" s="4" t="s">
        <v>159</v>
      </c>
      <c r="D2150" s="4" t="s">
        <v>31</v>
      </c>
      <c r="E2150" s="4" t="s">
        <v>93</v>
      </c>
      <c r="F2150" s="4" t="s">
        <v>2947</v>
      </c>
      <c r="G2150" s="6">
        <v>3.6</v>
      </c>
      <c r="H2150" s="7">
        <v>45422.92082175926</v>
      </c>
      <c r="I2150" s="7" t="str">
        <f>TEXT(multilingual_mobile_app_reviews_2025[[#This Row],[Review_date]],"dd-mm-yyyy")</f>
        <v>10-05-2024</v>
      </c>
      <c r="J2150" s="7" t="str">
        <f>TEXT(multilingual_mobile_app_reviews_2025[[#This Row],[Review_date]],"YYYY")</f>
        <v>2024</v>
      </c>
      <c r="K2150" s="7" t="str">
        <f>TEXT(multilingual_mobile_app_reviews_2025[[#This Row],[Review_date]],"MMMM")</f>
        <v>May</v>
      </c>
      <c r="L2150" s="4" t="b">
        <v>1</v>
      </c>
      <c r="M2150" s="4" t="s">
        <v>22</v>
      </c>
      <c r="N2150" s="5">
        <v>865</v>
      </c>
      <c r="O2150" s="5">
        <v>46</v>
      </c>
      <c r="P2150" s="4" t="s">
        <v>11</v>
      </c>
      <c r="Q2150" s="8" t="s">
        <v>29</v>
      </c>
      <c r="R2150" s="4" t="s">
        <v>2526</v>
      </c>
      <c r="S2150" s="4"/>
      <c r="T2150"/>
      <c r="U2150" s="23"/>
    </row>
    <row r="2151" spans="1:21" ht="15.6" x14ac:dyDescent="0.3">
      <c r="A2151" s="4">
        <v>2150</v>
      </c>
      <c r="B2151" s="5">
        <v>4117327</v>
      </c>
      <c r="C2151" s="4" t="s">
        <v>159</v>
      </c>
      <c r="D2151" s="4" t="s">
        <v>51</v>
      </c>
      <c r="E2151" s="4" t="s">
        <v>27</v>
      </c>
      <c r="F2151" s="4" t="s">
        <v>2947</v>
      </c>
      <c r="G2151" s="6">
        <v>4.9000000000000004</v>
      </c>
      <c r="H2151" s="7">
        <v>45773.915706018517</v>
      </c>
      <c r="I2151" s="7" t="str">
        <f>TEXT(multilingual_mobile_app_reviews_2025[[#This Row],[Review_date]],"dd-mm-yyyy")</f>
        <v>26-04-2025</v>
      </c>
      <c r="J2151" s="7" t="str">
        <f>TEXT(multilingual_mobile_app_reviews_2025[[#This Row],[Review_date]],"YYYY")</f>
        <v>2025</v>
      </c>
      <c r="K2151" s="7" t="str">
        <f>TEXT(multilingual_mobile_app_reviews_2025[[#This Row],[Review_date]],"MMMM")</f>
        <v>April</v>
      </c>
      <c r="L2151" s="4" t="b">
        <v>1</v>
      </c>
      <c r="M2151" s="4" t="s">
        <v>98</v>
      </c>
      <c r="N2151" s="5">
        <v>1076</v>
      </c>
      <c r="O2151" s="5">
        <v>56</v>
      </c>
      <c r="P2151" s="4" t="s">
        <v>70</v>
      </c>
      <c r="Q2151" s="8" t="s">
        <v>12</v>
      </c>
      <c r="R2151" s="4" t="s">
        <v>2527</v>
      </c>
      <c r="S2151" s="4"/>
      <c r="T2151"/>
      <c r="U2151" s="23"/>
    </row>
    <row r="2152" spans="1:21" ht="15.6" x14ac:dyDescent="0.3">
      <c r="A2152" s="4">
        <v>2151</v>
      </c>
      <c r="B2152" s="5">
        <v>3259823</v>
      </c>
      <c r="C2152" s="4" t="s">
        <v>199</v>
      </c>
      <c r="D2152" s="4" t="s">
        <v>42</v>
      </c>
      <c r="E2152" s="4" t="s">
        <v>109</v>
      </c>
      <c r="F2152" s="4" t="s">
        <v>2947</v>
      </c>
      <c r="G2152" s="6">
        <v>1</v>
      </c>
      <c r="H2152" s="7">
        <v>45755.63821759259</v>
      </c>
      <c r="I2152" s="7" t="str">
        <f>TEXT(multilingual_mobile_app_reviews_2025[[#This Row],[Review_date]],"dd-mm-yyyy")</f>
        <v>08-04-2025</v>
      </c>
      <c r="J2152" s="7" t="str">
        <f>TEXT(multilingual_mobile_app_reviews_2025[[#This Row],[Review_date]],"YYYY")</f>
        <v>2025</v>
      </c>
      <c r="K2152" s="7" t="str">
        <f>TEXT(multilingual_mobile_app_reviews_2025[[#This Row],[Review_date]],"MMMM")</f>
        <v>April</v>
      </c>
      <c r="L2152" s="4" t="b">
        <v>1</v>
      </c>
      <c r="M2152" s="4" t="s">
        <v>22</v>
      </c>
      <c r="N2152" s="5">
        <v>582</v>
      </c>
      <c r="O2152" s="5">
        <v>44</v>
      </c>
      <c r="P2152" s="4" t="s">
        <v>114</v>
      </c>
      <c r="Q2152" s="8" t="s">
        <v>2963</v>
      </c>
      <c r="R2152" s="4" t="s">
        <v>542</v>
      </c>
      <c r="S2152" s="4"/>
      <c r="T2152"/>
      <c r="U2152" s="23"/>
    </row>
    <row r="2153" spans="1:21" ht="15.6" x14ac:dyDescent="0.3">
      <c r="A2153" s="4">
        <v>2152</v>
      </c>
      <c r="B2153" s="5">
        <v>797770</v>
      </c>
      <c r="C2153" s="4" t="s">
        <v>41</v>
      </c>
      <c r="D2153" s="4" t="s">
        <v>47</v>
      </c>
      <c r="E2153" s="4" t="s">
        <v>9</v>
      </c>
      <c r="F2153" s="4" t="s">
        <v>2952</v>
      </c>
      <c r="G2153" s="6">
        <v>1.6</v>
      </c>
      <c r="H2153" s="7">
        <v>45417.194733796299</v>
      </c>
      <c r="I2153" s="7" t="str">
        <f>TEXT(multilingual_mobile_app_reviews_2025[[#This Row],[Review_date]],"dd-mm-yyyy")</f>
        <v>05-05-2024</v>
      </c>
      <c r="J2153" s="7" t="str">
        <f>TEXT(multilingual_mobile_app_reviews_2025[[#This Row],[Review_date]],"YYYY")</f>
        <v>2024</v>
      </c>
      <c r="K2153" s="7" t="str">
        <f>TEXT(multilingual_mobile_app_reviews_2025[[#This Row],[Review_date]],"MMMM")</f>
        <v>May</v>
      </c>
      <c r="L2153" s="4" t="b">
        <v>1</v>
      </c>
      <c r="M2153" s="4" t="s">
        <v>22</v>
      </c>
      <c r="N2153" s="5">
        <v>354</v>
      </c>
      <c r="O2153" s="5">
        <v>21</v>
      </c>
      <c r="P2153" s="4" t="s">
        <v>28</v>
      </c>
      <c r="Q2153" s="8" t="s">
        <v>29</v>
      </c>
      <c r="R2153" s="4" t="s">
        <v>299</v>
      </c>
      <c r="S2153" s="4"/>
      <c r="T2153"/>
      <c r="U2153" s="23"/>
    </row>
    <row r="2154" spans="1:21" ht="15.6" x14ac:dyDescent="0.3">
      <c r="A2154" s="4">
        <v>2153</v>
      </c>
      <c r="B2154" s="5">
        <v>8160167</v>
      </c>
      <c r="C2154" s="4" t="s">
        <v>50</v>
      </c>
      <c r="D2154" s="4" t="s">
        <v>8</v>
      </c>
      <c r="E2154" s="4" t="s">
        <v>16</v>
      </c>
      <c r="F2154" s="4" t="s">
        <v>2948</v>
      </c>
      <c r="G2154" s="6">
        <v>3.1</v>
      </c>
      <c r="H2154" s="7">
        <v>45768.728634259256</v>
      </c>
      <c r="I2154" s="7" t="str">
        <f>TEXT(multilingual_mobile_app_reviews_2025[[#This Row],[Review_date]],"dd-mm-yyyy")</f>
        <v>21-04-2025</v>
      </c>
      <c r="J2154" s="7" t="str">
        <f>TEXT(multilingual_mobile_app_reviews_2025[[#This Row],[Review_date]],"YYYY")</f>
        <v>2025</v>
      </c>
      <c r="K2154" s="7" t="str">
        <f>TEXT(multilingual_mobile_app_reviews_2025[[#This Row],[Review_date]],"MMMM")</f>
        <v>April</v>
      </c>
      <c r="L2154" s="4" t="b">
        <v>0</v>
      </c>
      <c r="M2154" s="4" t="s">
        <v>10</v>
      </c>
      <c r="N2154" s="5">
        <v>739</v>
      </c>
      <c r="O2154" s="5">
        <v>51</v>
      </c>
      <c r="P2154" s="4" t="s">
        <v>230</v>
      </c>
      <c r="Q2154" s="8" t="s">
        <v>29</v>
      </c>
      <c r="R2154" s="4" t="s">
        <v>2528</v>
      </c>
      <c r="S2154" s="4"/>
      <c r="T2154"/>
      <c r="U2154" s="23"/>
    </row>
    <row r="2155" spans="1:21" ht="15.6" x14ac:dyDescent="0.3">
      <c r="A2155" s="4">
        <v>2154</v>
      </c>
      <c r="B2155" s="5">
        <v>1757259</v>
      </c>
      <c r="C2155" s="4" t="s">
        <v>19</v>
      </c>
      <c r="D2155" s="4" t="s">
        <v>157</v>
      </c>
      <c r="E2155" s="4" t="s">
        <v>9</v>
      </c>
      <c r="F2155" s="4" t="s">
        <v>2943</v>
      </c>
      <c r="G2155" s="6">
        <v>4.9000000000000004</v>
      </c>
      <c r="H2155" s="7">
        <v>45797.363923611112</v>
      </c>
      <c r="I2155" s="7" t="str">
        <f>TEXT(multilingual_mobile_app_reviews_2025[[#This Row],[Review_date]],"dd-mm-yyyy")</f>
        <v>20-05-2025</v>
      </c>
      <c r="J2155" s="7" t="str">
        <f>TEXT(multilingual_mobile_app_reviews_2025[[#This Row],[Review_date]],"YYYY")</f>
        <v>2025</v>
      </c>
      <c r="K2155" s="7" t="str">
        <f>TEXT(multilingual_mobile_app_reviews_2025[[#This Row],[Review_date]],"MMMM")</f>
        <v>May</v>
      </c>
      <c r="L2155" s="4" t="b">
        <v>1</v>
      </c>
      <c r="M2155" s="4" t="s">
        <v>10</v>
      </c>
      <c r="N2155" s="5">
        <v>34</v>
      </c>
      <c r="O2155" s="5">
        <v>30</v>
      </c>
      <c r="P2155" s="4" t="s">
        <v>73</v>
      </c>
      <c r="Q2155" s="8" t="s">
        <v>2963</v>
      </c>
      <c r="R2155" s="4" t="s">
        <v>2529</v>
      </c>
      <c r="S2155" s="4"/>
      <c r="T2155"/>
      <c r="U2155" s="23"/>
    </row>
    <row r="2156" spans="1:21" ht="15.6" x14ac:dyDescent="0.3">
      <c r="A2156" s="4">
        <v>2155</v>
      </c>
      <c r="B2156" s="5">
        <v>1625946</v>
      </c>
      <c r="C2156" s="4" t="s">
        <v>69</v>
      </c>
      <c r="D2156" s="4" t="s">
        <v>63</v>
      </c>
      <c r="E2156" s="4" t="s">
        <v>76</v>
      </c>
      <c r="F2156" s="4" t="s">
        <v>2942</v>
      </c>
      <c r="G2156" s="6">
        <v>3</v>
      </c>
      <c r="H2156" s="7">
        <v>45654.243738425925</v>
      </c>
      <c r="I2156" s="7" t="str">
        <f>TEXT(multilingual_mobile_app_reviews_2025[[#This Row],[Review_date]],"dd-mm-yyyy")</f>
        <v>28-12-2024</v>
      </c>
      <c r="J2156" s="7" t="str">
        <f>TEXT(multilingual_mobile_app_reviews_2025[[#This Row],[Review_date]],"YYYY")</f>
        <v>2024</v>
      </c>
      <c r="K2156" s="7" t="str">
        <f>TEXT(multilingual_mobile_app_reviews_2025[[#This Row],[Review_date]],"MMMM")</f>
        <v>December</v>
      </c>
      <c r="L2156" s="4" t="b">
        <v>0</v>
      </c>
      <c r="M2156" s="4" t="s">
        <v>98</v>
      </c>
      <c r="N2156" s="5">
        <v>464</v>
      </c>
      <c r="O2156" s="5">
        <v>62</v>
      </c>
      <c r="P2156" s="4" t="s">
        <v>162</v>
      </c>
      <c r="Q2156" s="8" t="s">
        <v>2963</v>
      </c>
      <c r="R2156" s="4" t="s">
        <v>2530</v>
      </c>
      <c r="S2156" s="4"/>
      <c r="T2156"/>
      <c r="U2156" s="23"/>
    </row>
    <row r="2157" spans="1:21" ht="15.6" x14ac:dyDescent="0.3">
      <c r="A2157" s="4">
        <v>2156</v>
      </c>
      <c r="B2157" s="5">
        <v>5477987</v>
      </c>
      <c r="C2157" s="4" t="s">
        <v>258</v>
      </c>
      <c r="D2157" s="4" t="s">
        <v>157</v>
      </c>
      <c r="E2157" s="4" t="s">
        <v>21</v>
      </c>
      <c r="F2157" s="4" t="s">
        <v>2960</v>
      </c>
      <c r="G2157" s="6">
        <v>1.1000000000000001</v>
      </c>
      <c r="H2157" s="7">
        <v>45847.146331018521</v>
      </c>
      <c r="I2157" s="7" t="str">
        <f>TEXT(multilingual_mobile_app_reviews_2025[[#This Row],[Review_date]],"dd-mm-yyyy")</f>
        <v>09-07-2025</v>
      </c>
      <c r="J2157" s="7" t="str">
        <f>TEXT(multilingual_mobile_app_reviews_2025[[#This Row],[Review_date]],"YYYY")</f>
        <v>2025</v>
      </c>
      <c r="K2157" s="7" t="str">
        <f>TEXT(multilingual_mobile_app_reviews_2025[[#This Row],[Review_date]],"MMMM")</f>
        <v>July</v>
      </c>
      <c r="L2157" s="4" t="b">
        <v>1</v>
      </c>
      <c r="M2157" s="4" t="s">
        <v>33</v>
      </c>
      <c r="N2157" s="5">
        <v>409</v>
      </c>
      <c r="O2157" s="5">
        <v>71</v>
      </c>
      <c r="P2157" s="4" t="s">
        <v>127</v>
      </c>
      <c r="Q2157" s="8" t="s">
        <v>39</v>
      </c>
      <c r="R2157" s="4" t="s">
        <v>2531</v>
      </c>
      <c r="S2157" s="4"/>
      <c r="T2157"/>
      <c r="U2157" s="23"/>
    </row>
    <row r="2158" spans="1:21" ht="15.6" x14ac:dyDescent="0.3">
      <c r="A2158" s="4">
        <v>2157</v>
      </c>
      <c r="B2158" s="5">
        <v>9545517</v>
      </c>
      <c r="C2158" s="4" t="s">
        <v>101</v>
      </c>
      <c r="D2158" s="4" t="s">
        <v>63</v>
      </c>
      <c r="E2158" s="4" t="s">
        <v>2532</v>
      </c>
      <c r="F2158" s="4" t="s">
        <v>2960</v>
      </c>
      <c r="G2158" s="6">
        <v>4.4000000000000004</v>
      </c>
      <c r="H2158" s="7">
        <v>45219.904849537037</v>
      </c>
      <c r="I2158" s="7" t="str">
        <f>TEXT(multilingual_mobile_app_reviews_2025[[#This Row],[Review_date]],"dd-mm-yyyy")</f>
        <v>20-10-2023</v>
      </c>
      <c r="J2158" s="7" t="str">
        <f>TEXT(multilingual_mobile_app_reviews_2025[[#This Row],[Review_date]],"YYYY")</f>
        <v>2023</v>
      </c>
      <c r="K2158" s="7" t="str">
        <f>TEXT(multilingual_mobile_app_reviews_2025[[#This Row],[Review_date]],"MMMM")</f>
        <v>October</v>
      </c>
      <c r="L2158" s="4" t="b">
        <v>1</v>
      </c>
      <c r="M2158" s="4" t="s">
        <v>22</v>
      </c>
      <c r="N2158" s="5">
        <v>473</v>
      </c>
      <c r="O2158" s="5">
        <v>20</v>
      </c>
      <c r="P2158" s="4" t="s">
        <v>11</v>
      </c>
      <c r="Q2158" s="8" t="s">
        <v>12</v>
      </c>
      <c r="R2158" s="4" t="s">
        <v>2963</v>
      </c>
      <c r="S2158" s="4"/>
      <c r="T2158"/>
      <c r="U2158" s="23"/>
    </row>
    <row r="2159" spans="1:21" ht="15.6" x14ac:dyDescent="0.3">
      <c r="A2159" s="4">
        <v>2158</v>
      </c>
      <c r="B2159" s="5">
        <v>9516262</v>
      </c>
      <c r="C2159" s="4" t="s">
        <v>54</v>
      </c>
      <c r="D2159" s="4" t="s">
        <v>20</v>
      </c>
      <c r="E2159" s="4" t="s">
        <v>130</v>
      </c>
      <c r="F2159" s="4" t="s">
        <v>2961</v>
      </c>
      <c r="G2159" s="6">
        <v>2</v>
      </c>
      <c r="H2159" s="7">
        <v>45514.89334490741</v>
      </c>
      <c r="I2159" s="7" t="str">
        <f>TEXT(multilingual_mobile_app_reviews_2025[[#This Row],[Review_date]],"dd-mm-yyyy")</f>
        <v>10-08-2024</v>
      </c>
      <c r="J2159" s="7" t="str">
        <f>TEXT(multilingual_mobile_app_reviews_2025[[#This Row],[Review_date]],"YYYY")</f>
        <v>2024</v>
      </c>
      <c r="K2159" s="7" t="str">
        <f>TEXT(multilingual_mobile_app_reviews_2025[[#This Row],[Review_date]],"MMMM")</f>
        <v>August</v>
      </c>
      <c r="L2159" s="4" t="b">
        <v>0</v>
      </c>
      <c r="M2159" s="4" t="s">
        <v>10</v>
      </c>
      <c r="N2159" s="5">
        <v>225</v>
      </c>
      <c r="O2159" s="5">
        <v>51</v>
      </c>
      <c r="P2159" s="4" t="s">
        <v>94</v>
      </c>
      <c r="Q2159" s="8" t="s">
        <v>2963</v>
      </c>
      <c r="R2159" s="4" t="s">
        <v>2963</v>
      </c>
      <c r="S2159" s="4"/>
      <c r="T2159"/>
      <c r="U2159" s="23"/>
    </row>
    <row r="2160" spans="1:21" ht="15.6" x14ac:dyDescent="0.3">
      <c r="A2160" s="4">
        <v>2159</v>
      </c>
      <c r="B2160" s="5">
        <v>6623126</v>
      </c>
      <c r="C2160" s="4" t="s">
        <v>36</v>
      </c>
      <c r="D2160" s="4" t="s">
        <v>157</v>
      </c>
      <c r="E2160" s="4" t="s">
        <v>2533</v>
      </c>
      <c r="F2160" s="4" t="s">
        <v>2955</v>
      </c>
      <c r="G2160" s="6">
        <v>2.5</v>
      </c>
      <c r="H2160" s="7">
        <v>45719.751608796294</v>
      </c>
      <c r="I2160" s="7" t="str">
        <f>TEXT(multilingual_mobile_app_reviews_2025[[#This Row],[Review_date]],"dd-mm-yyyy")</f>
        <v>03-03-2025</v>
      </c>
      <c r="J2160" s="7" t="str">
        <f>TEXT(multilingual_mobile_app_reviews_2025[[#This Row],[Review_date]],"YYYY")</f>
        <v>2025</v>
      </c>
      <c r="K2160" s="7" t="str">
        <f>TEXT(multilingual_mobile_app_reviews_2025[[#This Row],[Review_date]],"MMMM")</f>
        <v>March</v>
      </c>
      <c r="L2160" s="4" t="b">
        <v>1</v>
      </c>
      <c r="M2160" s="4" t="s">
        <v>3</v>
      </c>
      <c r="N2160" s="5">
        <v>885</v>
      </c>
      <c r="O2160" s="5">
        <v>28</v>
      </c>
      <c r="P2160" s="4" t="s">
        <v>162</v>
      </c>
      <c r="Q2160" s="8" t="s">
        <v>5</v>
      </c>
      <c r="R2160" s="4" t="s">
        <v>812</v>
      </c>
      <c r="S2160" s="4"/>
      <c r="T2160"/>
      <c r="U2160" s="23"/>
    </row>
    <row r="2161" spans="1:21" ht="15.6" x14ac:dyDescent="0.3">
      <c r="A2161" s="4">
        <v>2160</v>
      </c>
      <c r="B2161" s="5">
        <v>9206455</v>
      </c>
      <c r="C2161" s="4" t="s">
        <v>41</v>
      </c>
      <c r="D2161" s="4" t="s">
        <v>15</v>
      </c>
      <c r="E2161" s="4" t="s">
        <v>32</v>
      </c>
      <c r="F2161" s="4" t="s">
        <v>2939</v>
      </c>
      <c r="G2161" s="6">
        <v>1.7</v>
      </c>
      <c r="H2161" s="7">
        <v>45273.53</v>
      </c>
      <c r="I2161" s="7" t="str">
        <f>TEXT(multilingual_mobile_app_reviews_2025[[#This Row],[Review_date]],"dd-mm-yyyy")</f>
        <v>13-12-2023</v>
      </c>
      <c r="J2161" s="7" t="str">
        <f>TEXT(multilingual_mobile_app_reviews_2025[[#This Row],[Review_date]],"YYYY")</f>
        <v>2023</v>
      </c>
      <c r="K2161" s="7" t="str">
        <f>TEXT(multilingual_mobile_app_reviews_2025[[#This Row],[Review_date]],"MMMM")</f>
        <v>December</v>
      </c>
      <c r="L2161" s="4" t="b">
        <v>0</v>
      </c>
      <c r="M2161" s="4" t="s">
        <v>33</v>
      </c>
      <c r="N2161" s="5">
        <v>343</v>
      </c>
      <c r="O2161" s="5">
        <v>74</v>
      </c>
      <c r="P2161" s="4" t="s">
        <v>127</v>
      </c>
      <c r="Q2161" s="8" t="s">
        <v>39</v>
      </c>
      <c r="R2161" s="4" t="s">
        <v>2534</v>
      </c>
      <c r="S2161" s="4"/>
      <c r="T2161"/>
      <c r="U2161" s="23"/>
    </row>
    <row r="2162" spans="1:21" ht="15.6" x14ac:dyDescent="0.3">
      <c r="A2162" s="4">
        <v>2161</v>
      </c>
      <c r="B2162" s="5">
        <v>5362234</v>
      </c>
      <c r="C2162" s="4" t="s">
        <v>258</v>
      </c>
      <c r="D2162" s="4" t="s">
        <v>60</v>
      </c>
      <c r="E2162" s="4" t="s">
        <v>130</v>
      </c>
      <c r="F2162" s="4" t="s">
        <v>2957</v>
      </c>
      <c r="G2162" s="6">
        <v>3.5</v>
      </c>
      <c r="H2162" s="7">
        <v>45713.076203703706</v>
      </c>
      <c r="I2162" s="7" t="str">
        <f>TEXT(multilingual_mobile_app_reviews_2025[[#This Row],[Review_date]],"dd-mm-yyyy")</f>
        <v>25-02-2025</v>
      </c>
      <c r="J2162" s="7" t="str">
        <f>TEXT(multilingual_mobile_app_reviews_2025[[#This Row],[Review_date]],"YYYY")</f>
        <v>2025</v>
      </c>
      <c r="K2162" s="7" t="str">
        <f>TEXT(multilingual_mobile_app_reviews_2025[[#This Row],[Review_date]],"MMMM")</f>
        <v>February</v>
      </c>
      <c r="L2162" s="4" t="b">
        <v>1</v>
      </c>
      <c r="M2162" s="4" t="s">
        <v>33</v>
      </c>
      <c r="N2162" s="5">
        <v>1010</v>
      </c>
      <c r="O2162" s="5">
        <v>57</v>
      </c>
      <c r="P2162" s="4" t="s">
        <v>94</v>
      </c>
      <c r="Q2162" s="8" t="s">
        <v>39</v>
      </c>
      <c r="R2162" s="4" t="s">
        <v>317</v>
      </c>
      <c r="S2162" s="4"/>
      <c r="T2162"/>
      <c r="U2162" s="23"/>
    </row>
    <row r="2163" spans="1:21" ht="15.6" x14ac:dyDescent="0.3">
      <c r="A2163" s="4">
        <v>2162</v>
      </c>
      <c r="B2163" s="5">
        <v>9063934</v>
      </c>
      <c r="C2163" s="4" t="s">
        <v>147</v>
      </c>
      <c r="D2163" s="4" t="s">
        <v>97</v>
      </c>
      <c r="E2163" s="4" t="s">
        <v>16</v>
      </c>
      <c r="F2163" s="4" t="s">
        <v>2954</v>
      </c>
      <c r="G2163" s="6">
        <v>4.5</v>
      </c>
      <c r="H2163" s="7">
        <v>45160.597858796296</v>
      </c>
      <c r="I2163" s="7" t="str">
        <f>TEXT(multilingual_mobile_app_reviews_2025[[#This Row],[Review_date]],"dd-mm-yyyy")</f>
        <v>22-08-2023</v>
      </c>
      <c r="J2163" s="7" t="str">
        <f>TEXT(multilingual_mobile_app_reviews_2025[[#This Row],[Review_date]],"YYYY")</f>
        <v>2023</v>
      </c>
      <c r="K2163" s="7" t="str">
        <f>TEXT(multilingual_mobile_app_reviews_2025[[#This Row],[Review_date]],"MMMM")</f>
        <v>August</v>
      </c>
      <c r="L2163" s="4" t="b">
        <v>1</v>
      </c>
      <c r="M2163" s="4" t="s">
        <v>98</v>
      </c>
      <c r="N2163" s="5">
        <v>191</v>
      </c>
      <c r="O2163" s="5">
        <v>17</v>
      </c>
      <c r="P2163" s="4" t="s">
        <v>230</v>
      </c>
      <c r="Q2163" s="8" t="s">
        <v>5</v>
      </c>
      <c r="R2163" s="4" t="s">
        <v>2535</v>
      </c>
      <c r="S2163" s="4"/>
      <c r="T2163"/>
      <c r="U2163" s="23"/>
    </row>
    <row r="2164" spans="1:21" ht="15.6" x14ac:dyDescent="0.3">
      <c r="A2164" s="4">
        <v>2163</v>
      </c>
      <c r="B2164" s="5">
        <v>5182589</v>
      </c>
      <c r="C2164" s="4" t="s">
        <v>258</v>
      </c>
      <c r="D2164" s="4" t="s">
        <v>71</v>
      </c>
      <c r="E2164" s="4" t="s">
        <v>130</v>
      </c>
      <c r="F2164" s="4" t="s">
        <v>2958</v>
      </c>
      <c r="G2164" s="6">
        <v>2.1</v>
      </c>
      <c r="H2164" s="7">
        <v>45437.84002314815</v>
      </c>
      <c r="I2164" s="7" t="str">
        <f>TEXT(multilingual_mobile_app_reviews_2025[[#This Row],[Review_date]],"dd-mm-yyyy")</f>
        <v>25-05-2024</v>
      </c>
      <c r="J2164" s="7" t="str">
        <f>TEXT(multilingual_mobile_app_reviews_2025[[#This Row],[Review_date]],"YYYY")</f>
        <v>2024</v>
      </c>
      <c r="K2164" s="7" t="str">
        <f>TEXT(multilingual_mobile_app_reviews_2025[[#This Row],[Review_date]],"MMMM")</f>
        <v>May</v>
      </c>
      <c r="L2164" s="4" t="b">
        <v>1</v>
      </c>
      <c r="M2164" s="4" t="s">
        <v>33</v>
      </c>
      <c r="N2164" s="5">
        <v>1</v>
      </c>
      <c r="O2164" s="5">
        <v>56</v>
      </c>
      <c r="P2164" s="4" t="s">
        <v>90</v>
      </c>
      <c r="Q2164" s="8" t="s">
        <v>29</v>
      </c>
      <c r="R2164" s="4" t="s">
        <v>1082</v>
      </c>
      <c r="S2164" s="4"/>
      <c r="T2164"/>
      <c r="U2164" s="23"/>
    </row>
    <row r="2165" spans="1:21" ht="15.6" x14ac:dyDescent="0.3">
      <c r="A2165" s="4">
        <v>2164</v>
      </c>
      <c r="B2165" s="5">
        <v>6001647</v>
      </c>
      <c r="C2165" s="4" t="s">
        <v>54</v>
      </c>
      <c r="D2165" s="4" t="s">
        <v>42</v>
      </c>
      <c r="E2165" s="4" t="s">
        <v>2536</v>
      </c>
      <c r="F2165" s="4" t="s">
        <v>2946</v>
      </c>
      <c r="G2165" s="6">
        <v>1.1000000000000001</v>
      </c>
      <c r="H2165" s="7">
        <v>45681.949849537035</v>
      </c>
      <c r="I2165" s="7" t="str">
        <f>TEXT(multilingual_mobile_app_reviews_2025[[#This Row],[Review_date]],"dd-mm-yyyy")</f>
        <v>24-01-2025</v>
      </c>
      <c r="J2165" s="7" t="str">
        <f>TEXT(multilingual_mobile_app_reviews_2025[[#This Row],[Review_date]],"YYYY")</f>
        <v>2025</v>
      </c>
      <c r="K2165" s="7" t="str">
        <f>TEXT(multilingual_mobile_app_reviews_2025[[#This Row],[Review_date]],"MMMM")</f>
        <v>January</v>
      </c>
      <c r="L2165" s="4" t="b">
        <v>1</v>
      </c>
      <c r="M2165" s="4" t="s">
        <v>98</v>
      </c>
      <c r="N2165" s="5">
        <v>422</v>
      </c>
      <c r="O2165" s="5">
        <v>54</v>
      </c>
      <c r="P2165" s="4" t="s">
        <v>23</v>
      </c>
      <c r="Q2165" s="8" t="s">
        <v>12</v>
      </c>
      <c r="R2165" s="4" t="s">
        <v>2537</v>
      </c>
      <c r="S2165" s="4"/>
      <c r="T2165"/>
      <c r="U2165" s="23"/>
    </row>
    <row r="2166" spans="1:21" ht="15.6" x14ac:dyDescent="0.3">
      <c r="A2166" s="4">
        <v>2165</v>
      </c>
      <c r="B2166" s="5">
        <v>3698598</v>
      </c>
      <c r="C2166" s="4" t="s">
        <v>41</v>
      </c>
      <c r="D2166" s="4" t="s">
        <v>20</v>
      </c>
      <c r="E2166" s="4" t="s">
        <v>32</v>
      </c>
      <c r="F2166" s="4" t="s">
        <v>2943</v>
      </c>
      <c r="G2166" s="6">
        <v>4.8</v>
      </c>
      <c r="H2166" s="7">
        <v>45215.502557870372</v>
      </c>
      <c r="I2166" s="7" t="str">
        <f>TEXT(multilingual_mobile_app_reviews_2025[[#This Row],[Review_date]],"dd-mm-yyyy")</f>
        <v>16-10-2023</v>
      </c>
      <c r="J2166" s="7" t="str">
        <f>TEXT(multilingual_mobile_app_reviews_2025[[#This Row],[Review_date]],"YYYY")</f>
        <v>2023</v>
      </c>
      <c r="K2166" s="7" t="str">
        <f>TEXT(multilingual_mobile_app_reviews_2025[[#This Row],[Review_date]],"MMMM")</f>
        <v>October</v>
      </c>
      <c r="L2166" s="4" t="b">
        <v>1</v>
      </c>
      <c r="M2166" s="4" t="s">
        <v>3</v>
      </c>
      <c r="N2166" s="5">
        <v>531</v>
      </c>
      <c r="O2166" s="5">
        <v>13</v>
      </c>
      <c r="P2166" s="4" t="s">
        <v>118</v>
      </c>
      <c r="Q2166" s="8" t="s">
        <v>12</v>
      </c>
      <c r="R2166" s="4" t="s">
        <v>2538</v>
      </c>
      <c r="S2166" s="4"/>
      <c r="T2166"/>
      <c r="U2166" s="23"/>
    </row>
    <row r="2167" spans="1:21" ht="15.6" x14ac:dyDescent="0.3">
      <c r="A2167" s="4">
        <v>2166</v>
      </c>
      <c r="B2167" s="5">
        <v>3215619</v>
      </c>
      <c r="C2167" s="4" t="s">
        <v>96</v>
      </c>
      <c r="D2167" s="4" t="s">
        <v>31</v>
      </c>
      <c r="E2167" s="4" t="s">
        <v>76</v>
      </c>
      <c r="F2167" s="4" t="s">
        <v>2962</v>
      </c>
      <c r="G2167" s="6">
        <v>1.3</v>
      </c>
      <c r="H2167" s="7">
        <v>45831.991724537038</v>
      </c>
      <c r="I2167" s="7" t="str">
        <f>TEXT(multilingual_mobile_app_reviews_2025[[#This Row],[Review_date]],"dd-mm-yyyy")</f>
        <v>23-06-2025</v>
      </c>
      <c r="J2167" s="7" t="str">
        <f>TEXT(multilingual_mobile_app_reviews_2025[[#This Row],[Review_date]],"YYYY")</f>
        <v>2025</v>
      </c>
      <c r="K2167" s="7" t="str">
        <f>TEXT(multilingual_mobile_app_reviews_2025[[#This Row],[Review_date]],"MMMM")</f>
        <v>June</v>
      </c>
      <c r="L2167" s="4" t="b">
        <v>1</v>
      </c>
      <c r="M2167" s="4" t="s">
        <v>3</v>
      </c>
      <c r="N2167" s="5">
        <v>573</v>
      </c>
      <c r="O2167" s="5">
        <v>26</v>
      </c>
      <c r="P2167" s="4" t="s">
        <v>230</v>
      </c>
      <c r="Q2167" s="8" t="s">
        <v>5</v>
      </c>
      <c r="R2167" s="4" t="s">
        <v>2539</v>
      </c>
      <c r="S2167" s="4"/>
      <c r="T2167"/>
      <c r="U2167" s="23"/>
    </row>
    <row r="2168" spans="1:21" ht="15.6" x14ac:dyDescent="0.3">
      <c r="A2168" s="4">
        <v>2167</v>
      </c>
      <c r="B2168" s="5">
        <v>5473918</v>
      </c>
      <c r="C2168" s="4" t="s">
        <v>54</v>
      </c>
      <c r="D2168" s="4" t="s">
        <v>26</v>
      </c>
      <c r="E2168" s="4" t="s">
        <v>64</v>
      </c>
      <c r="F2168" s="4" t="s">
        <v>2951</v>
      </c>
      <c r="G2168" s="6">
        <v>1.5</v>
      </c>
      <c r="H2168" s="7">
        <v>45195.550682870373</v>
      </c>
      <c r="I2168" s="7" t="str">
        <f>TEXT(multilingual_mobile_app_reviews_2025[[#This Row],[Review_date]],"dd-mm-yyyy")</f>
        <v>26-09-2023</v>
      </c>
      <c r="J2168" s="7" t="str">
        <f>TEXT(multilingual_mobile_app_reviews_2025[[#This Row],[Review_date]],"YYYY")</f>
        <v>2023</v>
      </c>
      <c r="K2168" s="7" t="str">
        <f>TEXT(multilingual_mobile_app_reviews_2025[[#This Row],[Review_date]],"MMMM")</f>
        <v>September</v>
      </c>
      <c r="L2168" s="4" t="b">
        <v>0</v>
      </c>
      <c r="M2168" s="4" t="s">
        <v>98</v>
      </c>
      <c r="N2168" s="5">
        <v>871</v>
      </c>
      <c r="O2168" s="5">
        <v>70</v>
      </c>
      <c r="P2168" s="4" t="s">
        <v>114</v>
      </c>
      <c r="Q2168" s="8" t="s">
        <v>5</v>
      </c>
      <c r="R2168" s="4" t="s">
        <v>2540</v>
      </c>
      <c r="S2168" s="4"/>
      <c r="T2168"/>
      <c r="U2168" s="23"/>
    </row>
    <row r="2169" spans="1:21" ht="15.6" x14ac:dyDescent="0.3">
      <c r="A2169" s="4">
        <v>2168</v>
      </c>
      <c r="B2169" s="5">
        <v>3515979</v>
      </c>
      <c r="C2169" s="4" t="s">
        <v>154</v>
      </c>
      <c r="D2169" s="4" t="s">
        <v>97</v>
      </c>
      <c r="E2169" s="4" t="s">
        <v>27</v>
      </c>
      <c r="F2169" s="4" t="s">
        <v>2944</v>
      </c>
      <c r="G2169" s="6">
        <v>4.7</v>
      </c>
      <c r="H2169" s="7">
        <v>45523.569895833331</v>
      </c>
      <c r="I2169" s="7" t="str">
        <f>TEXT(multilingual_mobile_app_reviews_2025[[#This Row],[Review_date]],"dd-mm-yyyy")</f>
        <v>19-08-2024</v>
      </c>
      <c r="J2169" s="7" t="str">
        <f>TEXT(multilingual_mobile_app_reviews_2025[[#This Row],[Review_date]],"YYYY")</f>
        <v>2024</v>
      </c>
      <c r="K2169" s="7" t="str">
        <f>TEXT(multilingual_mobile_app_reviews_2025[[#This Row],[Review_date]],"MMMM")</f>
        <v>August</v>
      </c>
      <c r="L2169" s="4" t="b">
        <v>1</v>
      </c>
      <c r="M2169" s="4" t="s">
        <v>3</v>
      </c>
      <c r="N2169" s="5">
        <v>800</v>
      </c>
      <c r="O2169" s="5">
        <v>33</v>
      </c>
      <c r="P2169" s="4" t="s">
        <v>180</v>
      </c>
      <c r="Q2169" s="8" t="s">
        <v>12</v>
      </c>
      <c r="R2169" s="4" t="s">
        <v>2541</v>
      </c>
      <c r="S2169" s="4"/>
      <c r="T2169"/>
      <c r="U2169" s="23"/>
    </row>
    <row r="2170" spans="1:21" ht="15.6" x14ac:dyDescent="0.3">
      <c r="A2170" s="4">
        <v>2169</v>
      </c>
      <c r="B2170" s="5">
        <v>9682228</v>
      </c>
      <c r="C2170" s="4" t="s">
        <v>154</v>
      </c>
      <c r="D2170" s="4" t="s">
        <v>1</v>
      </c>
      <c r="E2170" s="4" t="s">
        <v>9</v>
      </c>
      <c r="F2170" s="4" t="s">
        <v>2956</v>
      </c>
      <c r="G2170" s="6">
        <v>4.3</v>
      </c>
      <c r="H2170" s="7">
        <v>45636.308078703703</v>
      </c>
      <c r="I2170" s="7" t="str">
        <f>TEXT(multilingual_mobile_app_reviews_2025[[#This Row],[Review_date]],"dd-mm-yyyy")</f>
        <v>10-12-2024</v>
      </c>
      <c r="J2170" s="7" t="str">
        <f>TEXT(multilingual_mobile_app_reviews_2025[[#This Row],[Review_date]],"YYYY")</f>
        <v>2024</v>
      </c>
      <c r="K2170" s="7" t="str">
        <f>TEXT(multilingual_mobile_app_reviews_2025[[#This Row],[Review_date]],"MMMM")</f>
        <v>December</v>
      </c>
      <c r="L2170" s="4" t="b">
        <v>0</v>
      </c>
      <c r="M2170" s="4" t="s">
        <v>98</v>
      </c>
      <c r="N2170" s="5">
        <v>196</v>
      </c>
      <c r="O2170" s="5">
        <v>57</v>
      </c>
      <c r="P2170" s="4" t="s">
        <v>127</v>
      </c>
      <c r="Q2170" s="8" t="s">
        <v>29</v>
      </c>
      <c r="R2170" s="4" t="s">
        <v>2542</v>
      </c>
      <c r="S2170" s="4"/>
      <c r="T2170"/>
      <c r="U2170" s="23"/>
    </row>
    <row r="2171" spans="1:21" ht="15.6" x14ac:dyDescent="0.3">
      <c r="A2171" s="4">
        <v>2170</v>
      </c>
      <c r="B2171" s="5">
        <v>361602</v>
      </c>
      <c r="C2171" s="4" t="s">
        <v>165</v>
      </c>
      <c r="D2171" s="4" t="s">
        <v>8</v>
      </c>
      <c r="E2171" s="4" t="s">
        <v>109</v>
      </c>
      <c r="F2171" s="4" t="s">
        <v>2956</v>
      </c>
      <c r="G2171" s="6">
        <v>2.9</v>
      </c>
      <c r="H2171" s="7">
        <v>45174.012465277781</v>
      </c>
      <c r="I2171" s="7" t="str">
        <f>TEXT(multilingual_mobile_app_reviews_2025[[#This Row],[Review_date]],"dd-mm-yyyy")</f>
        <v>05-09-2023</v>
      </c>
      <c r="J2171" s="7" t="str">
        <f>TEXT(multilingual_mobile_app_reviews_2025[[#This Row],[Review_date]],"YYYY")</f>
        <v>2023</v>
      </c>
      <c r="K2171" s="7" t="str">
        <f>TEXT(multilingual_mobile_app_reviews_2025[[#This Row],[Review_date]],"MMMM")</f>
        <v>September</v>
      </c>
      <c r="L2171" s="4" t="b">
        <v>1</v>
      </c>
      <c r="M2171" s="4" t="s">
        <v>3</v>
      </c>
      <c r="N2171" s="5">
        <v>1180</v>
      </c>
      <c r="O2171" s="5">
        <v>66</v>
      </c>
      <c r="P2171" s="4" t="s">
        <v>94</v>
      </c>
      <c r="Q2171" s="8" t="s">
        <v>39</v>
      </c>
      <c r="R2171" s="4" t="s">
        <v>2543</v>
      </c>
      <c r="S2171" s="4"/>
      <c r="T2171"/>
      <c r="U2171" s="23"/>
    </row>
    <row r="2172" spans="1:21" ht="15.6" x14ac:dyDescent="0.3">
      <c r="A2172" s="4">
        <v>2171</v>
      </c>
      <c r="B2172" s="5">
        <v>3556607</v>
      </c>
      <c r="C2172" s="4" t="s">
        <v>244</v>
      </c>
      <c r="D2172" s="4" t="s">
        <v>111</v>
      </c>
      <c r="E2172" s="4" t="s">
        <v>130</v>
      </c>
      <c r="F2172" s="4" t="s">
        <v>2953</v>
      </c>
      <c r="G2172" s="6">
        <v>2</v>
      </c>
      <c r="H2172" s="7">
        <v>45838.178032407406</v>
      </c>
      <c r="I2172" s="7" t="str">
        <f>TEXT(multilingual_mobile_app_reviews_2025[[#This Row],[Review_date]],"dd-mm-yyyy")</f>
        <v>30-06-2025</v>
      </c>
      <c r="J2172" s="7" t="str">
        <f>TEXT(multilingual_mobile_app_reviews_2025[[#This Row],[Review_date]],"YYYY")</f>
        <v>2025</v>
      </c>
      <c r="K2172" s="7" t="str">
        <f>TEXT(multilingual_mobile_app_reviews_2025[[#This Row],[Review_date]],"MMMM")</f>
        <v>June</v>
      </c>
      <c r="L2172" s="4" t="b">
        <v>0</v>
      </c>
      <c r="M2172" s="4" t="s">
        <v>22</v>
      </c>
      <c r="N2172" s="5">
        <v>760</v>
      </c>
      <c r="O2172" s="5">
        <v>54</v>
      </c>
      <c r="P2172" s="4" t="s">
        <v>38</v>
      </c>
      <c r="Q2172" s="8" t="s">
        <v>2963</v>
      </c>
      <c r="R2172" s="4" t="s">
        <v>684</v>
      </c>
      <c r="S2172" s="4"/>
      <c r="T2172"/>
      <c r="U2172" s="23"/>
    </row>
    <row r="2173" spans="1:21" ht="15.6" x14ac:dyDescent="0.3">
      <c r="A2173" s="4">
        <v>2172</v>
      </c>
      <c r="B2173" s="5">
        <v>2051710</v>
      </c>
      <c r="C2173" s="4" t="s">
        <v>192</v>
      </c>
      <c r="D2173" s="4" t="s">
        <v>79</v>
      </c>
      <c r="E2173" s="4" t="s">
        <v>2544</v>
      </c>
      <c r="F2173" s="4" t="s">
        <v>2944</v>
      </c>
      <c r="G2173" s="6">
        <v>4.9000000000000004</v>
      </c>
      <c r="H2173" s="7">
        <v>45441.734803240739</v>
      </c>
      <c r="I2173" s="7" t="str">
        <f>TEXT(multilingual_mobile_app_reviews_2025[[#This Row],[Review_date]],"dd-mm-yyyy")</f>
        <v>29-05-2024</v>
      </c>
      <c r="J2173" s="7" t="str">
        <f>TEXT(multilingual_mobile_app_reviews_2025[[#This Row],[Review_date]],"YYYY")</f>
        <v>2024</v>
      </c>
      <c r="K2173" s="7" t="str">
        <f>TEXT(multilingual_mobile_app_reviews_2025[[#This Row],[Review_date]],"MMMM")</f>
        <v>May</v>
      </c>
      <c r="L2173" s="4" t="b">
        <v>1</v>
      </c>
      <c r="M2173" s="4" t="s">
        <v>33</v>
      </c>
      <c r="N2173" s="5">
        <v>438</v>
      </c>
      <c r="O2173" s="5">
        <v>43</v>
      </c>
      <c r="P2173" s="4" t="s">
        <v>118</v>
      </c>
      <c r="Q2173" s="8" t="s">
        <v>12</v>
      </c>
      <c r="R2173" s="4" t="s">
        <v>2545</v>
      </c>
      <c r="S2173" s="4"/>
      <c r="T2173"/>
      <c r="U2173" s="23"/>
    </row>
    <row r="2174" spans="1:21" ht="15.6" x14ac:dyDescent="0.3">
      <c r="A2174" s="4">
        <v>2173</v>
      </c>
      <c r="B2174" s="5">
        <v>6337496</v>
      </c>
      <c r="C2174" s="4" t="s">
        <v>104</v>
      </c>
      <c r="D2174" s="4" t="s">
        <v>111</v>
      </c>
      <c r="E2174" s="4" t="s">
        <v>9</v>
      </c>
      <c r="F2174" s="4" t="s">
        <v>2961</v>
      </c>
      <c r="G2174" s="6">
        <v>4.2</v>
      </c>
      <c r="H2174" s="7">
        <v>45851.586597222224</v>
      </c>
      <c r="I2174" s="7" t="str">
        <f>TEXT(multilingual_mobile_app_reviews_2025[[#This Row],[Review_date]],"dd-mm-yyyy")</f>
        <v>13-07-2025</v>
      </c>
      <c r="J2174" s="7" t="str">
        <f>TEXT(multilingual_mobile_app_reviews_2025[[#This Row],[Review_date]],"YYYY")</f>
        <v>2025</v>
      </c>
      <c r="K2174" s="7" t="str">
        <f>TEXT(multilingual_mobile_app_reviews_2025[[#This Row],[Review_date]],"MMMM")</f>
        <v>July</v>
      </c>
      <c r="L2174" s="4" t="b">
        <v>1</v>
      </c>
      <c r="M2174" s="4" t="s">
        <v>10</v>
      </c>
      <c r="N2174" s="5">
        <v>66</v>
      </c>
      <c r="O2174" s="5">
        <v>51</v>
      </c>
      <c r="P2174" s="4" t="s">
        <v>162</v>
      </c>
      <c r="Q2174" s="8" t="s">
        <v>29</v>
      </c>
      <c r="R2174" s="4" t="s">
        <v>1633</v>
      </c>
      <c r="S2174" s="4"/>
      <c r="T2174"/>
      <c r="U2174" s="23"/>
    </row>
    <row r="2175" spans="1:21" ht="15.6" x14ac:dyDescent="0.3">
      <c r="A2175" s="4">
        <v>2174</v>
      </c>
      <c r="B2175" s="5">
        <v>850894</v>
      </c>
      <c r="C2175" s="4" t="s">
        <v>101</v>
      </c>
      <c r="D2175" s="4" t="s">
        <v>15</v>
      </c>
      <c r="E2175" s="4" t="s">
        <v>76</v>
      </c>
      <c r="F2175" s="4" t="s">
        <v>2962</v>
      </c>
      <c r="G2175" s="6">
        <v>1.3</v>
      </c>
      <c r="H2175" s="7">
        <v>45259.991898148146</v>
      </c>
      <c r="I2175" s="7" t="str">
        <f>TEXT(multilingual_mobile_app_reviews_2025[[#This Row],[Review_date]],"dd-mm-yyyy")</f>
        <v>29-11-2023</v>
      </c>
      <c r="J2175" s="7" t="str">
        <f>TEXT(multilingual_mobile_app_reviews_2025[[#This Row],[Review_date]],"YYYY")</f>
        <v>2023</v>
      </c>
      <c r="K2175" s="7" t="str">
        <f>TEXT(multilingual_mobile_app_reviews_2025[[#This Row],[Review_date]],"MMMM")</f>
        <v>November</v>
      </c>
      <c r="L2175" s="4" t="b">
        <v>1</v>
      </c>
      <c r="M2175" s="4" t="s">
        <v>98</v>
      </c>
      <c r="N2175" s="5">
        <v>185</v>
      </c>
      <c r="O2175" s="5">
        <v>51</v>
      </c>
      <c r="P2175" s="4" t="s">
        <v>162</v>
      </c>
      <c r="Q2175" s="8" t="s">
        <v>39</v>
      </c>
      <c r="R2175" s="4" t="s">
        <v>2546</v>
      </c>
      <c r="S2175" s="4"/>
      <c r="T2175"/>
      <c r="U2175" s="23"/>
    </row>
    <row r="2176" spans="1:21" ht="15.6" x14ac:dyDescent="0.3">
      <c r="A2176" s="4">
        <v>2175</v>
      </c>
      <c r="B2176" s="5">
        <v>4230100</v>
      </c>
      <c r="C2176" s="4" t="s">
        <v>101</v>
      </c>
      <c r="D2176" s="4" t="s">
        <v>47</v>
      </c>
      <c r="E2176" s="4" t="s">
        <v>2547</v>
      </c>
      <c r="F2176" s="4" t="s">
        <v>2956</v>
      </c>
      <c r="G2176" s="6">
        <v>1.2</v>
      </c>
      <c r="H2176" s="7">
        <v>45679.478819444441</v>
      </c>
      <c r="I2176" s="7" t="str">
        <f>TEXT(multilingual_mobile_app_reviews_2025[[#This Row],[Review_date]],"dd-mm-yyyy")</f>
        <v>22-01-2025</v>
      </c>
      <c r="J2176" s="7" t="str">
        <f>TEXT(multilingual_mobile_app_reviews_2025[[#This Row],[Review_date]],"YYYY")</f>
        <v>2025</v>
      </c>
      <c r="K2176" s="7" t="str">
        <f>TEXT(multilingual_mobile_app_reviews_2025[[#This Row],[Review_date]],"MMMM")</f>
        <v>January</v>
      </c>
      <c r="L2176" s="4" t="b">
        <v>0</v>
      </c>
      <c r="M2176" s="4" t="s">
        <v>33</v>
      </c>
      <c r="N2176" s="5">
        <v>412</v>
      </c>
      <c r="O2176" s="5">
        <v>18</v>
      </c>
      <c r="P2176" s="4" t="s">
        <v>80</v>
      </c>
      <c r="Q2176" s="8" t="s">
        <v>5</v>
      </c>
      <c r="R2176" s="4" t="s">
        <v>2548</v>
      </c>
      <c r="S2176" s="4"/>
      <c r="T2176"/>
      <c r="U2176" s="23"/>
    </row>
    <row r="2177" spans="1:21" ht="15.6" x14ac:dyDescent="0.3">
      <c r="A2177" s="4">
        <v>2176</v>
      </c>
      <c r="B2177" s="5">
        <v>7635120</v>
      </c>
      <c r="C2177" s="4" t="s">
        <v>46</v>
      </c>
      <c r="D2177" s="4" t="s">
        <v>31</v>
      </c>
      <c r="E2177" s="4" t="s">
        <v>32</v>
      </c>
      <c r="F2177" s="4" t="s">
        <v>2947</v>
      </c>
      <c r="G2177" s="6">
        <v>3</v>
      </c>
      <c r="H2177" s="7">
        <v>45238.988726851851</v>
      </c>
      <c r="I2177" s="7" t="str">
        <f>TEXT(multilingual_mobile_app_reviews_2025[[#This Row],[Review_date]],"dd-mm-yyyy")</f>
        <v>08-11-2023</v>
      </c>
      <c r="J2177" s="7" t="str">
        <f>TEXT(multilingual_mobile_app_reviews_2025[[#This Row],[Review_date]],"YYYY")</f>
        <v>2023</v>
      </c>
      <c r="K2177" s="7" t="str">
        <f>TEXT(multilingual_mobile_app_reviews_2025[[#This Row],[Review_date]],"MMMM")</f>
        <v>November</v>
      </c>
      <c r="L2177" s="4" t="b">
        <v>0</v>
      </c>
      <c r="M2177" s="4" t="s">
        <v>10</v>
      </c>
      <c r="N2177" s="5">
        <v>4</v>
      </c>
      <c r="O2177" s="5">
        <v>65</v>
      </c>
      <c r="P2177" s="4" t="s">
        <v>61</v>
      </c>
      <c r="Q2177" s="8" t="s">
        <v>5</v>
      </c>
      <c r="R2177" s="4" t="s">
        <v>1966</v>
      </c>
      <c r="S2177" s="4"/>
      <c r="T2177"/>
      <c r="U2177" s="23"/>
    </row>
    <row r="2178" spans="1:21" ht="15.6" x14ac:dyDescent="0.3">
      <c r="A2178" s="4">
        <v>2177</v>
      </c>
      <c r="B2178" s="5">
        <v>3840892</v>
      </c>
      <c r="C2178" s="4" t="s">
        <v>69</v>
      </c>
      <c r="D2178" s="4" t="s">
        <v>1</v>
      </c>
      <c r="E2178" s="4" t="s">
        <v>130</v>
      </c>
      <c r="F2178" s="4" t="s">
        <v>2959</v>
      </c>
      <c r="G2178" s="6">
        <v>1.6</v>
      </c>
      <c r="H2178" s="7">
        <v>45193.656157407408</v>
      </c>
      <c r="I2178" s="7" t="str">
        <f>TEXT(multilingual_mobile_app_reviews_2025[[#This Row],[Review_date]],"dd-mm-yyyy")</f>
        <v>24-09-2023</v>
      </c>
      <c r="J2178" s="7" t="str">
        <f>TEXT(multilingual_mobile_app_reviews_2025[[#This Row],[Review_date]],"YYYY")</f>
        <v>2023</v>
      </c>
      <c r="K2178" s="7" t="str">
        <f>TEXT(multilingual_mobile_app_reviews_2025[[#This Row],[Review_date]],"MMMM")</f>
        <v>September</v>
      </c>
      <c r="L2178" s="4" t="b">
        <v>0</v>
      </c>
      <c r="M2178" s="4" t="s">
        <v>10</v>
      </c>
      <c r="N2178" s="5">
        <v>1007</v>
      </c>
      <c r="O2178" s="5">
        <v>27</v>
      </c>
      <c r="P2178" s="4" t="s">
        <v>61</v>
      </c>
      <c r="Q2178" s="8" t="s">
        <v>29</v>
      </c>
      <c r="R2178" s="4" t="s">
        <v>768</v>
      </c>
      <c r="S2178" s="4"/>
      <c r="T2178"/>
      <c r="U2178" s="23"/>
    </row>
    <row r="2179" spans="1:21" ht="15.6" x14ac:dyDescent="0.3">
      <c r="A2179" s="4">
        <v>2178</v>
      </c>
      <c r="B2179" s="5">
        <v>2018984</v>
      </c>
      <c r="C2179" s="4" t="s">
        <v>199</v>
      </c>
      <c r="D2179" s="4" t="s">
        <v>42</v>
      </c>
      <c r="E2179" s="4" t="s">
        <v>130</v>
      </c>
      <c r="F2179" s="4" t="s">
        <v>2944</v>
      </c>
      <c r="G2179" s="6">
        <v>1.4</v>
      </c>
      <c r="H2179" s="7">
        <v>45228.417650462965</v>
      </c>
      <c r="I2179" s="7" t="str">
        <f>TEXT(multilingual_mobile_app_reviews_2025[[#This Row],[Review_date]],"dd-mm-yyyy")</f>
        <v>29-10-2023</v>
      </c>
      <c r="J2179" s="7" t="str">
        <f>TEXT(multilingual_mobile_app_reviews_2025[[#This Row],[Review_date]],"YYYY")</f>
        <v>2023</v>
      </c>
      <c r="K2179" s="7" t="str">
        <f>TEXT(multilingual_mobile_app_reviews_2025[[#This Row],[Review_date]],"MMMM")</f>
        <v>October</v>
      </c>
      <c r="L2179" s="4" t="b">
        <v>1</v>
      </c>
      <c r="M2179" s="4" t="s">
        <v>33</v>
      </c>
      <c r="N2179" s="5">
        <v>932</v>
      </c>
      <c r="O2179" s="5">
        <v>17</v>
      </c>
      <c r="P2179" s="4" t="s">
        <v>144</v>
      </c>
      <c r="Q2179" s="8" t="s">
        <v>2963</v>
      </c>
      <c r="R2179" s="4" t="s">
        <v>2549</v>
      </c>
      <c r="S2179" s="4"/>
      <c r="T2179"/>
      <c r="U2179" s="23"/>
    </row>
    <row r="2180" spans="1:21" ht="15.6" x14ac:dyDescent="0.3">
      <c r="A2180" s="4">
        <v>2179</v>
      </c>
      <c r="B2180" s="5">
        <v>8296287</v>
      </c>
      <c r="C2180" s="4" t="s">
        <v>174</v>
      </c>
      <c r="D2180" s="4" t="s">
        <v>26</v>
      </c>
      <c r="E2180" s="4" t="s">
        <v>64</v>
      </c>
      <c r="F2180" s="4" t="s">
        <v>2947</v>
      </c>
      <c r="G2180" s="6">
        <v>3</v>
      </c>
      <c r="H2180" s="7">
        <v>45190.530590277776</v>
      </c>
      <c r="I2180" s="7" t="str">
        <f>TEXT(multilingual_mobile_app_reviews_2025[[#This Row],[Review_date]],"dd-mm-yyyy")</f>
        <v>21-09-2023</v>
      </c>
      <c r="J2180" s="7" t="str">
        <f>TEXT(multilingual_mobile_app_reviews_2025[[#This Row],[Review_date]],"YYYY")</f>
        <v>2023</v>
      </c>
      <c r="K2180" s="7" t="str">
        <f>TEXT(multilingual_mobile_app_reviews_2025[[#This Row],[Review_date]],"MMMM")</f>
        <v>September</v>
      </c>
      <c r="L2180" s="4" t="b">
        <v>1</v>
      </c>
      <c r="M2180" s="4" t="s">
        <v>33</v>
      </c>
      <c r="N2180" s="5">
        <v>458</v>
      </c>
      <c r="O2180" s="5">
        <v>38</v>
      </c>
      <c r="P2180" s="4" t="s">
        <v>114</v>
      </c>
      <c r="Q2180" s="8" t="s">
        <v>5</v>
      </c>
      <c r="R2180" s="4" t="s">
        <v>2550</v>
      </c>
      <c r="S2180" s="4"/>
      <c r="T2180"/>
      <c r="U2180" s="23"/>
    </row>
    <row r="2181" spans="1:21" ht="15.6" x14ac:dyDescent="0.3">
      <c r="A2181" s="4">
        <v>2180</v>
      </c>
      <c r="B2181" s="5">
        <v>9108353</v>
      </c>
      <c r="C2181" s="4" t="s">
        <v>0</v>
      </c>
      <c r="D2181" s="4" t="s">
        <v>1</v>
      </c>
      <c r="E2181" s="4" t="s">
        <v>9</v>
      </c>
      <c r="F2181" s="4" t="s">
        <v>2942</v>
      </c>
      <c r="G2181" s="6">
        <v>1.4</v>
      </c>
      <c r="H2181" s="7">
        <v>45393.160717592589</v>
      </c>
      <c r="I2181" s="7" t="str">
        <f>TEXT(multilingual_mobile_app_reviews_2025[[#This Row],[Review_date]],"dd-mm-yyyy")</f>
        <v>11-04-2024</v>
      </c>
      <c r="J2181" s="7" t="str">
        <f>TEXT(multilingual_mobile_app_reviews_2025[[#This Row],[Review_date]],"YYYY")</f>
        <v>2024</v>
      </c>
      <c r="K2181" s="7" t="str">
        <f>TEXT(multilingual_mobile_app_reviews_2025[[#This Row],[Review_date]],"MMMM")</f>
        <v>April</v>
      </c>
      <c r="L2181" s="4" t="b">
        <v>1</v>
      </c>
      <c r="M2181" s="4" t="s">
        <v>98</v>
      </c>
      <c r="N2181" s="5">
        <v>490</v>
      </c>
      <c r="O2181" s="5">
        <v>54</v>
      </c>
      <c r="P2181" s="4" t="s">
        <v>127</v>
      </c>
      <c r="Q2181" s="8" t="s">
        <v>12</v>
      </c>
      <c r="R2181" s="4" t="s">
        <v>1053</v>
      </c>
      <c r="S2181" s="4"/>
      <c r="T2181"/>
      <c r="U2181" s="23"/>
    </row>
    <row r="2182" spans="1:21" ht="15.6" x14ac:dyDescent="0.3">
      <c r="A2182" s="4">
        <v>2181</v>
      </c>
      <c r="B2182" s="5">
        <v>4403341</v>
      </c>
      <c r="C2182" s="4" t="s">
        <v>92</v>
      </c>
      <c r="D2182" s="4" t="s">
        <v>111</v>
      </c>
      <c r="E2182" s="4" t="s">
        <v>2551</v>
      </c>
      <c r="F2182" s="4" t="s">
        <v>2959</v>
      </c>
      <c r="G2182" s="6">
        <v>1.6</v>
      </c>
      <c r="H2182" s="7">
        <v>45826.743842592594</v>
      </c>
      <c r="I2182" s="7" t="str">
        <f>TEXT(multilingual_mobile_app_reviews_2025[[#This Row],[Review_date]],"dd-mm-yyyy")</f>
        <v>18-06-2025</v>
      </c>
      <c r="J2182" s="7" t="str">
        <f>TEXT(multilingual_mobile_app_reviews_2025[[#This Row],[Review_date]],"YYYY")</f>
        <v>2025</v>
      </c>
      <c r="K2182" s="7" t="str">
        <f>TEXT(multilingual_mobile_app_reviews_2025[[#This Row],[Review_date]],"MMMM")</f>
        <v>June</v>
      </c>
      <c r="L2182" s="4" t="b">
        <v>1</v>
      </c>
      <c r="M2182" s="4" t="s">
        <v>22</v>
      </c>
      <c r="N2182" s="5">
        <v>371</v>
      </c>
      <c r="O2182" s="5">
        <v>27</v>
      </c>
      <c r="P2182" s="4" t="s">
        <v>65</v>
      </c>
      <c r="Q2182" s="8" t="s">
        <v>12</v>
      </c>
      <c r="R2182" s="4" t="s">
        <v>2552</v>
      </c>
      <c r="S2182" s="4"/>
      <c r="T2182"/>
      <c r="U2182" s="23"/>
    </row>
    <row r="2183" spans="1:21" ht="15.6" x14ac:dyDescent="0.3">
      <c r="A2183" s="4">
        <v>2182</v>
      </c>
      <c r="B2183" s="5">
        <v>1551280</v>
      </c>
      <c r="C2183" s="4" t="s">
        <v>54</v>
      </c>
      <c r="D2183" s="4" t="s">
        <v>63</v>
      </c>
      <c r="E2183" s="4" t="s">
        <v>2553</v>
      </c>
      <c r="F2183" s="4" t="s">
        <v>2947</v>
      </c>
      <c r="G2183" s="6">
        <v>1</v>
      </c>
      <c r="H2183" s="7">
        <v>45440.296377314815</v>
      </c>
      <c r="I2183" s="7" t="str">
        <f>TEXT(multilingual_mobile_app_reviews_2025[[#This Row],[Review_date]],"dd-mm-yyyy")</f>
        <v>28-05-2024</v>
      </c>
      <c r="J2183" s="7" t="str">
        <f>TEXT(multilingual_mobile_app_reviews_2025[[#This Row],[Review_date]],"YYYY")</f>
        <v>2024</v>
      </c>
      <c r="K2183" s="7" t="str">
        <f>TEXT(multilingual_mobile_app_reviews_2025[[#This Row],[Review_date]],"MMMM")</f>
        <v>May</v>
      </c>
      <c r="L2183" s="4" t="b">
        <v>1</v>
      </c>
      <c r="M2183" s="4" t="s">
        <v>33</v>
      </c>
      <c r="N2183" s="5">
        <v>723</v>
      </c>
      <c r="O2183" s="5">
        <v>48</v>
      </c>
      <c r="P2183" s="4" t="s">
        <v>70</v>
      </c>
      <c r="Q2183" s="8" t="s">
        <v>2963</v>
      </c>
      <c r="R2183" s="4" t="s">
        <v>2554</v>
      </c>
      <c r="S2183" s="4"/>
      <c r="T2183"/>
      <c r="U2183" s="23"/>
    </row>
    <row r="2184" spans="1:21" ht="15.6" x14ac:dyDescent="0.3">
      <c r="A2184" s="4">
        <v>2183</v>
      </c>
      <c r="B2184" s="5">
        <v>1502709</v>
      </c>
      <c r="C2184" s="4" t="s">
        <v>46</v>
      </c>
      <c r="D2184" s="4" t="s">
        <v>47</v>
      </c>
      <c r="E2184" s="4" t="s">
        <v>93</v>
      </c>
      <c r="F2184" s="4" t="s">
        <v>2959</v>
      </c>
      <c r="G2184" s="6">
        <v>2.8</v>
      </c>
      <c r="H2184" s="7">
        <v>45731.161689814813</v>
      </c>
      <c r="I2184" s="7" t="str">
        <f>TEXT(multilingual_mobile_app_reviews_2025[[#This Row],[Review_date]],"dd-mm-yyyy")</f>
        <v>15-03-2025</v>
      </c>
      <c r="J2184" s="7" t="str">
        <f>TEXT(multilingual_mobile_app_reviews_2025[[#This Row],[Review_date]],"YYYY")</f>
        <v>2025</v>
      </c>
      <c r="K2184" s="7" t="str">
        <f>TEXT(multilingual_mobile_app_reviews_2025[[#This Row],[Review_date]],"MMMM")</f>
        <v>March</v>
      </c>
      <c r="L2184" s="4" t="b">
        <v>0</v>
      </c>
      <c r="M2184" s="4" t="s">
        <v>10</v>
      </c>
      <c r="N2184" s="5">
        <v>218</v>
      </c>
      <c r="O2184" s="5">
        <v>52</v>
      </c>
      <c r="P2184" s="4" t="s">
        <v>17</v>
      </c>
      <c r="Q2184" s="8" t="s">
        <v>12</v>
      </c>
      <c r="R2184" s="4" t="s">
        <v>2555</v>
      </c>
      <c r="S2184" s="4"/>
      <c r="T2184"/>
      <c r="U2184" s="23"/>
    </row>
    <row r="2185" spans="1:21" ht="15.6" x14ac:dyDescent="0.3">
      <c r="A2185" s="4">
        <v>2184</v>
      </c>
      <c r="B2185" s="5">
        <v>1230790</v>
      </c>
      <c r="C2185" s="4" t="s">
        <v>67</v>
      </c>
      <c r="D2185" s="4" t="s">
        <v>51</v>
      </c>
      <c r="E2185" s="4" t="s">
        <v>2556</v>
      </c>
      <c r="F2185" s="4" t="s">
        <v>2949</v>
      </c>
      <c r="G2185" s="6">
        <v>1.5</v>
      </c>
      <c r="H2185" s="7">
        <v>45653.749872685185</v>
      </c>
      <c r="I2185" s="7" t="str">
        <f>TEXT(multilingual_mobile_app_reviews_2025[[#This Row],[Review_date]],"dd-mm-yyyy")</f>
        <v>27-12-2024</v>
      </c>
      <c r="J2185" s="7" t="str">
        <f>TEXT(multilingual_mobile_app_reviews_2025[[#This Row],[Review_date]],"YYYY")</f>
        <v>2024</v>
      </c>
      <c r="K2185" s="7" t="str">
        <f>TEXT(multilingual_mobile_app_reviews_2025[[#This Row],[Review_date]],"MMMM")</f>
        <v>December</v>
      </c>
      <c r="L2185" s="4" t="b">
        <v>1</v>
      </c>
      <c r="M2185" s="4" t="s">
        <v>22</v>
      </c>
      <c r="N2185" s="5">
        <v>427</v>
      </c>
      <c r="O2185" s="5">
        <v>41</v>
      </c>
      <c r="P2185" s="4" t="s">
        <v>23</v>
      </c>
      <c r="Q2185" s="8" t="s">
        <v>39</v>
      </c>
      <c r="R2185" s="4" t="s">
        <v>2557</v>
      </c>
      <c r="S2185" s="4"/>
      <c r="T2185"/>
      <c r="U2185" s="23"/>
    </row>
    <row r="2186" spans="1:21" ht="15.6" x14ac:dyDescent="0.3">
      <c r="A2186" s="4">
        <v>2185</v>
      </c>
      <c r="B2186" s="5">
        <v>3270380</v>
      </c>
      <c r="C2186" s="4" t="s">
        <v>104</v>
      </c>
      <c r="D2186" s="4" t="s">
        <v>60</v>
      </c>
      <c r="E2186" s="4" t="s">
        <v>2558</v>
      </c>
      <c r="F2186" s="4" t="s">
        <v>2948</v>
      </c>
      <c r="G2186" s="6">
        <v>3.1</v>
      </c>
      <c r="H2186" s="7">
        <v>45399.770682870374</v>
      </c>
      <c r="I2186" s="7" t="str">
        <f>TEXT(multilingual_mobile_app_reviews_2025[[#This Row],[Review_date]],"dd-mm-yyyy")</f>
        <v>17-04-2024</v>
      </c>
      <c r="J2186" s="7" t="str">
        <f>TEXT(multilingual_mobile_app_reviews_2025[[#This Row],[Review_date]],"YYYY")</f>
        <v>2024</v>
      </c>
      <c r="K2186" s="7" t="str">
        <f>TEXT(multilingual_mobile_app_reviews_2025[[#This Row],[Review_date]],"MMMM")</f>
        <v>April</v>
      </c>
      <c r="L2186" s="4" t="b">
        <v>0</v>
      </c>
      <c r="M2186" s="4" t="s">
        <v>22</v>
      </c>
      <c r="N2186" s="5">
        <v>540</v>
      </c>
      <c r="O2186" s="5">
        <v>48</v>
      </c>
      <c r="P2186" s="4" t="s">
        <v>44</v>
      </c>
      <c r="Q2186" s="8" t="s">
        <v>12</v>
      </c>
      <c r="R2186" s="4" t="s">
        <v>542</v>
      </c>
      <c r="S2186" s="4"/>
      <c r="T2186"/>
      <c r="U2186" s="23"/>
    </row>
    <row r="2187" spans="1:21" ht="15.6" x14ac:dyDescent="0.3">
      <c r="A2187" s="4">
        <v>2186</v>
      </c>
      <c r="B2187" s="5">
        <v>7463043</v>
      </c>
      <c r="C2187" s="4" t="s">
        <v>154</v>
      </c>
      <c r="D2187" s="4" t="s">
        <v>97</v>
      </c>
      <c r="E2187" s="4" t="s">
        <v>93</v>
      </c>
      <c r="F2187" s="4" t="s">
        <v>2949</v>
      </c>
      <c r="G2187" s="6">
        <v>4.0999999999999996</v>
      </c>
      <c r="H2187" s="7">
        <v>45158.536874999998</v>
      </c>
      <c r="I2187" s="7" t="str">
        <f>TEXT(multilingual_mobile_app_reviews_2025[[#This Row],[Review_date]],"dd-mm-yyyy")</f>
        <v>20-08-2023</v>
      </c>
      <c r="J2187" s="7" t="str">
        <f>TEXT(multilingual_mobile_app_reviews_2025[[#This Row],[Review_date]],"YYYY")</f>
        <v>2023</v>
      </c>
      <c r="K2187" s="7" t="str">
        <f>TEXT(multilingual_mobile_app_reviews_2025[[#This Row],[Review_date]],"MMMM")</f>
        <v>August</v>
      </c>
      <c r="L2187" s="4" t="b">
        <v>1</v>
      </c>
      <c r="M2187" s="4" t="s">
        <v>10</v>
      </c>
      <c r="N2187" s="5">
        <v>1055</v>
      </c>
      <c r="O2187" s="5">
        <v>44</v>
      </c>
      <c r="P2187" s="4" t="s">
        <v>44</v>
      </c>
      <c r="Q2187" s="8" t="s">
        <v>39</v>
      </c>
      <c r="R2187" s="4" t="s">
        <v>2559</v>
      </c>
      <c r="S2187" s="4"/>
      <c r="T2187"/>
      <c r="U2187" s="23"/>
    </row>
    <row r="2188" spans="1:21" ht="15.6" x14ac:dyDescent="0.3">
      <c r="A2188" s="4">
        <v>2187</v>
      </c>
      <c r="B2188" s="5">
        <v>1264051</v>
      </c>
      <c r="C2188" s="4" t="s">
        <v>67</v>
      </c>
      <c r="D2188" s="4" t="s">
        <v>220</v>
      </c>
      <c r="E2188" s="4" t="s">
        <v>130</v>
      </c>
      <c r="F2188" s="4" t="s">
        <v>2940</v>
      </c>
      <c r="G2188" s="6">
        <v>3.6</v>
      </c>
      <c r="H2188" s="7">
        <v>45793.983738425923</v>
      </c>
      <c r="I2188" s="7" t="str">
        <f>TEXT(multilingual_mobile_app_reviews_2025[[#This Row],[Review_date]],"dd-mm-yyyy")</f>
        <v>16-05-2025</v>
      </c>
      <c r="J2188" s="7" t="str">
        <f>TEXT(multilingual_mobile_app_reviews_2025[[#This Row],[Review_date]],"YYYY")</f>
        <v>2025</v>
      </c>
      <c r="K2188" s="7" t="str">
        <f>TEXT(multilingual_mobile_app_reviews_2025[[#This Row],[Review_date]],"MMMM")</f>
        <v>May</v>
      </c>
      <c r="L2188" s="4" t="b">
        <v>1</v>
      </c>
      <c r="M2188" s="4" t="s">
        <v>3</v>
      </c>
      <c r="N2188" s="5">
        <v>436</v>
      </c>
      <c r="O2188" s="5">
        <v>61</v>
      </c>
      <c r="P2188" s="4" t="s">
        <v>17</v>
      </c>
      <c r="Q2188" s="8" t="s">
        <v>12</v>
      </c>
      <c r="R2188" s="4" t="s">
        <v>2560</v>
      </c>
      <c r="S2188" s="4"/>
      <c r="T2188"/>
      <c r="U2188" s="23"/>
    </row>
    <row r="2189" spans="1:21" ht="15.6" x14ac:dyDescent="0.3">
      <c r="A2189" s="4">
        <v>2188</v>
      </c>
      <c r="B2189" s="5">
        <v>8967708</v>
      </c>
      <c r="C2189" s="4" t="s">
        <v>134</v>
      </c>
      <c r="D2189" s="4" t="s">
        <v>26</v>
      </c>
      <c r="E2189" s="4" t="s">
        <v>16</v>
      </c>
      <c r="F2189" s="4" t="s">
        <v>2959</v>
      </c>
      <c r="G2189" s="6">
        <v>2</v>
      </c>
      <c r="H2189" s="7">
        <v>45362.424212962964</v>
      </c>
      <c r="I2189" s="7" t="str">
        <f>TEXT(multilingual_mobile_app_reviews_2025[[#This Row],[Review_date]],"dd-mm-yyyy")</f>
        <v>11-03-2024</v>
      </c>
      <c r="J2189" s="7" t="str">
        <f>TEXT(multilingual_mobile_app_reviews_2025[[#This Row],[Review_date]],"YYYY")</f>
        <v>2024</v>
      </c>
      <c r="K2189" s="7" t="str">
        <f>TEXT(multilingual_mobile_app_reviews_2025[[#This Row],[Review_date]],"MMMM")</f>
        <v>March</v>
      </c>
      <c r="L2189" s="4" t="b">
        <v>1</v>
      </c>
      <c r="M2189" s="4" t="s">
        <v>98</v>
      </c>
      <c r="N2189" s="5">
        <v>471</v>
      </c>
      <c r="O2189" s="5">
        <v>44</v>
      </c>
      <c r="P2189" s="4" t="s">
        <v>99</v>
      </c>
      <c r="Q2189" s="8" t="s">
        <v>2963</v>
      </c>
      <c r="R2189" s="4" t="s">
        <v>1850</v>
      </c>
      <c r="S2189" s="4"/>
      <c r="T2189"/>
      <c r="U2189" s="23"/>
    </row>
    <row r="2190" spans="1:21" ht="15.6" x14ac:dyDescent="0.3">
      <c r="A2190" s="4">
        <v>2189</v>
      </c>
      <c r="B2190" s="5">
        <v>2802775</v>
      </c>
      <c r="C2190" s="4" t="s">
        <v>113</v>
      </c>
      <c r="D2190" s="4" t="s">
        <v>42</v>
      </c>
      <c r="E2190" s="4" t="s">
        <v>2561</v>
      </c>
      <c r="F2190" s="4" t="s">
        <v>2943</v>
      </c>
      <c r="G2190" s="6">
        <v>3.1</v>
      </c>
      <c r="H2190" s="7">
        <v>45320.368888888886</v>
      </c>
      <c r="I2190" s="7" t="str">
        <f>TEXT(multilingual_mobile_app_reviews_2025[[#This Row],[Review_date]],"dd-mm-yyyy")</f>
        <v>29-01-2024</v>
      </c>
      <c r="J2190" s="7" t="str">
        <f>TEXT(multilingual_mobile_app_reviews_2025[[#This Row],[Review_date]],"YYYY")</f>
        <v>2024</v>
      </c>
      <c r="K2190" s="7" t="str">
        <f>TEXT(multilingual_mobile_app_reviews_2025[[#This Row],[Review_date]],"MMMM")</f>
        <v>January</v>
      </c>
      <c r="L2190" s="4" t="b">
        <v>1</v>
      </c>
      <c r="M2190" s="4" t="s">
        <v>98</v>
      </c>
      <c r="N2190" s="5">
        <v>976</v>
      </c>
      <c r="O2190" s="5">
        <v>22</v>
      </c>
      <c r="P2190" s="4" t="s">
        <v>80</v>
      </c>
      <c r="Q2190" s="8" t="s">
        <v>29</v>
      </c>
      <c r="R2190" s="4" t="s">
        <v>1053</v>
      </c>
      <c r="S2190" s="4"/>
      <c r="T2190"/>
      <c r="U2190" s="23"/>
    </row>
    <row r="2191" spans="1:21" ht="15.6" x14ac:dyDescent="0.3">
      <c r="A2191" s="4">
        <v>2190</v>
      </c>
      <c r="B2191" s="5">
        <v>6495699</v>
      </c>
      <c r="C2191" s="4" t="s">
        <v>46</v>
      </c>
      <c r="D2191" s="4" t="s">
        <v>111</v>
      </c>
      <c r="E2191" s="4" t="s">
        <v>2562</v>
      </c>
      <c r="F2191" s="4" t="s">
        <v>2945</v>
      </c>
      <c r="G2191" s="6">
        <v>4.8</v>
      </c>
      <c r="H2191" s="7">
        <v>45231.807025462964</v>
      </c>
      <c r="I2191" s="7" t="str">
        <f>TEXT(multilingual_mobile_app_reviews_2025[[#This Row],[Review_date]],"dd-mm-yyyy")</f>
        <v>01-11-2023</v>
      </c>
      <c r="J2191" s="7" t="str">
        <f>TEXT(multilingual_mobile_app_reviews_2025[[#This Row],[Review_date]],"YYYY")</f>
        <v>2023</v>
      </c>
      <c r="K2191" s="7" t="str">
        <f>TEXT(multilingual_mobile_app_reviews_2025[[#This Row],[Review_date]],"MMMM")</f>
        <v>November</v>
      </c>
      <c r="L2191" s="4" t="b">
        <v>1</v>
      </c>
      <c r="M2191" s="4" t="s">
        <v>22</v>
      </c>
      <c r="N2191" s="5">
        <v>1178</v>
      </c>
      <c r="O2191" s="5">
        <v>55</v>
      </c>
      <c r="P2191" s="4" t="s">
        <v>144</v>
      </c>
      <c r="Q2191" s="8" t="s">
        <v>12</v>
      </c>
      <c r="R2191" s="4" t="s">
        <v>2563</v>
      </c>
      <c r="S2191" s="4"/>
      <c r="T2191"/>
      <c r="U2191" s="23"/>
    </row>
    <row r="2192" spans="1:21" ht="15.6" x14ac:dyDescent="0.3">
      <c r="A2192" s="4">
        <v>2191</v>
      </c>
      <c r="B2192" s="5">
        <v>690477</v>
      </c>
      <c r="C2192" s="4" t="s">
        <v>0</v>
      </c>
      <c r="D2192" s="4" t="s">
        <v>1</v>
      </c>
      <c r="E2192" s="4" t="s">
        <v>130</v>
      </c>
      <c r="F2192" s="4" t="s">
        <v>2949</v>
      </c>
      <c r="G2192" s="6">
        <v>4.3</v>
      </c>
      <c r="H2192" s="7">
        <v>45576.669432870367</v>
      </c>
      <c r="I2192" s="7" t="str">
        <f>TEXT(multilingual_mobile_app_reviews_2025[[#This Row],[Review_date]],"dd-mm-yyyy")</f>
        <v>11-10-2024</v>
      </c>
      <c r="J2192" s="7" t="str">
        <f>TEXT(multilingual_mobile_app_reviews_2025[[#This Row],[Review_date]],"YYYY")</f>
        <v>2024</v>
      </c>
      <c r="K2192" s="7" t="str">
        <f>TEXT(multilingual_mobile_app_reviews_2025[[#This Row],[Review_date]],"MMMM")</f>
        <v>October</v>
      </c>
      <c r="L2192" s="4" t="b">
        <v>1</v>
      </c>
      <c r="M2192" s="4" t="s">
        <v>33</v>
      </c>
      <c r="N2192" s="5">
        <v>46</v>
      </c>
      <c r="O2192" s="5">
        <v>67</v>
      </c>
      <c r="P2192" s="4" t="s">
        <v>2963</v>
      </c>
      <c r="Q2192" s="8" t="s">
        <v>39</v>
      </c>
      <c r="R2192" s="4" t="s">
        <v>2564</v>
      </c>
      <c r="S2192" s="4"/>
      <c r="T2192"/>
      <c r="U2192" s="23"/>
    </row>
    <row r="2193" spans="1:21" ht="15.6" x14ac:dyDescent="0.3">
      <c r="A2193" s="4">
        <v>2192</v>
      </c>
      <c r="B2193" s="5">
        <v>1340239</v>
      </c>
      <c r="C2193" s="4" t="s">
        <v>137</v>
      </c>
      <c r="D2193" s="4" t="s">
        <v>157</v>
      </c>
      <c r="E2193" s="4" t="s">
        <v>130</v>
      </c>
      <c r="F2193" s="4" t="s">
        <v>2961</v>
      </c>
      <c r="G2193" s="6">
        <v>3.8</v>
      </c>
      <c r="H2193" s="7">
        <v>45154.252222222225</v>
      </c>
      <c r="I2193" s="7" t="str">
        <f>TEXT(multilingual_mobile_app_reviews_2025[[#This Row],[Review_date]],"dd-mm-yyyy")</f>
        <v>16-08-2023</v>
      </c>
      <c r="J2193" s="7" t="str">
        <f>TEXT(multilingual_mobile_app_reviews_2025[[#This Row],[Review_date]],"YYYY")</f>
        <v>2023</v>
      </c>
      <c r="K2193" s="7" t="str">
        <f>TEXT(multilingual_mobile_app_reviews_2025[[#This Row],[Review_date]],"MMMM")</f>
        <v>August</v>
      </c>
      <c r="L2193" s="4" t="b">
        <v>0</v>
      </c>
      <c r="M2193" s="4" t="s">
        <v>33</v>
      </c>
      <c r="N2193" s="5">
        <v>162</v>
      </c>
      <c r="O2193" s="5">
        <v>65</v>
      </c>
      <c r="P2193" s="4" t="s">
        <v>44</v>
      </c>
      <c r="Q2193" s="8" t="s">
        <v>29</v>
      </c>
      <c r="R2193" s="4" t="s">
        <v>2565</v>
      </c>
      <c r="S2193" s="4"/>
      <c r="T2193"/>
      <c r="U2193" s="23"/>
    </row>
    <row r="2194" spans="1:21" ht="15.6" x14ac:dyDescent="0.3">
      <c r="A2194" s="4">
        <v>2193</v>
      </c>
      <c r="B2194" s="5">
        <v>8093139</v>
      </c>
      <c r="C2194" s="4" t="s">
        <v>0</v>
      </c>
      <c r="D2194" s="4" t="s">
        <v>79</v>
      </c>
      <c r="E2194" s="4" t="s">
        <v>21</v>
      </c>
      <c r="F2194" s="4" t="s">
        <v>2939</v>
      </c>
      <c r="G2194" s="6">
        <v>3.3</v>
      </c>
      <c r="H2194" s="7">
        <v>45866.83152777778</v>
      </c>
      <c r="I2194" s="7" t="str">
        <f>TEXT(multilingual_mobile_app_reviews_2025[[#This Row],[Review_date]],"dd-mm-yyyy")</f>
        <v>28-07-2025</v>
      </c>
      <c r="J2194" s="7" t="str">
        <f>TEXT(multilingual_mobile_app_reviews_2025[[#This Row],[Review_date]],"YYYY")</f>
        <v>2025</v>
      </c>
      <c r="K2194" s="7" t="str">
        <f>TEXT(multilingual_mobile_app_reviews_2025[[#This Row],[Review_date]],"MMMM")</f>
        <v>July</v>
      </c>
      <c r="L2194" s="4" t="b">
        <v>1</v>
      </c>
      <c r="M2194" s="4" t="s">
        <v>22</v>
      </c>
      <c r="N2194" s="5">
        <v>99</v>
      </c>
      <c r="O2194" s="5">
        <v>20</v>
      </c>
      <c r="P2194" s="4" t="s">
        <v>44</v>
      </c>
      <c r="Q2194" s="8" t="s">
        <v>29</v>
      </c>
      <c r="R2194" s="4" t="s">
        <v>2566</v>
      </c>
      <c r="S2194" s="4"/>
      <c r="T2194"/>
      <c r="U2194" s="23"/>
    </row>
    <row r="2195" spans="1:21" ht="15.6" x14ac:dyDescent="0.3">
      <c r="A2195" s="4">
        <v>2194</v>
      </c>
      <c r="B2195" s="5">
        <v>6576923</v>
      </c>
      <c r="C2195" s="4" t="s">
        <v>132</v>
      </c>
      <c r="D2195" s="4" t="s">
        <v>20</v>
      </c>
      <c r="E2195" s="4" t="s">
        <v>2567</v>
      </c>
      <c r="F2195" s="4" t="s">
        <v>2956</v>
      </c>
      <c r="G2195" s="6">
        <v>3.2</v>
      </c>
      <c r="H2195" s="7">
        <v>45263.399895833332</v>
      </c>
      <c r="I2195" s="7" t="str">
        <f>TEXT(multilingual_mobile_app_reviews_2025[[#This Row],[Review_date]],"dd-mm-yyyy")</f>
        <v>03-12-2023</v>
      </c>
      <c r="J2195" s="7" t="str">
        <f>TEXT(multilingual_mobile_app_reviews_2025[[#This Row],[Review_date]],"YYYY")</f>
        <v>2023</v>
      </c>
      <c r="K2195" s="7" t="str">
        <f>TEXT(multilingual_mobile_app_reviews_2025[[#This Row],[Review_date]],"MMMM")</f>
        <v>December</v>
      </c>
      <c r="L2195" s="4" t="b">
        <v>1</v>
      </c>
      <c r="M2195" s="4" t="s">
        <v>3</v>
      </c>
      <c r="N2195" s="5">
        <v>980</v>
      </c>
      <c r="O2195" s="5">
        <v>14</v>
      </c>
      <c r="P2195" s="4" t="s">
        <v>28</v>
      </c>
      <c r="Q2195" s="8" t="s">
        <v>12</v>
      </c>
      <c r="R2195" s="4" t="s">
        <v>2568</v>
      </c>
      <c r="S2195" s="4"/>
      <c r="T2195"/>
      <c r="U2195" s="23"/>
    </row>
    <row r="2196" spans="1:21" ht="15.6" x14ac:dyDescent="0.3">
      <c r="A2196" s="4">
        <v>2195</v>
      </c>
      <c r="B2196" s="5">
        <v>451266</v>
      </c>
      <c r="C2196" s="4" t="s">
        <v>87</v>
      </c>
      <c r="D2196" s="4" t="s">
        <v>42</v>
      </c>
      <c r="E2196" s="4" t="s">
        <v>32</v>
      </c>
      <c r="F2196" s="4" t="s">
        <v>2944</v>
      </c>
      <c r="G2196" s="6">
        <v>4.4000000000000004</v>
      </c>
      <c r="H2196" s="7">
        <v>45474.217986111114</v>
      </c>
      <c r="I2196" s="7" t="str">
        <f>TEXT(multilingual_mobile_app_reviews_2025[[#This Row],[Review_date]],"dd-mm-yyyy")</f>
        <v>01-07-2024</v>
      </c>
      <c r="J2196" s="7" t="str">
        <f>TEXT(multilingual_mobile_app_reviews_2025[[#This Row],[Review_date]],"YYYY")</f>
        <v>2024</v>
      </c>
      <c r="K2196" s="7" t="str">
        <f>TEXT(multilingual_mobile_app_reviews_2025[[#This Row],[Review_date]],"MMMM")</f>
        <v>July</v>
      </c>
      <c r="L2196" s="4" t="b">
        <v>1</v>
      </c>
      <c r="M2196" s="4" t="s">
        <v>10</v>
      </c>
      <c r="N2196" s="5">
        <v>946</v>
      </c>
      <c r="O2196" s="5">
        <v>37</v>
      </c>
      <c r="P2196" s="4" t="s">
        <v>85</v>
      </c>
      <c r="Q2196" s="8" t="s">
        <v>5</v>
      </c>
      <c r="R2196" s="4" t="s">
        <v>2569</v>
      </c>
      <c r="S2196" s="4"/>
      <c r="T2196"/>
      <c r="U2196" s="23"/>
    </row>
    <row r="2197" spans="1:21" ht="15.6" x14ac:dyDescent="0.3">
      <c r="A2197" s="4">
        <v>2196</v>
      </c>
      <c r="B2197" s="5">
        <v>2515646</v>
      </c>
      <c r="C2197" s="4" t="s">
        <v>132</v>
      </c>
      <c r="D2197" s="4" t="s">
        <v>71</v>
      </c>
      <c r="E2197" s="4" t="s">
        <v>2570</v>
      </c>
      <c r="F2197" s="4" t="s">
        <v>2951</v>
      </c>
      <c r="G2197" s="6">
        <v>2.2999999999999998</v>
      </c>
      <c r="H2197" s="7">
        <v>45825.207604166666</v>
      </c>
      <c r="I2197" s="7" t="str">
        <f>TEXT(multilingual_mobile_app_reviews_2025[[#This Row],[Review_date]],"dd-mm-yyyy")</f>
        <v>17-06-2025</v>
      </c>
      <c r="J2197" s="7" t="str">
        <f>TEXT(multilingual_mobile_app_reviews_2025[[#This Row],[Review_date]],"YYYY")</f>
        <v>2025</v>
      </c>
      <c r="K2197" s="7" t="str">
        <f>TEXT(multilingual_mobile_app_reviews_2025[[#This Row],[Review_date]],"MMMM")</f>
        <v>June</v>
      </c>
      <c r="L2197" s="4" t="b">
        <v>1</v>
      </c>
      <c r="M2197" s="4" t="s">
        <v>3</v>
      </c>
      <c r="N2197" s="5">
        <v>123</v>
      </c>
      <c r="O2197" s="5">
        <v>18</v>
      </c>
      <c r="P2197" s="4" t="s">
        <v>127</v>
      </c>
      <c r="Q2197" s="8" t="s">
        <v>2963</v>
      </c>
      <c r="R2197" s="4" t="s">
        <v>1772</v>
      </c>
      <c r="S2197" s="4"/>
      <c r="T2197"/>
      <c r="U2197" s="23"/>
    </row>
    <row r="2198" spans="1:21" ht="15.6" x14ac:dyDescent="0.3">
      <c r="A2198" s="4">
        <v>2197</v>
      </c>
      <c r="B2198" s="5">
        <v>7827275</v>
      </c>
      <c r="C2198" s="4" t="s">
        <v>14</v>
      </c>
      <c r="D2198" s="4" t="s">
        <v>47</v>
      </c>
      <c r="E2198" s="4" t="s">
        <v>2938</v>
      </c>
      <c r="F2198" s="4" t="s">
        <v>2940</v>
      </c>
      <c r="G2198" s="6">
        <v>3.2</v>
      </c>
      <c r="H2198" s="7">
        <v>45708.56517361111</v>
      </c>
      <c r="I2198" s="7" t="str">
        <f>TEXT(multilingual_mobile_app_reviews_2025[[#This Row],[Review_date]],"dd-mm-yyyy")</f>
        <v>20-02-2025</v>
      </c>
      <c r="J2198" s="7" t="str">
        <f>TEXT(multilingual_mobile_app_reviews_2025[[#This Row],[Review_date]],"YYYY")</f>
        <v>2025</v>
      </c>
      <c r="K2198" s="7" t="str">
        <f>TEXT(multilingual_mobile_app_reviews_2025[[#This Row],[Review_date]],"MMMM")</f>
        <v>February</v>
      </c>
      <c r="L2198" s="4" t="b">
        <v>1</v>
      </c>
      <c r="M2198" s="4" t="s">
        <v>98</v>
      </c>
      <c r="N2198" s="5">
        <v>753</v>
      </c>
      <c r="O2198" s="5">
        <v>49</v>
      </c>
      <c r="P2198" s="4" t="s">
        <v>73</v>
      </c>
      <c r="Q2198" s="8" t="s">
        <v>2963</v>
      </c>
      <c r="R2198" s="4" t="s">
        <v>644</v>
      </c>
      <c r="S2198" s="4"/>
      <c r="T2198"/>
      <c r="U2198" s="23"/>
    </row>
    <row r="2199" spans="1:21" ht="15.6" x14ac:dyDescent="0.3">
      <c r="A2199" s="4">
        <v>2198</v>
      </c>
      <c r="B2199" s="5">
        <v>7547286</v>
      </c>
      <c r="C2199" s="4" t="s">
        <v>264</v>
      </c>
      <c r="D2199" s="4" t="s">
        <v>60</v>
      </c>
      <c r="E2199" s="4" t="s">
        <v>130</v>
      </c>
      <c r="F2199" s="4" t="s">
        <v>2961</v>
      </c>
      <c r="G2199" s="6">
        <v>3.6</v>
      </c>
      <c r="H2199" s="7">
        <v>45440.590752314813</v>
      </c>
      <c r="I2199" s="7" t="str">
        <f>TEXT(multilingual_mobile_app_reviews_2025[[#This Row],[Review_date]],"dd-mm-yyyy")</f>
        <v>28-05-2024</v>
      </c>
      <c r="J2199" s="7" t="str">
        <f>TEXT(multilingual_mobile_app_reviews_2025[[#This Row],[Review_date]],"YYYY")</f>
        <v>2024</v>
      </c>
      <c r="K2199" s="7" t="str">
        <f>TEXT(multilingual_mobile_app_reviews_2025[[#This Row],[Review_date]],"MMMM")</f>
        <v>May</v>
      </c>
      <c r="L2199" s="4" t="b">
        <v>1</v>
      </c>
      <c r="M2199" s="4" t="s">
        <v>22</v>
      </c>
      <c r="N2199" s="5">
        <v>207</v>
      </c>
      <c r="O2199" s="5">
        <v>53</v>
      </c>
      <c r="P2199" s="4" t="s">
        <v>23</v>
      </c>
      <c r="Q2199" s="8" t="s">
        <v>5</v>
      </c>
      <c r="R2199" s="4" t="s">
        <v>2571</v>
      </c>
      <c r="S2199" s="4"/>
      <c r="T2199"/>
      <c r="U2199" s="23"/>
    </row>
    <row r="2200" spans="1:21" ht="15.6" x14ac:dyDescent="0.3">
      <c r="A2200" s="4">
        <v>2199</v>
      </c>
      <c r="B2200" s="5">
        <v>6199529</v>
      </c>
      <c r="C2200" s="4" t="s">
        <v>75</v>
      </c>
      <c r="D2200" s="4" t="s">
        <v>47</v>
      </c>
      <c r="E2200" s="4" t="s">
        <v>21</v>
      </c>
      <c r="F2200" s="4" t="s">
        <v>2944</v>
      </c>
      <c r="G2200" s="6">
        <v>2.5</v>
      </c>
      <c r="H2200" s="7">
        <v>45401.256319444445</v>
      </c>
      <c r="I2200" s="7" t="str">
        <f>TEXT(multilingual_mobile_app_reviews_2025[[#This Row],[Review_date]],"dd-mm-yyyy")</f>
        <v>19-04-2024</v>
      </c>
      <c r="J2200" s="7" t="str">
        <f>TEXT(multilingual_mobile_app_reviews_2025[[#This Row],[Review_date]],"YYYY")</f>
        <v>2024</v>
      </c>
      <c r="K2200" s="7" t="str">
        <f>TEXT(multilingual_mobile_app_reviews_2025[[#This Row],[Review_date]],"MMMM")</f>
        <v>April</v>
      </c>
      <c r="L2200" s="4" t="b">
        <v>1</v>
      </c>
      <c r="M2200" s="4" t="s">
        <v>3</v>
      </c>
      <c r="N2200" s="5">
        <v>579</v>
      </c>
      <c r="O2200" s="5">
        <v>36</v>
      </c>
      <c r="P2200" s="4" t="s">
        <v>38</v>
      </c>
      <c r="Q2200" s="8" t="s">
        <v>2963</v>
      </c>
      <c r="R2200" s="4" t="s">
        <v>2572</v>
      </c>
      <c r="S2200" s="4"/>
      <c r="T2200"/>
      <c r="U2200" s="23"/>
    </row>
    <row r="2201" spans="1:21" ht="15.6" x14ac:dyDescent="0.3">
      <c r="A2201" s="4">
        <v>2200</v>
      </c>
      <c r="B2201" s="5">
        <v>6792147</v>
      </c>
      <c r="C2201" s="4" t="s">
        <v>56</v>
      </c>
      <c r="D2201" s="4" t="s">
        <v>8</v>
      </c>
      <c r="E2201" s="4" t="s">
        <v>2573</v>
      </c>
      <c r="F2201" s="4" t="s">
        <v>2946</v>
      </c>
      <c r="G2201" s="6">
        <v>3.5</v>
      </c>
      <c r="H2201" s="7">
        <v>45290.030057870368</v>
      </c>
      <c r="I2201" s="7" t="str">
        <f>TEXT(multilingual_mobile_app_reviews_2025[[#This Row],[Review_date]],"dd-mm-yyyy")</f>
        <v>30-12-2023</v>
      </c>
      <c r="J2201" s="7" t="str">
        <f>TEXT(multilingual_mobile_app_reviews_2025[[#This Row],[Review_date]],"YYYY")</f>
        <v>2023</v>
      </c>
      <c r="K2201" s="7" t="str">
        <f>TEXT(multilingual_mobile_app_reviews_2025[[#This Row],[Review_date]],"MMMM")</f>
        <v>December</v>
      </c>
      <c r="L2201" s="4" t="b">
        <v>0</v>
      </c>
      <c r="M2201" s="4" t="s">
        <v>10</v>
      </c>
      <c r="N2201" s="5">
        <v>571</v>
      </c>
      <c r="O2201" s="5">
        <v>62</v>
      </c>
      <c r="P2201" s="4" t="s">
        <v>99</v>
      </c>
      <c r="Q2201" s="8" t="s">
        <v>2963</v>
      </c>
      <c r="R2201" s="4" t="s">
        <v>2574</v>
      </c>
      <c r="S2201" s="4"/>
      <c r="T2201"/>
      <c r="U2201" s="23"/>
    </row>
    <row r="2202" spans="1:21" ht="15.6" x14ac:dyDescent="0.3">
      <c r="A2202" s="4">
        <v>2201</v>
      </c>
      <c r="B2202" s="5">
        <v>6197090</v>
      </c>
      <c r="C2202" s="4" t="s">
        <v>25</v>
      </c>
      <c r="D2202" s="4" t="s">
        <v>20</v>
      </c>
      <c r="E2202" s="4" t="s">
        <v>2575</v>
      </c>
      <c r="F2202" s="4" t="s">
        <v>2950</v>
      </c>
      <c r="G2202" s="6">
        <v>3.6</v>
      </c>
      <c r="H2202" s="7">
        <v>45645.486064814817</v>
      </c>
      <c r="I2202" s="7" t="str">
        <f>TEXT(multilingual_mobile_app_reviews_2025[[#This Row],[Review_date]],"dd-mm-yyyy")</f>
        <v>19-12-2024</v>
      </c>
      <c r="J2202" s="7" t="str">
        <f>TEXT(multilingual_mobile_app_reviews_2025[[#This Row],[Review_date]],"YYYY")</f>
        <v>2024</v>
      </c>
      <c r="K2202" s="7" t="str">
        <f>TEXT(multilingual_mobile_app_reviews_2025[[#This Row],[Review_date]],"MMMM")</f>
        <v>December</v>
      </c>
      <c r="L2202" s="4" t="b">
        <v>1</v>
      </c>
      <c r="M2202" s="4" t="s">
        <v>3</v>
      </c>
      <c r="N2202" s="5">
        <v>695</v>
      </c>
      <c r="O2202" s="5">
        <v>67</v>
      </c>
      <c r="P2202" s="4" t="s">
        <v>34</v>
      </c>
      <c r="Q2202" s="8" t="s">
        <v>39</v>
      </c>
      <c r="R2202" s="4" t="s">
        <v>2576</v>
      </c>
      <c r="S2202" s="4"/>
      <c r="T2202"/>
      <c r="U2202" s="23"/>
    </row>
    <row r="2203" spans="1:21" ht="15.6" x14ac:dyDescent="0.3">
      <c r="A2203" s="4">
        <v>2202</v>
      </c>
      <c r="B2203" s="5">
        <v>5138538</v>
      </c>
      <c r="C2203" s="4" t="s">
        <v>96</v>
      </c>
      <c r="D2203" s="4" t="s">
        <v>51</v>
      </c>
      <c r="E2203" s="4" t="s">
        <v>130</v>
      </c>
      <c r="F2203" s="4" t="s">
        <v>2953</v>
      </c>
      <c r="G2203" s="6">
        <v>2.9</v>
      </c>
      <c r="H2203" s="7">
        <v>45841.560937499999</v>
      </c>
      <c r="I2203" s="7" t="str">
        <f>TEXT(multilingual_mobile_app_reviews_2025[[#This Row],[Review_date]],"dd-mm-yyyy")</f>
        <v>03-07-2025</v>
      </c>
      <c r="J2203" s="7" t="str">
        <f>TEXT(multilingual_mobile_app_reviews_2025[[#This Row],[Review_date]],"YYYY")</f>
        <v>2025</v>
      </c>
      <c r="K2203" s="7" t="str">
        <f>TEXT(multilingual_mobile_app_reviews_2025[[#This Row],[Review_date]],"MMMM")</f>
        <v>July</v>
      </c>
      <c r="L2203" s="4" t="b">
        <v>0</v>
      </c>
      <c r="M2203" s="4" t="s">
        <v>3</v>
      </c>
      <c r="N2203" s="5">
        <v>856</v>
      </c>
      <c r="O2203" s="5">
        <v>64</v>
      </c>
      <c r="P2203" s="4" t="s">
        <v>230</v>
      </c>
      <c r="Q2203" s="8" t="s">
        <v>2963</v>
      </c>
      <c r="R2203" s="4" t="s">
        <v>2577</v>
      </c>
      <c r="S2203" s="4"/>
      <c r="T2203"/>
      <c r="U2203" s="23"/>
    </row>
    <row r="2204" spans="1:21" ht="15.6" x14ac:dyDescent="0.3">
      <c r="A2204" s="4">
        <v>2203</v>
      </c>
      <c r="B2204" s="5">
        <v>7014190</v>
      </c>
      <c r="C2204" s="4" t="s">
        <v>199</v>
      </c>
      <c r="D2204" s="4" t="s">
        <v>79</v>
      </c>
      <c r="E2204" s="4" t="s">
        <v>76</v>
      </c>
      <c r="F2204" s="4" t="s">
        <v>2949</v>
      </c>
      <c r="G2204" s="6">
        <v>3.3</v>
      </c>
      <c r="H2204" s="7">
        <v>45178.402372685188</v>
      </c>
      <c r="I2204" s="7" t="str">
        <f>TEXT(multilingual_mobile_app_reviews_2025[[#This Row],[Review_date]],"dd-mm-yyyy")</f>
        <v>09-09-2023</v>
      </c>
      <c r="J2204" s="7" t="str">
        <f>TEXT(multilingual_mobile_app_reviews_2025[[#This Row],[Review_date]],"YYYY")</f>
        <v>2023</v>
      </c>
      <c r="K2204" s="7" t="str">
        <f>TEXT(multilingual_mobile_app_reviews_2025[[#This Row],[Review_date]],"MMMM")</f>
        <v>September</v>
      </c>
      <c r="L2204" s="4" t="b">
        <v>1</v>
      </c>
      <c r="M2204" s="4" t="s">
        <v>10</v>
      </c>
      <c r="N2204" s="5">
        <v>904</v>
      </c>
      <c r="O2204" s="5">
        <v>40</v>
      </c>
      <c r="P2204" s="4" t="s">
        <v>70</v>
      </c>
      <c r="Q2204" s="8" t="s">
        <v>29</v>
      </c>
      <c r="R2204" s="4" t="s">
        <v>2578</v>
      </c>
      <c r="S2204" s="4"/>
      <c r="T2204"/>
      <c r="U2204" s="23"/>
    </row>
    <row r="2205" spans="1:21" ht="15.6" x14ac:dyDescent="0.3">
      <c r="A2205" s="4">
        <v>2204</v>
      </c>
      <c r="B2205" s="5">
        <v>3743644</v>
      </c>
      <c r="C2205" s="4" t="s">
        <v>14</v>
      </c>
      <c r="D2205" s="4" t="s">
        <v>220</v>
      </c>
      <c r="E2205" s="4" t="s">
        <v>93</v>
      </c>
      <c r="F2205" s="4" t="s">
        <v>2957</v>
      </c>
      <c r="G2205" s="6">
        <v>3.6</v>
      </c>
      <c r="H2205" s="7">
        <v>45401.164525462962</v>
      </c>
      <c r="I2205" s="7" t="str">
        <f>TEXT(multilingual_mobile_app_reviews_2025[[#This Row],[Review_date]],"dd-mm-yyyy")</f>
        <v>19-04-2024</v>
      </c>
      <c r="J2205" s="7" t="str">
        <f>TEXT(multilingual_mobile_app_reviews_2025[[#This Row],[Review_date]],"YYYY")</f>
        <v>2024</v>
      </c>
      <c r="K2205" s="7" t="str">
        <f>TEXT(multilingual_mobile_app_reviews_2025[[#This Row],[Review_date]],"MMMM")</f>
        <v>April</v>
      </c>
      <c r="L2205" s="4" t="b">
        <v>1</v>
      </c>
      <c r="M2205" s="4" t="s">
        <v>22</v>
      </c>
      <c r="N2205" s="5">
        <v>231</v>
      </c>
      <c r="O2205" s="5">
        <v>41</v>
      </c>
      <c r="P2205" s="4" t="s">
        <v>2963</v>
      </c>
      <c r="Q2205" s="8" t="s">
        <v>2963</v>
      </c>
      <c r="R2205" s="4" t="s">
        <v>2579</v>
      </c>
      <c r="S2205" s="4"/>
      <c r="T2205"/>
      <c r="U2205" s="23"/>
    </row>
    <row r="2206" spans="1:21" ht="15.6" x14ac:dyDescent="0.3">
      <c r="A2206" s="4">
        <v>2205</v>
      </c>
      <c r="B2206" s="5">
        <v>2729314</v>
      </c>
      <c r="C2206" s="4" t="s">
        <v>104</v>
      </c>
      <c r="D2206" s="4" t="s">
        <v>26</v>
      </c>
      <c r="E2206" s="4" t="s">
        <v>2580</v>
      </c>
      <c r="F2206" s="4" t="s">
        <v>2950</v>
      </c>
      <c r="G2206" s="6">
        <v>3.6</v>
      </c>
      <c r="H2206" s="7">
        <v>45731.222939814812</v>
      </c>
      <c r="I2206" s="7" t="str">
        <f>TEXT(multilingual_mobile_app_reviews_2025[[#This Row],[Review_date]],"dd-mm-yyyy")</f>
        <v>15-03-2025</v>
      </c>
      <c r="J2206" s="7" t="str">
        <f>TEXT(multilingual_mobile_app_reviews_2025[[#This Row],[Review_date]],"YYYY")</f>
        <v>2025</v>
      </c>
      <c r="K2206" s="7" t="str">
        <f>TEXT(multilingual_mobile_app_reviews_2025[[#This Row],[Review_date]],"MMMM")</f>
        <v>March</v>
      </c>
      <c r="L2206" s="4" t="b">
        <v>1</v>
      </c>
      <c r="M2206" s="4" t="s">
        <v>3</v>
      </c>
      <c r="N2206" s="5">
        <v>993</v>
      </c>
      <c r="O2206" s="5">
        <v>15</v>
      </c>
      <c r="P2206" s="4" t="s">
        <v>94</v>
      </c>
      <c r="Q2206" s="8" t="s">
        <v>39</v>
      </c>
      <c r="R2206" s="4" t="s">
        <v>2581</v>
      </c>
      <c r="S2206" s="4"/>
      <c r="T2206"/>
      <c r="U2206" s="23"/>
    </row>
    <row r="2207" spans="1:21" ht="15.6" x14ac:dyDescent="0.3">
      <c r="A2207" s="4">
        <v>2206</v>
      </c>
      <c r="B2207" s="5">
        <v>5405200</v>
      </c>
      <c r="C2207" s="4" t="s">
        <v>14</v>
      </c>
      <c r="D2207" s="4" t="s">
        <v>111</v>
      </c>
      <c r="E2207" s="4" t="s">
        <v>9</v>
      </c>
      <c r="F2207" s="4" t="s">
        <v>2961</v>
      </c>
      <c r="G2207" s="6">
        <v>1.1000000000000001</v>
      </c>
      <c r="H2207" s="7">
        <v>45612.957372685189</v>
      </c>
      <c r="I2207" s="7" t="str">
        <f>TEXT(multilingual_mobile_app_reviews_2025[[#This Row],[Review_date]],"dd-mm-yyyy")</f>
        <v>16-11-2024</v>
      </c>
      <c r="J2207" s="7" t="str">
        <f>TEXT(multilingual_mobile_app_reviews_2025[[#This Row],[Review_date]],"YYYY")</f>
        <v>2024</v>
      </c>
      <c r="K2207" s="7" t="str">
        <f>TEXT(multilingual_mobile_app_reviews_2025[[#This Row],[Review_date]],"MMMM")</f>
        <v>November</v>
      </c>
      <c r="L2207" s="4" t="b">
        <v>0</v>
      </c>
      <c r="M2207" s="4" t="s">
        <v>98</v>
      </c>
      <c r="N2207" s="5">
        <v>737</v>
      </c>
      <c r="O2207" s="5">
        <v>36</v>
      </c>
      <c r="P2207" s="4" t="s">
        <v>114</v>
      </c>
      <c r="Q2207" s="8" t="s">
        <v>39</v>
      </c>
      <c r="R2207" s="4" t="s">
        <v>2582</v>
      </c>
      <c r="S2207" s="4"/>
      <c r="T2207"/>
      <c r="U2207" s="23"/>
    </row>
    <row r="2208" spans="1:21" ht="15.6" x14ac:dyDescent="0.3">
      <c r="A2208" s="4">
        <v>2207</v>
      </c>
      <c r="B2208" s="5">
        <v>9001791</v>
      </c>
      <c r="C2208" s="4" t="s">
        <v>56</v>
      </c>
      <c r="D2208" s="4" t="s">
        <v>26</v>
      </c>
      <c r="E2208" s="4" t="s">
        <v>2583</v>
      </c>
      <c r="F2208" s="4" t="s">
        <v>2944</v>
      </c>
      <c r="G2208" s="6">
        <v>4.8</v>
      </c>
      <c r="H2208" s="7">
        <v>45622.956631944442</v>
      </c>
      <c r="I2208" s="7" t="str">
        <f>TEXT(multilingual_mobile_app_reviews_2025[[#This Row],[Review_date]],"dd-mm-yyyy")</f>
        <v>26-11-2024</v>
      </c>
      <c r="J2208" s="7" t="str">
        <f>TEXT(multilingual_mobile_app_reviews_2025[[#This Row],[Review_date]],"YYYY")</f>
        <v>2024</v>
      </c>
      <c r="K2208" s="7" t="str">
        <f>TEXT(multilingual_mobile_app_reviews_2025[[#This Row],[Review_date]],"MMMM")</f>
        <v>November</v>
      </c>
      <c r="L2208" s="4" t="b">
        <v>1</v>
      </c>
      <c r="M2208" s="4" t="s">
        <v>10</v>
      </c>
      <c r="N2208" s="5">
        <v>1125</v>
      </c>
      <c r="O2208" s="5">
        <v>30</v>
      </c>
      <c r="P2208" s="4" t="s">
        <v>162</v>
      </c>
      <c r="Q2208" s="8" t="s">
        <v>39</v>
      </c>
      <c r="R2208" s="4" t="s">
        <v>2584</v>
      </c>
      <c r="S2208" s="4"/>
      <c r="T2208"/>
      <c r="U2208" s="23"/>
    </row>
    <row r="2209" spans="1:21" ht="15.6" x14ac:dyDescent="0.3">
      <c r="A2209" s="4">
        <v>2208</v>
      </c>
      <c r="B2209" s="5">
        <v>9888641</v>
      </c>
      <c r="C2209" s="4" t="s">
        <v>7</v>
      </c>
      <c r="D2209" s="4" t="s">
        <v>220</v>
      </c>
      <c r="E2209" s="4" t="s">
        <v>9</v>
      </c>
      <c r="F2209" s="4" t="s">
        <v>2939</v>
      </c>
      <c r="G2209" s="6">
        <v>5</v>
      </c>
      <c r="H2209" s="7">
        <v>45841.435949074075</v>
      </c>
      <c r="I2209" s="7" t="str">
        <f>TEXT(multilingual_mobile_app_reviews_2025[[#This Row],[Review_date]],"dd-mm-yyyy")</f>
        <v>03-07-2025</v>
      </c>
      <c r="J2209" s="7" t="str">
        <f>TEXT(multilingual_mobile_app_reviews_2025[[#This Row],[Review_date]],"YYYY")</f>
        <v>2025</v>
      </c>
      <c r="K2209" s="7" t="str">
        <f>TEXT(multilingual_mobile_app_reviews_2025[[#This Row],[Review_date]],"MMMM")</f>
        <v>July</v>
      </c>
      <c r="L2209" s="4" t="b">
        <v>1</v>
      </c>
      <c r="M2209" s="4" t="s">
        <v>10</v>
      </c>
      <c r="N2209" s="5">
        <v>441</v>
      </c>
      <c r="O2209" s="5">
        <v>62</v>
      </c>
      <c r="P2209" s="4" t="s">
        <v>118</v>
      </c>
      <c r="Q2209" s="8" t="s">
        <v>29</v>
      </c>
      <c r="R2209" s="4" t="s">
        <v>543</v>
      </c>
      <c r="S2209" s="4"/>
      <c r="T2209"/>
      <c r="U2209" s="23"/>
    </row>
    <row r="2210" spans="1:21" ht="15.6" x14ac:dyDescent="0.3">
      <c r="A2210" s="4">
        <v>2209</v>
      </c>
      <c r="B2210" s="5">
        <v>8070642</v>
      </c>
      <c r="C2210" s="4" t="s">
        <v>199</v>
      </c>
      <c r="D2210" s="4" t="s">
        <v>60</v>
      </c>
      <c r="E2210" s="4" t="s">
        <v>64</v>
      </c>
      <c r="F2210" s="4" t="s">
        <v>2950</v>
      </c>
      <c r="G2210" s="6">
        <v>5</v>
      </c>
      <c r="H2210" s="7">
        <v>45401.892800925925</v>
      </c>
      <c r="I2210" s="7" t="str">
        <f>TEXT(multilingual_mobile_app_reviews_2025[[#This Row],[Review_date]],"dd-mm-yyyy")</f>
        <v>19-04-2024</v>
      </c>
      <c r="J2210" s="7" t="str">
        <f>TEXT(multilingual_mobile_app_reviews_2025[[#This Row],[Review_date]],"YYYY")</f>
        <v>2024</v>
      </c>
      <c r="K2210" s="7" t="str">
        <f>TEXT(multilingual_mobile_app_reviews_2025[[#This Row],[Review_date]],"MMMM")</f>
        <v>April</v>
      </c>
      <c r="L2210" s="4" t="b">
        <v>0</v>
      </c>
      <c r="M2210" s="4" t="s">
        <v>22</v>
      </c>
      <c r="N2210" s="5">
        <v>873</v>
      </c>
      <c r="O2210" s="5">
        <v>65</v>
      </c>
      <c r="P2210" s="4" t="s">
        <v>11</v>
      </c>
      <c r="Q2210" s="8" t="s">
        <v>12</v>
      </c>
      <c r="R2210" s="4" t="s">
        <v>2585</v>
      </c>
      <c r="S2210" s="4"/>
      <c r="T2210"/>
      <c r="U2210" s="23"/>
    </row>
    <row r="2211" spans="1:21" ht="15.6" x14ac:dyDescent="0.3">
      <c r="A2211" s="4">
        <v>2210</v>
      </c>
      <c r="B2211" s="5">
        <v>3039670</v>
      </c>
      <c r="C2211" s="4" t="s">
        <v>92</v>
      </c>
      <c r="D2211" s="4" t="s">
        <v>57</v>
      </c>
      <c r="E2211" s="4" t="s">
        <v>93</v>
      </c>
      <c r="F2211" s="4" t="s">
        <v>2962</v>
      </c>
      <c r="G2211" s="6">
        <v>1.8</v>
      </c>
      <c r="H2211" s="7">
        <v>45363.926793981482</v>
      </c>
      <c r="I2211" s="7" t="str">
        <f>TEXT(multilingual_mobile_app_reviews_2025[[#This Row],[Review_date]],"dd-mm-yyyy")</f>
        <v>12-03-2024</v>
      </c>
      <c r="J2211" s="7" t="str">
        <f>TEXT(multilingual_mobile_app_reviews_2025[[#This Row],[Review_date]],"YYYY")</f>
        <v>2024</v>
      </c>
      <c r="K2211" s="7" t="str">
        <f>TEXT(multilingual_mobile_app_reviews_2025[[#This Row],[Review_date]],"MMMM")</f>
        <v>March</v>
      </c>
      <c r="L2211" s="4" t="b">
        <v>1</v>
      </c>
      <c r="M2211" s="4" t="s">
        <v>10</v>
      </c>
      <c r="N2211" s="5">
        <v>94</v>
      </c>
      <c r="O2211" s="5">
        <v>16</v>
      </c>
      <c r="P2211" s="4" t="s">
        <v>99</v>
      </c>
      <c r="Q2211" s="8" t="s">
        <v>2963</v>
      </c>
      <c r="R2211" s="4" t="s">
        <v>438</v>
      </c>
      <c r="S2211" s="4"/>
      <c r="T2211"/>
      <c r="U2211" s="23"/>
    </row>
    <row r="2212" spans="1:21" ht="15.6" x14ac:dyDescent="0.3">
      <c r="A2212" s="4">
        <v>2211</v>
      </c>
      <c r="B2212" s="5">
        <v>1802878</v>
      </c>
      <c r="C2212" s="4" t="s">
        <v>69</v>
      </c>
      <c r="D2212" s="4" t="s">
        <v>97</v>
      </c>
      <c r="E2212" s="4" t="s">
        <v>21</v>
      </c>
      <c r="F2212" s="4" t="s">
        <v>2950</v>
      </c>
      <c r="G2212" s="6">
        <v>5</v>
      </c>
      <c r="H2212" s="7">
        <v>45762.071006944447</v>
      </c>
      <c r="I2212" s="7" t="str">
        <f>TEXT(multilingual_mobile_app_reviews_2025[[#This Row],[Review_date]],"dd-mm-yyyy")</f>
        <v>15-04-2025</v>
      </c>
      <c r="J2212" s="7" t="str">
        <f>TEXT(multilingual_mobile_app_reviews_2025[[#This Row],[Review_date]],"YYYY")</f>
        <v>2025</v>
      </c>
      <c r="K2212" s="7" t="str">
        <f>TEXT(multilingual_mobile_app_reviews_2025[[#This Row],[Review_date]],"MMMM")</f>
        <v>April</v>
      </c>
      <c r="L2212" s="4" t="b">
        <v>1</v>
      </c>
      <c r="M2212" s="4" t="s">
        <v>33</v>
      </c>
      <c r="N2212" s="5">
        <v>228</v>
      </c>
      <c r="O2212" s="5">
        <v>37</v>
      </c>
      <c r="P2212" s="4" t="s">
        <v>127</v>
      </c>
      <c r="Q2212" s="8" t="s">
        <v>29</v>
      </c>
      <c r="R2212" s="4" t="s">
        <v>2586</v>
      </c>
      <c r="S2212" s="4"/>
      <c r="T2212"/>
      <c r="U2212" s="23"/>
    </row>
    <row r="2213" spans="1:21" ht="15.6" x14ac:dyDescent="0.3">
      <c r="A2213" s="4">
        <v>2212</v>
      </c>
      <c r="B2213" s="5">
        <v>2781207</v>
      </c>
      <c r="C2213" s="4" t="s">
        <v>137</v>
      </c>
      <c r="D2213" s="4" t="s">
        <v>47</v>
      </c>
      <c r="E2213" s="4" t="s">
        <v>32</v>
      </c>
      <c r="F2213" s="4" t="s">
        <v>2955</v>
      </c>
      <c r="G2213" s="6">
        <v>2.9</v>
      </c>
      <c r="H2213" s="7">
        <v>45838.563564814816</v>
      </c>
      <c r="I2213" s="7" t="str">
        <f>TEXT(multilingual_mobile_app_reviews_2025[[#This Row],[Review_date]],"dd-mm-yyyy")</f>
        <v>30-06-2025</v>
      </c>
      <c r="J2213" s="7" t="str">
        <f>TEXT(multilingual_mobile_app_reviews_2025[[#This Row],[Review_date]],"YYYY")</f>
        <v>2025</v>
      </c>
      <c r="K2213" s="7" t="str">
        <f>TEXT(multilingual_mobile_app_reviews_2025[[#This Row],[Review_date]],"MMMM")</f>
        <v>June</v>
      </c>
      <c r="L2213" s="4" t="b">
        <v>1</v>
      </c>
      <c r="M2213" s="4" t="s">
        <v>98</v>
      </c>
      <c r="N2213" s="5">
        <v>983</v>
      </c>
      <c r="O2213" s="5">
        <v>52</v>
      </c>
      <c r="P2213" s="4" t="s">
        <v>85</v>
      </c>
      <c r="Q2213" s="8" t="s">
        <v>5</v>
      </c>
      <c r="R2213" s="4" t="s">
        <v>2587</v>
      </c>
      <c r="S2213" s="4"/>
      <c r="T2213"/>
      <c r="U2213" s="23"/>
    </row>
    <row r="2214" spans="1:21" ht="15.6" x14ac:dyDescent="0.3">
      <c r="A2214" s="4">
        <v>2213</v>
      </c>
      <c r="B2214" s="5">
        <v>2838993</v>
      </c>
      <c r="C2214" s="4" t="s">
        <v>123</v>
      </c>
      <c r="D2214" s="4" t="s">
        <v>42</v>
      </c>
      <c r="E2214" s="4" t="s">
        <v>32</v>
      </c>
      <c r="F2214" s="4" t="s">
        <v>2950</v>
      </c>
      <c r="G2214" s="6">
        <v>4.4000000000000004</v>
      </c>
      <c r="H2214" s="7">
        <v>45461.362673611111</v>
      </c>
      <c r="I2214" s="7" t="str">
        <f>TEXT(multilingual_mobile_app_reviews_2025[[#This Row],[Review_date]],"dd-mm-yyyy")</f>
        <v>18-06-2024</v>
      </c>
      <c r="J2214" s="7" t="str">
        <f>TEXT(multilingual_mobile_app_reviews_2025[[#This Row],[Review_date]],"YYYY")</f>
        <v>2024</v>
      </c>
      <c r="K2214" s="7" t="str">
        <f>TEXT(multilingual_mobile_app_reviews_2025[[#This Row],[Review_date]],"MMMM")</f>
        <v>June</v>
      </c>
      <c r="L2214" s="4" t="b">
        <v>1</v>
      </c>
      <c r="M2214" s="4" t="s">
        <v>22</v>
      </c>
      <c r="N2214" s="5">
        <v>570</v>
      </c>
      <c r="O2214" s="5">
        <v>52</v>
      </c>
      <c r="P2214" s="4" t="s">
        <v>114</v>
      </c>
      <c r="Q2214" s="8" t="s">
        <v>12</v>
      </c>
      <c r="R2214" s="4" t="s">
        <v>2588</v>
      </c>
      <c r="S2214" s="4"/>
      <c r="T2214"/>
      <c r="U2214" s="23"/>
    </row>
    <row r="2215" spans="1:21" ht="15.6" x14ac:dyDescent="0.3">
      <c r="A2215" s="4">
        <v>2214</v>
      </c>
      <c r="B2215" s="5">
        <v>9030598</v>
      </c>
      <c r="C2215" s="4" t="s">
        <v>147</v>
      </c>
      <c r="D2215" s="4" t="s">
        <v>1</v>
      </c>
      <c r="E2215" s="4" t="s">
        <v>2589</v>
      </c>
      <c r="F2215" s="4" t="s">
        <v>2941</v>
      </c>
      <c r="G2215" s="6">
        <v>5</v>
      </c>
      <c r="H2215" s="7">
        <v>45252.781805555554</v>
      </c>
      <c r="I2215" s="7" t="str">
        <f>TEXT(multilingual_mobile_app_reviews_2025[[#This Row],[Review_date]],"dd-mm-yyyy")</f>
        <v>22-11-2023</v>
      </c>
      <c r="J2215" s="7" t="str">
        <f>TEXT(multilingual_mobile_app_reviews_2025[[#This Row],[Review_date]],"YYYY")</f>
        <v>2023</v>
      </c>
      <c r="K2215" s="7" t="str">
        <f>TEXT(multilingual_mobile_app_reviews_2025[[#This Row],[Review_date]],"MMMM")</f>
        <v>November</v>
      </c>
      <c r="L2215" s="4" t="b">
        <v>1</v>
      </c>
      <c r="M2215" s="4" t="s">
        <v>33</v>
      </c>
      <c r="N2215" s="5">
        <v>318</v>
      </c>
      <c r="O2215" s="5">
        <v>48</v>
      </c>
      <c r="P2215" s="4" t="s">
        <v>70</v>
      </c>
      <c r="Q2215" s="8" t="s">
        <v>2963</v>
      </c>
      <c r="R2215" s="4" t="s">
        <v>2590</v>
      </c>
      <c r="S2215" s="4"/>
      <c r="T2215"/>
      <c r="U2215" s="23"/>
    </row>
    <row r="2216" spans="1:21" ht="15.6" x14ac:dyDescent="0.3">
      <c r="A2216" s="4">
        <v>2215</v>
      </c>
      <c r="B2216" s="5">
        <v>1728546</v>
      </c>
      <c r="C2216" s="4" t="s">
        <v>106</v>
      </c>
      <c r="D2216" s="4" t="s">
        <v>31</v>
      </c>
      <c r="E2216" s="4" t="s">
        <v>2591</v>
      </c>
      <c r="F2216" s="4" t="s">
        <v>2945</v>
      </c>
      <c r="G2216" s="6">
        <v>3.7</v>
      </c>
      <c r="H2216" s="7">
        <v>45481.36378472222</v>
      </c>
      <c r="I2216" s="7" t="str">
        <f>TEXT(multilingual_mobile_app_reviews_2025[[#This Row],[Review_date]],"dd-mm-yyyy")</f>
        <v>08-07-2024</v>
      </c>
      <c r="J2216" s="7" t="str">
        <f>TEXT(multilingual_mobile_app_reviews_2025[[#This Row],[Review_date]],"YYYY")</f>
        <v>2024</v>
      </c>
      <c r="K2216" s="7" t="str">
        <f>TEXT(multilingual_mobile_app_reviews_2025[[#This Row],[Review_date]],"MMMM")</f>
        <v>July</v>
      </c>
      <c r="L2216" s="4" t="b">
        <v>1</v>
      </c>
      <c r="M2216" s="4" t="s">
        <v>33</v>
      </c>
      <c r="N2216" s="5">
        <v>519</v>
      </c>
      <c r="O2216" s="5">
        <v>22</v>
      </c>
      <c r="P2216" s="4" t="s">
        <v>127</v>
      </c>
      <c r="Q2216" s="8" t="s">
        <v>2963</v>
      </c>
      <c r="R2216" s="4" t="s">
        <v>2592</v>
      </c>
      <c r="S2216" s="4"/>
      <c r="T2216"/>
      <c r="U2216" s="23"/>
    </row>
    <row r="2217" spans="1:21" ht="15.6" x14ac:dyDescent="0.3">
      <c r="A2217" s="4">
        <v>2216</v>
      </c>
      <c r="B2217" s="5">
        <v>9695061</v>
      </c>
      <c r="C2217" s="4" t="s">
        <v>84</v>
      </c>
      <c r="D2217" s="4" t="s">
        <v>71</v>
      </c>
      <c r="E2217" s="4" t="s">
        <v>130</v>
      </c>
      <c r="F2217" s="4" t="s">
        <v>2961</v>
      </c>
      <c r="G2217" s="6">
        <v>3</v>
      </c>
      <c r="H2217" s="7">
        <v>45280.112650462965</v>
      </c>
      <c r="I2217" s="7" t="str">
        <f>TEXT(multilingual_mobile_app_reviews_2025[[#This Row],[Review_date]],"dd-mm-yyyy")</f>
        <v>20-12-2023</v>
      </c>
      <c r="J2217" s="7" t="str">
        <f>TEXT(multilingual_mobile_app_reviews_2025[[#This Row],[Review_date]],"YYYY")</f>
        <v>2023</v>
      </c>
      <c r="K2217" s="7" t="str">
        <f>TEXT(multilingual_mobile_app_reviews_2025[[#This Row],[Review_date]],"MMMM")</f>
        <v>December</v>
      </c>
      <c r="L2217" s="4" t="b">
        <v>1</v>
      </c>
      <c r="M2217" s="4" t="s">
        <v>10</v>
      </c>
      <c r="N2217" s="5">
        <v>1126</v>
      </c>
      <c r="O2217" s="5">
        <v>53</v>
      </c>
      <c r="P2217" s="4" t="s">
        <v>73</v>
      </c>
      <c r="Q2217" s="8" t="s">
        <v>12</v>
      </c>
      <c r="R2217" s="4" t="s">
        <v>2593</v>
      </c>
      <c r="S2217" s="4"/>
      <c r="T2217"/>
      <c r="U2217" s="23"/>
    </row>
    <row r="2218" spans="1:21" ht="15.6" x14ac:dyDescent="0.3">
      <c r="A2218" s="4">
        <v>2217</v>
      </c>
      <c r="B2218" s="5">
        <v>433139</v>
      </c>
      <c r="C2218" s="4" t="s">
        <v>174</v>
      </c>
      <c r="D2218" s="4" t="s">
        <v>20</v>
      </c>
      <c r="E2218" s="4" t="s">
        <v>109</v>
      </c>
      <c r="F2218" s="4" t="s">
        <v>2954</v>
      </c>
      <c r="G2218" s="6">
        <v>2.4</v>
      </c>
      <c r="H2218" s="7">
        <v>45520.845011574071</v>
      </c>
      <c r="I2218" s="7" t="str">
        <f>TEXT(multilingual_mobile_app_reviews_2025[[#This Row],[Review_date]],"dd-mm-yyyy")</f>
        <v>16-08-2024</v>
      </c>
      <c r="J2218" s="7" t="str">
        <f>TEXT(multilingual_mobile_app_reviews_2025[[#This Row],[Review_date]],"YYYY")</f>
        <v>2024</v>
      </c>
      <c r="K2218" s="7" t="str">
        <f>TEXT(multilingual_mobile_app_reviews_2025[[#This Row],[Review_date]],"MMMM")</f>
        <v>August</v>
      </c>
      <c r="L2218" s="4" t="b">
        <v>0</v>
      </c>
      <c r="M2218" s="4" t="s">
        <v>22</v>
      </c>
      <c r="N2218" s="5">
        <v>869</v>
      </c>
      <c r="O2218" s="5">
        <v>41</v>
      </c>
      <c r="P2218" s="4" t="s">
        <v>144</v>
      </c>
      <c r="Q2218" s="8" t="s">
        <v>2963</v>
      </c>
      <c r="R2218" s="4" t="s">
        <v>2594</v>
      </c>
      <c r="S2218" s="4"/>
      <c r="T2218"/>
      <c r="U2218" s="23"/>
    </row>
    <row r="2219" spans="1:21" ht="15.6" x14ac:dyDescent="0.3">
      <c r="A2219" s="4">
        <v>2218</v>
      </c>
      <c r="B2219" s="5">
        <v>9609040</v>
      </c>
      <c r="C2219" s="4" t="s">
        <v>192</v>
      </c>
      <c r="D2219" s="4" t="s">
        <v>8</v>
      </c>
      <c r="E2219" s="4" t="s">
        <v>2595</v>
      </c>
      <c r="F2219" s="4" t="s">
        <v>2947</v>
      </c>
      <c r="G2219" s="6">
        <v>3.4</v>
      </c>
      <c r="H2219" s="7">
        <v>45151.271296296298</v>
      </c>
      <c r="I2219" s="7" t="str">
        <f>TEXT(multilingual_mobile_app_reviews_2025[[#This Row],[Review_date]],"dd-mm-yyyy")</f>
        <v>13-08-2023</v>
      </c>
      <c r="J2219" s="7" t="str">
        <f>TEXT(multilingual_mobile_app_reviews_2025[[#This Row],[Review_date]],"YYYY")</f>
        <v>2023</v>
      </c>
      <c r="K2219" s="7" t="str">
        <f>TEXT(multilingual_mobile_app_reviews_2025[[#This Row],[Review_date]],"MMMM")</f>
        <v>August</v>
      </c>
      <c r="L2219" s="4" t="b">
        <v>0</v>
      </c>
      <c r="M2219" s="4" t="s">
        <v>22</v>
      </c>
      <c r="N2219" s="5">
        <v>1044</v>
      </c>
      <c r="O2219" s="5">
        <v>69</v>
      </c>
      <c r="P2219" s="4" t="s">
        <v>94</v>
      </c>
      <c r="Q2219" s="8" t="s">
        <v>2963</v>
      </c>
      <c r="R2219" s="4" t="s">
        <v>2596</v>
      </c>
      <c r="S2219" s="4"/>
      <c r="T2219"/>
      <c r="U2219" s="23"/>
    </row>
    <row r="2220" spans="1:21" ht="15.6" x14ac:dyDescent="0.3">
      <c r="A2220" s="4">
        <v>2219</v>
      </c>
      <c r="B2220" s="5">
        <v>7108491</v>
      </c>
      <c r="C2220" s="4" t="s">
        <v>165</v>
      </c>
      <c r="D2220" s="4" t="s">
        <v>57</v>
      </c>
      <c r="E2220" s="4" t="s">
        <v>64</v>
      </c>
      <c r="F2220" s="4" t="s">
        <v>2960</v>
      </c>
      <c r="G2220" s="6">
        <v>4.7</v>
      </c>
      <c r="H2220" s="7">
        <v>45270.191180555557</v>
      </c>
      <c r="I2220" s="7" t="str">
        <f>TEXT(multilingual_mobile_app_reviews_2025[[#This Row],[Review_date]],"dd-mm-yyyy")</f>
        <v>10-12-2023</v>
      </c>
      <c r="J2220" s="7" t="str">
        <f>TEXT(multilingual_mobile_app_reviews_2025[[#This Row],[Review_date]],"YYYY")</f>
        <v>2023</v>
      </c>
      <c r="K2220" s="7" t="str">
        <f>TEXT(multilingual_mobile_app_reviews_2025[[#This Row],[Review_date]],"MMMM")</f>
        <v>December</v>
      </c>
      <c r="L2220" s="4" t="b">
        <v>1</v>
      </c>
      <c r="M2220" s="4" t="s">
        <v>98</v>
      </c>
      <c r="N2220" s="5">
        <v>106</v>
      </c>
      <c r="O2220" s="5">
        <v>31</v>
      </c>
      <c r="P2220" s="4" t="s">
        <v>118</v>
      </c>
      <c r="Q2220" s="8" t="s">
        <v>29</v>
      </c>
      <c r="R2220" s="4" t="s">
        <v>2597</v>
      </c>
      <c r="S2220" s="4"/>
      <c r="T2220"/>
      <c r="U2220" s="23"/>
    </row>
    <row r="2221" spans="1:21" ht="15.6" x14ac:dyDescent="0.3">
      <c r="A2221" s="4">
        <v>2220</v>
      </c>
      <c r="B2221" s="5">
        <v>4339867</v>
      </c>
      <c r="C2221" s="4" t="s">
        <v>101</v>
      </c>
      <c r="D2221" s="4" t="s">
        <v>26</v>
      </c>
      <c r="E2221" s="4" t="s">
        <v>64</v>
      </c>
      <c r="F2221" s="4" t="s">
        <v>2940</v>
      </c>
      <c r="G2221" s="6">
        <v>1.6</v>
      </c>
      <c r="H2221" s="7">
        <v>45288.027060185188</v>
      </c>
      <c r="I2221" s="7" t="str">
        <f>TEXT(multilingual_mobile_app_reviews_2025[[#This Row],[Review_date]],"dd-mm-yyyy")</f>
        <v>28-12-2023</v>
      </c>
      <c r="J2221" s="7" t="str">
        <f>TEXT(multilingual_mobile_app_reviews_2025[[#This Row],[Review_date]],"YYYY")</f>
        <v>2023</v>
      </c>
      <c r="K2221" s="7" t="str">
        <f>TEXT(multilingual_mobile_app_reviews_2025[[#This Row],[Review_date]],"MMMM")</f>
        <v>December</v>
      </c>
      <c r="L2221" s="4" t="b">
        <v>1</v>
      </c>
      <c r="M2221" s="4" t="s">
        <v>10</v>
      </c>
      <c r="N2221" s="5">
        <v>41</v>
      </c>
      <c r="O2221" s="5">
        <v>29</v>
      </c>
      <c r="P2221" s="4" t="s">
        <v>4</v>
      </c>
      <c r="Q2221" s="8" t="s">
        <v>12</v>
      </c>
      <c r="R2221" s="4" t="s">
        <v>2598</v>
      </c>
      <c r="S2221" s="4"/>
      <c r="T2221"/>
      <c r="U2221" s="23"/>
    </row>
    <row r="2222" spans="1:21" ht="15.6" x14ac:dyDescent="0.3">
      <c r="A2222" s="4">
        <v>2221</v>
      </c>
      <c r="B2222" s="5">
        <v>4801744</v>
      </c>
      <c r="C2222" s="4" t="s">
        <v>67</v>
      </c>
      <c r="D2222" s="4" t="s">
        <v>8</v>
      </c>
      <c r="E2222" s="4" t="s">
        <v>16</v>
      </c>
      <c r="F2222" s="4" t="s">
        <v>2962</v>
      </c>
      <c r="G2222" s="6">
        <v>3.5</v>
      </c>
      <c r="H2222" s="7">
        <v>45543.109444444446</v>
      </c>
      <c r="I2222" s="7" t="str">
        <f>TEXT(multilingual_mobile_app_reviews_2025[[#This Row],[Review_date]],"dd-mm-yyyy")</f>
        <v>08-09-2024</v>
      </c>
      <c r="J2222" s="7" t="str">
        <f>TEXT(multilingual_mobile_app_reviews_2025[[#This Row],[Review_date]],"YYYY")</f>
        <v>2024</v>
      </c>
      <c r="K2222" s="7" t="str">
        <f>TEXT(multilingual_mobile_app_reviews_2025[[#This Row],[Review_date]],"MMMM")</f>
        <v>September</v>
      </c>
      <c r="L2222" s="4" t="b">
        <v>1</v>
      </c>
      <c r="M2222" s="4" t="s">
        <v>22</v>
      </c>
      <c r="N2222" s="5">
        <v>732</v>
      </c>
      <c r="O2222" s="5">
        <v>33</v>
      </c>
      <c r="P2222" s="4" t="s">
        <v>118</v>
      </c>
      <c r="Q2222" s="8" t="s">
        <v>12</v>
      </c>
      <c r="R2222" s="4" t="s">
        <v>2599</v>
      </c>
      <c r="S2222" s="4"/>
      <c r="T2222"/>
      <c r="U2222" s="23"/>
    </row>
    <row r="2223" spans="1:21" ht="15.6" x14ac:dyDescent="0.3">
      <c r="A2223" s="4">
        <v>2222</v>
      </c>
      <c r="B2223" s="5">
        <v>8314276</v>
      </c>
      <c r="C2223" s="4" t="s">
        <v>14</v>
      </c>
      <c r="D2223" s="4" t="s">
        <v>26</v>
      </c>
      <c r="E2223" s="4" t="s">
        <v>2600</v>
      </c>
      <c r="F2223" s="4" t="s">
        <v>2947</v>
      </c>
      <c r="G2223" s="6">
        <v>1.2</v>
      </c>
      <c r="H2223" s="7">
        <v>45170.301168981481</v>
      </c>
      <c r="I2223" s="7" t="str">
        <f>TEXT(multilingual_mobile_app_reviews_2025[[#This Row],[Review_date]],"dd-mm-yyyy")</f>
        <v>01-09-2023</v>
      </c>
      <c r="J2223" s="7" t="str">
        <f>TEXT(multilingual_mobile_app_reviews_2025[[#This Row],[Review_date]],"YYYY")</f>
        <v>2023</v>
      </c>
      <c r="K2223" s="7" t="str">
        <f>TEXT(multilingual_mobile_app_reviews_2025[[#This Row],[Review_date]],"MMMM")</f>
        <v>September</v>
      </c>
      <c r="L2223" s="4" t="b">
        <v>1</v>
      </c>
      <c r="M2223" s="4" t="s">
        <v>98</v>
      </c>
      <c r="N2223" s="5">
        <v>134</v>
      </c>
      <c r="O2223" s="5">
        <v>55</v>
      </c>
      <c r="P2223" s="4" t="s">
        <v>61</v>
      </c>
      <c r="Q2223" s="8" t="s">
        <v>29</v>
      </c>
      <c r="R2223" s="4" t="s">
        <v>2601</v>
      </c>
      <c r="S2223" s="4"/>
      <c r="T2223"/>
      <c r="U2223" s="23"/>
    </row>
    <row r="2224" spans="1:21" ht="15.6" x14ac:dyDescent="0.3">
      <c r="A2224" s="4">
        <v>2223</v>
      </c>
      <c r="B2224" s="5">
        <v>7785433</v>
      </c>
      <c r="C2224" s="4" t="s">
        <v>132</v>
      </c>
      <c r="D2224" s="4" t="s">
        <v>60</v>
      </c>
      <c r="E2224" s="4" t="s">
        <v>27</v>
      </c>
      <c r="F2224" s="4" t="s">
        <v>2953</v>
      </c>
      <c r="G2224" s="6">
        <v>4.3</v>
      </c>
      <c r="H2224" s="7">
        <v>45651.057569444441</v>
      </c>
      <c r="I2224" s="7" t="str">
        <f>TEXT(multilingual_mobile_app_reviews_2025[[#This Row],[Review_date]],"dd-mm-yyyy")</f>
        <v>25-12-2024</v>
      </c>
      <c r="J2224" s="7" t="str">
        <f>TEXT(multilingual_mobile_app_reviews_2025[[#This Row],[Review_date]],"YYYY")</f>
        <v>2024</v>
      </c>
      <c r="K2224" s="7" t="str">
        <f>TEXT(multilingual_mobile_app_reviews_2025[[#This Row],[Review_date]],"MMMM")</f>
        <v>December</v>
      </c>
      <c r="L2224" s="4" t="b">
        <v>1</v>
      </c>
      <c r="M2224" s="4" t="s">
        <v>3</v>
      </c>
      <c r="N2224" s="5">
        <v>90</v>
      </c>
      <c r="O2224" s="5">
        <v>18</v>
      </c>
      <c r="P2224" s="4" t="s">
        <v>118</v>
      </c>
      <c r="Q2224" s="8" t="s">
        <v>12</v>
      </c>
      <c r="R2224" s="4" t="s">
        <v>2602</v>
      </c>
      <c r="S2224" s="4"/>
      <c r="T2224"/>
      <c r="U2224" s="23"/>
    </row>
    <row r="2225" spans="1:21" ht="15.6" x14ac:dyDescent="0.3">
      <c r="A2225" s="4">
        <v>2224</v>
      </c>
      <c r="B2225" s="5">
        <v>5685451</v>
      </c>
      <c r="C2225" s="4" t="s">
        <v>46</v>
      </c>
      <c r="D2225" s="4" t="s">
        <v>47</v>
      </c>
      <c r="E2225" s="4" t="s">
        <v>2603</v>
      </c>
      <c r="F2225" s="4" t="s">
        <v>2959</v>
      </c>
      <c r="G2225" s="6">
        <v>3.1</v>
      </c>
      <c r="H2225" s="7">
        <v>45504.032025462962</v>
      </c>
      <c r="I2225" s="7" t="str">
        <f>TEXT(multilingual_mobile_app_reviews_2025[[#This Row],[Review_date]],"dd-mm-yyyy")</f>
        <v>31-07-2024</v>
      </c>
      <c r="J2225" s="7" t="str">
        <f>TEXT(multilingual_mobile_app_reviews_2025[[#This Row],[Review_date]],"YYYY")</f>
        <v>2024</v>
      </c>
      <c r="K2225" s="7" t="str">
        <f>TEXT(multilingual_mobile_app_reviews_2025[[#This Row],[Review_date]],"MMMM")</f>
        <v>July</v>
      </c>
      <c r="L2225" s="4" t="b">
        <v>1</v>
      </c>
      <c r="M2225" s="4" t="s">
        <v>10</v>
      </c>
      <c r="N2225" s="5">
        <v>552</v>
      </c>
      <c r="O2225" s="5">
        <v>67</v>
      </c>
      <c r="P2225" s="4" t="s">
        <v>61</v>
      </c>
      <c r="Q2225" s="8" t="s">
        <v>2963</v>
      </c>
      <c r="R2225" s="4" t="s">
        <v>2604</v>
      </c>
      <c r="S2225" s="4"/>
      <c r="T2225"/>
      <c r="U2225" s="23"/>
    </row>
    <row r="2226" spans="1:21" ht="15.6" x14ac:dyDescent="0.3">
      <c r="A2226" s="4">
        <v>2225</v>
      </c>
      <c r="B2226" s="5">
        <v>6616222</v>
      </c>
      <c r="C2226" s="4" t="s">
        <v>19</v>
      </c>
      <c r="D2226" s="4" t="s">
        <v>8</v>
      </c>
      <c r="E2226" s="4" t="s">
        <v>2605</v>
      </c>
      <c r="F2226" s="4" t="s">
        <v>2949</v>
      </c>
      <c r="G2226" s="6">
        <v>3.8</v>
      </c>
      <c r="H2226" s="7">
        <v>45423.775509259256</v>
      </c>
      <c r="I2226" s="7" t="str">
        <f>TEXT(multilingual_mobile_app_reviews_2025[[#This Row],[Review_date]],"dd-mm-yyyy")</f>
        <v>11-05-2024</v>
      </c>
      <c r="J2226" s="7" t="str">
        <f>TEXT(multilingual_mobile_app_reviews_2025[[#This Row],[Review_date]],"YYYY")</f>
        <v>2024</v>
      </c>
      <c r="K2226" s="7" t="str">
        <f>TEXT(multilingual_mobile_app_reviews_2025[[#This Row],[Review_date]],"MMMM")</f>
        <v>May</v>
      </c>
      <c r="L2226" s="4" t="b">
        <v>1</v>
      </c>
      <c r="M2226" s="4" t="s">
        <v>98</v>
      </c>
      <c r="N2226" s="5">
        <v>66</v>
      </c>
      <c r="O2226" s="5">
        <v>74</v>
      </c>
      <c r="P2226" s="4" t="s">
        <v>114</v>
      </c>
      <c r="Q2226" s="8" t="s">
        <v>39</v>
      </c>
      <c r="R2226" s="4" t="s">
        <v>2606</v>
      </c>
      <c r="S2226" s="4"/>
      <c r="T2226"/>
      <c r="U2226" s="23"/>
    </row>
    <row r="2227" spans="1:21" ht="15.6" x14ac:dyDescent="0.3">
      <c r="A2227" s="4">
        <v>2226</v>
      </c>
      <c r="B2227" s="5">
        <v>7222166</v>
      </c>
      <c r="C2227" s="4" t="s">
        <v>25</v>
      </c>
      <c r="D2227" s="4" t="s">
        <v>26</v>
      </c>
      <c r="E2227" s="4" t="s">
        <v>27</v>
      </c>
      <c r="F2227" s="4" t="s">
        <v>2958</v>
      </c>
      <c r="G2227" s="6">
        <v>4.4000000000000004</v>
      </c>
      <c r="H2227" s="7">
        <v>45455.156006944446</v>
      </c>
      <c r="I2227" s="7" t="str">
        <f>TEXT(multilingual_mobile_app_reviews_2025[[#This Row],[Review_date]],"dd-mm-yyyy")</f>
        <v>12-06-2024</v>
      </c>
      <c r="J2227" s="7" t="str">
        <f>TEXT(multilingual_mobile_app_reviews_2025[[#This Row],[Review_date]],"YYYY")</f>
        <v>2024</v>
      </c>
      <c r="K2227" s="7" t="str">
        <f>TEXT(multilingual_mobile_app_reviews_2025[[#This Row],[Review_date]],"MMMM")</f>
        <v>June</v>
      </c>
      <c r="L2227" s="4" t="b">
        <v>0</v>
      </c>
      <c r="M2227" s="4" t="s">
        <v>3</v>
      </c>
      <c r="N2227" s="5">
        <v>992</v>
      </c>
      <c r="O2227" s="5">
        <v>51</v>
      </c>
      <c r="P2227" s="4" t="s">
        <v>90</v>
      </c>
      <c r="Q2227" s="8" t="s">
        <v>29</v>
      </c>
      <c r="R2227" s="4" t="s">
        <v>2607</v>
      </c>
      <c r="S2227" s="4"/>
      <c r="T2227"/>
      <c r="U2227" s="23"/>
    </row>
    <row r="2228" spans="1:21" ht="15.6" x14ac:dyDescent="0.3">
      <c r="A2228" s="4">
        <v>2227</v>
      </c>
      <c r="B2228" s="5">
        <v>5839966</v>
      </c>
      <c r="C2228" s="4" t="s">
        <v>199</v>
      </c>
      <c r="D2228" s="4" t="s">
        <v>26</v>
      </c>
      <c r="E2228" s="4" t="s">
        <v>32</v>
      </c>
      <c r="F2228" s="4" t="s">
        <v>2944</v>
      </c>
      <c r="G2228" s="6">
        <v>4</v>
      </c>
      <c r="H2228" s="7">
        <v>45241.66988425926</v>
      </c>
      <c r="I2228" s="7" t="str">
        <f>TEXT(multilingual_mobile_app_reviews_2025[[#This Row],[Review_date]],"dd-mm-yyyy")</f>
        <v>11-11-2023</v>
      </c>
      <c r="J2228" s="7" t="str">
        <f>TEXT(multilingual_mobile_app_reviews_2025[[#This Row],[Review_date]],"YYYY")</f>
        <v>2023</v>
      </c>
      <c r="K2228" s="7" t="str">
        <f>TEXT(multilingual_mobile_app_reviews_2025[[#This Row],[Review_date]],"MMMM")</f>
        <v>November</v>
      </c>
      <c r="L2228" s="4" t="b">
        <v>1</v>
      </c>
      <c r="M2228" s="4" t="s">
        <v>3</v>
      </c>
      <c r="N2228" s="5">
        <v>1209</v>
      </c>
      <c r="O2228" s="5">
        <v>69</v>
      </c>
      <c r="P2228" s="4" t="s">
        <v>230</v>
      </c>
      <c r="Q2228" s="8" t="s">
        <v>2963</v>
      </c>
      <c r="R2228" s="4" t="s">
        <v>119</v>
      </c>
      <c r="S2228" s="4"/>
      <c r="T2228"/>
      <c r="U2228" s="23"/>
    </row>
    <row r="2229" spans="1:21" ht="15.6" x14ac:dyDescent="0.3">
      <c r="A2229" s="4">
        <v>2228</v>
      </c>
      <c r="B2229" s="5">
        <v>4488717</v>
      </c>
      <c r="C2229" s="4" t="s">
        <v>134</v>
      </c>
      <c r="D2229" s="4" t="s">
        <v>97</v>
      </c>
      <c r="E2229" s="4" t="s">
        <v>2938</v>
      </c>
      <c r="F2229" s="4" t="s">
        <v>2949</v>
      </c>
      <c r="G2229" s="6">
        <v>4.3</v>
      </c>
      <c r="H2229" s="7">
        <v>45618.47415509259</v>
      </c>
      <c r="I2229" s="7" t="str">
        <f>TEXT(multilingual_mobile_app_reviews_2025[[#This Row],[Review_date]],"dd-mm-yyyy")</f>
        <v>22-11-2024</v>
      </c>
      <c r="J2229" s="7" t="str">
        <f>TEXT(multilingual_mobile_app_reviews_2025[[#This Row],[Review_date]],"YYYY")</f>
        <v>2024</v>
      </c>
      <c r="K2229" s="7" t="str">
        <f>TEXT(multilingual_mobile_app_reviews_2025[[#This Row],[Review_date]],"MMMM")</f>
        <v>November</v>
      </c>
      <c r="L2229" s="4" t="b">
        <v>1</v>
      </c>
      <c r="M2229" s="4" t="s">
        <v>98</v>
      </c>
      <c r="N2229" s="5">
        <v>783</v>
      </c>
      <c r="O2229" s="5">
        <v>16</v>
      </c>
      <c r="P2229" s="4" t="s">
        <v>162</v>
      </c>
      <c r="Q2229" s="8" t="s">
        <v>2963</v>
      </c>
      <c r="R2229" s="4" t="s">
        <v>2608</v>
      </c>
      <c r="S2229" s="4"/>
      <c r="T2229"/>
      <c r="U2229" s="23"/>
    </row>
    <row r="2230" spans="1:21" ht="15.6" x14ac:dyDescent="0.3">
      <c r="A2230" s="4">
        <v>2229</v>
      </c>
      <c r="B2230" s="5">
        <v>2721335</v>
      </c>
      <c r="C2230" s="4" t="s">
        <v>59</v>
      </c>
      <c r="D2230" s="4" t="s">
        <v>63</v>
      </c>
      <c r="E2230" s="4" t="s">
        <v>9</v>
      </c>
      <c r="F2230" s="4" t="s">
        <v>2940</v>
      </c>
      <c r="G2230" s="6">
        <v>2.1</v>
      </c>
      <c r="H2230" s="7">
        <v>45591.517395833333</v>
      </c>
      <c r="I2230" s="7" t="str">
        <f>TEXT(multilingual_mobile_app_reviews_2025[[#This Row],[Review_date]],"dd-mm-yyyy")</f>
        <v>26-10-2024</v>
      </c>
      <c r="J2230" s="7" t="str">
        <f>TEXT(multilingual_mobile_app_reviews_2025[[#This Row],[Review_date]],"YYYY")</f>
        <v>2024</v>
      </c>
      <c r="K2230" s="7" t="str">
        <f>TEXT(multilingual_mobile_app_reviews_2025[[#This Row],[Review_date]],"MMMM")</f>
        <v>October</v>
      </c>
      <c r="L2230" s="4" t="b">
        <v>0</v>
      </c>
      <c r="M2230" s="4" t="s">
        <v>10</v>
      </c>
      <c r="N2230" s="5">
        <v>187</v>
      </c>
      <c r="O2230" s="5">
        <v>70</v>
      </c>
      <c r="P2230" s="4" t="s">
        <v>114</v>
      </c>
      <c r="Q2230" s="8" t="s">
        <v>39</v>
      </c>
      <c r="R2230" s="4" t="s">
        <v>2609</v>
      </c>
      <c r="S2230" s="4"/>
      <c r="T2230"/>
      <c r="U2230" s="23"/>
    </row>
    <row r="2231" spans="1:21" ht="15.6" x14ac:dyDescent="0.3">
      <c r="A2231" s="4">
        <v>2230</v>
      </c>
      <c r="B2231" s="5">
        <v>7830320</v>
      </c>
      <c r="C2231" s="4" t="s">
        <v>59</v>
      </c>
      <c r="D2231" s="4" t="s">
        <v>42</v>
      </c>
      <c r="E2231" s="4" t="s">
        <v>16</v>
      </c>
      <c r="F2231" s="4" t="s">
        <v>2953</v>
      </c>
      <c r="G2231" s="6">
        <v>2.8</v>
      </c>
      <c r="H2231" s="7">
        <v>45628.992719907408</v>
      </c>
      <c r="I2231" s="7" t="str">
        <f>TEXT(multilingual_mobile_app_reviews_2025[[#This Row],[Review_date]],"dd-mm-yyyy")</f>
        <v>02-12-2024</v>
      </c>
      <c r="J2231" s="7" t="str">
        <f>TEXT(multilingual_mobile_app_reviews_2025[[#This Row],[Review_date]],"YYYY")</f>
        <v>2024</v>
      </c>
      <c r="K2231" s="7" t="str">
        <f>TEXT(multilingual_mobile_app_reviews_2025[[#This Row],[Review_date]],"MMMM")</f>
        <v>December</v>
      </c>
      <c r="L2231" s="4" t="b">
        <v>1</v>
      </c>
      <c r="M2231" s="4" t="s">
        <v>33</v>
      </c>
      <c r="N2231" s="5">
        <v>850</v>
      </c>
      <c r="O2231" s="5">
        <v>75</v>
      </c>
      <c r="P2231" s="4" t="s">
        <v>65</v>
      </c>
      <c r="Q2231" s="8" t="s">
        <v>29</v>
      </c>
      <c r="R2231" s="4" t="s">
        <v>2610</v>
      </c>
      <c r="S2231" s="4"/>
      <c r="T2231"/>
      <c r="U2231" s="23"/>
    </row>
    <row r="2232" spans="1:21" ht="15.6" x14ac:dyDescent="0.3">
      <c r="A2232" s="4">
        <v>2231</v>
      </c>
      <c r="B2232" s="5">
        <v>1875578</v>
      </c>
      <c r="C2232" s="4" t="s">
        <v>87</v>
      </c>
      <c r="D2232" s="4" t="s">
        <v>20</v>
      </c>
      <c r="E2232" s="4" t="s">
        <v>109</v>
      </c>
      <c r="F2232" s="4" t="s">
        <v>2946</v>
      </c>
      <c r="G2232" s="6">
        <v>4.9000000000000004</v>
      </c>
      <c r="H2232" s="7">
        <v>45614.671712962961</v>
      </c>
      <c r="I2232" s="7" t="str">
        <f>TEXT(multilingual_mobile_app_reviews_2025[[#This Row],[Review_date]],"dd-mm-yyyy")</f>
        <v>18-11-2024</v>
      </c>
      <c r="J2232" s="7" t="str">
        <f>TEXT(multilingual_mobile_app_reviews_2025[[#This Row],[Review_date]],"YYYY")</f>
        <v>2024</v>
      </c>
      <c r="K2232" s="7" t="str">
        <f>TEXT(multilingual_mobile_app_reviews_2025[[#This Row],[Review_date]],"MMMM")</f>
        <v>November</v>
      </c>
      <c r="L2232" s="4" t="b">
        <v>1</v>
      </c>
      <c r="M2232" s="4" t="s">
        <v>33</v>
      </c>
      <c r="N2232" s="5">
        <v>160</v>
      </c>
      <c r="O2232" s="5">
        <v>41</v>
      </c>
      <c r="P2232" s="4" t="s">
        <v>38</v>
      </c>
      <c r="Q2232" s="8" t="s">
        <v>12</v>
      </c>
      <c r="R2232" s="4" t="s">
        <v>2611</v>
      </c>
      <c r="S2232" s="4"/>
      <c r="T2232"/>
      <c r="U2232" s="23"/>
    </row>
    <row r="2233" spans="1:21" ht="15.6" x14ac:dyDescent="0.3">
      <c r="A2233" s="4">
        <v>2232</v>
      </c>
      <c r="B2233" s="5">
        <v>1042316</v>
      </c>
      <c r="C2233" s="4" t="s">
        <v>54</v>
      </c>
      <c r="D2233" s="4" t="s">
        <v>31</v>
      </c>
      <c r="E2233" s="4" t="s">
        <v>16</v>
      </c>
      <c r="F2233" s="4" t="s">
        <v>2957</v>
      </c>
      <c r="G2233" s="6">
        <v>1.2</v>
      </c>
      <c r="H2233" s="7">
        <v>45685.805902777778</v>
      </c>
      <c r="I2233" s="7" t="str">
        <f>TEXT(multilingual_mobile_app_reviews_2025[[#This Row],[Review_date]],"dd-mm-yyyy")</f>
        <v>28-01-2025</v>
      </c>
      <c r="J2233" s="7" t="str">
        <f>TEXT(multilingual_mobile_app_reviews_2025[[#This Row],[Review_date]],"YYYY")</f>
        <v>2025</v>
      </c>
      <c r="K2233" s="7" t="str">
        <f>TEXT(multilingual_mobile_app_reviews_2025[[#This Row],[Review_date]],"MMMM")</f>
        <v>January</v>
      </c>
      <c r="L2233" s="4" t="b">
        <v>1</v>
      </c>
      <c r="M2233" s="4" t="s">
        <v>10</v>
      </c>
      <c r="N2233" s="5">
        <v>248</v>
      </c>
      <c r="O2233" s="5">
        <v>68</v>
      </c>
      <c r="P2233" s="4" t="s">
        <v>70</v>
      </c>
      <c r="Q2233" s="8" t="s">
        <v>2963</v>
      </c>
      <c r="R2233" s="4" t="s">
        <v>2612</v>
      </c>
      <c r="S2233" s="4"/>
      <c r="T2233"/>
      <c r="U2233" s="23"/>
    </row>
    <row r="2234" spans="1:21" ht="15.6" x14ac:dyDescent="0.3">
      <c r="A2234" s="4">
        <v>2233</v>
      </c>
      <c r="B2234" s="5">
        <v>3447412</v>
      </c>
      <c r="C2234" s="4" t="s">
        <v>69</v>
      </c>
      <c r="D2234" s="4" t="s">
        <v>79</v>
      </c>
      <c r="E2234" s="4" t="s">
        <v>130</v>
      </c>
      <c r="F2234" s="4" t="s">
        <v>2947</v>
      </c>
      <c r="G2234" s="6">
        <v>3.2</v>
      </c>
      <c r="H2234" s="7">
        <v>45851.911631944444</v>
      </c>
      <c r="I2234" s="7" t="str">
        <f>TEXT(multilingual_mobile_app_reviews_2025[[#This Row],[Review_date]],"dd-mm-yyyy")</f>
        <v>13-07-2025</v>
      </c>
      <c r="J2234" s="7" t="str">
        <f>TEXT(multilingual_mobile_app_reviews_2025[[#This Row],[Review_date]],"YYYY")</f>
        <v>2025</v>
      </c>
      <c r="K2234" s="7" t="str">
        <f>TEXT(multilingual_mobile_app_reviews_2025[[#This Row],[Review_date]],"MMMM")</f>
        <v>July</v>
      </c>
      <c r="L2234" s="4" t="b">
        <v>0</v>
      </c>
      <c r="M2234" s="4" t="s">
        <v>22</v>
      </c>
      <c r="N2234" s="5">
        <v>1038</v>
      </c>
      <c r="O2234" s="5">
        <v>31</v>
      </c>
      <c r="P2234" s="4" t="s">
        <v>162</v>
      </c>
      <c r="Q2234" s="8" t="s">
        <v>39</v>
      </c>
      <c r="R2234" s="4" t="s">
        <v>2613</v>
      </c>
      <c r="S2234" s="4"/>
      <c r="T2234"/>
      <c r="U2234" s="23"/>
    </row>
    <row r="2235" spans="1:21" ht="15.6" x14ac:dyDescent="0.3">
      <c r="A2235" s="4">
        <v>2234</v>
      </c>
      <c r="B2235" s="5">
        <v>1461565</v>
      </c>
      <c r="C2235" s="4" t="s">
        <v>78</v>
      </c>
      <c r="D2235" s="4" t="s">
        <v>157</v>
      </c>
      <c r="E2235" s="4" t="s">
        <v>2614</v>
      </c>
      <c r="F2235" s="4" t="s">
        <v>2949</v>
      </c>
      <c r="G2235" s="6">
        <v>4</v>
      </c>
      <c r="H2235" s="7">
        <v>45319.913553240738</v>
      </c>
      <c r="I2235" s="7" t="str">
        <f>TEXT(multilingual_mobile_app_reviews_2025[[#This Row],[Review_date]],"dd-mm-yyyy")</f>
        <v>28-01-2024</v>
      </c>
      <c r="J2235" s="7" t="str">
        <f>TEXT(multilingual_mobile_app_reviews_2025[[#This Row],[Review_date]],"YYYY")</f>
        <v>2024</v>
      </c>
      <c r="K2235" s="7" t="str">
        <f>TEXT(multilingual_mobile_app_reviews_2025[[#This Row],[Review_date]],"MMMM")</f>
        <v>January</v>
      </c>
      <c r="L2235" s="4" t="b">
        <v>1</v>
      </c>
      <c r="M2235" s="4" t="s">
        <v>10</v>
      </c>
      <c r="N2235" s="5">
        <v>1200</v>
      </c>
      <c r="O2235" s="5">
        <v>68</v>
      </c>
      <c r="P2235" s="4" t="s">
        <v>80</v>
      </c>
      <c r="Q2235" s="8" t="s">
        <v>39</v>
      </c>
      <c r="R2235" s="4" t="s">
        <v>2615</v>
      </c>
      <c r="S2235" s="4"/>
      <c r="T2235"/>
      <c r="U2235" s="23"/>
    </row>
    <row r="2236" spans="1:21" ht="15.6" x14ac:dyDescent="0.3">
      <c r="A2236" s="4">
        <v>2235</v>
      </c>
      <c r="B2236" s="5">
        <v>938837</v>
      </c>
      <c r="C2236" s="4" t="s">
        <v>104</v>
      </c>
      <c r="D2236" s="4" t="s">
        <v>47</v>
      </c>
      <c r="E2236" s="4" t="s">
        <v>32</v>
      </c>
      <c r="F2236" s="4" t="s">
        <v>2946</v>
      </c>
      <c r="G2236" s="6">
        <v>4.5999999999999996</v>
      </c>
      <c r="H2236" s="7">
        <v>45695.772465277776</v>
      </c>
      <c r="I2236" s="7" t="str">
        <f>TEXT(multilingual_mobile_app_reviews_2025[[#This Row],[Review_date]],"dd-mm-yyyy")</f>
        <v>07-02-2025</v>
      </c>
      <c r="J2236" s="7" t="str">
        <f>TEXT(multilingual_mobile_app_reviews_2025[[#This Row],[Review_date]],"YYYY")</f>
        <v>2025</v>
      </c>
      <c r="K2236" s="7" t="str">
        <f>TEXT(multilingual_mobile_app_reviews_2025[[#This Row],[Review_date]],"MMMM")</f>
        <v>February</v>
      </c>
      <c r="L2236" s="4" t="b">
        <v>1</v>
      </c>
      <c r="M2236" s="4" t="s">
        <v>10</v>
      </c>
      <c r="N2236" s="5">
        <v>111</v>
      </c>
      <c r="O2236" s="5">
        <v>70</v>
      </c>
      <c r="P2236" s="4" t="s">
        <v>85</v>
      </c>
      <c r="Q2236" s="8" t="s">
        <v>2963</v>
      </c>
      <c r="R2236" s="4" t="s">
        <v>2616</v>
      </c>
      <c r="S2236" s="4"/>
      <c r="T2236"/>
      <c r="U2236" s="23"/>
    </row>
    <row r="2237" spans="1:21" ht="15.6" x14ac:dyDescent="0.3">
      <c r="A2237" s="4">
        <v>2236</v>
      </c>
      <c r="B2237" s="5">
        <v>6591120</v>
      </c>
      <c r="C2237" s="4" t="s">
        <v>96</v>
      </c>
      <c r="D2237" s="4" t="s">
        <v>57</v>
      </c>
      <c r="E2237" s="4" t="s">
        <v>76</v>
      </c>
      <c r="F2237" s="4" t="s">
        <v>2957</v>
      </c>
      <c r="G2237" s="6">
        <v>4.0999999999999996</v>
      </c>
      <c r="H2237" s="7">
        <v>45387.744155092594</v>
      </c>
      <c r="I2237" s="7" t="str">
        <f>TEXT(multilingual_mobile_app_reviews_2025[[#This Row],[Review_date]],"dd-mm-yyyy")</f>
        <v>05-04-2024</v>
      </c>
      <c r="J2237" s="7" t="str">
        <f>TEXT(multilingual_mobile_app_reviews_2025[[#This Row],[Review_date]],"YYYY")</f>
        <v>2024</v>
      </c>
      <c r="K2237" s="7" t="str">
        <f>TEXT(multilingual_mobile_app_reviews_2025[[#This Row],[Review_date]],"MMMM")</f>
        <v>April</v>
      </c>
      <c r="L2237" s="4" t="b">
        <v>0</v>
      </c>
      <c r="M2237" s="4" t="s">
        <v>10</v>
      </c>
      <c r="N2237" s="5">
        <v>829</v>
      </c>
      <c r="O2237" s="5">
        <v>64</v>
      </c>
      <c r="P2237" s="4" t="s">
        <v>180</v>
      </c>
      <c r="Q2237" s="8" t="s">
        <v>12</v>
      </c>
      <c r="R2237" s="4" t="s">
        <v>2617</v>
      </c>
      <c r="S2237" s="4"/>
      <c r="T2237"/>
      <c r="U2237" s="23"/>
    </row>
    <row r="2238" spans="1:21" ht="15.6" x14ac:dyDescent="0.3">
      <c r="A2238" s="4">
        <v>2237</v>
      </c>
      <c r="B2238" s="5">
        <v>8980742</v>
      </c>
      <c r="C2238" s="4" t="s">
        <v>199</v>
      </c>
      <c r="D2238" s="4" t="s">
        <v>79</v>
      </c>
      <c r="E2238" s="4" t="s">
        <v>2618</v>
      </c>
      <c r="F2238" s="4" t="s">
        <v>2960</v>
      </c>
      <c r="G2238" s="6">
        <v>3.9</v>
      </c>
      <c r="H2238" s="7">
        <v>45285.947337962964</v>
      </c>
      <c r="I2238" s="7" t="str">
        <f>TEXT(multilingual_mobile_app_reviews_2025[[#This Row],[Review_date]],"dd-mm-yyyy")</f>
        <v>25-12-2023</v>
      </c>
      <c r="J2238" s="7" t="str">
        <f>TEXT(multilingual_mobile_app_reviews_2025[[#This Row],[Review_date]],"YYYY")</f>
        <v>2023</v>
      </c>
      <c r="K2238" s="7" t="str">
        <f>TEXT(multilingual_mobile_app_reviews_2025[[#This Row],[Review_date]],"MMMM")</f>
        <v>December</v>
      </c>
      <c r="L2238" s="4" t="b">
        <v>0</v>
      </c>
      <c r="M2238" s="4" t="s">
        <v>3</v>
      </c>
      <c r="N2238" s="5">
        <v>127</v>
      </c>
      <c r="O2238" s="5">
        <v>27</v>
      </c>
      <c r="P2238" s="4" t="s">
        <v>162</v>
      </c>
      <c r="Q2238" s="8" t="s">
        <v>39</v>
      </c>
      <c r="R2238" s="4" t="s">
        <v>120</v>
      </c>
      <c r="S2238" s="4"/>
      <c r="T2238"/>
      <c r="U2238" s="23"/>
    </row>
    <row r="2239" spans="1:21" ht="15.6" x14ac:dyDescent="0.3">
      <c r="A2239" s="4">
        <v>2238</v>
      </c>
      <c r="B2239" s="5">
        <v>2180547</v>
      </c>
      <c r="C2239" s="4" t="s">
        <v>101</v>
      </c>
      <c r="D2239" s="4" t="s">
        <v>20</v>
      </c>
      <c r="E2239" s="4" t="s">
        <v>2619</v>
      </c>
      <c r="F2239" s="4" t="s">
        <v>2960</v>
      </c>
      <c r="G2239" s="6">
        <v>4.7</v>
      </c>
      <c r="H2239" s="7">
        <v>45189.096006944441</v>
      </c>
      <c r="I2239" s="7" t="str">
        <f>TEXT(multilingual_mobile_app_reviews_2025[[#This Row],[Review_date]],"dd-mm-yyyy")</f>
        <v>20-09-2023</v>
      </c>
      <c r="J2239" s="7" t="str">
        <f>TEXT(multilingual_mobile_app_reviews_2025[[#This Row],[Review_date]],"YYYY")</f>
        <v>2023</v>
      </c>
      <c r="K2239" s="7" t="str">
        <f>TEXT(multilingual_mobile_app_reviews_2025[[#This Row],[Review_date]],"MMMM")</f>
        <v>September</v>
      </c>
      <c r="L2239" s="4" t="b">
        <v>1</v>
      </c>
      <c r="M2239" s="4" t="s">
        <v>22</v>
      </c>
      <c r="N2239" s="5">
        <v>790</v>
      </c>
      <c r="O2239" s="5">
        <v>67</v>
      </c>
      <c r="P2239" s="4" t="s">
        <v>23</v>
      </c>
      <c r="Q2239" s="8" t="s">
        <v>5</v>
      </c>
      <c r="R2239" s="4" t="s">
        <v>2620</v>
      </c>
      <c r="S2239" s="4"/>
      <c r="T2239"/>
      <c r="U2239" s="23"/>
    </row>
    <row r="2240" spans="1:21" ht="15.6" x14ac:dyDescent="0.3">
      <c r="A2240" s="4">
        <v>2239</v>
      </c>
      <c r="B2240" s="5">
        <v>1153323</v>
      </c>
      <c r="C2240" s="4" t="s">
        <v>199</v>
      </c>
      <c r="D2240" s="4" t="s">
        <v>63</v>
      </c>
      <c r="E2240" s="4" t="s">
        <v>64</v>
      </c>
      <c r="F2240" s="4" t="s">
        <v>2939</v>
      </c>
      <c r="G2240" s="6">
        <v>2.5</v>
      </c>
      <c r="H2240" s="7">
        <v>45522.519641203704</v>
      </c>
      <c r="I2240" s="7" t="str">
        <f>TEXT(multilingual_mobile_app_reviews_2025[[#This Row],[Review_date]],"dd-mm-yyyy")</f>
        <v>18-08-2024</v>
      </c>
      <c r="J2240" s="7" t="str">
        <f>TEXT(multilingual_mobile_app_reviews_2025[[#This Row],[Review_date]],"YYYY")</f>
        <v>2024</v>
      </c>
      <c r="K2240" s="7" t="str">
        <f>TEXT(multilingual_mobile_app_reviews_2025[[#This Row],[Review_date]],"MMMM")</f>
        <v>August</v>
      </c>
      <c r="L2240" s="4" t="b">
        <v>1</v>
      </c>
      <c r="M2240" s="4" t="s">
        <v>10</v>
      </c>
      <c r="N2240" s="5">
        <v>37</v>
      </c>
      <c r="O2240" s="5">
        <v>52</v>
      </c>
      <c r="P2240" s="4" t="s">
        <v>70</v>
      </c>
      <c r="Q2240" s="8" t="s">
        <v>2963</v>
      </c>
      <c r="R2240" s="4" t="s">
        <v>2621</v>
      </c>
      <c r="S2240" s="4"/>
      <c r="T2240"/>
      <c r="U2240" s="23"/>
    </row>
    <row r="2241" spans="1:21" ht="15.6" x14ac:dyDescent="0.3">
      <c r="A2241" s="4">
        <v>2240</v>
      </c>
      <c r="B2241" s="5">
        <v>1113410</v>
      </c>
      <c r="C2241" s="4" t="s">
        <v>46</v>
      </c>
      <c r="D2241" s="4" t="s">
        <v>60</v>
      </c>
      <c r="E2241" s="4" t="s">
        <v>2622</v>
      </c>
      <c r="F2241" s="4" t="s">
        <v>2940</v>
      </c>
      <c r="G2241" s="6">
        <v>3.6</v>
      </c>
      <c r="H2241" s="7">
        <v>45738.031574074077</v>
      </c>
      <c r="I2241" s="7" t="str">
        <f>TEXT(multilingual_mobile_app_reviews_2025[[#This Row],[Review_date]],"dd-mm-yyyy")</f>
        <v>22-03-2025</v>
      </c>
      <c r="J2241" s="7" t="str">
        <f>TEXT(multilingual_mobile_app_reviews_2025[[#This Row],[Review_date]],"YYYY")</f>
        <v>2025</v>
      </c>
      <c r="K2241" s="7" t="str">
        <f>TEXT(multilingual_mobile_app_reviews_2025[[#This Row],[Review_date]],"MMMM")</f>
        <v>March</v>
      </c>
      <c r="L2241" s="4" t="b">
        <v>1</v>
      </c>
      <c r="M2241" s="4" t="s">
        <v>3</v>
      </c>
      <c r="N2241" s="5">
        <v>797</v>
      </c>
      <c r="O2241" s="5">
        <v>33</v>
      </c>
      <c r="P2241" s="4" t="s">
        <v>34</v>
      </c>
      <c r="Q2241" s="8" t="s">
        <v>39</v>
      </c>
      <c r="R2241" s="4" t="s">
        <v>2623</v>
      </c>
      <c r="S2241" s="4"/>
      <c r="T2241"/>
      <c r="U2241" s="23"/>
    </row>
    <row r="2242" spans="1:21" ht="15.6" x14ac:dyDescent="0.3">
      <c r="A2242" s="4">
        <v>2241</v>
      </c>
      <c r="B2242" s="5">
        <v>1205263</v>
      </c>
      <c r="C2242" s="4" t="s">
        <v>25</v>
      </c>
      <c r="D2242" s="4" t="s">
        <v>8</v>
      </c>
      <c r="E2242" s="4" t="s">
        <v>9</v>
      </c>
      <c r="F2242" s="4" t="s">
        <v>2956</v>
      </c>
      <c r="G2242" s="6">
        <v>3.9</v>
      </c>
      <c r="H2242" s="7">
        <v>45580.989861111113</v>
      </c>
      <c r="I2242" s="7" t="str">
        <f>TEXT(multilingual_mobile_app_reviews_2025[[#This Row],[Review_date]],"dd-mm-yyyy")</f>
        <v>15-10-2024</v>
      </c>
      <c r="J2242" s="7" t="str">
        <f>TEXT(multilingual_mobile_app_reviews_2025[[#This Row],[Review_date]],"YYYY")</f>
        <v>2024</v>
      </c>
      <c r="K2242" s="7" t="str">
        <f>TEXT(multilingual_mobile_app_reviews_2025[[#This Row],[Review_date]],"MMMM")</f>
        <v>October</v>
      </c>
      <c r="L2242" s="4" t="b">
        <v>1</v>
      </c>
      <c r="M2242" s="4" t="s">
        <v>98</v>
      </c>
      <c r="N2242" s="5">
        <v>1092</v>
      </c>
      <c r="O2242" s="5">
        <v>51</v>
      </c>
      <c r="P2242" s="4" t="s">
        <v>61</v>
      </c>
      <c r="Q2242" s="8" t="s">
        <v>29</v>
      </c>
      <c r="R2242" s="4" t="s">
        <v>2624</v>
      </c>
      <c r="S2242" s="4"/>
      <c r="T2242"/>
      <c r="U2242" s="23"/>
    </row>
    <row r="2243" spans="1:21" ht="15.6" x14ac:dyDescent="0.3">
      <c r="A2243" s="4">
        <v>2242</v>
      </c>
      <c r="B2243" s="5">
        <v>5453005</v>
      </c>
      <c r="C2243" s="4" t="s">
        <v>258</v>
      </c>
      <c r="D2243" s="4" t="s">
        <v>42</v>
      </c>
      <c r="E2243" s="4" t="s">
        <v>2625</v>
      </c>
      <c r="F2243" s="4" t="s">
        <v>2940</v>
      </c>
      <c r="G2243" s="6">
        <v>2.1</v>
      </c>
      <c r="H2243" s="7">
        <v>45316.057812500003</v>
      </c>
      <c r="I2243" s="7" t="str">
        <f>TEXT(multilingual_mobile_app_reviews_2025[[#This Row],[Review_date]],"dd-mm-yyyy")</f>
        <v>25-01-2024</v>
      </c>
      <c r="J2243" s="7" t="str">
        <f>TEXT(multilingual_mobile_app_reviews_2025[[#This Row],[Review_date]],"YYYY")</f>
        <v>2024</v>
      </c>
      <c r="K2243" s="7" t="str">
        <f>TEXT(multilingual_mobile_app_reviews_2025[[#This Row],[Review_date]],"MMMM")</f>
        <v>January</v>
      </c>
      <c r="L2243" s="4" t="b">
        <v>1</v>
      </c>
      <c r="M2243" s="4" t="s">
        <v>98</v>
      </c>
      <c r="N2243" s="5">
        <v>259</v>
      </c>
      <c r="O2243" s="5">
        <v>44</v>
      </c>
      <c r="P2243" s="4" t="s">
        <v>38</v>
      </c>
      <c r="Q2243" s="8" t="s">
        <v>2963</v>
      </c>
      <c r="R2243" s="4" t="s">
        <v>2626</v>
      </c>
      <c r="S2243" s="4"/>
      <c r="T2243"/>
      <c r="U2243" s="23"/>
    </row>
    <row r="2244" spans="1:21" ht="15.6" x14ac:dyDescent="0.3">
      <c r="A2244" s="4">
        <v>2243</v>
      </c>
      <c r="B2244" s="5">
        <v>2961403</v>
      </c>
      <c r="C2244" s="4" t="s">
        <v>89</v>
      </c>
      <c r="D2244" s="4" t="s">
        <v>42</v>
      </c>
      <c r="E2244" s="4" t="s">
        <v>2627</v>
      </c>
      <c r="F2244" s="4" t="s">
        <v>2947</v>
      </c>
      <c r="G2244" s="6">
        <v>2.2999999999999998</v>
      </c>
      <c r="H2244" s="7">
        <v>45249.237314814818</v>
      </c>
      <c r="I2244" s="7" t="str">
        <f>TEXT(multilingual_mobile_app_reviews_2025[[#This Row],[Review_date]],"dd-mm-yyyy")</f>
        <v>19-11-2023</v>
      </c>
      <c r="J2244" s="7" t="str">
        <f>TEXT(multilingual_mobile_app_reviews_2025[[#This Row],[Review_date]],"YYYY")</f>
        <v>2023</v>
      </c>
      <c r="K2244" s="7" t="str">
        <f>TEXT(multilingual_mobile_app_reviews_2025[[#This Row],[Review_date]],"MMMM")</f>
        <v>November</v>
      </c>
      <c r="L2244" s="4" t="b">
        <v>0</v>
      </c>
      <c r="M2244" s="4" t="s">
        <v>3</v>
      </c>
      <c r="N2244" s="5">
        <v>429</v>
      </c>
      <c r="O2244" s="5">
        <v>70</v>
      </c>
      <c r="P2244" s="4" t="s">
        <v>34</v>
      </c>
      <c r="Q2244" s="8" t="s">
        <v>2963</v>
      </c>
      <c r="R2244" s="4" t="s">
        <v>2628</v>
      </c>
      <c r="S2244" s="4"/>
      <c r="T2244"/>
      <c r="U2244" s="23"/>
    </row>
    <row r="2245" spans="1:21" ht="15.6" x14ac:dyDescent="0.3">
      <c r="A2245" s="4">
        <v>2244</v>
      </c>
      <c r="B2245" s="5">
        <v>6568693</v>
      </c>
      <c r="C2245" s="4" t="s">
        <v>192</v>
      </c>
      <c r="D2245" s="4" t="s">
        <v>47</v>
      </c>
      <c r="E2245" s="4" t="s">
        <v>27</v>
      </c>
      <c r="F2245" s="4" t="s">
        <v>2952</v>
      </c>
      <c r="G2245" s="6">
        <v>1.1000000000000001</v>
      </c>
      <c r="H2245" s="7">
        <v>45464.7890162037</v>
      </c>
      <c r="I2245" s="7" t="str">
        <f>TEXT(multilingual_mobile_app_reviews_2025[[#This Row],[Review_date]],"dd-mm-yyyy")</f>
        <v>21-06-2024</v>
      </c>
      <c r="J2245" s="7" t="str">
        <f>TEXT(multilingual_mobile_app_reviews_2025[[#This Row],[Review_date]],"YYYY")</f>
        <v>2024</v>
      </c>
      <c r="K2245" s="7" t="str">
        <f>TEXT(multilingual_mobile_app_reviews_2025[[#This Row],[Review_date]],"MMMM")</f>
        <v>June</v>
      </c>
      <c r="L2245" s="4" t="b">
        <v>1</v>
      </c>
      <c r="M2245" s="4" t="s">
        <v>22</v>
      </c>
      <c r="N2245" s="5">
        <v>1098</v>
      </c>
      <c r="O2245" s="5">
        <v>36</v>
      </c>
      <c r="P2245" s="4" t="s">
        <v>4</v>
      </c>
      <c r="Q2245" s="8" t="s">
        <v>39</v>
      </c>
      <c r="R2245" s="4" t="s">
        <v>876</v>
      </c>
      <c r="S2245" s="4"/>
      <c r="T2245"/>
      <c r="U2245" s="23"/>
    </row>
    <row r="2246" spans="1:21" ht="15.6" x14ac:dyDescent="0.3">
      <c r="A2246" s="4">
        <v>2245</v>
      </c>
      <c r="B2246" s="5">
        <v>2439281</v>
      </c>
      <c r="C2246" s="4" t="s">
        <v>106</v>
      </c>
      <c r="D2246" s="4" t="s">
        <v>20</v>
      </c>
      <c r="E2246" s="4" t="s">
        <v>9</v>
      </c>
      <c r="F2246" s="4" t="s">
        <v>2939</v>
      </c>
      <c r="G2246" s="6">
        <v>3.9</v>
      </c>
      <c r="H2246" s="7">
        <v>45751.14203703704</v>
      </c>
      <c r="I2246" s="7" t="str">
        <f>TEXT(multilingual_mobile_app_reviews_2025[[#This Row],[Review_date]],"dd-mm-yyyy")</f>
        <v>04-04-2025</v>
      </c>
      <c r="J2246" s="7" t="str">
        <f>TEXT(multilingual_mobile_app_reviews_2025[[#This Row],[Review_date]],"YYYY")</f>
        <v>2025</v>
      </c>
      <c r="K2246" s="7" t="str">
        <f>TEXT(multilingual_mobile_app_reviews_2025[[#This Row],[Review_date]],"MMMM")</f>
        <v>April</v>
      </c>
      <c r="L2246" s="4" t="b">
        <v>1</v>
      </c>
      <c r="M2246" s="4" t="s">
        <v>98</v>
      </c>
      <c r="N2246" s="5">
        <v>426</v>
      </c>
      <c r="O2246" s="5">
        <v>75</v>
      </c>
      <c r="P2246" s="4" t="s">
        <v>144</v>
      </c>
      <c r="Q2246" s="8" t="s">
        <v>2963</v>
      </c>
      <c r="R2246" s="4" t="s">
        <v>2629</v>
      </c>
      <c r="S2246" s="4"/>
      <c r="T2246"/>
      <c r="U2246" s="23"/>
    </row>
    <row r="2247" spans="1:21" ht="15.6" x14ac:dyDescent="0.3">
      <c r="A2247" s="4">
        <v>2246</v>
      </c>
      <c r="B2247" s="5">
        <v>6499792</v>
      </c>
      <c r="C2247" s="4" t="s">
        <v>96</v>
      </c>
      <c r="D2247" s="4" t="s">
        <v>1</v>
      </c>
      <c r="E2247" s="4" t="s">
        <v>109</v>
      </c>
      <c r="F2247" s="4" t="s">
        <v>2944</v>
      </c>
      <c r="G2247" s="6">
        <v>3.9</v>
      </c>
      <c r="H2247" s="7">
        <v>45814.821817129632</v>
      </c>
      <c r="I2247" s="7" t="str">
        <f>TEXT(multilingual_mobile_app_reviews_2025[[#This Row],[Review_date]],"dd-mm-yyyy")</f>
        <v>06-06-2025</v>
      </c>
      <c r="J2247" s="7" t="str">
        <f>TEXT(multilingual_mobile_app_reviews_2025[[#This Row],[Review_date]],"YYYY")</f>
        <v>2025</v>
      </c>
      <c r="K2247" s="7" t="str">
        <f>TEXT(multilingual_mobile_app_reviews_2025[[#This Row],[Review_date]],"MMMM")</f>
        <v>June</v>
      </c>
      <c r="L2247" s="4" t="b">
        <v>0</v>
      </c>
      <c r="M2247" s="4" t="s">
        <v>10</v>
      </c>
      <c r="N2247" s="5">
        <v>138</v>
      </c>
      <c r="O2247" s="5">
        <v>34</v>
      </c>
      <c r="P2247" s="4" t="s">
        <v>90</v>
      </c>
      <c r="Q2247" s="8" t="s">
        <v>2963</v>
      </c>
      <c r="R2247" s="4" t="s">
        <v>2630</v>
      </c>
      <c r="S2247" s="4"/>
      <c r="T2247"/>
      <c r="U2247" s="23"/>
    </row>
    <row r="2248" spans="1:21" ht="15.6" x14ac:dyDescent="0.3">
      <c r="A2248" s="4">
        <v>2247</v>
      </c>
      <c r="B2248" s="5">
        <v>2606246</v>
      </c>
      <c r="C2248" s="4" t="s">
        <v>147</v>
      </c>
      <c r="D2248" s="4" t="s">
        <v>31</v>
      </c>
      <c r="E2248" s="4" t="s">
        <v>27</v>
      </c>
      <c r="F2248" s="4" t="s">
        <v>2948</v>
      </c>
      <c r="G2248" s="6">
        <v>2.9</v>
      </c>
      <c r="H2248" s="7">
        <v>45449.115601851852</v>
      </c>
      <c r="I2248" s="7" t="str">
        <f>TEXT(multilingual_mobile_app_reviews_2025[[#This Row],[Review_date]],"dd-mm-yyyy")</f>
        <v>06-06-2024</v>
      </c>
      <c r="J2248" s="7" t="str">
        <f>TEXT(multilingual_mobile_app_reviews_2025[[#This Row],[Review_date]],"YYYY")</f>
        <v>2024</v>
      </c>
      <c r="K2248" s="7" t="str">
        <f>TEXT(multilingual_mobile_app_reviews_2025[[#This Row],[Review_date]],"MMMM")</f>
        <v>June</v>
      </c>
      <c r="L2248" s="4" t="b">
        <v>1</v>
      </c>
      <c r="M2248" s="4" t="s">
        <v>33</v>
      </c>
      <c r="N2248" s="5">
        <v>415</v>
      </c>
      <c r="O2248" s="5">
        <v>15</v>
      </c>
      <c r="P2248" s="4" t="s">
        <v>28</v>
      </c>
      <c r="Q2248" s="8" t="s">
        <v>5</v>
      </c>
      <c r="R2248" s="4" t="s">
        <v>2631</v>
      </c>
      <c r="S2248" s="4"/>
      <c r="T2248"/>
      <c r="U2248" s="23"/>
    </row>
    <row r="2249" spans="1:21" ht="15.6" x14ac:dyDescent="0.3">
      <c r="A2249" s="4">
        <v>2248</v>
      </c>
      <c r="B2249" s="5">
        <v>334044</v>
      </c>
      <c r="C2249" s="4" t="s">
        <v>258</v>
      </c>
      <c r="D2249" s="4" t="s">
        <v>157</v>
      </c>
      <c r="E2249" s="4" t="s">
        <v>16</v>
      </c>
      <c r="F2249" s="4" t="s">
        <v>2959</v>
      </c>
      <c r="G2249" s="6">
        <v>2.9</v>
      </c>
      <c r="H2249" s="7">
        <v>45476.272175925929</v>
      </c>
      <c r="I2249" s="7" t="str">
        <f>TEXT(multilingual_mobile_app_reviews_2025[[#This Row],[Review_date]],"dd-mm-yyyy")</f>
        <v>03-07-2024</v>
      </c>
      <c r="J2249" s="7" t="str">
        <f>TEXT(multilingual_mobile_app_reviews_2025[[#This Row],[Review_date]],"YYYY")</f>
        <v>2024</v>
      </c>
      <c r="K2249" s="7" t="str">
        <f>TEXT(multilingual_mobile_app_reviews_2025[[#This Row],[Review_date]],"MMMM")</f>
        <v>July</v>
      </c>
      <c r="L2249" s="4" t="b">
        <v>0</v>
      </c>
      <c r="M2249" s="4" t="s">
        <v>33</v>
      </c>
      <c r="N2249" s="5">
        <v>608</v>
      </c>
      <c r="O2249" s="5">
        <v>52</v>
      </c>
      <c r="P2249" s="4" t="s">
        <v>4</v>
      </c>
      <c r="Q2249" s="8" t="s">
        <v>5</v>
      </c>
      <c r="R2249" s="4" t="s">
        <v>1375</v>
      </c>
      <c r="S2249" s="4"/>
      <c r="T2249"/>
      <c r="U2249" s="23"/>
    </row>
    <row r="2250" spans="1:21" ht="15.6" x14ac:dyDescent="0.3">
      <c r="A2250" s="4">
        <v>2249</v>
      </c>
      <c r="B2250" s="5">
        <v>2998766</v>
      </c>
      <c r="C2250" s="4" t="s">
        <v>101</v>
      </c>
      <c r="D2250" s="4" t="s">
        <v>71</v>
      </c>
      <c r="E2250" s="4" t="s">
        <v>2632</v>
      </c>
      <c r="F2250" s="4" t="s">
        <v>2958</v>
      </c>
      <c r="G2250" s="6">
        <v>1.8</v>
      </c>
      <c r="H2250" s="7">
        <v>45656.012037037035</v>
      </c>
      <c r="I2250" s="7" t="str">
        <f>TEXT(multilingual_mobile_app_reviews_2025[[#This Row],[Review_date]],"dd-mm-yyyy")</f>
        <v>30-12-2024</v>
      </c>
      <c r="J2250" s="7" t="str">
        <f>TEXT(multilingual_mobile_app_reviews_2025[[#This Row],[Review_date]],"YYYY")</f>
        <v>2024</v>
      </c>
      <c r="K2250" s="7" t="str">
        <f>TEXT(multilingual_mobile_app_reviews_2025[[#This Row],[Review_date]],"MMMM")</f>
        <v>December</v>
      </c>
      <c r="L2250" s="4" t="b">
        <v>1</v>
      </c>
      <c r="M2250" s="4" t="s">
        <v>10</v>
      </c>
      <c r="N2250" s="5">
        <v>645</v>
      </c>
      <c r="O2250" s="5">
        <v>57</v>
      </c>
      <c r="P2250" s="4" t="s">
        <v>144</v>
      </c>
      <c r="Q2250" s="8" t="s">
        <v>39</v>
      </c>
      <c r="R2250" s="4" t="s">
        <v>86</v>
      </c>
      <c r="S2250" s="4"/>
      <c r="T2250"/>
      <c r="U2250" s="23"/>
    </row>
    <row r="2251" spans="1:21" ht="15.6" x14ac:dyDescent="0.3">
      <c r="A2251" s="4">
        <v>2250</v>
      </c>
      <c r="B2251" s="5">
        <v>6028554</v>
      </c>
      <c r="C2251" s="4" t="s">
        <v>50</v>
      </c>
      <c r="D2251" s="4" t="s">
        <v>26</v>
      </c>
      <c r="E2251" s="4" t="s">
        <v>93</v>
      </c>
      <c r="F2251" s="4" t="s">
        <v>2949</v>
      </c>
      <c r="G2251" s="6">
        <v>3</v>
      </c>
      <c r="H2251" s="7">
        <v>45221.219837962963</v>
      </c>
      <c r="I2251" s="7" t="str">
        <f>TEXT(multilingual_mobile_app_reviews_2025[[#This Row],[Review_date]],"dd-mm-yyyy")</f>
        <v>22-10-2023</v>
      </c>
      <c r="J2251" s="7" t="str">
        <f>TEXT(multilingual_mobile_app_reviews_2025[[#This Row],[Review_date]],"YYYY")</f>
        <v>2023</v>
      </c>
      <c r="K2251" s="7" t="str">
        <f>TEXT(multilingual_mobile_app_reviews_2025[[#This Row],[Review_date]],"MMMM")</f>
        <v>October</v>
      </c>
      <c r="L2251" s="4" t="b">
        <v>1</v>
      </c>
      <c r="M2251" s="4" t="s">
        <v>3</v>
      </c>
      <c r="N2251" s="5">
        <v>467</v>
      </c>
      <c r="O2251" s="5">
        <v>28</v>
      </c>
      <c r="P2251" s="4" t="s">
        <v>94</v>
      </c>
      <c r="Q2251" s="8" t="s">
        <v>12</v>
      </c>
      <c r="R2251" s="4" t="s">
        <v>2333</v>
      </c>
      <c r="S2251" s="4"/>
      <c r="T2251"/>
      <c r="U2251" s="23"/>
    </row>
    <row r="2252" spans="1:21" ht="15.6" x14ac:dyDescent="0.3">
      <c r="A2252" s="4">
        <v>2251</v>
      </c>
      <c r="B2252" s="5">
        <v>5523780</v>
      </c>
      <c r="C2252" s="4" t="s">
        <v>154</v>
      </c>
      <c r="D2252" s="4" t="s">
        <v>97</v>
      </c>
      <c r="E2252" s="4" t="s">
        <v>2938</v>
      </c>
      <c r="F2252" s="4" t="s">
        <v>2954</v>
      </c>
      <c r="G2252" s="6">
        <v>1.1000000000000001</v>
      </c>
      <c r="H2252" s="7">
        <v>45687.263402777775</v>
      </c>
      <c r="I2252" s="7" t="str">
        <f>TEXT(multilingual_mobile_app_reviews_2025[[#This Row],[Review_date]],"dd-mm-yyyy")</f>
        <v>30-01-2025</v>
      </c>
      <c r="J2252" s="7" t="str">
        <f>TEXT(multilingual_mobile_app_reviews_2025[[#This Row],[Review_date]],"YYYY")</f>
        <v>2025</v>
      </c>
      <c r="K2252" s="7" t="str">
        <f>TEXT(multilingual_mobile_app_reviews_2025[[#This Row],[Review_date]],"MMMM")</f>
        <v>January</v>
      </c>
      <c r="L2252" s="4" t="b">
        <v>1</v>
      </c>
      <c r="M2252" s="4" t="s">
        <v>22</v>
      </c>
      <c r="N2252" s="5">
        <v>1015</v>
      </c>
      <c r="O2252" s="5">
        <v>14</v>
      </c>
      <c r="P2252" s="4" t="s">
        <v>230</v>
      </c>
      <c r="Q2252" s="8" t="s">
        <v>12</v>
      </c>
      <c r="R2252" s="4" t="s">
        <v>2633</v>
      </c>
      <c r="S2252" s="4"/>
      <c r="T2252"/>
      <c r="U2252" s="23"/>
    </row>
    <row r="2253" spans="1:21" ht="15.6" x14ac:dyDescent="0.3">
      <c r="A2253" s="4">
        <v>2252</v>
      </c>
      <c r="B2253" s="5">
        <v>4954015</v>
      </c>
      <c r="C2253" s="4" t="s">
        <v>101</v>
      </c>
      <c r="D2253" s="4" t="s">
        <v>157</v>
      </c>
      <c r="E2253" s="4" t="s">
        <v>32</v>
      </c>
      <c r="F2253" s="4" t="s">
        <v>2940</v>
      </c>
      <c r="G2253" s="6">
        <v>4</v>
      </c>
      <c r="H2253" s="7">
        <v>45248.767326388886</v>
      </c>
      <c r="I2253" s="7" t="str">
        <f>TEXT(multilingual_mobile_app_reviews_2025[[#This Row],[Review_date]],"dd-mm-yyyy")</f>
        <v>18-11-2023</v>
      </c>
      <c r="J2253" s="7" t="str">
        <f>TEXT(multilingual_mobile_app_reviews_2025[[#This Row],[Review_date]],"YYYY")</f>
        <v>2023</v>
      </c>
      <c r="K2253" s="7" t="str">
        <f>TEXT(multilingual_mobile_app_reviews_2025[[#This Row],[Review_date]],"MMMM")</f>
        <v>November</v>
      </c>
      <c r="L2253" s="4" t="b">
        <v>1</v>
      </c>
      <c r="M2253" s="4" t="s">
        <v>3</v>
      </c>
      <c r="N2253" s="5">
        <v>644</v>
      </c>
      <c r="O2253" s="5">
        <v>43</v>
      </c>
      <c r="P2253" s="4" t="s">
        <v>44</v>
      </c>
      <c r="Q2253" s="8" t="s">
        <v>2963</v>
      </c>
      <c r="R2253" s="4" t="s">
        <v>2634</v>
      </c>
      <c r="S2253" s="4"/>
      <c r="T2253"/>
      <c r="U2253" s="23"/>
    </row>
    <row r="2254" spans="1:21" ht="15.6" x14ac:dyDescent="0.3">
      <c r="A2254" s="4">
        <v>2253</v>
      </c>
      <c r="B2254" s="5">
        <v>8803393</v>
      </c>
      <c r="C2254" s="4" t="s">
        <v>59</v>
      </c>
      <c r="D2254" s="4" t="s">
        <v>220</v>
      </c>
      <c r="E2254" s="4" t="s">
        <v>109</v>
      </c>
      <c r="F2254" s="4" t="s">
        <v>2950</v>
      </c>
      <c r="G2254" s="6">
        <v>2.8</v>
      </c>
      <c r="H2254" s="7">
        <v>45522.759293981479</v>
      </c>
      <c r="I2254" s="7" t="str">
        <f>TEXT(multilingual_mobile_app_reviews_2025[[#This Row],[Review_date]],"dd-mm-yyyy")</f>
        <v>18-08-2024</v>
      </c>
      <c r="J2254" s="7" t="str">
        <f>TEXT(multilingual_mobile_app_reviews_2025[[#This Row],[Review_date]],"YYYY")</f>
        <v>2024</v>
      </c>
      <c r="K2254" s="7" t="str">
        <f>TEXT(multilingual_mobile_app_reviews_2025[[#This Row],[Review_date]],"MMMM")</f>
        <v>August</v>
      </c>
      <c r="L2254" s="4" t="b">
        <v>1</v>
      </c>
      <c r="M2254" s="4" t="s">
        <v>98</v>
      </c>
      <c r="N2254" s="5">
        <v>1246</v>
      </c>
      <c r="O2254" s="5">
        <v>64</v>
      </c>
      <c r="P2254" s="4" t="s">
        <v>28</v>
      </c>
      <c r="Q2254" s="8" t="s">
        <v>2963</v>
      </c>
      <c r="R2254" s="4" t="s">
        <v>211</v>
      </c>
      <c r="S2254" s="4"/>
      <c r="T2254"/>
      <c r="U2254" s="23"/>
    </row>
    <row r="2255" spans="1:21" ht="15.6" x14ac:dyDescent="0.3">
      <c r="A2255" s="4">
        <v>2254</v>
      </c>
      <c r="B2255" s="5">
        <v>7085116</v>
      </c>
      <c r="C2255" s="4" t="s">
        <v>41</v>
      </c>
      <c r="D2255" s="4" t="s">
        <v>15</v>
      </c>
      <c r="E2255" s="4" t="s">
        <v>32</v>
      </c>
      <c r="F2255" s="4" t="s">
        <v>2959</v>
      </c>
      <c r="G2255" s="6">
        <v>2.6</v>
      </c>
      <c r="H2255" s="7">
        <v>45519.866226851853</v>
      </c>
      <c r="I2255" s="7" t="str">
        <f>TEXT(multilingual_mobile_app_reviews_2025[[#This Row],[Review_date]],"dd-mm-yyyy")</f>
        <v>15-08-2024</v>
      </c>
      <c r="J2255" s="7" t="str">
        <f>TEXT(multilingual_mobile_app_reviews_2025[[#This Row],[Review_date]],"YYYY")</f>
        <v>2024</v>
      </c>
      <c r="K2255" s="7" t="str">
        <f>TEXT(multilingual_mobile_app_reviews_2025[[#This Row],[Review_date]],"MMMM")</f>
        <v>August</v>
      </c>
      <c r="L2255" s="4" t="b">
        <v>1</v>
      </c>
      <c r="M2255" s="4" t="s">
        <v>33</v>
      </c>
      <c r="N2255" s="5">
        <v>356</v>
      </c>
      <c r="O2255" s="5">
        <v>45</v>
      </c>
      <c r="P2255" s="4" t="s">
        <v>38</v>
      </c>
      <c r="Q2255" s="8" t="s">
        <v>2963</v>
      </c>
      <c r="R2255" s="4" t="s">
        <v>2635</v>
      </c>
      <c r="S2255" s="4"/>
      <c r="T2255"/>
      <c r="U2255" s="23"/>
    </row>
    <row r="2256" spans="1:21" ht="15.6" x14ac:dyDescent="0.3">
      <c r="A2256" s="4">
        <v>2255</v>
      </c>
      <c r="B2256" s="5">
        <v>5267511</v>
      </c>
      <c r="C2256" s="4" t="s">
        <v>159</v>
      </c>
      <c r="D2256" s="4" t="s">
        <v>97</v>
      </c>
      <c r="E2256" s="4" t="s">
        <v>21</v>
      </c>
      <c r="F2256" s="4" t="s">
        <v>2961</v>
      </c>
      <c r="G2256" s="6">
        <v>4.5</v>
      </c>
      <c r="H2256" s="7">
        <v>45629.385509259257</v>
      </c>
      <c r="I2256" s="7" t="str">
        <f>TEXT(multilingual_mobile_app_reviews_2025[[#This Row],[Review_date]],"dd-mm-yyyy")</f>
        <v>03-12-2024</v>
      </c>
      <c r="J2256" s="7" t="str">
        <f>TEXT(multilingual_mobile_app_reviews_2025[[#This Row],[Review_date]],"YYYY")</f>
        <v>2024</v>
      </c>
      <c r="K2256" s="7" t="str">
        <f>TEXT(multilingual_mobile_app_reviews_2025[[#This Row],[Review_date]],"MMMM")</f>
        <v>December</v>
      </c>
      <c r="L2256" s="4" t="b">
        <v>1</v>
      </c>
      <c r="M2256" s="4" t="s">
        <v>10</v>
      </c>
      <c r="N2256" s="5">
        <v>351</v>
      </c>
      <c r="O2256" s="5">
        <v>47</v>
      </c>
      <c r="P2256" s="4" t="s">
        <v>94</v>
      </c>
      <c r="Q2256" s="8" t="s">
        <v>39</v>
      </c>
      <c r="R2256" s="4" t="s">
        <v>2636</v>
      </c>
      <c r="S2256" s="4"/>
      <c r="T2256"/>
      <c r="U2256" s="23"/>
    </row>
    <row r="2257" spans="1:21" ht="15.6" x14ac:dyDescent="0.3">
      <c r="A2257" s="4">
        <v>2256</v>
      </c>
      <c r="B2257" s="5">
        <v>5780438</v>
      </c>
      <c r="C2257" s="4" t="s">
        <v>104</v>
      </c>
      <c r="D2257" s="4" t="s">
        <v>31</v>
      </c>
      <c r="E2257" s="4" t="s">
        <v>2637</v>
      </c>
      <c r="F2257" s="4" t="s">
        <v>2959</v>
      </c>
      <c r="G2257" s="6">
        <v>3</v>
      </c>
      <c r="H2257" s="7">
        <v>45238.402511574073</v>
      </c>
      <c r="I2257" s="7" t="str">
        <f>TEXT(multilingual_mobile_app_reviews_2025[[#This Row],[Review_date]],"dd-mm-yyyy")</f>
        <v>08-11-2023</v>
      </c>
      <c r="J2257" s="7" t="str">
        <f>TEXT(multilingual_mobile_app_reviews_2025[[#This Row],[Review_date]],"YYYY")</f>
        <v>2023</v>
      </c>
      <c r="K2257" s="7" t="str">
        <f>TEXT(multilingual_mobile_app_reviews_2025[[#This Row],[Review_date]],"MMMM")</f>
        <v>November</v>
      </c>
      <c r="L2257" s="4" t="b">
        <v>1</v>
      </c>
      <c r="M2257" s="4" t="s">
        <v>33</v>
      </c>
      <c r="N2257" s="5">
        <v>127</v>
      </c>
      <c r="O2257" s="5">
        <v>46</v>
      </c>
      <c r="P2257" s="4" t="s">
        <v>127</v>
      </c>
      <c r="Q2257" s="8" t="s">
        <v>39</v>
      </c>
      <c r="R2257" s="4" t="s">
        <v>2598</v>
      </c>
      <c r="S2257" s="4"/>
      <c r="T2257"/>
      <c r="U2257" s="23"/>
    </row>
    <row r="2258" spans="1:21" ht="15.6" x14ac:dyDescent="0.3">
      <c r="A2258" s="4">
        <v>2257</v>
      </c>
      <c r="B2258" s="5">
        <v>9584624</v>
      </c>
      <c r="C2258" s="4" t="s">
        <v>87</v>
      </c>
      <c r="D2258" s="4" t="s">
        <v>111</v>
      </c>
      <c r="E2258" s="4" t="s">
        <v>21</v>
      </c>
      <c r="F2258" s="4" t="s">
        <v>2949</v>
      </c>
      <c r="G2258" s="6">
        <v>2</v>
      </c>
      <c r="H2258" s="7">
        <v>45506.674490740741</v>
      </c>
      <c r="I2258" s="7" t="str">
        <f>TEXT(multilingual_mobile_app_reviews_2025[[#This Row],[Review_date]],"dd-mm-yyyy")</f>
        <v>02-08-2024</v>
      </c>
      <c r="J2258" s="7" t="str">
        <f>TEXT(multilingual_mobile_app_reviews_2025[[#This Row],[Review_date]],"YYYY")</f>
        <v>2024</v>
      </c>
      <c r="K2258" s="7" t="str">
        <f>TEXT(multilingual_mobile_app_reviews_2025[[#This Row],[Review_date]],"MMMM")</f>
        <v>August</v>
      </c>
      <c r="L2258" s="4" t="b">
        <v>1</v>
      </c>
      <c r="M2258" s="4" t="s">
        <v>10</v>
      </c>
      <c r="N2258" s="5">
        <v>852</v>
      </c>
      <c r="O2258" s="5">
        <v>70</v>
      </c>
      <c r="P2258" s="4" t="s">
        <v>73</v>
      </c>
      <c r="Q2258" s="8" t="s">
        <v>2963</v>
      </c>
      <c r="R2258" s="4" t="s">
        <v>2638</v>
      </c>
      <c r="S2258" s="4"/>
      <c r="T2258"/>
      <c r="U2258" s="23"/>
    </row>
    <row r="2259" spans="1:21" ht="15.6" x14ac:dyDescent="0.3">
      <c r="A2259" s="4">
        <v>2258</v>
      </c>
      <c r="B2259" s="5">
        <v>397120</v>
      </c>
      <c r="C2259" s="4" t="s">
        <v>92</v>
      </c>
      <c r="D2259" s="4" t="s">
        <v>1</v>
      </c>
      <c r="E2259" s="4" t="s">
        <v>32</v>
      </c>
      <c r="F2259" s="4" t="s">
        <v>2961</v>
      </c>
      <c r="G2259" s="6">
        <v>3.9</v>
      </c>
      <c r="H2259" s="7">
        <v>45486.13417824074</v>
      </c>
      <c r="I2259" s="7" t="str">
        <f>TEXT(multilingual_mobile_app_reviews_2025[[#This Row],[Review_date]],"dd-mm-yyyy")</f>
        <v>13-07-2024</v>
      </c>
      <c r="J2259" s="7" t="str">
        <f>TEXT(multilingual_mobile_app_reviews_2025[[#This Row],[Review_date]],"YYYY")</f>
        <v>2024</v>
      </c>
      <c r="K2259" s="7" t="str">
        <f>TEXT(multilingual_mobile_app_reviews_2025[[#This Row],[Review_date]],"MMMM")</f>
        <v>July</v>
      </c>
      <c r="L2259" s="4" t="b">
        <v>1</v>
      </c>
      <c r="M2259" s="4" t="s">
        <v>10</v>
      </c>
      <c r="N2259" s="5">
        <v>114</v>
      </c>
      <c r="O2259" s="5">
        <v>33</v>
      </c>
      <c r="P2259" s="4" t="s">
        <v>38</v>
      </c>
      <c r="Q2259" s="8" t="s">
        <v>2963</v>
      </c>
      <c r="R2259" s="4" t="s">
        <v>2639</v>
      </c>
      <c r="S2259" s="4"/>
      <c r="T2259"/>
      <c r="U2259" s="23"/>
    </row>
    <row r="2260" spans="1:21" ht="15.6" x14ac:dyDescent="0.3">
      <c r="A2260" s="4">
        <v>2259</v>
      </c>
      <c r="B2260" s="5">
        <v>7096108</v>
      </c>
      <c r="C2260" s="4" t="s">
        <v>59</v>
      </c>
      <c r="D2260" s="4" t="s">
        <v>51</v>
      </c>
      <c r="E2260" s="4" t="s">
        <v>2640</v>
      </c>
      <c r="F2260" s="4" t="s">
        <v>2958</v>
      </c>
      <c r="G2260" s="6">
        <v>4.7</v>
      </c>
      <c r="H2260" s="7">
        <v>45630.296701388892</v>
      </c>
      <c r="I2260" s="7" t="str">
        <f>TEXT(multilingual_mobile_app_reviews_2025[[#This Row],[Review_date]],"dd-mm-yyyy")</f>
        <v>04-12-2024</v>
      </c>
      <c r="J2260" s="7" t="str">
        <f>TEXT(multilingual_mobile_app_reviews_2025[[#This Row],[Review_date]],"YYYY")</f>
        <v>2024</v>
      </c>
      <c r="K2260" s="7" t="str">
        <f>TEXT(multilingual_mobile_app_reviews_2025[[#This Row],[Review_date]],"MMMM")</f>
        <v>December</v>
      </c>
      <c r="L2260" s="4" t="b">
        <v>1</v>
      </c>
      <c r="M2260" s="4" t="s">
        <v>22</v>
      </c>
      <c r="N2260" s="5">
        <v>898</v>
      </c>
      <c r="O2260" s="5">
        <v>19</v>
      </c>
      <c r="P2260" s="4" t="s">
        <v>180</v>
      </c>
      <c r="Q2260" s="8" t="s">
        <v>2963</v>
      </c>
      <c r="R2260" s="4" t="s">
        <v>561</v>
      </c>
      <c r="S2260" s="4"/>
      <c r="T2260"/>
      <c r="U2260" s="23"/>
    </row>
    <row r="2261" spans="1:21" ht="15.6" x14ac:dyDescent="0.3">
      <c r="A2261" s="4">
        <v>2260</v>
      </c>
      <c r="B2261" s="5">
        <v>3940752</v>
      </c>
      <c r="C2261" s="4" t="s">
        <v>106</v>
      </c>
      <c r="D2261" s="4" t="s">
        <v>26</v>
      </c>
      <c r="E2261" s="4" t="s">
        <v>130</v>
      </c>
      <c r="F2261" s="4" t="s">
        <v>2959</v>
      </c>
      <c r="G2261" s="6">
        <v>3.9</v>
      </c>
      <c r="H2261" s="7">
        <v>45688.879594907405</v>
      </c>
      <c r="I2261" s="7" t="str">
        <f>TEXT(multilingual_mobile_app_reviews_2025[[#This Row],[Review_date]],"dd-mm-yyyy")</f>
        <v>31-01-2025</v>
      </c>
      <c r="J2261" s="7" t="str">
        <f>TEXT(multilingual_mobile_app_reviews_2025[[#This Row],[Review_date]],"YYYY")</f>
        <v>2025</v>
      </c>
      <c r="K2261" s="7" t="str">
        <f>TEXT(multilingual_mobile_app_reviews_2025[[#This Row],[Review_date]],"MMMM")</f>
        <v>January</v>
      </c>
      <c r="L2261" s="4" t="b">
        <v>1</v>
      </c>
      <c r="M2261" s="4" t="s">
        <v>10</v>
      </c>
      <c r="N2261" s="5">
        <v>342</v>
      </c>
      <c r="O2261" s="5">
        <v>75</v>
      </c>
      <c r="P2261" s="4" t="s">
        <v>80</v>
      </c>
      <c r="Q2261" s="8" t="s">
        <v>29</v>
      </c>
      <c r="R2261" s="4" t="s">
        <v>2641</v>
      </c>
      <c r="S2261" s="4"/>
      <c r="T2261"/>
      <c r="U2261" s="23"/>
    </row>
    <row r="2262" spans="1:21" ht="15.6" x14ac:dyDescent="0.3">
      <c r="A2262" s="4">
        <v>2261</v>
      </c>
      <c r="B2262" s="5">
        <v>4076500</v>
      </c>
      <c r="C2262" s="4" t="s">
        <v>87</v>
      </c>
      <c r="D2262" s="4" t="s">
        <v>8</v>
      </c>
      <c r="E2262" s="4" t="s">
        <v>109</v>
      </c>
      <c r="F2262" s="4" t="s">
        <v>2943</v>
      </c>
      <c r="G2262" s="6">
        <v>3.6</v>
      </c>
      <c r="H2262" s="7">
        <v>45770.604062500002</v>
      </c>
      <c r="I2262" s="7" t="str">
        <f>TEXT(multilingual_mobile_app_reviews_2025[[#This Row],[Review_date]],"dd-mm-yyyy")</f>
        <v>23-04-2025</v>
      </c>
      <c r="J2262" s="7" t="str">
        <f>TEXT(multilingual_mobile_app_reviews_2025[[#This Row],[Review_date]],"YYYY")</f>
        <v>2025</v>
      </c>
      <c r="K2262" s="7" t="str">
        <f>TEXT(multilingual_mobile_app_reviews_2025[[#This Row],[Review_date]],"MMMM")</f>
        <v>April</v>
      </c>
      <c r="L2262" s="4" t="b">
        <v>1</v>
      </c>
      <c r="M2262" s="4" t="s">
        <v>33</v>
      </c>
      <c r="N2262" s="5">
        <v>978</v>
      </c>
      <c r="O2262" s="5">
        <v>39</v>
      </c>
      <c r="P2262" s="4" t="s">
        <v>2963</v>
      </c>
      <c r="Q2262" s="8" t="s">
        <v>5</v>
      </c>
      <c r="R2262" s="4" t="s">
        <v>160</v>
      </c>
      <c r="S2262" s="4"/>
      <c r="T2262"/>
      <c r="U2262" s="23"/>
    </row>
    <row r="2263" spans="1:21" ht="15.6" x14ac:dyDescent="0.3">
      <c r="A2263" s="4">
        <v>2262</v>
      </c>
      <c r="B2263" s="5">
        <v>8297145</v>
      </c>
      <c r="C2263" s="4" t="s">
        <v>159</v>
      </c>
      <c r="D2263" s="4" t="s">
        <v>111</v>
      </c>
      <c r="E2263" s="4" t="s">
        <v>21</v>
      </c>
      <c r="F2263" s="4" t="s">
        <v>2945</v>
      </c>
      <c r="G2263" s="6">
        <v>4.9000000000000004</v>
      </c>
      <c r="H2263" s="7">
        <v>45576.404780092591</v>
      </c>
      <c r="I2263" s="7" t="str">
        <f>TEXT(multilingual_mobile_app_reviews_2025[[#This Row],[Review_date]],"dd-mm-yyyy")</f>
        <v>11-10-2024</v>
      </c>
      <c r="J2263" s="7" t="str">
        <f>TEXT(multilingual_mobile_app_reviews_2025[[#This Row],[Review_date]],"YYYY")</f>
        <v>2024</v>
      </c>
      <c r="K2263" s="7" t="str">
        <f>TEXT(multilingual_mobile_app_reviews_2025[[#This Row],[Review_date]],"MMMM")</f>
        <v>October</v>
      </c>
      <c r="L2263" s="4" t="b">
        <v>1</v>
      </c>
      <c r="M2263" s="4" t="s">
        <v>22</v>
      </c>
      <c r="N2263" s="5">
        <v>239</v>
      </c>
      <c r="O2263" s="5">
        <v>51</v>
      </c>
      <c r="P2263" s="4" t="s">
        <v>144</v>
      </c>
      <c r="Q2263" s="8" t="s">
        <v>29</v>
      </c>
      <c r="R2263" s="4" t="s">
        <v>2642</v>
      </c>
      <c r="S2263" s="4"/>
      <c r="T2263"/>
      <c r="U2263" s="23"/>
    </row>
    <row r="2264" spans="1:21" ht="15.6" x14ac:dyDescent="0.3">
      <c r="A2264" s="4">
        <v>2263</v>
      </c>
      <c r="B2264" s="5">
        <v>425432</v>
      </c>
      <c r="C2264" s="4" t="s">
        <v>36</v>
      </c>
      <c r="D2264" s="4" t="s">
        <v>71</v>
      </c>
      <c r="E2264" s="4" t="s">
        <v>76</v>
      </c>
      <c r="F2264" s="4" t="s">
        <v>2955</v>
      </c>
      <c r="G2264" s="6">
        <v>1.7</v>
      </c>
      <c r="H2264" s="7">
        <v>45382.34988425926</v>
      </c>
      <c r="I2264" s="7" t="str">
        <f>TEXT(multilingual_mobile_app_reviews_2025[[#This Row],[Review_date]],"dd-mm-yyyy")</f>
        <v>31-03-2024</v>
      </c>
      <c r="J2264" s="7" t="str">
        <f>TEXT(multilingual_mobile_app_reviews_2025[[#This Row],[Review_date]],"YYYY")</f>
        <v>2024</v>
      </c>
      <c r="K2264" s="7" t="str">
        <f>TEXT(multilingual_mobile_app_reviews_2025[[#This Row],[Review_date]],"MMMM")</f>
        <v>March</v>
      </c>
      <c r="L2264" s="4" t="b">
        <v>1</v>
      </c>
      <c r="M2264" s="4" t="s">
        <v>33</v>
      </c>
      <c r="N2264" s="5">
        <v>112</v>
      </c>
      <c r="O2264" s="5">
        <v>42</v>
      </c>
      <c r="P2264" s="4" t="s">
        <v>65</v>
      </c>
      <c r="Q2264" s="8" t="s">
        <v>5</v>
      </c>
      <c r="R2264" s="4" t="s">
        <v>2643</v>
      </c>
      <c r="S2264" s="4"/>
      <c r="T2264"/>
      <c r="U2264" s="23"/>
    </row>
    <row r="2265" spans="1:21" ht="15.6" x14ac:dyDescent="0.3">
      <c r="A2265" s="4">
        <v>2264</v>
      </c>
      <c r="B2265" s="5">
        <v>1703610</v>
      </c>
      <c r="C2265" s="4" t="s">
        <v>134</v>
      </c>
      <c r="D2265" s="4" t="s">
        <v>26</v>
      </c>
      <c r="E2265" s="4" t="s">
        <v>27</v>
      </c>
      <c r="F2265" s="4" t="s">
        <v>2949</v>
      </c>
      <c r="G2265" s="6">
        <v>2.6</v>
      </c>
      <c r="H2265" s="7">
        <v>45437.251226851855</v>
      </c>
      <c r="I2265" s="7" t="str">
        <f>TEXT(multilingual_mobile_app_reviews_2025[[#This Row],[Review_date]],"dd-mm-yyyy")</f>
        <v>25-05-2024</v>
      </c>
      <c r="J2265" s="7" t="str">
        <f>TEXT(multilingual_mobile_app_reviews_2025[[#This Row],[Review_date]],"YYYY")</f>
        <v>2024</v>
      </c>
      <c r="K2265" s="7" t="str">
        <f>TEXT(multilingual_mobile_app_reviews_2025[[#This Row],[Review_date]],"MMMM")</f>
        <v>May</v>
      </c>
      <c r="L2265" s="4" t="b">
        <v>0</v>
      </c>
      <c r="M2265" s="4" t="s">
        <v>33</v>
      </c>
      <c r="N2265" s="5">
        <v>1076</v>
      </c>
      <c r="O2265" s="5">
        <v>26</v>
      </c>
      <c r="P2265" s="4" t="s">
        <v>17</v>
      </c>
      <c r="Q2265" s="8" t="s">
        <v>2963</v>
      </c>
      <c r="R2265" s="4" t="s">
        <v>2644</v>
      </c>
      <c r="S2265" s="4"/>
      <c r="T2265"/>
      <c r="U2265" s="23"/>
    </row>
    <row r="2266" spans="1:21" ht="15.6" x14ac:dyDescent="0.3">
      <c r="A2266" s="4">
        <v>2265</v>
      </c>
      <c r="B2266" s="5">
        <v>2588991</v>
      </c>
      <c r="C2266" s="4" t="s">
        <v>174</v>
      </c>
      <c r="D2266" s="4" t="s">
        <v>31</v>
      </c>
      <c r="E2266" s="4" t="s">
        <v>32</v>
      </c>
      <c r="F2266" s="4" t="s">
        <v>2945</v>
      </c>
      <c r="G2266" s="6">
        <v>4.9000000000000004</v>
      </c>
      <c r="H2266" s="7">
        <v>45623.248148148145</v>
      </c>
      <c r="I2266" s="7" t="str">
        <f>TEXT(multilingual_mobile_app_reviews_2025[[#This Row],[Review_date]],"dd-mm-yyyy")</f>
        <v>27-11-2024</v>
      </c>
      <c r="J2266" s="7" t="str">
        <f>TEXT(multilingual_mobile_app_reviews_2025[[#This Row],[Review_date]],"YYYY")</f>
        <v>2024</v>
      </c>
      <c r="K2266" s="7" t="str">
        <f>TEXT(multilingual_mobile_app_reviews_2025[[#This Row],[Review_date]],"MMMM")</f>
        <v>November</v>
      </c>
      <c r="L2266" s="4" t="b">
        <v>1</v>
      </c>
      <c r="M2266" s="4" t="s">
        <v>98</v>
      </c>
      <c r="N2266" s="5">
        <v>464</v>
      </c>
      <c r="O2266" s="5">
        <v>36</v>
      </c>
      <c r="P2266" s="4" t="s">
        <v>11</v>
      </c>
      <c r="Q2266" s="8" t="s">
        <v>39</v>
      </c>
      <c r="R2266" s="4" t="s">
        <v>2645</v>
      </c>
      <c r="S2266" s="4"/>
      <c r="T2266"/>
      <c r="U2266" s="23"/>
    </row>
    <row r="2267" spans="1:21" ht="15.6" x14ac:dyDescent="0.3">
      <c r="A2267" s="4">
        <v>2266</v>
      </c>
      <c r="B2267" s="5">
        <v>1464116</v>
      </c>
      <c r="C2267" s="4" t="s">
        <v>106</v>
      </c>
      <c r="D2267" s="4" t="s">
        <v>71</v>
      </c>
      <c r="E2267" s="4" t="s">
        <v>9</v>
      </c>
      <c r="F2267" s="4" t="s">
        <v>2939</v>
      </c>
      <c r="G2267" s="6">
        <v>3.6</v>
      </c>
      <c r="H2267" s="7">
        <v>45549.947685185187</v>
      </c>
      <c r="I2267" s="7" t="str">
        <f>TEXT(multilingual_mobile_app_reviews_2025[[#This Row],[Review_date]],"dd-mm-yyyy")</f>
        <v>14-09-2024</v>
      </c>
      <c r="J2267" s="7" t="str">
        <f>TEXT(multilingual_mobile_app_reviews_2025[[#This Row],[Review_date]],"YYYY")</f>
        <v>2024</v>
      </c>
      <c r="K2267" s="7" t="str">
        <f>TEXT(multilingual_mobile_app_reviews_2025[[#This Row],[Review_date]],"MMMM")</f>
        <v>September</v>
      </c>
      <c r="L2267" s="4" t="b">
        <v>1</v>
      </c>
      <c r="M2267" s="4" t="s">
        <v>98</v>
      </c>
      <c r="N2267" s="5">
        <v>107</v>
      </c>
      <c r="O2267" s="5">
        <v>59</v>
      </c>
      <c r="P2267" s="4" t="s">
        <v>4</v>
      </c>
      <c r="Q2267" s="8" t="s">
        <v>5</v>
      </c>
      <c r="R2267" s="4" t="s">
        <v>1163</v>
      </c>
      <c r="S2267" s="4"/>
      <c r="T2267"/>
      <c r="U2267" s="23"/>
    </row>
    <row r="2268" spans="1:21" ht="15.6" x14ac:dyDescent="0.3">
      <c r="A2268" s="4">
        <v>2267</v>
      </c>
      <c r="B2268" s="5">
        <v>7862637</v>
      </c>
      <c r="C2268" s="4" t="s">
        <v>50</v>
      </c>
      <c r="D2268" s="4" t="s">
        <v>157</v>
      </c>
      <c r="E2268" s="4" t="s">
        <v>2646</v>
      </c>
      <c r="F2268" s="4" t="s">
        <v>2940</v>
      </c>
      <c r="G2268" s="6">
        <v>3.4</v>
      </c>
      <c r="H2268" s="7">
        <v>45421.43645833333</v>
      </c>
      <c r="I2268" s="7" t="str">
        <f>TEXT(multilingual_mobile_app_reviews_2025[[#This Row],[Review_date]],"dd-mm-yyyy")</f>
        <v>09-05-2024</v>
      </c>
      <c r="J2268" s="7" t="str">
        <f>TEXT(multilingual_mobile_app_reviews_2025[[#This Row],[Review_date]],"YYYY")</f>
        <v>2024</v>
      </c>
      <c r="K2268" s="7" t="str">
        <f>TEXT(multilingual_mobile_app_reviews_2025[[#This Row],[Review_date]],"MMMM")</f>
        <v>May</v>
      </c>
      <c r="L2268" s="4" t="b">
        <v>0</v>
      </c>
      <c r="M2268" s="4" t="s">
        <v>3</v>
      </c>
      <c r="N2268" s="5">
        <v>803</v>
      </c>
      <c r="O2268" s="5">
        <v>35</v>
      </c>
      <c r="P2268" s="4" t="s">
        <v>94</v>
      </c>
      <c r="Q2268" s="8" t="s">
        <v>2963</v>
      </c>
      <c r="R2268" s="4" t="s">
        <v>2647</v>
      </c>
      <c r="S2268" s="4"/>
      <c r="T2268"/>
      <c r="U2268" s="23"/>
    </row>
    <row r="2269" spans="1:21" ht="15.6" x14ac:dyDescent="0.3">
      <c r="A2269" s="4">
        <v>2268</v>
      </c>
      <c r="B2269" s="5">
        <v>1090212</v>
      </c>
      <c r="C2269" s="4" t="s">
        <v>75</v>
      </c>
      <c r="D2269" s="4" t="s">
        <v>1</v>
      </c>
      <c r="E2269" s="4" t="s">
        <v>130</v>
      </c>
      <c r="F2269" s="4" t="s">
        <v>2961</v>
      </c>
      <c r="G2269" s="6">
        <v>2.2000000000000002</v>
      </c>
      <c r="H2269" s="7">
        <v>45506.848391203705</v>
      </c>
      <c r="I2269" s="7" t="str">
        <f>TEXT(multilingual_mobile_app_reviews_2025[[#This Row],[Review_date]],"dd-mm-yyyy")</f>
        <v>02-08-2024</v>
      </c>
      <c r="J2269" s="7" t="str">
        <f>TEXT(multilingual_mobile_app_reviews_2025[[#This Row],[Review_date]],"YYYY")</f>
        <v>2024</v>
      </c>
      <c r="K2269" s="7" t="str">
        <f>TEXT(multilingual_mobile_app_reviews_2025[[#This Row],[Review_date]],"MMMM")</f>
        <v>August</v>
      </c>
      <c r="L2269" s="4" t="b">
        <v>1</v>
      </c>
      <c r="M2269" s="4" t="s">
        <v>22</v>
      </c>
      <c r="N2269" s="5">
        <v>8</v>
      </c>
      <c r="O2269" s="5">
        <v>71</v>
      </c>
      <c r="P2269" s="4" t="s">
        <v>38</v>
      </c>
      <c r="Q2269" s="8" t="s">
        <v>39</v>
      </c>
      <c r="R2269" s="4" t="s">
        <v>140</v>
      </c>
      <c r="S2269" s="4"/>
      <c r="T2269"/>
      <c r="U2269" s="23"/>
    </row>
    <row r="2270" spans="1:21" ht="15.6" x14ac:dyDescent="0.3">
      <c r="A2270" s="4">
        <v>2269</v>
      </c>
      <c r="B2270" s="5">
        <v>3846911</v>
      </c>
      <c r="C2270" s="4" t="s">
        <v>69</v>
      </c>
      <c r="D2270" s="4" t="s">
        <v>220</v>
      </c>
      <c r="E2270" s="4" t="s">
        <v>32</v>
      </c>
      <c r="F2270" s="4" t="s">
        <v>2943</v>
      </c>
      <c r="G2270" s="6">
        <v>4.3</v>
      </c>
      <c r="H2270" s="7">
        <v>45630.598136574074</v>
      </c>
      <c r="I2270" s="7" t="str">
        <f>TEXT(multilingual_mobile_app_reviews_2025[[#This Row],[Review_date]],"dd-mm-yyyy")</f>
        <v>04-12-2024</v>
      </c>
      <c r="J2270" s="7" t="str">
        <f>TEXT(multilingual_mobile_app_reviews_2025[[#This Row],[Review_date]],"YYYY")</f>
        <v>2024</v>
      </c>
      <c r="K2270" s="7" t="str">
        <f>TEXT(multilingual_mobile_app_reviews_2025[[#This Row],[Review_date]],"MMMM")</f>
        <v>December</v>
      </c>
      <c r="L2270" s="4" t="b">
        <v>1</v>
      </c>
      <c r="M2270" s="4" t="s">
        <v>3</v>
      </c>
      <c r="N2270" s="5">
        <v>1166</v>
      </c>
      <c r="O2270" s="5">
        <v>69</v>
      </c>
      <c r="P2270" s="4" t="s">
        <v>80</v>
      </c>
      <c r="Q2270" s="8" t="s">
        <v>12</v>
      </c>
      <c r="R2270" s="4" t="s">
        <v>2648</v>
      </c>
      <c r="S2270" s="4"/>
      <c r="T2270"/>
      <c r="U2270" s="23"/>
    </row>
    <row r="2271" spans="1:21" ht="15.6" x14ac:dyDescent="0.3">
      <c r="A2271" s="4">
        <v>2270</v>
      </c>
      <c r="B2271" s="5">
        <v>5589746</v>
      </c>
      <c r="C2271" s="4" t="s">
        <v>264</v>
      </c>
      <c r="D2271" s="4" t="s">
        <v>1</v>
      </c>
      <c r="E2271" s="4" t="s">
        <v>76</v>
      </c>
      <c r="F2271" s="4" t="s">
        <v>2943</v>
      </c>
      <c r="G2271" s="6">
        <v>1.1000000000000001</v>
      </c>
      <c r="H2271" s="7">
        <v>45415.522731481484</v>
      </c>
      <c r="I2271" s="7" t="str">
        <f>TEXT(multilingual_mobile_app_reviews_2025[[#This Row],[Review_date]],"dd-mm-yyyy")</f>
        <v>03-05-2024</v>
      </c>
      <c r="J2271" s="7" t="str">
        <f>TEXT(multilingual_mobile_app_reviews_2025[[#This Row],[Review_date]],"YYYY")</f>
        <v>2024</v>
      </c>
      <c r="K2271" s="7" t="str">
        <f>TEXT(multilingual_mobile_app_reviews_2025[[#This Row],[Review_date]],"MMMM")</f>
        <v>May</v>
      </c>
      <c r="L2271" s="4" t="b">
        <v>0</v>
      </c>
      <c r="M2271" s="4" t="s">
        <v>98</v>
      </c>
      <c r="N2271" s="5">
        <v>833</v>
      </c>
      <c r="O2271" s="5">
        <v>30</v>
      </c>
      <c r="P2271" s="4" t="s">
        <v>65</v>
      </c>
      <c r="Q2271" s="8" t="s">
        <v>5</v>
      </c>
      <c r="R2271" s="4" t="s">
        <v>2649</v>
      </c>
      <c r="S2271" s="4"/>
      <c r="T2271"/>
      <c r="U2271" s="23"/>
    </row>
    <row r="2272" spans="1:21" ht="15.6" x14ac:dyDescent="0.3">
      <c r="A2272" s="4">
        <v>2271</v>
      </c>
      <c r="B2272" s="5">
        <v>8195897</v>
      </c>
      <c r="C2272" s="4" t="s">
        <v>25</v>
      </c>
      <c r="D2272" s="4" t="s">
        <v>71</v>
      </c>
      <c r="E2272" s="4" t="s">
        <v>9</v>
      </c>
      <c r="F2272" s="4" t="s">
        <v>2940</v>
      </c>
      <c r="G2272" s="6">
        <v>4.4000000000000004</v>
      </c>
      <c r="H2272" s="7">
        <v>45575.301736111112</v>
      </c>
      <c r="I2272" s="7" t="str">
        <f>TEXT(multilingual_mobile_app_reviews_2025[[#This Row],[Review_date]],"dd-mm-yyyy")</f>
        <v>10-10-2024</v>
      </c>
      <c r="J2272" s="7" t="str">
        <f>TEXT(multilingual_mobile_app_reviews_2025[[#This Row],[Review_date]],"YYYY")</f>
        <v>2024</v>
      </c>
      <c r="K2272" s="7" t="str">
        <f>TEXT(multilingual_mobile_app_reviews_2025[[#This Row],[Review_date]],"MMMM")</f>
        <v>October</v>
      </c>
      <c r="L2272" s="4" t="b">
        <v>1</v>
      </c>
      <c r="M2272" s="4" t="s">
        <v>22</v>
      </c>
      <c r="N2272" s="5">
        <v>582</v>
      </c>
      <c r="O2272" s="5">
        <v>44</v>
      </c>
      <c r="P2272" s="4" t="s">
        <v>2963</v>
      </c>
      <c r="Q2272" s="8" t="s">
        <v>39</v>
      </c>
      <c r="R2272" s="4" t="s">
        <v>2650</v>
      </c>
      <c r="S2272" s="4"/>
      <c r="T2272"/>
      <c r="U2272" s="23"/>
    </row>
    <row r="2273" spans="1:21" ht="15.6" x14ac:dyDescent="0.3">
      <c r="A2273" s="4">
        <v>2272</v>
      </c>
      <c r="B2273" s="5">
        <v>4676112</v>
      </c>
      <c r="C2273" s="4" t="s">
        <v>84</v>
      </c>
      <c r="D2273" s="4" t="s">
        <v>220</v>
      </c>
      <c r="E2273" s="4" t="s">
        <v>64</v>
      </c>
      <c r="F2273" s="4" t="s">
        <v>2947</v>
      </c>
      <c r="G2273" s="6">
        <v>4.7</v>
      </c>
      <c r="H2273" s="7">
        <v>45387.457326388889</v>
      </c>
      <c r="I2273" s="7" t="str">
        <f>TEXT(multilingual_mobile_app_reviews_2025[[#This Row],[Review_date]],"dd-mm-yyyy")</f>
        <v>05-04-2024</v>
      </c>
      <c r="J2273" s="7" t="str">
        <f>TEXT(multilingual_mobile_app_reviews_2025[[#This Row],[Review_date]],"YYYY")</f>
        <v>2024</v>
      </c>
      <c r="K2273" s="7" t="str">
        <f>TEXT(multilingual_mobile_app_reviews_2025[[#This Row],[Review_date]],"MMMM")</f>
        <v>April</v>
      </c>
      <c r="L2273" s="4" t="b">
        <v>1</v>
      </c>
      <c r="M2273" s="4" t="s">
        <v>33</v>
      </c>
      <c r="N2273" s="5">
        <v>383</v>
      </c>
      <c r="O2273" s="5">
        <v>16</v>
      </c>
      <c r="P2273" s="4" t="s">
        <v>230</v>
      </c>
      <c r="Q2273" s="8" t="s">
        <v>12</v>
      </c>
      <c r="R2273" s="4" t="s">
        <v>2651</v>
      </c>
      <c r="S2273" s="4"/>
      <c r="T2273"/>
      <c r="U2273" s="23"/>
    </row>
    <row r="2274" spans="1:21" ht="15.6" x14ac:dyDescent="0.3">
      <c r="A2274" s="4">
        <v>2273</v>
      </c>
      <c r="B2274" s="5">
        <v>5370869</v>
      </c>
      <c r="C2274" s="4" t="s">
        <v>176</v>
      </c>
      <c r="D2274" s="4" t="s">
        <v>8</v>
      </c>
      <c r="E2274" s="4" t="s">
        <v>27</v>
      </c>
      <c r="F2274" s="4" t="s">
        <v>2956</v>
      </c>
      <c r="G2274" s="6">
        <v>4.9000000000000004</v>
      </c>
      <c r="H2274" s="7">
        <v>45608.617812500001</v>
      </c>
      <c r="I2274" s="7" t="str">
        <f>TEXT(multilingual_mobile_app_reviews_2025[[#This Row],[Review_date]],"dd-mm-yyyy")</f>
        <v>12-11-2024</v>
      </c>
      <c r="J2274" s="7" t="str">
        <f>TEXT(multilingual_mobile_app_reviews_2025[[#This Row],[Review_date]],"YYYY")</f>
        <v>2024</v>
      </c>
      <c r="K2274" s="7" t="str">
        <f>TEXT(multilingual_mobile_app_reviews_2025[[#This Row],[Review_date]],"MMMM")</f>
        <v>November</v>
      </c>
      <c r="L2274" s="4" t="b">
        <v>1</v>
      </c>
      <c r="M2274" s="4" t="s">
        <v>22</v>
      </c>
      <c r="N2274" s="5">
        <v>1235</v>
      </c>
      <c r="O2274" s="5">
        <v>74</v>
      </c>
      <c r="P2274" s="4" t="s">
        <v>99</v>
      </c>
      <c r="Q2274" s="8" t="s">
        <v>29</v>
      </c>
      <c r="R2274" s="4" t="s">
        <v>475</v>
      </c>
      <c r="S2274" s="4"/>
      <c r="T2274"/>
      <c r="U2274" s="23"/>
    </row>
    <row r="2275" spans="1:21" ht="15.6" x14ac:dyDescent="0.3">
      <c r="A2275" s="4">
        <v>2274</v>
      </c>
      <c r="B2275" s="5">
        <v>3456421</v>
      </c>
      <c r="C2275" s="4" t="s">
        <v>199</v>
      </c>
      <c r="D2275" s="4" t="s">
        <v>71</v>
      </c>
      <c r="E2275" s="4" t="s">
        <v>21</v>
      </c>
      <c r="F2275" s="4" t="s">
        <v>2958</v>
      </c>
      <c r="G2275" s="6">
        <v>1.2</v>
      </c>
      <c r="H2275" s="7">
        <v>45779.003969907404</v>
      </c>
      <c r="I2275" s="7" t="str">
        <f>TEXT(multilingual_mobile_app_reviews_2025[[#This Row],[Review_date]],"dd-mm-yyyy")</f>
        <v>02-05-2025</v>
      </c>
      <c r="J2275" s="7" t="str">
        <f>TEXT(multilingual_mobile_app_reviews_2025[[#This Row],[Review_date]],"YYYY")</f>
        <v>2025</v>
      </c>
      <c r="K2275" s="7" t="str">
        <f>TEXT(multilingual_mobile_app_reviews_2025[[#This Row],[Review_date]],"MMMM")</f>
        <v>May</v>
      </c>
      <c r="L2275" s="4" t="b">
        <v>0</v>
      </c>
      <c r="M2275" s="4" t="s">
        <v>3</v>
      </c>
      <c r="N2275" s="5">
        <v>930</v>
      </c>
      <c r="O2275" s="5">
        <v>21</v>
      </c>
      <c r="P2275" s="4" t="s">
        <v>230</v>
      </c>
      <c r="Q2275" s="8" t="s">
        <v>29</v>
      </c>
      <c r="R2275" s="4" t="s">
        <v>2652</v>
      </c>
      <c r="S2275" s="4"/>
      <c r="T2275"/>
      <c r="U2275" s="23"/>
    </row>
    <row r="2276" spans="1:21" ht="15.6" x14ac:dyDescent="0.3">
      <c r="A2276" s="4">
        <v>2275</v>
      </c>
      <c r="B2276" s="5">
        <v>3257389</v>
      </c>
      <c r="C2276" s="4" t="s">
        <v>192</v>
      </c>
      <c r="D2276" s="4" t="s">
        <v>220</v>
      </c>
      <c r="E2276" s="4" t="s">
        <v>16</v>
      </c>
      <c r="F2276" s="4" t="s">
        <v>2939</v>
      </c>
      <c r="G2276" s="6">
        <v>1.1000000000000001</v>
      </c>
      <c r="H2276" s="7">
        <v>45856.344386574077</v>
      </c>
      <c r="I2276" s="7" t="str">
        <f>TEXT(multilingual_mobile_app_reviews_2025[[#This Row],[Review_date]],"dd-mm-yyyy")</f>
        <v>18-07-2025</v>
      </c>
      <c r="J2276" s="7" t="str">
        <f>TEXT(multilingual_mobile_app_reviews_2025[[#This Row],[Review_date]],"YYYY")</f>
        <v>2025</v>
      </c>
      <c r="K2276" s="7" t="str">
        <f>TEXT(multilingual_mobile_app_reviews_2025[[#This Row],[Review_date]],"MMMM")</f>
        <v>July</v>
      </c>
      <c r="L2276" s="4" t="b">
        <v>1</v>
      </c>
      <c r="M2276" s="4" t="s">
        <v>33</v>
      </c>
      <c r="N2276" s="5">
        <v>905</v>
      </c>
      <c r="O2276" s="5">
        <v>48</v>
      </c>
      <c r="P2276" s="4" t="s">
        <v>114</v>
      </c>
      <c r="Q2276" s="8" t="s">
        <v>39</v>
      </c>
      <c r="R2276" s="4" t="s">
        <v>2653</v>
      </c>
      <c r="S2276" s="4"/>
      <c r="T2276"/>
      <c r="U2276" s="23"/>
    </row>
    <row r="2277" spans="1:21" ht="15.6" x14ac:dyDescent="0.3">
      <c r="A2277" s="4">
        <v>2276</v>
      </c>
      <c r="B2277" s="5">
        <v>2119346</v>
      </c>
      <c r="C2277" s="4" t="s">
        <v>0</v>
      </c>
      <c r="D2277" s="4" t="s">
        <v>111</v>
      </c>
      <c r="E2277" s="4" t="s">
        <v>64</v>
      </c>
      <c r="F2277" s="4" t="s">
        <v>2943</v>
      </c>
      <c r="G2277" s="6">
        <v>4.8</v>
      </c>
      <c r="H2277" s="7">
        <v>45368.492777777778</v>
      </c>
      <c r="I2277" s="7" t="str">
        <f>TEXT(multilingual_mobile_app_reviews_2025[[#This Row],[Review_date]],"dd-mm-yyyy")</f>
        <v>17-03-2024</v>
      </c>
      <c r="J2277" s="7" t="str">
        <f>TEXT(multilingual_mobile_app_reviews_2025[[#This Row],[Review_date]],"YYYY")</f>
        <v>2024</v>
      </c>
      <c r="K2277" s="7" t="str">
        <f>TEXT(multilingual_mobile_app_reviews_2025[[#This Row],[Review_date]],"MMMM")</f>
        <v>March</v>
      </c>
      <c r="L2277" s="4" t="b">
        <v>0</v>
      </c>
      <c r="M2277" s="4" t="s">
        <v>3</v>
      </c>
      <c r="N2277" s="5">
        <v>103</v>
      </c>
      <c r="O2277" s="5">
        <v>74</v>
      </c>
      <c r="P2277" s="4" t="s">
        <v>65</v>
      </c>
      <c r="Q2277" s="8" t="s">
        <v>39</v>
      </c>
      <c r="R2277" s="4" t="s">
        <v>986</v>
      </c>
      <c r="S2277" s="4"/>
      <c r="T2277"/>
      <c r="U2277" s="23"/>
    </row>
    <row r="2278" spans="1:21" ht="15.6" x14ac:dyDescent="0.3">
      <c r="A2278" s="4">
        <v>2277</v>
      </c>
      <c r="B2278" s="5">
        <v>1116077</v>
      </c>
      <c r="C2278" s="4" t="s">
        <v>25</v>
      </c>
      <c r="D2278" s="4" t="s">
        <v>20</v>
      </c>
      <c r="E2278" s="4" t="s">
        <v>9</v>
      </c>
      <c r="F2278" s="4" t="s">
        <v>2960</v>
      </c>
      <c r="G2278" s="6">
        <v>2.4</v>
      </c>
      <c r="H2278" s="7">
        <v>45710.154027777775</v>
      </c>
      <c r="I2278" s="7" t="str">
        <f>TEXT(multilingual_mobile_app_reviews_2025[[#This Row],[Review_date]],"dd-mm-yyyy")</f>
        <v>22-02-2025</v>
      </c>
      <c r="J2278" s="7" t="str">
        <f>TEXT(multilingual_mobile_app_reviews_2025[[#This Row],[Review_date]],"YYYY")</f>
        <v>2025</v>
      </c>
      <c r="K2278" s="7" t="str">
        <f>TEXT(multilingual_mobile_app_reviews_2025[[#This Row],[Review_date]],"MMMM")</f>
        <v>February</v>
      </c>
      <c r="L2278" s="4" t="b">
        <v>1</v>
      </c>
      <c r="M2278" s="4" t="s">
        <v>98</v>
      </c>
      <c r="N2278" s="5">
        <v>301</v>
      </c>
      <c r="O2278" s="5">
        <v>62</v>
      </c>
      <c r="P2278" s="4" t="s">
        <v>17</v>
      </c>
      <c r="Q2278" s="8" t="s">
        <v>39</v>
      </c>
      <c r="R2278" s="4" t="s">
        <v>2134</v>
      </c>
      <c r="S2278" s="4"/>
      <c r="T2278"/>
      <c r="U2278" s="23"/>
    </row>
    <row r="2279" spans="1:21" ht="15.6" x14ac:dyDescent="0.3">
      <c r="A2279" s="4">
        <v>2278</v>
      </c>
      <c r="B2279" s="5">
        <v>8882909</v>
      </c>
      <c r="C2279" s="4" t="s">
        <v>192</v>
      </c>
      <c r="D2279" s="4" t="s">
        <v>42</v>
      </c>
      <c r="E2279" s="4" t="s">
        <v>21</v>
      </c>
      <c r="F2279" s="4" t="s">
        <v>2953</v>
      </c>
      <c r="G2279" s="6">
        <v>2.2999999999999998</v>
      </c>
      <c r="H2279" s="7">
        <v>45759.362245370372</v>
      </c>
      <c r="I2279" s="7" t="str">
        <f>TEXT(multilingual_mobile_app_reviews_2025[[#This Row],[Review_date]],"dd-mm-yyyy")</f>
        <v>12-04-2025</v>
      </c>
      <c r="J2279" s="7" t="str">
        <f>TEXT(multilingual_mobile_app_reviews_2025[[#This Row],[Review_date]],"YYYY")</f>
        <v>2025</v>
      </c>
      <c r="K2279" s="7" t="str">
        <f>TEXT(multilingual_mobile_app_reviews_2025[[#This Row],[Review_date]],"MMMM")</f>
        <v>April</v>
      </c>
      <c r="L2279" s="4" t="b">
        <v>1</v>
      </c>
      <c r="M2279" s="4" t="s">
        <v>3</v>
      </c>
      <c r="N2279" s="5">
        <v>1105</v>
      </c>
      <c r="O2279" s="5">
        <v>60</v>
      </c>
      <c r="P2279" s="4" t="s">
        <v>38</v>
      </c>
      <c r="Q2279" s="8" t="s">
        <v>39</v>
      </c>
      <c r="R2279" s="4" t="s">
        <v>2654</v>
      </c>
      <c r="S2279" s="4"/>
      <c r="T2279"/>
      <c r="U2279" s="23"/>
    </row>
    <row r="2280" spans="1:21" ht="15.6" x14ac:dyDescent="0.3">
      <c r="A2280" s="4">
        <v>2279</v>
      </c>
      <c r="B2280" s="5">
        <v>4838829</v>
      </c>
      <c r="C2280" s="4" t="s">
        <v>14</v>
      </c>
      <c r="D2280" s="4" t="s">
        <v>31</v>
      </c>
      <c r="E2280" s="4" t="s">
        <v>21</v>
      </c>
      <c r="F2280" s="4" t="s">
        <v>2956</v>
      </c>
      <c r="G2280" s="6">
        <v>1.6</v>
      </c>
      <c r="H2280" s="7">
        <v>45331.681469907409</v>
      </c>
      <c r="I2280" s="7" t="str">
        <f>TEXT(multilingual_mobile_app_reviews_2025[[#This Row],[Review_date]],"dd-mm-yyyy")</f>
        <v>09-02-2024</v>
      </c>
      <c r="J2280" s="7" t="str">
        <f>TEXT(multilingual_mobile_app_reviews_2025[[#This Row],[Review_date]],"YYYY")</f>
        <v>2024</v>
      </c>
      <c r="K2280" s="7" t="str">
        <f>TEXT(multilingual_mobile_app_reviews_2025[[#This Row],[Review_date]],"MMMM")</f>
        <v>February</v>
      </c>
      <c r="L2280" s="4" t="b">
        <v>1</v>
      </c>
      <c r="M2280" s="4" t="s">
        <v>33</v>
      </c>
      <c r="N2280" s="5">
        <v>161</v>
      </c>
      <c r="O2280" s="5">
        <v>33</v>
      </c>
      <c r="P2280" s="4" t="s">
        <v>230</v>
      </c>
      <c r="Q2280" s="8" t="s">
        <v>39</v>
      </c>
      <c r="R2280" s="4" t="s">
        <v>2655</v>
      </c>
      <c r="S2280" s="4"/>
      <c r="T2280"/>
      <c r="U2280" s="23"/>
    </row>
    <row r="2281" spans="1:21" ht="15.6" x14ac:dyDescent="0.3">
      <c r="A2281" s="4">
        <v>2280</v>
      </c>
      <c r="B2281" s="5">
        <v>7196616</v>
      </c>
      <c r="C2281" s="4" t="s">
        <v>69</v>
      </c>
      <c r="D2281" s="4" t="s">
        <v>63</v>
      </c>
      <c r="E2281" s="4" t="s">
        <v>9</v>
      </c>
      <c r="F2281" s="4" t="s">
        <v>2956</v>
      </c>
      <c r="G2281" s="6">
        <v>3.9</v>
      </c>
      <c r="H2281" s="7">
        <v>45683.086180555554</v>
      </c>
      <c r="I2281" s="7" t="str">
        <f>TEXT(multilingual_mobile_app_reviews_2025[[#This Row],[Review_date]],"dd-mm-yyyy")</f>
        <v>26-01-2025</v>
      </c>
      <c r="J2281" s="7" t="str">
        <f>TEXT(multilingual_mobile_app_reviews_2025[[#This Row],[Review_date]],"YYYY")</f>
        <v>2025</v>
      </c>
      <c r="K2281" s="7" t="str">
        <f>TEXT(multilingual_mobile_app_reviews_2025[[#This Row],[Review_date]],"MMMM")</f>
        <v>January</v>
      </c>
      <c r="L2281" s="4" t="b">
        <v>1</v>
      </c>
      <c r="M2281" s="4" t="s">
        <v>3</v>
      </c>
      <c r="N2281" s="5">
        <v>266</v>
      </c>
      <c r="O2281" s="5">
        <v>37</v>
      </c>
      <c r="P2281" s="4" t="s">
        <v>94</v>
      </c>
      <c r="Q2281" s="8" t="s">
        <v>5</v>
      </c>
      <c r="R2281" s="4" t="s">
        <v>2656</v>
      </c>
      <c r="S2281" s="4"/>
      <c r="T2281"/>
      <c r="U2281" s="23"/>
    </row>
    <row r="2282" spans="1:21" ht="15.6" x14ac:dyDescent="0.3">
      <c r="A2282" s="4">
        <v>2281</v>
      </c>
      <c r="B2282" s="5">
        <v>5102580</v>
      </c>
      <c r="C2282" s="4" t="s">
        <v>89</v>
      </c>
      <c r="D2282" s="4" t="s">
        <v>31</v>
      </c>
      <c r="E2282" s="4" t="s">
        <v>2657</v>
      </c>
      <c r="F2282" s="4" t="s">
        <v>2948</v>
      </c>
      <c r="G2282" s="6">
        <v>1.2</v>
      </c>
      <c r="H2282" s="7">
        <v>45238.714884259258</v>
      </c>
      <c r="I2282" s="7" t="str">
        <f>TEXT(multilingual_mobile_app_reviews_2025[[#This Row],[Review_date]],"dd-mm-yyyy")</f>
        <v>08-11-2023</v>
      </c>
      <c r="J2282" s="7" t="str">
        <f>TEXT(multilingual_mobile_app_reviews_2025[[#This Row],[Review_date]],"YYYY")</f>
        <v>2023</v>
      </c>
      <c r="K2282" s="7" t="str">
        <f>TEXT(multilingual_mobile_app_reviews_2025[[#This Row],[Review_date]],"MMMM")</f>
        <v>November</v>
      </c>
      <c r="L2282" s="4" t="b">
        <v>1</v>
      </c>
      <c r="M2282" s="4" t="s">
        <v>3</v>
      </c>
      <c r="N2282" s="5">
        <v>82</v>
      </c>
      <c r="O2282" s="5">
        <v>43</v>
      </c>
      <c r="P2282" s="4" t="s">
        <v>85</v>
      </c>
      <c r="Q2282" s="8" t="s">
        <v>2963</v>
      </c>
      <c r="R2282" s="4" t="s">
        <v>2658</v>
      </c>
      <c r="S2282" s="4"/>
      <c r="T2282"/>
      <c r="U2282" s="23"/>
    </row>
    <row r="2283" spans="1:21" ht="15.6" x14ac:dyDescent="0.3">
      <c r="A2283" s="4">
        <v>2282</v>
      </c>
      <c r="B2283" s="5">
        <v>384478</v>
      </c>
      <c r="C2283" s="4" t="s">
        <v>59</v>
      </c>
      <c r="D2283" s="4" t="s">
        <v>60</v>
      </c>
      <c r="E2283" s="4" t="s">
        <v>32</v>
      </c>
      <c r="F2283" s="4" t="s">
        <v>2959</v>
      </c>
      <c r="G2283" s="6">
        <v>2.6</v>
      </c>
      <c r="H2283" s="7">
        <v>45235.125856481478</v>
      </c>
      <c r="I2283" s="7" t="str">
        <f>TEXT(multilingual_mobile_app_reviews_2025[[#This Row],[Review_date]],"dd-mm-yyyy")</f>
        <v>05-11-2023</v>
      </c>
      <c r="J2283" s="7" t="str">
        <f>TEXT(multilingual_mobile_app_reviews_2025[[#This Row],[Review_date]],"YYYY")</f>
        <v>2023</v>
      </c>
      <c r="K2283" s="7" t="str">
        <f>TEXT(multilingual_mobile_app_reviews_2025[[#This Row],[Review_date]],"MMMM")</f>
        <v>November</v>
      </c>
      <c r="L2283" s="4" t="b">
        <v>1</v>
      </c>
      <c r="M2283" s="4" t="s">
        <v>98</v>
      </c>
      <c r="N2283" s="5">
        <v>1063</v>
      </c>
      <c r="O2283" s="5">
        <v>32</v>
      </c>
      <c r="P2283" s="4" t="s">
        <v>162</v>
      </c>
      <c r="Q2283" s="8" t="s">
        <v>39</v>
      </c>
      <c r="R2283" s="4" t="s">
        <v>2659</v>
      </c>
      <c r="S2283" s="4"/>
      <c r="T2283"/>
      <c r="U2283" s="23"/>
    </row>
    <row r="2284" spans="1:21" ht="15.6" x14ac:dyDescent="0.3">
      <c r="A2284" s="4">
        <v>2283</v>
      </c>
      <c r="B2284" s="5">
        <v>5578399</v>
      </c>
      <c r="C2284" s="4" t="s">
        <v>192</v>
      </c>
      <c r="D2284" s="4" t="s">
        <v>79</v>
      </c>
      <c r="E2284" s="4" t="s">
        <v>76</v>
      </c>
      <c r="F2284" s="4" t="s">
        <v>2961</v>
      </c>
      <c r="G2284" s="6">
        <v>3.4</v>
      </c>
      <c r="H2284" s="7">
        <v>45568.076053240744</v>
      </c>
      <c r="I2284" s="7" t="str">
        <f>TEXT(multilingual_mobile_app_reviews_2025[[#This Row],[Review_date]],"dd-mm-yyyy")</f>
        <v>03-10-2024</v>
      </c>
      <c r="J2284" s="7" t="str">
        <f>TEXT(multilingual_mobile_app_reviews_2025[[#This Row],[Review_date]],"YYYY")</f>
        <v>2024</v>
      </c>
      <c r="K2284" s="7" t="str">
        <f>TEXT(multilingual_mobile_app_reviews_2025[[#This Row],[Review_date]],"MMMM")</f>
        <v>October</v>
      </c>
      <c r="L2284" s="4" t="b">
        <v>1</v>
      </c>
      <c r="M2284" s="4" t="s">
        <v>98</v>
      </c>
      <c r="N2284" s="5">
        <v>858</v>
      </c>
      <c r="O2284" s="5">
        <v>64</v>
      </c>
      <c r="P2284" s="4" t="s">
        <v>162</v>
      </c>
      <c r="Q2284" s="8" t="s">
        <v>12</v>
      </c>
      <c r="R2284" s="4" t="s">
        <v>13</v>
      </c>
      <c r="S2284" s="4"/>
      <c r="T2284"/>
      <c r="U2284" s="23"/>
    </row>
    <row r="2285" spans="1:21" ht="15.6" x14ac:dyDescent="0.3">
      <c r="A2285" s="4">
        <v>2284</v>
      </c>
      <c r="B2285" s="5">
        <v>6287806</v>
      </c>
      <c r="C2285" s="4" t="s">
        <v>56</v>
      </c>
      <c r="D2285" s="4" t="s">
        <v>60</v>
      </c>
      <c r="E2285" s="4" t="s">
        <v>27</v>
      </c>
      <c r="F2285" s="4" t="s">
        <v>2941</v>
      </c>
      <c r="G2285" s="6">
        <v>4.9000000000000004</v>
      </c>
      <c r="H2285" s="7">
        <v>45248.98096064815</v>
      </c>
      <c r="I2285" s="7" t="str">
        <f>TEXT(multilingual_mobile_app_reviews_2025[[#This Row],[Review_date]],"dd-mm-yyyy")</f>
        <v>18-11-2023</v>
      </c>
      <c r="J2285" s="7" t="str">
        <f>TEXT(multilingual_mobile_app_reviews_2025[[#This Row],[Review_date]],"YYYY")</f>
        <v>2023</v>
      </c>
      <c r="K2285" s="7" t="str">
        <f>TEXT(multilingual_mobile_app_reviews_2025[[#This Row],[Review_date]],"MMMM")</f>
        <v>November</v>
      </c>
      <c r="L2285" s="4" t="b">
        <v>1</v>
      </c>
      <c r="M2285" s="4" t="s">
        <v>3</v>
      </c>
      <c r="N2285" s="5">
        <v>1175</v>
      </c>
      <c r="O2285" s="5">
        <v>73</v>
      </c>
      <c r="P2285" s="4" t="s">
        <v>17</v>
      </c>
      <c r="Q2285" s="8" t="s">
        <v>12</v>
      </c>
      <c r="R2285" s="4" t="s">
        <v>2248</v>
      </c>
      <c r="S2285" s="4"/>
      <c r="T2285"/>
      <c r="U2285" s="23"/>
    </row>
    <row r="2286" spans="1:21" ht="15.6" x14ac:dyDescent="0.3">
      <c r="A2286" s="4">
        <v>2285</v>
      </c>
      <c r="B2286" s="5">
        <v>6391943</v>
      </c>
      <c r="C2286" s="4" t="s">
        <v>264</v>
      </c>
      <c r="D2286" s="4" t="s">
        <v>157</v>
      </c>
      <c r="E2286" s="4" t="s">
        <v>76</v>
      </c>
      <c r="F2286" s="4" t="s">
        <v>2942</v>
      </c>
      <c r="G2286" s="6">
        <v>4.2</v>
      </c>
      <c r="H2286" s="7">
        <v>45566.174641203703</v>
      </c>
      <c r="I2286" s="7" t="str">
        <f>TEXT(multilingual_mobile_app_reviews_2025[[#This Row],[Review_date]],"dd-mm-yyyy")</f>
        <v>01-10-2024</v>
      </c>
      <c r="J2286" s="7" t="str">
        <f>TEXT(multilingual_mobile_app_reviews_2025[[#This Row],[Review_date]],"YYYY")</f>
        <v>2024</v>
      </c>
      <c r="K2286" s="7" t="str">
        <f>TEXT(multilingual_mobile_app_reviews_2025[[#This Row],[Review_date]],"MMMM")</f>
        <v>October</v>
      </c>
      <c r="L2286" s="4" t="b">
        <v>1</v>
      </c>
      <c r="M2286" s="4" t="s">
        <v>98</v>
      </c>
      <c r="N2286" s="5">
        <v>88</v>
      </c>
      <c r="O2286" s="5">
        <v>23</v>
      </c>
      <c r="P2286" s="4" t="s">
        <v>99</v>
      </c>
      <c r="Q2286" s="8" t="s">
        <v>2963</v>
      </c>
      <c r="R2286" s="4" t="s">
        <v>2660</v>
      </c>
      <c r="S2286" s="4"/>
      <c r="T2286"/>
      <c r="U2286" s="23"/>
    </row>
    <row r="2287" spans="1:21" ht="15.6" x14ac:dyDescent="0.3">
      <c r="A2287" s="4">
        <v>2286</v>
      </c>
      <c r="B2287" s="5">
        <v>7385667</v>
      </c>
      <c r="C2287" s="4" t="s">
        <v>41</v>
      </c>
      <c r="D2287" s="4" t="s">
        <v>57</v>
      </c>
      <c r="E2287" s="4" t="s">
        <v>2661</v>
      </c>
      <c r="F2287" s="4" t="s">
        <v>2956</v>
      </c>
      <c r="G2287" s="6">
        <v>1.2</v>
      </c>
      <c r="H2287" s="7">
        <v>45416.231307870374</v>
      </c>
      <c r="I2287" s="7" t="str">
        <f>TEXT(multilingual_mobile_app_reviews_2025[[#This Row],[Review_date]],"dd-mm-yyyy")</f>
        <v>04-05-2024</v>
      </c>
      <c r="J2287" s="7" t="str">
        <f>TEXT(multilingual_mobile_app_reviews_2025[[#This Row],[Review_date]],"YYYY")</f>
        <v>2024</v>
      </c>
      <c r="K2287" s="7" t="str">
        <f>TEXT(multilingual_mobile_app_reviews_2025[[#This Row],[Review_date]],"MMMM")</f>
        <v>May</v>
      </c>
      <c r="L2287" s="4" t="b">
        <v>1</v>
      </c>
      <c r="M2287" s="4" t="s">
        <v>3</v>
      </c>
      <c r="N2287" s="5">
        <v>395</v>
      </c>
      <c r="O2287" s="5">
        <v>19</v>
      </c>
      <c r="P2287" s="4" t="s">
        <v>144</v>
      </c>
      <c r="Q2287" s="8" t="s">
        <v>12</v>
      </c>
      <c r="R2287" s="4" t="s">
        <v>781</v>
      </c>
      <c r="S2287" s="4"/>
      <c r="T2287"/>
      <c r="U2287" s="23"/>
    </row>
    <row r="2288" spans="1:21" ht="15.6" x14ac:dyDescent="0.3">
      <c r="A2288" s="4">
        <v>2287</v>
      </c>
      <c r="B2288" s="5">
        <v>1461617</v>
      </c>
      <c r="C2288" s="4" t="s">
        <v>113</v>
      </c>
      <c r="D2288" s="4" t="s">
        <v>47</v>
      </c>
      <c r="E2288" s="4" t="s">
        <v>2662</v>
      </c>
      <c r="F2288" s="4" t="s">
        <v>2957</v>
      </c>
      <c r="G2288" s="6">
        <v>4.4000000000000004</v>
      </c>
      <c r="H2288" s="7">
        <v>45731.334641203706</v>
      </c>
      <c r="I2288" s="7" t="str">
        <f>TEXT(multilingual_mobile_app_reviews_2025[[#This Row],[Review_date]],"dd-mm-yyyy")</f>
        <v>15-03-2025</v>
      </c>
      <c r="J2288" s="7" t="str">
        <f>TEXT(multilingual_mobile_app_reviews_2025[[#This Row],[Review_date]],"YYYY")</f>
        <v>2025</v>
      </c>
      <c r="K2288" s="7" t="str">
        <f>TEXT(multilingual_mobile_app_reviews_2025[[#This Row],[Review_date]],"MMMM")</f>
        <v>March</v>
      </c>
      <c r="L2288" s="4" t="b">
        <v>1</v>
      </c>
      <c r="M2288" s="4" t="s">
        <v>3</v>
      </c>
      <c r="N2288" s="5">
        <v>383</v>
      </c>
      <c r="O2288" s="5">
        <v>24</v>
      </c>
      <c r="P2288" s="4" t="s">
        <v>11</v>
      </c>
      <c r="Q2288" s="8" t="s">
        <v>2963</v>
      </c>
      <c r="R2288" s="4" t="s">
        <v>1509</v>
      </c>
      <c r="S2288" s="4"/>
      <c r="T2288"/>
      <c r="U2288" s="23"/>
    </row>
    <row r="2289" spans="1:21" ht="15.6" x14ac:dyDescent="0.3">
      <c r="A2289" s="4">
        <v>2288</v>
      </c>
      <c r="B2289" s="5">
        <v>3915074</v>
      </c>
      <c r="C2289" s="4" t="s">
        <v>176</v>
      </c>
      <c r="D2289" s="4" t="s">
        <v>111</v>
      </c>
      <c r="E2289" s="4" t="s">
        <v>2663</v>
      </c>
      <c r="F2289" s="4" t="s">
        <v>2954</v>
      </c>
      <c r="G2289" s="6">
        <v>2.8</v>
      </c>
      <c r="H2289" s="7">
        <v>45726.052152777775</v>
      </c>
      <c r="I2289" s="7" t="str">
        <f>TEXT(multilingual_mobile_app_reviews_2025[[#This Row],[Review_date]],"dd-mm-yyyy")</f>
        <v>10-03-2025</v>
      </c>
      <c r="J2289" s="7" t="str">
        <f>TEXT(multilingual_mobile_app_reviews_2025[[#This Row],[Review_date]],"YYYY")</f>
        <v>2025</v>
      </c>
      <c r="K2289" s="7" t="str">
        <f>TEXT(multilingual_mobile_app_reviews_2025[[#This Row],[Review_date]],"MMMM")</f>
        <v>March</v>
      </c>
      <c r="L2289" s="4" t="b">
        <v>0</v>
      </c>
      <c r="M2289" s="4" t="s">
        <v>22</v>
      </c>
      <c r="N2289" s="5">
        <v>198</v>
      </c>
      <c r="O2289" s="5">
        <v>32</v>
      </c>
      <c r="P2289" s="4" t="s">
        <v>38</v>
      </c>
      <c r="Q2289" s="8" t="s">
        <v>39</v>
      </c>
      <c r="R2289" s="4" t="s">
        <v>2664</v>
      </c>
      <c r="S2289" s="4"/>
      <c r="T2289"/>
      <c r="U2289" s="23"/>
    </row>
    <row r="2290" spans="1:21" ht="15.6" x14ac:dyDescent="0.3">
      <c r="A2290" s="4">
        <v>2289</v>
      </c>
      <c r="B2290" s="5">
        <v>6740569</v>
      </c>
      <c r="C2290" s="4" t="s">
        <v>25</v>
      </c>
      <c r="D2290" s="4" t="s">
        <v>15</v>
      </c>
      <c r="E2290" s="4" t="s">
        <v>21</v>
      </c>
      <c r="F2290" s="4" t="s">
        <v>2957</v>
      </c>
      <c r="G2290" s="6">
        <v>1.8</v>
      </c>
      <c r="H2290" s="7">
        <v>45153.834641203706</v>
      </c>
      <c r="I2290" s="7" t="str">
        <f>TEXT(multilingual_mobile_app_reviews_2025[[#This Row],[Review_date]],"dd-mm-yyyy")</f>
        <v>15-08-2023</v>
      </c>
      <c r="J2290" s="7" t="str">
        <f>TEXT(multilingual_mobile_app_reviews_2025[[#This Row],[Review_date]],"YYYY")</f>
        <v>2023</v>
      </c>
      <c r="K2290" s="7" t="str">
        <f>TEXT(multilingual_mobile_app_reviews_2025[[#This Row],[Review_date]],"MMMM")</f>
        <v>August</v>
      </c>
      <c r="L2290" s="4" t="b">
        <v>1</v>
      </c>
      <c r="M2290" s="4" t="s">
        <v>10</v>
      </c>
      <c r="N2290" s="5">
        <v>12</v>
      </c>
      <c r="O2290" s="5">
        <v>74</v>
      </c>
      <c r="P2290" s="4" t="s">
        <v>28</v>
      </c>
      <c r="Q2290" s="8" t="s">
        <v>5</v>
      </c>
      <c r="R2290" s="4" t="s">
        <v>2665</v>
      </c>
      <c r="S2290" s="4"/>
      <c r="T2290"/>
      <c r="U2290" s="23"/>
    </row>
    <row r="2291" spans="1:21" ht="15.6" x14ac:dyDescent="0.3">
      <c r="A2291" s="4">
        <v>2290</v>
      </c>
      <c r="B2291" s="5">
        <v>4959342</v>
      </c>
      <c r="C2291" s="4" t="s">
        <v>154</v>
      </c>
      <c r="D2291" s="4" t="s">
        <v>157</v>
      </c>
      <c r="E2291" s="4" t="s">
        <v>16</v>
      </c>
      <c r="F2291" s="4" t="s">
        <v>2949</v>
      </c>
      <c r="G2291" s="6">
        <v>1.6</v>
      </c>
      <c r="H2291" s="7">
        <v>45521.202488425923</v>
      </c>
      <c r="I2291" s="7" t="str">
        <f>TEXT(multilingual_mobile_app_reviews_2025[[#This Row],[Review_date]],"dd-mm-yyyy")</f>
        <v>17-08-2024</v>
      </c>
      <c r="J2291" s="7" t="str">
        <f>TEXT(multilingual_mobile_app_reviews_2025[[#This Row],[Review_date]],"YYYY")</f>
        <v>2024</v>
      </c>
      <c r="K2291" s="7" t="str">
        <f>TEXT(multilingual_mobile_app_reviews_2025[[#This Row],[Review_date]],"MMMM")</f>
        <v>August</v>
      </c>
      <c r="L2291" s="4" t="b">
        <v>1</v>
      </c>
      <c r="M2291" s="4" t="s">
        <v>98</v>
      </c>
      <c r="N2291" s="5">
        <v>242</v>
      </c>
      <c r="O2291" s="5">
        <v>63</v>
      </c>
      <c r="P2291" s="4" t="s">
        <v>118</v>
      </c>
      <c r="Q2291" s="8" t="s">
        <v>5</v>
      </c>
      <c r="R2291" s="4" t="s">
        <v>2666</v>
      </c>
      <c r="S2291" s="4"/>
      <c r="T2291"/>
      <c r="U2291" s="23"/>
    </row>
    <row r="2292" spans="1:21" ht="15.6" x14ac:dyDescent="0.3">
      <c r="A2292" s="4">
        <v>2291</v>
      </c>
      <c r="B2292" s="5">
        <v>7061516</v>
      </c>
      <c r="C2292" s="4" t="s">
        <v>50</v>
      </c>
      <c r="D2292" s="4" t="s">
        <v>1</v>
      </c>
      <c r="E2292" s="4" t="s">
        <v>16</v>
      </c>
      <c r="F2292" s="4" t="s">
        <v>2955</v>
      </c>
      <c r="G2292" s="6">
        <v>2.6</v>
      </c>
      <c r="H2292" s="7">
        <v>45566.100046296298</v>
      </c>
      <c r="I2292" s="7" t="str">
        <f>TEXT(multilingual_mobile_app_reviews_2025[[#This Row],[Review_date]],"dd-mm-yyyy")</f>
        <v>01-10-2024</v>
      </c>
      <c r="J2292" s="7" t="str">
        <f>TEXT(multilingual_mobile_app_reviews_2025[[#This Row],[Review_date]],"YYYY")</f>
        <v>2024</v>
      </c>
      <c r="K2292" s="7" t="str">
        <f>TEXT(multilingual_mobile_app_reviews_2025[[#This Row],[Review_date]],"MMMM")</f>
        <v>October</v>
      </c>
      <c r="L2292" s="4" t="b">
        <v>1</v>
      </c>
      <c r="M2292" s="4" t="s">
        <v>3</v>
      </c>
      <c r="N2292" s="5">
        <v>940</v>
      </c>
      <c r="O2292" s="5">
        <v>56</v>
      </c>
      <c r="P2292" s="4" t="s">
        <v>11</v>
      </c>
      <c r="Q2292" s="8" t="s">
        <v>12</v>
      </c>
      <c r="R2292" s="4" t="s">
        <v>2667</v>
      </c>
      <c r="S2292" s="4"/>
      <c r="T2292"/>
      <c r="U2292" s="23"/>
    </row>
    <row r="2293" spans="1:21" ht="15.6" x14ac:dyDescent="0.3">
      <c r="A2293" s="4">
        <v>2292</v>
      </c>
      <c r="B2293" s="5">
        <v>773270</v>
      </c>
      <c r="C2293" s="4" t="s">
        <v>244</v>
      </c>
      <c r="D2293" s="4" t="s">
        <v>20</v>
      </c>
      <c r="E2293" s="4" t="s">
        <v>21</v>
      </c>
      <c r="F2293" s="4" t="s">
        <v>2946</v>
      </c>
      <c r="G2293" s="6">
        <v>2.5</v>
      </c>
      <c r="H2293" s="7">
        <v>45294.319490740738</v>
      </c>
      <c r="I2293" s="7" t="str">
        <f>TEXT(multilingual_mobile_app_reviews_2025[[#This Row],[Review_date]],"dd-mm-yyyy")</f>
        <v>03-01-2024</v>
      </c>
      <c r="J2293" s="7" t="str">
        <f>TEXT(multilingual_mobile_app_reviews_2025[[#This Row],[Review_date]],"YYYY")</f>
        <v>2024</v>
      </c>
      <c r="K2293" s="7" t="str">
        <f>TEXT(multilingual_mobile_app_reviews_2025[[#This Row],[Review_date]],"MMMM")</f>
        <v>January</v>
      </c>
      <c r="L2293" s="4" t="b">
        <v>1</v>
      </c>
      <c r="M2293" s="4" t="s">
        <v>3</v>
      </c>
      <c r="N2293" s="5">
        <v>742</v>
      </c>
      <c r="O2293" s="5">
        <v>60</v>
      </c>
      <c r="P2293" s="4" t="s">
        <v>70</v>
      </c>
      <c r="Q2293" s="8" t="s">
        <v>5</v>
      </c>
      <c r="R2293" s="4" t="s">
        <v>2668</v>
      </c>
      <c r="S2293" s="4"/>
      <c r="T2293"/>
      <c r="U2293" s="23"/>
    </row>
    <row r="2294" spans="1:21" ht="15.6" x14ac:dyDescent="0.3">
      <c r="A2294" s="4">
        <v>2293</v>
      </c>
      <c r="B2294" s="5">
        <v>704073</v>
      </c>
      <c r="C2294" s="4" t="s">
        <v>75</v>
      </c>
      <c r="D2294" s="4" t="s">
        <v>26</v>
      </c>
      <c r="E2294" s="4" t="s">
        <v>76</v>
      </c>
      <c r="F2294" s="4" t="s">
        <v>2953</v>
      </c>
      <c r="G2294" s="6">
        <v>2</v>
      </c>
      <c r="H2294" s="7">
        <v>45301.086458333331</v>
      </c>
      <c r="I2294" s="7" t="str">
        <f>TEXT(multilingual_mobile_app_reviews_2025[[#This Row],[Review_date]],"dd-mm-yyyy")</f>
        <v>10-01-2024</v>
      </c>
      <c r="J2294" s="7" t="str">
        <f>TEXT(multilingual_mobile_app_reviews_2025[[#This Row],[Review_date]],"YYYY")</f>
        <v>2024</v>
      </c>
      <c r="K2294" s="7" t="str">
        <f>TEXT(multilingual_mobile_app_reviews_2025[[#This Row],[Review_date]],"MMMM")</f>
        <v>January</v>
      </c>
      <c r="L2294" s="4" t="b">
        <v>1</v>
      </c>
      <c r="M2294" s="4" t="s">
        <v>33</v>
      </c>
      <c r="N2294" s="5">
        <v>608</v>
      </c>
      <c r="O2294" s="5">
        <v>70</v>
      </c>
      <c r="P2294" s="4" t="s">
        <v>90</v>
      </c>
      <c r="Q2294" s="8" t="s">
        <v>5</v>
      </c>
      <c r="R2294" s="4" t="s">
        <v>2669</v>
      </c>
      <c r="S2294" s="4"/>
      <c r="T2294"/>
      <c r="U2294" s="23"/>
    </row>
    <row r="2295" spans="1:21" ht="15.6" x14ac:dyDescent="0.3">
      <c r="A2295" s="4">
        <v>2294</v>
      </c>
      <c r="B2295" s="5">
        <v>9876741</v>
      </c>
      <c r="C2295" s="4" t="s">
        <v>101</v>
      </c>
      <c r="D2295" s="4" t="s">
        <v>26</v>
      </c>
      <c r="E2295" s="4" t="s">
        <v>21</v>
      </c>
      <c r="F2295" s="4" t="s">
        <v>2952</v>
      </c>
      <c r="G2295" s="6">
        <v>3.2</v>
      </c>
      <c r="H2295" s="7">
        <v>45520.610462962963</v>
      </c>
      <c r="I2295" s="7" t="str">
        <f>TEXT(multilingual_mobile_app_reviews_2025[[#This Row],[Review_date]],"dd-mm-yyyy")</f>
        <v>16-08-2024</v>
      </c>
      <c r="J2295" s="7" t="str">
        <f>TEXT(multilingual_mobile_app_reviews_2025[[#This Row],[Review_date]],"YYYY")</f>
        <v>2024</v>
      </c>
      <c r="K2295" s="7" t="str">
        <f>TEXT(multilingual_mobile_app_reviews_2025[[#This Row],[Review_date]],"MMMM")</f>
        <v>August</v>
      </c>
      <c r="L2295" s="4" t="b">
        <v>1</v>
      </c>
      <c r="M2295" s="4" t="s">
        <v>98</v>
      </c>
      <c r="N2295" s="5">
        <v>1005</v>
      </c>
      <c r="O2295" s="5">
        <v>58</v>
      </c>
      <c r="P2295" s="4" t="s">
        <v>85</v>
      </c>
      <c r="Q2295" s="8" t="s">
        <v>12</v>
      </c>
      <c r="R2295" s="4" t="s">
        <v>2670</v>
      </c>
      <c r="S2295" s="4"/>
      <c r="T2295"/>
      <c r="U2295" s="23"/>
    </row>
    <row r="2296" spans="1:21" ht="15.6" x14ac:dyDescent="0.3">
      <c r="A2296" s="4">
        <v>2295</v>
      </c>
      <c r="B2296" s="5">
        <v>5961649</v>
      </c>
      <c r="C2296" s="4" t="s">
        <v>101</v>
      </c>
      <c r="D2296" s="4" t="s">
        <v>1</v>
      </c>
      <c r="E2296" s="4" t="s">
        <v>16</v>
      </c>
      <c r="F2296" s="4" t="s">
        <v>2960</v>
      </c>
      <c r="G2296" s="6">
        <v>3.4</v>
      </c>
      <c r="H2296" s="7">
        <v>45684.001250000001</v>
      </c>
      <c r="I2296" s="7" t="str">
        <f>TEXT(multilingual_mobile_app_reviews_2025[[#This Row],[Review_date]],"dd-mm-yyyy")</f>
        <v>27-01-2025</v>
      </c>
      <c r="J2296" s="7" t="str">
        <f>TEXT(multilingual_mobile_app_reviews_2025[[#This Row],[Review_date]],"YYYY")</f>
        <v>2025</v>
      </c>
      <c r="K2296" s="7" t="str">
        <f>TEXT(multilingual_mobile_app_reviews_2025[[#This Row],[Review_date]],"MMMM")</f>
        <v>January</v>
      </c>
      <c r="L2296" s="4" t="b">
        <v>1</v>
      </c>
      <c r="M2296" s="4" t="s">
        <v>22</v>
      </c>
      <c r="N2296" s="5">
        <v>887</v>
      </c>
      <c r="O2296" s="5">
        <v>67</v>
      </c>
      <c r="P2296" s="4" t="s">
        <v>70</v>
      </c>
      <c r="Q2296" s="8" t="s">
        <v>12</v>
      </c>
      <c r="R2296" s="4" t="s">
        <v>2671</v>
      </c>
      <c r="S2296" s="4"/>
      <c r="T2296"/>
      <c r="U2296" s="23"/>
    </row>
    <row r="2297" spans="1:21" ht="15.6" x14ac:dyDescent="0.3">
      <c r="A2297" s="4">
        <v>2296</v>
      </c>
      <c r="B2297" s="5">
        <v>9857347</v>
      </c>
      <c r="C2297" s="4" t="s">
        <v>0</v>
      </c>
      <c r="D2297" s="4" t="s">
        <v>60</v>
      </c>
      <c r="E2297" s="4" t="s">
        <v>21</v>
      </c>
      <c r="F2297" s="4" t="s">
        <v>2945</v>
      </c>
      <c r="G2297" s="6">
        <v>2.8</v>
      </c>
      <c r="H2297" s="7">
        <v>45823.673703703702</v>
      </c>
      <c r="I2297" s="7" t="str">
        <f>TEXT(multilingual_mobile_app_reviews_2025[[#This Row],[Review_date]],"dd-mm-yyyy")</f>
        <v>15-06-2025</v>
      </c>
      <c r="J2297" s="7" t="str">
        <f>TEXT(multilingual_mobile_app_reviews_2025[[#This Row],[Review_date]],"YYYY")</f>
        <v>2025</v>
      </c>
      <c r="K2297" s="7" t="str">
        <f>TEXT(multilingual_mobile_app_reviews_2025[[#This Row],[Review_date]],"MMMM")</f>
        <v>June</v>
      </c>
      <c r="L2297" s="4" t="b">
        <v>1</v>
      </c>
      <c r="M2297" s="4" t="s">
        <v>33</v>
      </c>
      <c r="N2297" s="5">
        <v>793</v>
      </c>
      <c r="O2297" s="5">
        <v>56</v>
      </c>
      <c r="P2297" s="4" t="s">
        <v>23</v>
      </c>
      <c r="Q2297" s="8" t="s">
        <v>2963</v>
      </c>
      <c r="R2297" s="4" t="s">
        <v>2672</v>
      </c>
      <c r="S2297" s="4"/>
      <c r="T2297"/>
      <c r="U2297" s="23"/>
    </row>
    <row r="2298" spans="1:21" ht="15.6" x14ac:dyDescent="0.3">
      <c r="A2298" s="4">
        <v>2297</v>
      </c>
      <c r="B2298" s="5">
        <v>8642096</v>
      </c>
      <c r="C2298" s="4" t="s">
        <v>192</v>
      </c>
      <c r="D2298" s="4" t="s">
        <v>8</v>
      </c>
      <c r="E2298" s="4" t="s">
        <v>130</v>
      </c>
      <c r="F2298" s="4" t="s">
        <v>2946</v>
      </c>
      <c r="G2298" s="6">
        <v>4.4000000000000004</v>
      </c>
      <c r="H2298" s="7">
        <v>45836.825185185182</v>
      </c>
      <c r="I2298" s="7" t="str">
        <f>TEXT(multilingual_mobile_app_reviews_2025[[#This Row],[Review_date]],"dd-mm-yyyy")</f>
        <v>28-06-2025</v>
      </c>
      <c r="J2298" s="7" t="str">
        <f>TEXT(multilingual_mobile_app_reviews_2025[[#This Row],[Review_date]],"YYYY")</f>
        <v>2025</v>
      </c>
      <c r="K2298" s="7" t="str">
        <f>TEXT(multilingual_mobile_app_reviews_2025[[#This Row],[Review_date]],"MMMM")</f>
        <v>June</v>
      </c>
      <c r="L2298" s="4" t="b">
        <v>1</v>
      </c>
      <c r="M2298" s="4" t="s">
        <v>33</v>
      </c>
      <c r="N2298" s="5">
        <v>1041</v>
      </c>
      <c r="O2298" s="5">
        <v>71</v>
      </c>
      <c r="P2298" s="4" t="s">
        <v>85</v>
      </c>
      <c r="Q2298" s="8" t="s">
        <v>5</v>
      </c>
      <c r="R2298" s="4" t="s">
        <v>2673</v>
      </c>
      <c r="S2298" s="4"/>
      <c r="T2298"/>
      <c r="U2298" s="23"/>
    </row>
    <row r="2299" spans="1:21" ht="15.6" x14ac:dyDescent="0.3">
      <c r="A2299" s="4">
        <v>2298</v>
      </c>
      <c r="B2299" s="5">
        <v>6763599</v>
      </c>
      <c r="C2299" s="4" t="s">
        <v>159</v>
      </c>
      <c r="D2299" s="4" t="s">
        <v>51</v>
      </c>
      <c r="E2299" s="4" t="s">
        <v>2674</v>
      </c>
      <c r="F2299" s="4" t="s">
        <v>2953</v>
      </c>
      <c r="G2299" s="6">
        <v>1</v>
      </c>
      <c r="H2299" s="7">
        <v>45660.716770833336</v>
      </c>
      <c r="I2299" s="7" t="str">
        <f>TEXT(multilingual_mobile_app_reviews_2025[[#This Row],[Review_date]],"dd-mm-yyyy")</f>
        <v>03-01-2025</v>
      </c>
      <c r="J2299" s="7" t="str">
        <f>TEXT(multilingual_mobile_app_reviews_2025[[#This Row],[Review_date]],"YYYY")</f>
        <v>2025</v>
      </c>
      <c r="K2299" s="7" t="str">
        <f>TEXT(multilingual_mobile_app_reviews_2025[[#This Row],[Review_date]],"MMMM")</f>
        <v>January</v>
      </c>
      <c r="L2299" s="4" t="b">
        <v>1</v>
      </c>
      <c r="M2299" s="4" t="s">
        <v>98</v>
      </c>
      <c r="N2299" s="5">
        <v>1167</v>
      </c>
      <c r="O2299" s="5">
        <v>58</v>
      </c>
      <c r="P2299" s="4" t="s">
        <v>70</v>
      </c>
      <c r="Q2299" s="8" t="s">
        <v>12</v>
      </c>
      <c r="R2299" s="4" t="s">
        <v>2675</v>
      </c>
      <c r="S2299" s="4"/>
      <c r="T2299"/>
      <c r="U2299" s="23"/>
    </row>
    <row r="2300" spans="1:21" ht="15.6" x14ac:dyDescent="0.3">
      <c r="A2300" s="4">
        <v>2299</v>
      </c>
      <c r="B2300" s="5">
        <v>6906362</v>
      </c>
      <c r="C2300" s="4" t="s">
        <v>14</v>
      </c>
      <c r="D2300" s="4" t="s">
        <v>220</v>
      </c>
      <c r="E2300" s="4" t="s">
        <v>2676</v>
      </c>
      <c r="F2300" s="4" t="s">
        <v>2954</v>
      </c>
      <c r="G2300" s="6">
        <v>2.5</v>
      </c>
      <c r="H2300" s="7">
        <v>45294.333645833336</v>
      </c>
      <c r="I2300" s="7" t="str">
        <f>TEXT(multilingual_mobile_app_reviews_2025[[#This Row],[Review_date]],"dd-mm-yyyy")</f>
        <v>03-01-2024</v>
      </c>
      <c r="J2300" s="7" t="str">
        <f>TEXT(multilingual_mobile_app_reviews_2025[[#This Row],[Review_date]],"YYYY")</f>
        <v>2024</v>
      </c>
      <c r="K2300" s="7" t="str">
        <f>TEXT(multilingual_mobile_app_reviews_2025[[#This Row],[Review_date]],"MMMM")</f>
        <v>January</v>
      </c>
      <c r="L2300" s="4" t="b">
        <v>0</v>
      </c>
      <c r="M2300" s="4" t="s">
        <v>33</v>
      </c>
      <c r="N2300" s="5">
        <v>135</v>
      </c>
      <c r="O2300" s="5">
        <v>30</v>
      </c>
      <c r="P2300" s="4" t="s">
        <v>118</v>
      </c>
      <c r="Q2300" s="8" t="s">
        <v>2963</v>
      </c>
      <c r="R2300" s="4" t="s">
        <v>86</v>
      </c>
      <c r="S2300" s="4"/>
      <c r="T2300"/>
      <c r="U2300" s="23"/>
    </row>
    <row r="2301" spans="1:21" ht="15.6" x14ac:dyDescent="0.3">
      <c r="A2301" s="4">
        <v>2300</v>
      </c>
      <c r="B2301" s="5">
        <v>9666485</v>
      </c>
      <c r="C2301" s="4" t="s">
        <v>137</v>
      </c>
      <c r="D2301" s="4" t="s">
        <v>1</v>
      </c>
      <c r="E2301" s="4" t="s">
        <v>2677</v>
      </c>
      <c r="F2301" s="4" t="s">
        <v>2944</v>
      </c>
      <c r="G2301" s="6">
        <v>3.7</v>
      </c>
      <c r="H2301" s="7">
        <v>45299.157152777778</v>
      </c>
      <c r="I2301" s="7" t="str">
        <f>TEXT(multilingual_mobile_app_reviews_2025[[#This Row],[Review_date]],"dd-mm-yyyy")</f>
        <v>08-01-2024</v>
      </c>
      <c r="J2301" s="7" t="str">
        <f>TEXT(multilingual_mobile_app_reviews_2025[[#This Row],[Review_date]],"YYYY")</f>
        <v>2024</v>
      </c>
      <c r="K2301" s="7" t="str">
        <f>TEXT(multilingual_mobile_app_reviews_2025[[#This Row],[Review_date]],"MMMM")</f>
        <v>January</v>
      </c>
      <c r="L2301" s="4" t="b">
        <v>1</v>
      </c>
      <c r="M2301" s="4" t="s">
        <v>22</v>
      </c>
      <c r="N2301" s="5">
        <v>443</v>
      </c>
      <c r="O2301" s="5">
        <v>55</v>
      </c>
      <c r="P2301" s="4" t="s">
        <v>80</v>
      </c>
      <c r="Q2301" s="8" t="s">
        <v>39</v>
      </c>
      <c r="R2301" s="4" t="s">
        <v>2678</v>
      </c>
      <c r="S2301" s="4"/>
      <c r="T2301"/>
      <c r="U2301" s="23"/>
    </row>
    <row r="2302" spans="1:21" ht="15.6" x14ac:dyDescent="0.3">
      <c r="A2302" s="4">
        <v>2301</v>
      </c>
      <c r="B2302" s="5">
        <v>6619151</v>
      </c>
      <c r="C2302" s="4" t="s">
        <v>154</v>
      </c>
      <c r="D2302" s="4" t="s">
        <v>1</v>
      </c>
      <c r="E2302" s="4" t="s">
        <v>16</v>
      </c>
      <c r="F2302" s="4" t="s">
        <v>2958</v>
      </c>
      <c r="G2302" s="6">
        <v>2</v>
      </c>
      <c r="H2302" s="7">
        <v>45698.094942129632</v>
      </c>
      <c r="I2302" s="7" t="str">
        <f>TEXT(multilingual_mobile_app_reviews_2025[[#This Row],[Review_date]],"dd-mm-yyyy")</f>
        <v>10-02-2025</v>
      </c>
      <c r="J2302" s="7" t="str">
        <f>TEXT(multilingual_mobile_app_reviews_2025[[#This Row],[Review_date]],"YYYY")</f>
        <v>2025</v>
      </c>
      <c r="K2302" s="7" t="str">
        <f>TEXT(multilingual_mobile_app_reviews_2025[[#This Row],[Review_date]],"MMMM")</f>
        <v>February</v>
      </c>
      <c r="L2302" s="4" t="b">
        <v>1</v>
      </c>
      <c r="M2302" s="4" t="s">
        <v>33</v>
      </c>
      <c r="N2302" s="5">
        <v>47</v>
      </c>
      <c r="O2302" s="5">
        <v>14</v>
      </c>
      <c r="P2302" s="4" t="s">
        <v>230</v>
      </c>
      <c r="Q2302" s="8" t="s">
        <v>29</v>
      </c>
      <c r="R2302" s="4" t="s">
        <v>2679</v>
      </c>
      <c r="S2302" s="4"/>
      <c r="T2302"/>
      <c r="U2302" s="23"/>
    </row>
    <row r="2303" spans="1:21" ht="15.6" x14ac:dyDescent="0.3">
      <c r="A2303" s="4">
        <v>2302</v>
      </c>
      <c r="B2303" s="5">
        <v>7782024</v>
      </c>
      <c r="C2303" s="4" t="s">
        <v>84</v>
      </c>
      <c r="D2303" s="4" t="s">
        <v>51</v>
      </c>
      <c r="E2303" s="4" t="s">
        <v>76</v>
      </c>
      <c r="F2303" s="4" t="s">
        <v>2947</v>
      </c>
      <c r="G2303" s="6">
        <v>3.2</v>
      </c>
      <c r="H2303" s="7">
        <v>45442.386180555557</v>
      </c>
      <c r="I2303" s="7" t="str">
        <f>TEXT(multilingual_mobile_app_reviews_2025[[#This Row],[Review_date]],"dd-mm-yyyy")</f>
        <v>30-05-2024</v>
      </c>
      <c r="J2303" s="7" t="str">
        <f>TEXT(multilingual_mobile_app_reviews_2025[[#This Row],[Review_date]],"YYYY")</f>
        <v>2024</v>
      </c>
      <c r="K2303" s="7" t="str">
        <f>TEXT(multilingual_mobile_app_reviews_2025[[#This Row],[Review_date]],"MMMM")</f>
        <v>May</v>
      </c>
      <c r="L2303" s="4" t="b">
        <v>1</v>
      </c>
      <c r="M2303" s="4" t="s">
        <v>98</v>
      </c>
      <c r="N2303" s="5">
        <v>148</v>
      </c>
      <c r="O2303" s="5">
        <v>52</v>
      </c>
      <c r="P2303" s="4" t="s">
        <v>94</v>
      </c>
      <c r="Q2303" s="8" t="s">
        <v>2963</v>
      </c>
      <c r="R2303" s="4" t="s">
        <v>2248</v>
      </c>
      <c r="S2303" s="4"/>
      <c r="T2303"/>
      <c r="U2303" s="23"/>
    </row>
    <row r="2304" spans="1:21" ht="15.6" x14ac:dyDescent="0.3">
      <c r="A2304" s="4">
        <v>2303</v>
      </c>
      <c r="B2304" s="5">
        <v>2872557</v>
      </c>
      <c r="C2304" s="4" t="s">
        <v>165</v>
      </c>
      <c r="D2304" s="4" t="s">
        <v>63</v>
      </c>
      <c r="E2304" s="4" t="s">
        <v>16</v>
      </c>
      <c r="F2304" s="4" t="s">
        <v>2945</v>
      </c>
      <c r="G2304" s="6">
        <v>4.5999999999999996</v>
      </c>
      <c r="H2304" s="7">
        <v>45854.099490740744</v>
      </c>
      <c r="I2304" s="7" t="str">
        <f>TEXT(multilingual_mobile_app_reviews_2025[[#This Row],[Review_date]],"dd-mm-yyyy")</f>
        <v>16-07-2025</v>
      </c>
      <c r="J2304" s="7" t="str">
        <f>TEXT(multilingual_mobile_app_reviews_2025[[#This Row],[Review_date]],"YYYY")</f>
        <v>2025</v>
      </c>
      <c r="K2304" s="7" t="str">
        <f>TEXT(multilingual_mobile_app_reviews_2025[[#This Row],[Review_date]],"MMMM")</f>
        <v>July</v>
      </c>
      <c r="L2304" s="4" t="b">
        <v>1</v>
      </c>
      <c r="M2304" s="4" t="s">
        <v>3</v>
      </c>
      <c r="N2304" s="5">
        <v>796</v>
      </c>
      <c r="O2304" s="5">
        <v>19</v>
      </c>
      <c r="P2304" s="4" t="s">
        <v>80</v>
      </c>
      <c r="Q2304" s="8" t="s">
        <v>29</v>
      </c>
      <c r="R2304" s="4" t="s">
        <v>2680</v>
      </c>
      <c r="S2304" s="4"/>
      <c r="T2304"/>
      <c r="U2304" s="23"/>
    </row>
    <row r="2305" spans="1:21" ht="15.6" x14ac:dyDescent="0.3">
      <c r="A2305" s="4">
        <v>2304</v>
      </c>
      <c r="B2305" s="5">
        <v>8156009</v>
      </c>
      <c r="C2305" s="4" t="s">
        <v>7</v>
      </c>
      <c r="D2305" s="4" t="s">
        <v>60</v>
      </c>
      <c r="E2305" s="4" t="s">
        <v>2681</v>
      </c>
      <c r="F2305" s="4" t="s">
        <v>2951</v>
      </c>
      <c r="G2305" s="6">
        <v>2.1</v>
      </c>
      <c r="H2305" s="7">
        <v>45262.755636574075</v>
      </c>
      <c r="I2305" s="7" t="str">
        <f>TEXT(multilingual_mobile_app_reviews_2025[[#This Row],[Review_date]],"dd-mm-yyyy")</f>
        <v>02-12-2023</v>
      </c>
      <c r="J2305" s="7" t="str">
        <f>TEXT(multilingual_mobile_app_reviews_2025[[#This Row],[Review_date]],"YYYY")</f>
        <v>2023</v>
      </c>
      <c r="K2305" s="7" t="str">
        <f>TEXT(multilingual_mobile_app_reviews_2025[[#This Row],[Review_date]],"MMMM")</f>
        <v>December</v>
      </c>
      <c r="L2305" s="4" t="b">
        <v>1</v>
      </c>
      <c r="M2305" s="4" t="s">
        <v>98</v>
      </c>
      <c r="N2305" s="5">
        <v>522</v>
      </c>
      <c r="O2305" s="5">
        <v>52</v>
      </c>
      <c r="P2305" s="4" t="s">
        <v>38</v>
      </c>
      <c r="Q2305" s="8" t="s">
        <v>29</v>
      </c>
      <c r="R2305" s="4" t="s">
        <v>2682</v>
      </c>
      <c r="S2305" s="4"/>
      <c r="T2305"/>
      <c r="U2305" s="23"/>
    </row>
    <row r="2306" spans="1:21" ht="15.6" x14ac:dyDescent="0.3">
      <c r="A2306" s="4">
        <v>2305</v>
      </c>
      <c r="B2306" s="5">
        <v>998215</v>
      </c>
      <c r="C2306" s="4" t="s">
        <v>96</v>
      </c>
      <c r="D2306" s="4" t="s">
        <v>42</v>
      </c>
      <c r="E2306" s="4" t="s">
        <v>64</v>
      </c>
      <c r="F2306" s="4" t="s">
        <v>2945</v>
      </c>
      <c r="G2306" s="6">
        <v>1.4</v>
      </c>
      <c r="H2306" s="7">
        <v>45424.750972222224</v>
      </c>
      <c r="I2306" s="7" t="str">
        <f>TEXT(multilingual_mobile_app_reviews_2025[[#This Row],[Review_date]],"dd-mm-yyyy")</f>
        <v>12-05-2024</v>
      </c>
      <c r="J2306" s="7" t="str">
        <f>TEXT(multilingual_mobile_app_reviews_2025[[#This Row],[Review_date]],"YYYY")</f>
        <v>2024</v>
      </c>
      <c r="K2306" s="7" t="str">
        <f>TEXT(multilingual_mobile_app_reviews_2025[[#This Row],[Review_date]],"MMMM")</f>
        <v>May</v>
      </c>
      <c r="L2306" s="4" t="b">
        <v>1</v>
      </c>
      <c r="M2306" s="4" t="s">
        <v>10</v>
      </c>
      <c r="N2306" s="5">
        <v>1207</v>
      </c>
      <c r="O2306" s="5">
        <v>48</v>
      </c>
      <c r="P2306" s="4" t="s">
        <v>144</v>
      </c>
      <c r="Q2306" s="8" t="s">
        <v>29</v>
      </c>
      <c r="R2306" s="4" t="s">
        <v>2683</v>
      </c>
      <c r="S2306" s="4"/>
      <c r="T2306"/>
      <c r="U2306" s="23"/>
    </row>
    <row r="2307" spans="1:21" ht="15.6" x14ac:dyDescent="0.3">
      <c r="A2307" s="4">
        <v>2306</v>
      </c>
      <c r="B2307" s="5">
        <v>3300848</v>
      </c>
      <c r="C2307" s="4" t="s">
        <v>7</v>
      </c>
      <c r="D2307" s="4" t="s">
        <v>111</v>
      </c>
      <c r="E2307" s="4" t="s">
        <v>2684</v>
      </c>
      <c r="F2307" s="4" t="s">
        <v>2959</v>
      </c>
      <c r="G2307" s="6">
        <v>1.7</v>
      </c>
      <c r="H2307" s="7">
        <v>45862.817604166667</v>
      </c>
      <c r="I2307" s="7" t="str">
        <f>TEXT(multilingual_mobile_app_reviews_2025[[#This Row],[Review_date]],"dd-mm-yyyy")</f>
        <v>24-07-2025</v>
      </c>
      <c r="J2307" s="7" t="str">
        <f>TEXT(multilingual_mobile_app_reviews_2025[[#This Row],[Review_date]],"YYYY")</f>
        <v>2025</v>
      </c>
      <c r="K2307" s="7" t="str">
        <f>TEXT(multilingual_mobile_app_reviews_2025[[#This Row],[Review_date]],"MMMM")</f>
        <v>July</v>
      </c>
      <c r="L2307" s="4" t="b">
        <v>1</v>
      </c>
      <c r="M2307" s="4" t="s">
        <v>10</v>
      </c>
      <c r="N2307" s="5">
        <v>154</v>
      </c>
      <c r="O2307" s="5">
        <v>51</v>
      </c>
      <c r="P2307" s="4" t="s">
        <v>28</v>
      </c>
      <c r="Q2307" s="8" t="s">
        <v>12</v>
      </c>
      <c r="R2307" s="4" t="s">
        <v>2685</v>
      </c>
      <c r="S2307" s="4"/>
      <c r="T2307"/>
      <c r="U2307" s="23"/>
    </row>
    <row r="2308" spans="1:21" ht="15.6" x14ac:dyDescent="0.3">
      <c r="A2308" s="4">
        <v>2307</v>
      </c>
      <c r="B2308" s="5">
        <v>3028988</v>
      </c>
      <c r="C2308" s="4" t="s">
        <v>147</v>
      </c>
      <c r="D2308" s="4" t="s">
        <v>31</v>
      </c>
      <c r="E2308" s="4" t="s">
        <v>9</v>
      </c>
      <c r="F2308" s="4" t="s">
        <v>2950</v>
      </c>
      <c r="G2308" s="6">
        <v>2.2000000000000002</v>
      </c>
      <c r="H2308" s="7">
        <v>45150.019618055558</v>
      </c>
      <c r="I2308" s="7" t="str">
        <f>TEXT(multilingual_mobile_app_reviews_2025[[#This Row],[Review_date]],"dd-mm-yyyy")</f>
        <v>12-08-2023</v>
      </c>
      <c r="J2308" s="7" t="str">
        <f>TEXT(multilingual_mobile_app_reviews_2025[[#This Row],[Review_date]],"YYYY")</f>
        <v>2023</v>
      </c>
      <c r="K2308" s="7" t="str">
        <f>TEXT(multilingual_mobile_app_reviews_2025[[#This Row],[Review_date]],"MMMM")</f>
        <v>August</v>
      </c>
      <c r="L2308" s="4" t="b">
        <v>1</v>
      </c>
      <c r="M2308" s="4" t="s">
        <v>22</v>
      </c>
      <c r="N2308" s="5">
        <v>865</v>
      </c>
      <c r="O2308" s="5">
        <v>45</v>
      </c>
      <c r="P2308" s="4" t="s">
        <v>65</v>
      </c>
      <c r="Q2308" s="8" t="s">
        <v>5</v>
      </c>
      <c r="R2308" s="4" t="s">
        <v>2686</v>
      </c>
      <c r="S2308" s="4"/>
      <c r="T2308"/>
      <c r="U2308" s="23"/>
    </row>
    <row r="2309" spans="1:21" ht="15.6" x14ac:dyDescent="0.3">
      <c r="A2309" s="4">
        <v>2308</v>
      </c>
      <c r="B2309" s="5">
        <v>1544438</v>
      </c>
      <c r="C2309" s="4" t="s">
        <v>87</v>
      </c>
      <c r="D2309" s="4" t="s">
        <v>51</v>
      </c>
      <c r="E2309" s="4" t="s">
        <v>16</v>
      </c>
      <c r="F2309" s="4" t="s">
        <v>2942</v>
      </c>
      <c r="G2309" s="6">
        <v>2.2999999999999998</v>
      </c>
      <c r="H2309" s="7">
        <v>45701.854085648149</v>
      </c>
      <c r="I2309" s="7" t="str">
        <f>TEXT(multilingual_mobile_app_reviews_2025[[#This Row],[Review_date]],"dd-mm-yyyy")</f>
        <v>13-02-2025</v>
      </c>
      <c r="J2309" s="7" t="str">
        <f>TEXT(multilingual_mobile_app_reviews_2025[[#This Row],[Review_date]],"YYYY")</f>
        <v>2025</v>
      </c>
      <c r="K2309" s="7" t="str">
        <f>TEXT(multilingual_mobile_app_reviews_2025[[#This Row],[Review_date]],"MMMM")</f>
        <v>February</v>
      </c>
      <c r="L2309" s="4" t="b">
        <v>1</v>
      </c>
      <c r="M2309" s="4" t="s">
        <v>10</v>
      </c>
      <c r="N2309" s="5">
        <v>977</v>
      </c>
      <c r="O2309" s="5">
        <v>38</v>
      </c>
      <c r="P2309" s="4" t="s">
        <v>144</v>
      </c>
      <c r="Q2309" s="8" t="s">
        <v>39</v>
      </c>
      <c r="R2309" s="4" t="s">
        <v>2687</v>
      </c>
      <c r="S2309" s="4"/>
      <c r="T2309"/>
      <c r="U2309" s="23"/>
    </row>
    <row r="2310" spans="1:21" ht="15.6" x14ac:dyDescent="0.3">
      <c r="A2310" s="4">
        <v>2309</v>
      </c>
      <c r="B2310" s="5">
        <v>7737736</v>
      </c>
      <c r="C2310" s="4" t="s">
        <v>56</v>
      </c>
      <c r="D2310" s="4" t="s">
        <v>79</v>
      </c>
      <c r="E2310" s="4" t="s">
        <v>64</v>
      </c>
      <c r="F2310" s="4" t="s">
        <v>2959</v>
      </c>
      <c r="G2310" s="6">
        <v>3.4</v>
      </c>
      <c r="H2310" s="7">
        <v>45814.465520833335</v>
      </c>
      <c r="I2310" s="7" t="str">
        <f>TEXT(multilingual_mobile_app_reviews_2025[[#This Row],[Review_date]],"dd-mm-yyyy")</f>
        <v>06-06-2025</v>
      </c>
      <c r="J2310" s="7" t="str">
        <f>TEXT(multilingual_mobile_app_reviews_2025[[#This Row],[Review_date]],"YYYY")</f>
        <v>2025</v>
      </c>
      <c r="K2310" s="7" t="str">
        <f>TEXT(multilingual_mobile_app_reviews_2025[[#This Row],[Review_date]],"MMMM")</f>
        <v>June</v>
      </c>
      <c r="L2310" s="4" t="b">
        <v>1</v>
      </c>
      <c r="M2310" s="4" t="s">
        <v>22</v>
      </c>
      <c r="N2310" s="5">
        <v>240</v>
      </c>
      <c r="O2310" s="5">
        <v>42</v>
      </c>
      <c r="P2310" s="4" t="s">
        <v>73</v>
      </c>
      <c r="Q2310" s="8" t="s">
        <v>5</v>
      </c>
      <c r="R2310" s="4" t="s">
        <v>2688</v>
      </c>
      <c r="S2310" s="4"/>
      <c r="T2310"/>
      <c r="U2310" s="23"/>
    </row>
    <row r="2311" spans="1:21" ht="15.6" x14ac:dyDescent="0.3">
      <c r="A2311" s="4">
        <v>2310</v>
      </c>
      <c r="B2311" s="5">
        <v>9452372</v>
      </c>
      <c r="C2311" s="4" t="s">
        <v>87</v>
      </c>
      <c r="D2311" s="4" t="s">
        <v>31</v>
      </c>
      <c r="E2311" s="4" t="s">
        <v>2938</v>
      </c>
      <c r="F2311" s="4" t="s">
        <v>2945</v>
      </c>
      <c r="G2311" s="6">
        <v>1.7</v>
      </c>
      <c r="H2311" s="7">
        <v>45500.599386574075</v>
      </c>
      <c r="I2311" s="7" t="str">
        <f>TEXT(multilingual_mobile_app_reviews_2025[[#This Row],[Review_date]],"dd-mm-yyyy")</f>
        <v>27-07-2024</v>
      </c>
      <c r="J2311" s="7" t="str">
        <f>TEXT(multilingual_mobile_app_reviews_2025[[#This Row],[Review_date]],"YYYY")</f>
        <v>2024</v>
      </c>
      <c r="K2311" s="7" t="str">
        <f>TEXT(multilingual_mobile_app_reviews_2025[[#This Row],[Review_date]],"MMMM")</f>
        <v>July</v>
      </c>
      <c r="L2311" s="4" t="b">
        <v>1</v>
      </c>
      <c r="M2311" s="4" t="s">
        <v>98</v>
      </c>
      <c r="N2311" s="5">
        <v>1005</v>
      </c>
      <c r="O2311" s="5">
        <v>25</v>
      </c>
      <c r="P2311" s="4" t="s">
        <v>17</v>
      </c>
      <c r="Q2311" s="8" t="s">
        <v>39</v>
      </c>
      <c r="R2311" s="4" t="s">
        <v>2689</v>
      </c>
      <c r="S2311" s="4"/>
      <c r="T2311"/>
      <c r="U2311" s="23"/>
    </row>
    <row r="2312" spans="1:21" ht="15.6" x14ac:dyDescent="0.3">
      <c r="A2312" s="4">
        <v>2311</v>
      </c>
      <c r="B2312" s="5">
        <v>3036396</v>
      </c>
      <c r="C2312" s="4" t="s">
        <v>41</v>
      </c>
      <c r="D2312" s="4" t="s">
        <v>63</v>
      </c>
      <c r="E2312" s="4" t="s">
        <v>2690</v>
      </c>
      <c r="F2312" s="4" t="s">
        <v>2957</v>
      </c>
      <c r="G2312" s="6">
        <v>3.2</v>
      </c>
      <c r="H2312" s="7">
        <v>45816.174143518518</v>
      </c>
      <c r="I2312" s="7" t="str">
        <f>TEXT(multilingual_mobile_app_reviews_2025[[#This Row],[Review_date]],"dd-mm-yyyy")</f>
        <v>08-06-2025</v>
      </c>
      <c r="J2312" s="7" t="str">
        <f>TEXT(multilingual_mobile_app_reviews_2025[[#This Row],[Review_date]],"YYYY")</f>
        <v>2025</v>
      </c>
      <c r="K2312" s="7" t="str">
        <f>TEXT(multilingual_mobile_app_reviews_2025[[#This Row],[Review_date]],"MMMM")</f>
        <v>June</v>
      </c>
      <c r="L2312" s="4" t="b">
        <v>1</v>
      </c>
      <c r="M2312" s="4" t="s">
        <v>33</v>
      </c>
      <c r="N2312" s="5">
        <v>776</v>
      </c>
      <c r="O2312" s="5">
        <v>24</v>
      </c>
      <c r="P2312" s="4" t="s">
        <v>162</v>
      </c>
      <c r="Q2312" s="8" t="s">
        <v>39</v>
      </c>
      <c r="R2312" s="4" t="s">
        <v>2691</v>
      </c>
      <c r="S2312" s="4"/>
      <c r="T2312"/>
      <c r="U2312" s="23"/>
    </row>
    <row r="2313" spans="1:21" ht="15.6" x14ac:dyDescent="0.3">
      <c r="A2313" s="4">
        <v>2312</v>
      </c>
      <c r="B2313" s="5">
        <v>4039600</v>
      </c>
      <c r="C2313" s="4" t="s">
        <v>132</v>
      </c>
      <c r="D2313" s="4" t="s">
        <v>157</v>
      </c>
      <c r="E2313" s="4" t="s">
        <v>2692</v>
      </c>
      <c r="F2313" s="4" t="s">
        <v>2960</v>
      </c>
      <c r="G2313" s="6">
        <v>1.1000000000000001</v>
      </c>
      <c r="H2313" s="7">
        <v>45754.014722222222</v>
      </c>
      <c r="I2313" s="7" t="str">
        <f>TEXT(multilingual_mobile_app_reviews_2025[[#This Row],[Review_date]],"dd-mm-yyyy")</f>
        <v>07-04-2025</v>
      </c>
      <c r="J2313" s="7" t="str">
        <f>TEXT(multilingual_mobile_app_reviews_2025[[#This Row],[Review_date]],"YYYY")</f>
        <v>2025</v>
      </c>
      <c r="K2313" s="7" t="str">
        <f>TEXT(multilingual_mobile_app_reviews_2025[[#This Row],[Review_date]],"MMMM")</f>
        <v>April</v>
      </c>
      <c r="L2313" s="4" t="b">
        <v>1</v>
      </c>
      <c r="M2313" s="4" t="s">
        <v>98</v>
      </c>
      <c r="N2313" s="5">
        <v>752</v>
      </c>
      <c r="O2313" s="5">
        <v>35</v>
      </c>
      <c r="P2313" s="4" t="s">
        <v>34</v>
      </c>
      <c r="Q2313" s="8" t="s">
        <v>5</v>
      </c>
      <c r="R2313" s="4" t="s">
        <v>2693</v>
      </c>
      <c r="S2313" s="4"/>
      <c r="T2313"/>
      <c r="U2313" s="23"/>
    </row>
    <row r="2314" spans="1:21" ht="15.6" x14ac:dyDescent="0.3">
      <c r="A2314" s="4">
        <v>2313</v>
      </c>
      <c r="B2314" s="5">
        <v>893470</v>
      </c>
      <c r="C2314" s="4" t="s">
        <v>106</v>
      </c>
      <c r="D2314" s="4" t="s">
        <v>157</v>
      </c>
      <c r="E2314" s="4" t="s">
        <v>76</v>
      </c>
      <c r="F2314" s="4" t="s">
        <v>2956</v>
      </c>
      <c r="G2314" s="6">
        <v>4.8</v>
      </c>
      <c r="H2314" s="7">
        <v>45361.422685185185</v>
      </c>
      <c r="I2314" s="7" t="str">
        <f>TEXT(multilingual_mobile_app_reviews_2025[[#This Row],[Review_date]],"dd-mm-yyyy")</f>
        <v>10-03-2024</v>
      </c>
      <c r="J2314" s="7" t="str">
        <f>TEXT(multilingual_mobile_app_reviews_2025[[#This Row],[Review_date]],"YYYY")</f>
        <v>2024</v>
      </c>
      <c r="K2314" s="7" t="str">
        <f>TEXT(multilingual_mobile_app_reviews_2025[[#This Row],[Review_date]],"MMMM")</f>
        <v>March</v>
      </c>
      <c r="L2314" s="4" t="b">
        <v>1</v>
      </c>
      <c r="M2314" s="4" t="s">
        <v>98</v>
      </c>
      <c r="N2314" s="5">
        <v>440</v>
      </c>
      <c r="O2314" s="5">
        <v>66</v>
      </c>
      <c r="P2314" s="4" t="s">
        <v>114</v>
      </c>
      <c r="Q2314" s="8" t="s">
        <v>12</v>
      </c>
      <c r="R2314" s="4" t="s">
        <v>2694</v>
      </c>
      <c r="S2314" s="4"/>
      <c r="T2314"/>
      <c r="U2314" s="23"/>
    </row>
    <row r="2315" spans="1:21" ht="15.6" x14ac:dyDescent="0.3">
      <c r="A2315" s="4">
        <v>2314</v>
      </c>
      <c r="B2315" s="5">
        <v>1583374</v>
      </c>
      <c r="C2315" s="4" t="s">
        <v>101</v>
      </c>
      <c r="D2315" s="4" t="s">
        <v>51</v>
      </c>
      <c r="E2315" s="4" t="s">
        <v>130</v>
      </c>
      <c r="F2315" s="4" t="s">
        <v>2950</v>
      </c>
      <c r="G2315" s="6">
        <v>3.4</v>
      </c>
      <c r="H2315" s="7">
        <v>45603.396724537037</v>
      </c>
      <c r="I2315" s="7" t="str">
        <f>TEXT(multilingual_mobile_app_reviews_2025[[#This Row],[Review_date]],"dd-mm-yyyy")</f>
        <v>07-11-2024</v>
      </c>
      <c r="J2315" s="7" t="str">
        <f>TEXT(multilingual_mobile_app_reviews_2025[[#This Row],[Review_date]],"YYYY")</f>
        <v>2024</v>
      </c>
      <c r="K2315" s="7" t="str">
        <f>TEXT(multilingual_mobile_app_reviews_2025[[#This Row],[Review_date]],"MMMM")</f>
        <v>November</v>
      </c>
      <c r="L2315" s="4" t="b">
        <v>1</v>
      </c>
      <c r="M2315" s="4" t="s">
        <v>3</v>
      </c>
      <c r="N2315" s="5">
        <v>16</v>
      </c>
      <c r="O2315" s="5">
        <v>46</v>
      </c>
      <c r="P2315" s="4" t="s">
        <v>118</v>
      </c>
      <c r="Q2315" s="8" t="s">
        <v>39</v>
      </c>
      <c r="R2315" s="4" t="s">
        <v>2695</v>
      </c>
      <c r="S2315" s="4"/>
      <c r="T2315"/>
      <c r="U2315" s="23"/>
    </row>
    <row r="2316" spans="1:21" ht="15.6" x14ac:dyDescent="0.3">
      <c r="A2316" s="4">
        <v>2315</v>
      </c>
      <c r="B2316" s="5">
        <v>7754730</v>
      </c>
      <c r="C2316" s="4" t="s">
        <v>92</v>
      </c>
      <c r="D2316" s="4" t="s">
        <v>31</v>
      </c>
      <c r="E2316" s="4" t="s">
        <v>9</v>
      </c>
      <c r="F2316" s="4" t="s">
        <v>2959</v>
      </c>
      <c r="G2316" s="6">
        <v>4</v>
      </c>
      <c r="H2316" s="7">
        <v>45776.345833333333</v>
      </c>
      <c r="I2316" s="7" t="str">
        <f>TEXT(multilingual_mobile_app_reviews_2025[[#This Row],[Review_date]],"dd-mm-yyyy")</f>
        <v>29-04-2025</v>
      </c>
      <c r="J2316" s="7" t="str">
        <f>TEXT(multilingual_mobile_app_reviews_2025[[#This Row],[Review_date]],"YYYY")</f>
        <v>2025</v>
      </c>
      <c r="K2316" s="7" t="str">
        <f>TEXT(multilingual_mobile_app_reviews_2025[[#This Row],[Review_date]],"MMMM")</f>
        <v>April</v>
      </c>
      <c r="L2316" s="4" t="b">
        <v>1</v>
      </c>
      <c r="M2316" s="4" t="s">
        <v>3</v>
      </c>
      <c r="N2316" s="5">
        <v>796</v>
      </c>
      <c r="O2316" s="5">
        <v>30</v>
      </c>
      <c r="P2316" s="4" t="s">
        <v>114</v>
      </c>
      <c r="Q2316" s="8" t="s">
        <v>39</v>
      </c>
      <c r="R2316" s="4" t="s">
        <v>2696</v>
      </c>
      <c r="S2316" s="4"/>
      <c r="T2316"/>
      <c r="U2316" s="23"/>
    </row>
    <row r="2317" spans="1:21" ht="15.6" x14ac:dyDescent="0.3">
      <c r="A2317" s="4">
        <v>2316</v>
      </c>
      <c r="B2317" s="5">
        <v>9236716</v>
      </c>
      <c r="C2317" s="4" t="s">
        <v>244</v>
      </c>
      <c r="D2317" s="4" t="s">
        <v>51</v>
      </c>
      <c r="E2317" s="4" t="s">
        <v>76</v>
      </c>
      <c r="F2317" s="4" t="s">
        <v>2950</v>
      </c>
      <c r="G2317" s="6">
        <v>3.3</v>
      </c>
      <c r="H2317" s="7">
        <v>45266.179062499999</v>
      </c>
      <c r="I2317" s="7" t="str">
        <f>TEXT(multilingual_mobile_app_reviews_2025[[#This Row],[Review_date]],"dd-mm-yyyy")</f>
        <v>06-12-2023</v>
      </c>
      <c r="J2317" s="7" t="str">
        <f>TEXT(multilingual_mobile_app_reviews_2025[[#This Row],[Review_date]],"YYYY")</f>
        <v>2023</v>
      </c>
      <c r="K2317" s="7" t="str">
        <f>TEXT(multilingual_mobile_app_reviews_2025[[#This Row],[Review_date]],"MMMM")</f>
        <v>December</v>
      </c>
      <c r="L2317" s="4" t="b">
        <v>1</v>
      </c>
      <c r="M2317" s="4" t="s">
        <v>3</v>
      </c>
      <c r="N2317" s="5">
        <v>249</v>
      </c>
      <c r="O2317" s="5">
        <v>26</v>
      </c>
      <c r="P2317" s="4" t="s">
        <v>85</v>
      </c>
      <c r="Q2317" s="8" t="s">
        <v>12</v>
      </c>
      <c r="R2317" s="4" t="s">
        <v>2697</v>
      </c>
      <c r="S2317" s="4"/>
      <c r="T2317"/>
      <c r="U2317" s="23"/>
    </row>
    <row r="2318" spans="1:21" ht="15.6" x14ac:dyDescent="0.3">
      <c r="A2318" s="4">
        <v>2317</v>
      </c>
      <c r="B2318" s="5">
        <v>6328915</v>
      </c>
      <c r="C2318" s="4" t="s">
        <v>165</v>
      </c>
      <c r="D2318" s="4" t="s">
        <v>220</v>
      </c>
      <c r="E2318" s="4" t="s">
        <v>32</v>
      </c>
      <c r="F2318" s="4" t="s">
        <v>2957</v>
      </c>
      <c r="G2318" s="6">
        <v>4.4000000000000004</v>
      </c>
      <c r="H2318" s="7">
        <v>45702.93340277778</v>
      </c>
      <c r="I2318" s="7" t="str">
        <f>TEXT(multilingual_mobile_app_reviews_2025[[#This Row],[Review_date]],"dd-mm-yyyy")</f>
        <v>14-02-2025</v>
      </c>
      <c r="J2318" s="7" t="str">
        <f>TEXT(multilingual_mobile_app_reviews_2025[[#This Row],[Review_date]],"YYYY")</f>
        <v>2025</v>
      </c>
      <c r="K2318" s="7" t="str">
        <f>TEXT(multilingual_mobile_app_reviews_2025[[#This Row],[Review_date]],"MMMM")</f>
        <v>February</v>
      </c>
      <c r="L2318" s="4" t="b">
        <v>1</v>
      </c>
      <c r="M2318" s="4" t="s">
        <v>22</v>
      </c>
      <c r="N2318" s="5">
        <v>1062</v>
      </c>
      <c r="O2318" s="5">
        <v>59</v>
      </c>
      <c r="P2318" s="4" t="s">
        <v>180</v>
      </c>
      <c r="Q2318" s="8" t="s">
        <v>2963</v>
      </c>
      <c r="R2318" s="4" t="s">
        <v>2698</v>
      </c>
      <c r="S2318" s="4"/>
      <c r="T2318"/>
      <c r="U2318" s="23"/>
    </row>
    <row r="2319" spans="1:21" ht="15.6" x14ac:dyDescent="0.3">
      <c r="A2319" s="4">
        <v>2318</v>
      </c>
      <c r="B2319" s="5">
        <v>9172565</v>
      </c>
      <c r="C2319" s="4" t="s">
        <v>244</v>
      </c>
      <c r="D2319" s="4" t="s">
        <v>71</v>
      </c>
      <c r="E2319" s="4" t="s">
        <v>2699</v>
      </c>
      <c r="F2319" s="4" t="s">
        <v>2940</v>
      </c>
      <c r="G2319" s="6">
        <v>2</v>
      </c>
      <c r="H2319" s="7">
        <v>45427.904583333337</v>
      </c>
      <c r="I2319" s="7" t="str">
        <f>TEXT(multilingual_mobile_app_reviews_2025[[#This Row],[Review_date]],"dd-mm-yyyy")</f>
        <v>15-05-2024</v>
      </c>
      <c r="J2319" s="7" t="str">
        <f>TEXT(multilingual_mobile_app_reviews_2025[[#This Row],[Review_date]],"YYYY")</f>
        <v>2024</v>
      </c>
      <c r="K2319" s="7" t="str">
        <f>TEXT(multilingual_mobile_app_reviews_2025[[#This Row],[Review_date]],"MMMM")</f>
        <v>May</v>
      </c>
      <c r="L2319" s="4" t="b">
        <v>1</v>
      </c>
      <c r="M2319" s="4" t="s">
        <v>22</v>
      </c>
      <c r="N2319" s="5">
        <v>25</v>
      </c>
      <c r="O2319" s="5">
        <v>36</v>
      </c>
      <c r="P2319" s="4" t="s">
        <v>11</v>
      </c>
      <c r="Q2319" s="8" t="s">
        <v>2963</v>
      </c>
      <c r="R2319" s="4" t="s">
        <v>2700</v>
      </c>
      <c r="S2319" s="4"/>
      <c r="T2319"/>
      <c r="U2319" s="23"/>
    </row>
    <row r="2320" spans="1:21" ht="15.6" x14ac:dyDescent="0.3">
      <c r="A2320" s="4">
        <v>2319</v>
      </c>
      <c r="B2320" s="5">
        <v>5929027</v>
      </c>
      <c r="C2320" s="4" t="s">
        <v>78</v>
      </c>
      <c r="D2320" s="4" t="s">
        <v>15</v>
      </c>
      <c r="E2320" s="4" t="s">
        <v>64</v>
      </c>
      <c r="F2320" s="4" t="s">
        <v>2948</v>
      </c>
      <c r="G2320" s="6">
        <v>3.2</v>
      </c>
      <c r="H2320" s="7">
        <v>45734.868125000001</v>
      </c>
      <c r="I2320" s="7" t="str">
        <f>TEXT(multilingual_mobile_app_reviews_2025[[#This Row],[Review_date]],"dd-mm-yyyy")</f>
        <v>18-03-2025</v>
      </c>
      <c r="J2320" s="7" t="str">
        <f>TEXT(multilingual_mobile_app_reviews_2025[[#This Row],[Review_date]],"YYYY")</f>
        <v>2025</v>
      </c>
      <c r="K2320" s="7" t="str">
        <f>TEXT(multilingual_mobile_app_reviews_2025[[#This Row],[Review_date]],"MMMM")</f>
        <v>March</v>
      </c>
      <c r="L2320" s="4" t="b">
        <v>1</v>
      </c>
      <c r="M2320" s="4" t="s">
        <v>33</v>
      </c>
      <c r="N2320" s="5">
        <v>3</v>
      </c>
      <c r="O2320" s="5">
        <v>56</v>
      </c>
      <c r="P2320" s="4" t="s">
        <v>34</v>
      </c>
      <c r="Q2320" s="8" t="s">
        <v>2963</v>
      </c>
      <c r="R2320" s="4" t="s">
        <v>1625</v>
      </c>
      <c r="S2320" s="4"/>
      <c r="T2320"/>
      <c r="U2320" s="23"/>
    </row>
    <row r="2321" spans="1:21" ht="15.6" x14ac:dyDescent="0.3">
      <c r="A2321" s="4">
        <v>2320</v>
      </c>
      <c r="B2321" s="5">
        <v>2576873</v>
      </c>
      <c r="C2321" s="4" t="s">
        <v>244</v>
      </c>
      <c r="D2321" s="4" t="s">
        <v>57</v>
      </c>
      <c r="E2321" s="4" t="s">
        <v>2701</v>
      </c>
      <c r="F2321" s="4" t="s">
        <v>2945</v>
      </c>
      <c r="G2321" s="6">
        <v>3</v>
      </c>
      <c r="H2321" s="7">
        <v>45640.225092592591</v>
      </c>
      <c r="I2321" s="7" t="str">
        <f>TEXT(multilingual_mobile_app_reviews_2025[[#This Row],[Review_date]],"dd-mm-yyyy")</f>
        <v>14-12-2024</v>
      </c>
      <c r="J2321" s="7" t="str">
        <f>TEXT(multilingual_mobile_app_reviews_2025[[#This Row],[Review_date]],"YYYY")</f>
        <v>2024</v>
      </c>
      <c r="K2321" s="7" t="str">
        <f>TEXT(multilingual_mobile_app_reviews_2025[[#This Row],[Review_date]],"MMMM")</f>
        <v>December</v>
      </c>
      <c r="L2321" s="4" t="b">
        <v>1</v>
      </c>
      <c r="M2321" s="4" t="s">
        <v>33</v>
      </c>
      <c r="N2321" s="5">
        <v>683</v>
      </c>
      <c r="O2321" s="5">
        <v>75</v>
      </c>
      <c r="P2321" s="4" t="s">
        <v>34</v>
      </c>
      <c r="Q2321" s="8" t="s">
        <v>2963</v>
      </c>
      <c r="R2321" s="4" t="s">
        <v>1738</v>
      </c>
      <c r="S2321" s="4"/>
      <c r="T2321"/>
      <c r="U2321" s="23"/>
    </row>
    <row r="2322" spans="1:21" ht="15.6" x14ac:dyDescent="0.3">
      <c r="A2322" s="4">
        <v>2321</v>
      </c>
      <c r="B2322" s="5">
        <v>7662644</v>
      </c>
      <c r="C2322" s="4" t="s">
        <v>14</v>
      </c>
      <c r="D2322" s="4" t="s">
        <v>220</v>
      </c>
      <c r="E2322" s="4" t="s">
        <v>2702</v>
      </c>
      <c r="F2322" s="4" t="s">
        <v>2953</v>
      </c>
      <c r="G2322" s="6">
        <v>4.0999999999999996</v>
      </c>
      <c r="H2322" s="7">
        <v>45142.01662037037</v>
      </c>
      <c r="I2322" s="7" t="str">
        <f>TEXT(multilingual_mobile_app_reviews_2025[[#This Row],[Review_date]],"dd-mm-yyyy")</f>
        <v>04-08-2023</v>
      </c>
      <c r="J2322" s="7" t="str">
        <f>TEXT(multilingual_mobile_app_reviews_2025[[#This Row],[Review_date]],"YYYY")</f>
        <v>2023</v>
      </c>
      <c r="K2322" s="7" t="str">
        <f>TEXT(multilingual_mobile_app_reviews_2025[[#This Row],[Review_date]],"MMMM")</f>
        <v>August</v>
      </c>
      <c r="L2322" s="4" t="b">
        <v>1</v>
      </c>
      <c r="M2322" s="4" t="s">
        <v>98</v>
      </c>
      <c r="N2322" s="5">
        <v>1202</v>
      </c>
      <c r="O2322" s="5">
        <v>17</v>
      </c>
      <c r="P2322" s="4" t="s">
        <v>94</v>
      </c>
      <c r="Q2322" s="8" t="s">
        <v>2963</v>
      </c>
      <c r="R2322" s="4" t="s">
        <v>2703</v>
      </c>
      <c r="S2322" s="4"/>
      <c r="T2322"/>
      <c r="U2322" s="23"/>
    </row>
    <row r="2323" spans="1:21" ht="15.6" x14ac:dyDescent="0.3">
      <c r="A2323" s="4">
        <v>2322</v>
      </c>
      <c r="B2323" s="5">
        <v>9334994</v>
      </c>
      <c r="C2323" s="4" t="s">
        <v>50</v>
      </c>
      <c r="D2323" s="4" t="s">
        <v>60</v>
      </c>
      <c r="E2323" s="4" t="s">
        <v>2704</v>
      </c>
      <c r="F2323" s="4" t="s">
        <v>2942</v>
      </c>
      <c r="G2323" s="6">
        <v>3.2</v>
      </c>
      <c r="H2323" s="7">
        <v>45391.691724537035</v>
      </c>
      <c r="I2323" s="7" t="str">
        <f>TEXT(multilingual_mobile_app_reviews_2025[[#This Row],[Review_date]],"dd-mm-yyyy")</f>
        <v>09-04-2024</v>
      </c>
      <c r="J2323" s="7" t="str">
        <f>TEXT(multilingual_mobile_app_reviews_2025[[#This Row],[Review_date]],"YYYY")</f>
        <v>2024</v>
      </c>
      <c r="K2323" s="7" t="str">
        <f>TEXT(multilingual_mobile_app_reviews_2025[[#This Row],[Review_date]],"MMMM")</f>
        <v>April</v>
      </c>
      <c r="L2323" s="4" t="b">
        <v>0</v>
      </c>
      <c r="M2323" s="4" t="s">
        <v>33</v>
      </c>
      <c r="N2323" s="5">
        <v>67</v>
      </c>
      <c r="O2323" s="5">
        <v>17</v>
      </c>
      <c r="P2323" s="4" t="s">
        <v>85</v>
      </c>
      <c r="Q2323" s="8" t="s">
        <v>29</v>
      </c>
      <c r="R2323" s="4" t="s">
        <v>2705</v>
      </c>
      <c r="S2323" s="4"/>
      <c r="T2323"/>
      <c r="U2323" s="23"/>
    </row>
    <row r="2324" spans="1:21" ht="15.6" x14ac:dyDescent="0.3">
      <c r="A2324" s="4">
        <v>2323</v>
      </c>
      <c r="B2324" s="5">
        <v>6363305</v>
      </c>
      <c r="C2324" s="4" t="s">
        <v>134</v>
      </c>
      <c r="D2324" s="4" t="s">
        <v>1</v>
      </c>
      <c r="E2324" s="4" t="s">
        <v>27</v>
      </c>
      <c r="F2324" s="4" t="s">
        <v>2940</v>
      </c>
      <c r="G2324" s="6">
        <v>1.5</v>
      </c>
      <c r="H2324" s="7">
        <v>45564.872523148151</v>
      </c>
      <c r="I2324" s="7" t="str">
        <f>TEXT(multilingual_mobile_app_reviews_2025[[#This Row],[Review_date]],"dd-mm-yyyy")</f>
        <v>29-09-2024</v>
      </c>
      <c r="J2324" s="7" t="str">
        <f>TEXT(multilingual_mobile_app_reviews_2025[[#This Row],[Review_date]],"YYYY")</f>
        <v>2024</v>
      </c>
      <c r="K2324" s="7" t="str">
        <f>TEXT(multilingual_mobile_app_reviews_2025[[#This Row],[Review_date]],"MMMM")</f>
        <v>September</v>
      </c>
      <c r="L2324" s="4" t="b">
        <v>1</v>
      </c>
      <c r="M2324" s="4" t="s">
        <v>22</v>
      </c>
      <c r="N2324" s="5">
        <v>218</v>
      </c>
      <c r="O2324" s="5">
        <v>21</v>
      </c>
      <c r="P2324" s="4" t="s">
        <v>4</v>
      </c>
      <c r="Q2324" s="8" t="s">
        <v>29</v>
      </c>
      <c r="R2324" s="4" t="s">
        <v>2706</v>
      </c>
      <c r="S2324" s="4"/>
      <c r="T2324"/>
      <c r="U2324" s="23"/>
    </row>
    <row r="2325" spans="1:21" ht="15.6" x14ac:dyDescent="0.3">
      <c r="A2325" s="4">
        <v>2324</v>
      </c>
      <c r="B2325" s="5">
        <v>8876514</v>
      </c>
      <c r="C2325" s="4" t="s">
        <v>174</v>
      </c>
      <c r="D2325" s="4" t="s">
        <v>60</v>
      </c>
      <c r="E2325" s="4" t="s">
        <v>16</v>
      </c>
      <c r="F2325" s="4" t="s">
        <v>2949</v>
      </c>
      <c r="G2325" s="6">
        <v>2.2999999999999998</v>
      </c>
      <c r="H2325" s="7">
        <v>45649.101284722223</v>
      </c>
      <c r="I2325" s="7" t="str">
        <f>TEXT(multilingual_mobile_app_reviews_2025[[#This Row],[Review_date]],"dd-mm-yyyy")</f>
        <v>23-12-2024</v>
      </c>
      <c r="J2325" s="7" t="str">
        <f>TEXT(multilingual_mobile_app_reviews_2025[[#This Row],[Review_date]],"YYYY")</f>
        <v>2024</v>
      </c>
      <c r="K2325" s="7" t="str">
        <f>TEXT(multilingual_mobile_app_reviews_2025[[#This Row],[Review_date]],"MMMM")</f>
        <v>December</v>
      </c>
      <c r="L2325" s="4" t="b">
        <v>1</v>
      </c>
      <c r="M2325" s="4" t="s">
        <v>22</v>
      </c>
      <c r="N2325" s="5">
        <v>49</v>
      </c>
      <c r="O2325" s="5">
        <v>39</v>
      </c>
      <c r="P2325" s="4" t="s">
        <v>127</v>
      </c>
      <c r="Q2325" s="8" t="s">
        <v>12</v>
      </c>
      <c r="R2325" s="4" t="s">
        <v>2707</v>
      </c>
      <c r="S2325" s="4"/>
      <c r="T2325"/>
      <c r="U2325" s="23"/>
    </row>
    <row r="2326" spans="1:21" ht="15.6" x14ac:dyDescent="0.3">
      <c r="A2326" s="4">
        <v>2325</v>
      </c>
      <c r="B2326" s="5">
        <v>3775408</v>
      </c>
      <c r="C2326" s="4" t="s">
        <v>159</v>
      </c>
      <c r="D2326" s="4" t="s">
        <v>20</v>
      </c>
      <c r="E2326" s="4" t="s">
        <v>16</v>
      </c>
      <c r="F2326" s="4" t="s">
        <v>2940</v>
      </c>
      <c r="G2326" s="6">
        <v>1.1000000000000001</v>
      </c>
      <c r="H2326" s="7">
        <v>45587.062511574077</v>
      </c>
      <c r="I2326" s="7" t="str">
        <f>TEXT(multilingual_mobile_app_reviews_2025[[#This Row],[Review_date]],"dd-mm-yyyy")</f>
        <v>22-10-2024</v>
      </c>
      <c r="J2326" s="7" t="str">
        <f>TEXT(multilingual_mobile_app_reviews_2025[[#This Row],[Review_date]],"YYYY")</f>
        <v>2024</v>
      </c>
      <c r="K2326" s="7" t="str">
        <f>TEXT(multilingual_mobile_app_reviews_2025[[#This Row],[Review_date]],"MMMM")</f>
        <v>October</v>
      </c>
      <c r="L2326" s="4" t="b">
        <v>1</v>
      </c>
      <c r="M2326" s="4" t="s">
        <v>98</v>
      </c>
      <c r="N2326" s="5">
        <v>941</v>
      </c>
      <c r="O2326" s="5">
        <v>51</v>
      </c>
      <c r="P2326" s="4" t="s">
        <v>94</v>
      </c>
      <c r="Q2326" s="8" t="s">
        <v>5</v>
      </c>
      <c r="R2326" s="4" t="s">
        <v>2708</v>
      </c>
      <c r="S2326" s="4"/>
      <c r="T2326"/>
      <c r="U2326" s="23"/>
    </row>
    <row r="2327" spans="1:21" ht="15.6" x14ac:dyDescent="0.3">
      <c r="A2327" s="4">
        <v>2326</v>
      </c>
      <c r="B2327" s="5">
        <v>6945078</v>
      </c>
      <c r="C2327" s="4" t="s">
        <v>56</v>
      </c>
      <c r="D2327" s="4" t="s">
        <v>42</v>
      </c>
      <c r="E2327" s="4" t="s">
        <v>93</v>
      </c>
      <c r="F2327" s="4" t="s">
        <v>2956</v>
      </c>
      <c r="G2327" s="6">
        <v>4.5</v>
      </c>
      <c r="H2327" s="7">
        <v>45673.109050925923</v>
      </c>
      <c r="I2327" s="7" t="str">
        <f>TEXT(multilingual_mobile_app_reviews_2025[[#This Row],[Review_date]],"dd-mm-yyyy")</f>
        <v>16-01-2025</v>
      </c>
      <c r="J2327" s="7" t="str">
        <f>TEXT(multilingual_mobile_app_reviews_2025[[#This Row],[Review_date]],"YYYY")</f>
        <v>2025</v>
      </c>
      <c r="K2327" s="7" t="str">
        <f>TEXT(multilingual_mobile_app_reviews_2025[[#This Row],[Review_date]],"MMMM")</f>
        <v>January</v>
      </c>
      <c r="L2327" s="4" t="b">
        <v>0</v>
      </c>
      <c r="M2327" s="4" t="s">
        <v>98</v>
      </c>
      <c r="N2327" s="5">
        <v>1222</v>
      </c>
      <c r="O2327" s="5">
        <v>32</v>
      </c>
      <c r="P2327" s="4" t="s">
        <v>118</v>
      </c>
      <c r="Q2327" s="8" t="s">
        <v>12</v>
      </c>
      <c r="R2327" s="4" t="s">
        <v>2709</v>
      </c>
      <c r="S2327" s="4"/>
      <c r="T2327"/>
      <c r="U2327" s="23"/>
    </row>
    <row r="2328" spans="1:21" ht="15.6" x14ac:dyDescent="0.3">
      <c r="A2328" s="4">
        <v>2327</v>
      </c>
      <c r="B2328" s="5">
        <v>1885542</v>
      </c>
      <c r="C2328" s="4" t="s">
        <v>67</v>
      </c>
      <c r="D2328" s="4" t="s">
        <v>15</v>
      </c>
      <c r="E2328" s="4" t="s">
        <v>21</v>
      </c>
      <c r="F2328" s="4" t="s">
        <v>2943</v>
      </c>
      <c r="G2328" s="6">
        <v>1.2</v>
      </c>
      <c r="H2328" s="7">
        <v>45314.273819444446</v>
      </c>
      <c r="I2328" s="7" t="str">
        <f>TEXT(multilingual_mobile_app_reviews_2025[[#This Row],[Review_date]],"dd-mm-yyyy")</f>
        <v>23-01-2024</v>
      </c>
      <c r="J2328" s="7" t="str">
        <f>TEXT(multilingual_mobile_app_reviews_2025[[#This Row],[Review_date]],"YYYY")</f>
        <v>2024</v>
      </c>
      <c r="K2328" s="7" t="str">
        <f>TEXT(multilingual_mobile_app_reviews_2025[[#This Row],[Review_date]],"MMMM")</f>
        <v>January</v>
      </c>
      <c r="L2328" s="4" t="b">
        <v>0</v>
      </c>
      <c r="M2328" s="4" t="s">
        <v>33</v>
      </c>
      <c r="N2328" s="5">
        <v>1129</v>
      </c>
      <c r="O2328" s="5">
        <v>13</v>
      </c>
      <c r="P2328" s="4" t="s">
        <v>90</v>
      </c>
      <c r="Q2328" s="8" t="s">
        <v>5</v>
      </c>
      <c r="R2328" s="4" t="s">
        <v>2710</v>
      </c>
      <c r="S2328" s="4"/>
      <c r="T2328"/>
      <c r="U2328" s="23"/>
    </row>
    <row r="2329" spans="1:21" ht="15.6" x14ac:dyDescent="0.3">
      <c r="A2329" s="4">
        <v>2328</v>
      </c>
      <c r="B2329" s="5">
        <v>7711052</v>
      </c>
      <c r="C2329" s="4" t="s">
        <v>132</v>
      </c>
      <c r="D2329" s="4" t="s">
        <v>1</v>
      </c>
      <c r="E2329" s="4" t="s">
        <v>2711</v>
      </c>
      <c r="F2329" s="4" t="s">
        <v>2950</v>
      </c>
      <c r="G2329" s="6">
        <v>2.1</v>
      </c>
      <c r="H2329" s="7">
        <v>45301.402905092589</v>
      </c>
      <c r="I2329" s="7" t="str">
        <f>TEXT(multilingual_mobile_app_reviews_2025[[#This Row],[Review_date]],"dd-mm-yyyy")</f>
        <v>10-01-2024</v>
      </c>
      <c r="J2329" s="7" t="str">
        <f>TEXT(multilingual_mobile_app_reviews_2025[[#This Row],[Review_date]],"YYYY")</f>
        <v>2024</v>
      </c>
      <c r="K2329" s="7" t="str">
        <f>TEXT(multilingual_mobile_app_reviews_2025[[#This Row],[Review_date]],"MMMM")</f>
        <v>January</v>
      </c>
      <c r="L2329" s="4" t="b">
        <v>1</v>
      </c>
      <c r="M2329" s="4" t="s">
        <v>98</v>
      </c>
      <c r="N2329" s="5">
        <v>993</v>
      </c>
      <c r="O2329" s="5">
        <v>28</v>
      </c>
      <c r="P2329" s="4" t="s">
        <v>23</v>
      </c>
      <c r="Q2329" s="8" t="s">
        <v>39</v>
      </c>
      <c r="R2329" s="4" t="s">
        <v>2712</v>
      </c>
      <c r="S2329" s="4"/>
      <c r="T2329"/>
      <c r="U2329" s="23"/>
    </row>
    <row r="2330" spans="1:21" ht="15.6" x14ac:dyDescent="0.3">
      <c r="A2330" s="4">
        <v>2329</v>
      </c>
      <c r="B2330" s="5">
        <v>1720464</v>
      </c>
      <c r="C2330" s="4" t="s">
        <v>174</v>
      </c>
      <c r="D2330" s="4" t="s">
        <v>42</v>
      </c>
      <c r="E2330" s="4" t="s">
        <v>2713</v>
      </c>
      <c r="F2330" s="4" t="s">
        <v>2962</v>
      </c>
      <c r="G2330" s="6">
        <v>4.9000000000000004</v>
      </c>
      <c r="H2330" s="7">
        <v>45194.28670138889</v>
      </c>
      <c r="I2330" s="7" t="str">
        <f>TEXT(multilingual_mobile_app_reviews_2025[[#This Row],[Review_date]],"dd-mm-yyyy")</f>
        <v>25-09-2023</v>
      </c>
      <c r="J2330" s="7" t="str">
        <f>TEXT(multilingual_mobile_app_reviews_2025[[#This Row],[Review_date]],"YYYY")</f>
        <v>2023</v>
      </c>
      <c r="K2330" s="7" t="str">
        <f>TEXT(multilingual_mobile_app_reviews_2025[[#This Row],[Review_date]],"MMMM")</f>
        <v>September</v>
      </c>
      <c r="L2330" s="4" t="b">
        <v>1</v>
      </c>
      <c r="M2330" s="4" t="s">
        <v>3</v>
      </c>
      <c r="N2330" s="5">
        <v>633</v>
      </c>
      <c r="O2330" s="5">
        <v>18</v>
      </c>
      <c r="P2330" s="4" t="s">
        <v>38</v>
      </c>
      <c r="Q2330" s="8" t="s">
        <v>5</v>
      </c>
      <c r="R2330" s="4" t="s">
        <v>2714</v>
      </c>
      <c r="S2330" s="4"/>
      <c r="T2330"/>
      <c r="U2330" s="23"/>
    </row>
    <row r="2331" spans="1:21" ht="15.6" x14ac:dyDescent="0.3">
      <c r="A2331" s="4">
        <v>2330</v>
      </c>
      <c r="B2331" s="5">
        <v>4351915</v>
      </c>
      <c r="C2331" s="4" t="s">
        <v>75</v>
      </c>
      <c r="D2331" s="4" t="s">
        <v>8</v>
      </c>
      <c r="E2331" s="4" t="s">
        <v>27</v>
      </c>
      <c r="F2331" s="4" t="s">
        <v>2953</v>
      </c>
      <c r="G2331" s="6">
        <v>3.4</v>
      </c>
      <c r="H2331" s="7">
        <v>45490.422581018516</v>
      </c>
      <c r="I2331" s="7" t="str">
        <f>TEXT(multilingual_mobile_app_reviews_2025[[#This Row],[Review_date]],"dd-mm-yyyy")</f>
        <v>17-07-2024</v>
      </c>
      <c r="J2331" s="7" t="str">
        <f>TEXT(multilingual_mobile_app_reviews_2025[[#This Row],[Review_date]],"YYYY")</f>
        <v>2024</v>
      </c>
      <c r="K2331" s="7" t="str">
        <f>TEXT(multilingual_mobile_app_reviews_2025[[#This Row],[Review_date]],"MMMM")</f>
        <v>July</v>
      </c>
      <c r="L2331" s="4" t="b">
        <v>1</v>
      </c>
      <c r="M2331" s="4" t="s">
        <v>33</v>
      </c>
      <c r="N2331" s="5">
        <v>655</v>
      </c>
      <c r="O2331" s="5">
        <v>68</v>
      </c>
      <c r="P2331" s="4" t="s">
        <v>85</v>
      </c>
      <c r="Q2331" s="8" t="s">
        <v>12</v>
      </c>
      <c r="R2331" s="4" t="s">
        <v>2715</v>
      </c>
      <c r="S2331" s="4"/>
      <c r="T2331"/>
      <c r="U2331" s="23"/>
    </row>
    <row r="2332" spans="1:21" ht="15.6" x14ac:dyDescent="0.3">
      <c r="A2332" s="4">
        <v>2331</v>
      </c>
      <c r="B2332" s="5">
        <v>7178601</v>
      </c>
      <c r="C2332" s="4" t="s">
        <v>101</v>
      </c>
      <c r="D2332" s="4" t="s">
        <v>60</v>
      </c>
      <c r="E2332" s="4" t="s">
        <v>16</v>
      </c>
      <c r="F2332" s="4" t="s">
        <v>2944</v>
      </c>
      <c r="G2332" s="6">
        <v>2.6</v>
      </c>
      <c r="H2332" s="7">
        <v>45416.567824074074</v>
      </c>
      <c r="I2332" s="7" t="str">
        <f>TEXT(multilingual_mobile_app_reviews_2025[[#This Row],[Review_date]],"dd-mm-yyyy")</f>
        <v>04-05-2024</v>
      </c>
      <c r="J2332" s="7" t="str">
        <f>TEXT(multilingual_mobile_app_reviews_2025[[#This Row],[Review_date]],"YYYY")</f>
        <v>2024</v>
      </c>
      <c r="K2332" s="7" t="str">
        <f>TEXT(multilingual_mobile_app_reviews_2025[[#This Row],[Review_date]],"MMMM")</f>
        <v>May</v>
      </c>
      <c r="L2332" s="4" t="b">
        <v>0</v>
      </c>
      <c r="M2332" s="4" t="s">
        <v>98</v>
      </c>
      <c r="N2332" s="5">
        <v>36</v>
      </c>
      <c r="O2332" s="5">
        <v>27</v>
      </c>
      <c r="P2332" s="4" t="s">
        <v>28</v>
      </c>
      <c r="Q2332" s="8" t="s">
        <v>39</v>
      </c>
      <c r="R2332" s="4" t="s">
        <v>2716</v>
      </c>
      <c r="S2332" s="4"/>
      <c r="T2332"/>
      <c r="U2332" s="23"/>
    </row>
    <row r="2333" spans="1:21" ht="15.6" x14ac:dyDescent="0.3">
      <c r="A2333" s="4">
        <v>2332</v>
      </c>
      <c r="B2333" s="5">
        <v>6861231</v>
      </c>
      <c r="C2333" s="4" t="s">
        <v>96</v>
      </c>
      <c r="D2333" s="4" t="s">
        <v>15</v>
      </c>
      <c r="E2333" s="4" t="s">
        <v>16</v>
      </c>
      <c r="F2333" s="4" t="s">
        <v>2956</v>
      </c>
      <c r="G2333" s="6">
        <v>4.7</v>
      </c>
      <c r="H2333" s="7">
        <v>45147.087025462963</v>
      </c>
      <c r="I2333" s="7" t="str">
        <f>TEXT(multilingual_mobile_app_reviews_2025[[#This Row],[Review_date]],"dd-mm-yyyy")</f>
        <v>09-08-2023</v>
      </c>
      <c r="J2333" s="7" t="str">
        <f>TEXT(multilingual_mobile_app_reviews_2025[[#This Row],[Review_date]],"YYYY")</f>
        <v>2023</v>
      </c>
      <c r="K2333" s="7" t="str">
        <f>TEXT(multilingual_mobile_app_reviews_2025[[#This Row],[Review_date]],"MMMM")</f>
        <v>August</v>
      </c>
      <c r="L2333" s="4" t="b">
        <v>0</v>
      </c>
      <c r="M2333" s="4" t="s">
        <v>98</v>
      </c>
      <c r="N2333" s="5">
        <v>287</v>
      </c>
      <c r="O2333" s="5">
        <v>26</v>
      </c>
      <c r="P2333" s="4" t="s">
        <v>65</v>
      </c>
      <c r="Q2333" s="8" t="s">
        <v>12</v>
      </c>
      <c r="R2333" s="4" t="s">
        <v>2717</v>
      </c>
      <c r="S2333" s="4"/>
      <c r="T2333"/>
      <c r="U2333" s="23"/>
    </row>
    <row r="2334" spans="1:21" ht="15.6" x14ac:dyDescent="0.3">
      <c r="A2334" s="4">
        <v>2333</v>
      </c>
      <c r="B2334" s="5">
        <v>5136779</v>
      </c>
      <c r="C2334" s="4" t="s">
        <v>244</v>
      </c>
      <c r="D2334" s="4" t="s">
        <v>15</v>
      </c>
      <c r="E2334" s="4" t="s">
        <v>2718</v>
      </c>
      <c r="F2334" s="4" t="s">
        <v>2954</v>
      </c>
      <c r="G2334" s="6">
        <v>1.5</v>
      </c>
      <c r="H2334" s="7">
        <v>45411.89402777778</v>
      </c>
      <c r="I2334" s="7" t="str">
        <f>TEXT(multilingual_mobile_app_reviews_2025[[#This Row],[Review_date]],"dd-mm-yyyy")</f>
        <v>29-04-2024</v>
      </c>
      <c r="J2334" s="7" t="str">
        <f>TEXT(multilingual_mobile_app_reviews_2025[[#This Row],[Review_date]],"YYYY")</f>
        <v>2024</v>
      </c>
      <c r="K2334" s="7" t="str">
        <f>TEXT(multilingual_mobile_app_reviews_2025[[#This Row],[Review_date]],"MMMM")</f>
        <v>April</v>
      </c>
      <c r="L2334" s="4" t="b">
        <v>1</v>
      </c>
      <c r="M2334" s="4" t="s">
        <v>33</v>
      </c>
      <c r="N2334" s="5">
        <v>330</v>
      </c>
      <c r="O2334" s="5">
        <v>37</v>
      </c>
      <c r="P2334" s="4" t="s">
        <v>70</v>
      </c>
      <c r="Q2334" s="8" t="s">
        <v>29</v>
      </c>
      <c r="R2334" s="4" t="s">
        <v>2719</v>
      </c>
      <c r="S2334" s="4"/>
      <c r="T2334"/>
      <c r="U2334" s="23"/>
    </row>
    <row r="2335" spans="1:21" ht="15.6" x14ac:dyDescent="0.3">
      <c r="A2335" s="4">
        <v>2334</v>
      </c>
      <c r="B2335" s="5">
        <v>4391312</v>
      </c>
      <c r="C2335" s="4" t="s">
        <v>176</v>
      </c>
      <c r="D2335" s="4" t="s">
        <v>31</v>
      </c>
      <c r="E2335" s="4" t="s">
        <v>2720</v>
      </c>
      <c r="F2335" s="4" t="s">
        <v>2943</v>
      </c>
      <c r="G2335" s="6">
        <v>3</v>
      </c>
      <c r="H2335" s="7">
        <v>45329.477939814817</v>
      </c>
      <c r="I2335" s="7" t="str">
        <f>TEXT(multilingual_mobile_app_reviews_2025[[#This Row],[Review_date]],"dd-mm-yyyy")</f>
        <v>07-02-2024</v>
      </c>
      <c r="J2335" s="7" t="str">
        <f>TEXT(multilingual_mobile_app_reviews_2025[[#This Row],[Review_date]],"YYYY")</f>
        <v>2024</v>
      </c>
      <c r="K2335" s="7" t="str">
        <f>TEXT(multilingual_mobile_app_reviews_2025[[#This Row],[Review_date]],"MMMM")</f>
        <v>February</v>
      </c>
      <c r="L2335" s="4" t="b">
        <v>0</v>
      </c>
      <c r="M2335" s="4" t="s">
        <v>33</v>
      </c>
      <c r="N2335" s="5">
        <v>1022</v>
      </c>
      <c r="O2335" s="5">
        <v>63</v>
      </c>
      <c r="P2335" s="4" t="s">
        <v>65</v>
      </c>
      <c r="Q2335" s="8" t="s">
        <v>12</v>
      </c>
      <c r="R2335" s="4" t="s">
        <v>1014</v>
      </c>
      <c r="S2335" s="4"/>
      <c r="T2335"/>
      <c r="U2335" s="23"/>
    </row>
    <row r="2336" spans="1:21" ht="15.6" x14ac:dyDescent="0.3">
      <c r="A2336" s="4">
        <v>2335</v>
      </c>
      <c r="B2336" s="5">
        <v>1677152</v>
      </c>
      <c r="C2336" s="4" t="s">
        <v>106</v>
      </c>
      <c r="D2336" s="4" t="s">
        <v>42</v>
      </c>
      <c r="E2336" s="4" t="s">
        <v>32</v>
      </c>
      <c r="F2336" s="4" t="s">
        <v>2962</v>
      </c>
      <c r="G2336" s="6">
        <v>1.4</v>
      </c>
      <c r="H2336" s="7">
        <v>45492.043483796297</v>
      </c>
      <c r="I2336" s="7" t="str">
        <f>TEXT(multilingual_mobile_app_reviews_2025[[#This Row],[Review_date]],"dd-mm-yyyy")</f>
        <v>19-07-2024</v>
      </c>
      <c r="J2336" s="7" t="str">
        <f>TEXT(multilingual_mobile_app_reviews_2025[[#This Row],[Review_date]],"YYYY")</f>
        <v>2024</v>
      </c>
      <c r="K2336" s="7" t="str">
        <f>TEXT(multilingual_mobile_app_reviews_2025[[#This Row],[Review_date]],"MMMM")</f>
        <v>July</v>
      </c>
      <c r="L2336" s="4" t="b">
        <v>1</v>
      </c>
      <c r="M2336" s="4" t="s">
        <v>10</v>
      </c>
      <c r="N2336" s="5">
        <v>292</v>
      </c>
      <c r="O2336" s="5">
        <v>59</v>
      </c>
      <c r="P2336" s="4" t="s">
        <v>61</v>
      </c>
      <c r="Q2336" s="8" t="s">
        <v>29</v>
      </c>
      <c r="R2336" s="4" t="s">
        <v>86</v>
      </c>
      <c r="S2336" s="4"/>
      <c r="T2336"/>
      <c r="U2336" s="23"/>
    </row>
    <row r="2337" spans="1:21" ht="15.6" x14ac:dyDescent="0.3">
      <c r="A2337" s="4">
        <v>2336</v>
      </c>
      <c r="B2337" s="5">
        <v>5760342</v>
      </c>
      <c r="C2337" s="4" t="s">
        <v>264</v>
      </c>
      <c r="D2337" s="4" t="s">
        <v>71</v>
      </c>
      <c r="E2337" s="4" t="s">
        <v>2721</v>
      </c>
      <c r="F2337" s="4" t="s">
        <v>2951</v>
      </c>
      <c r="G2337" s="6">
        <v>3.5</v>
      </c>
      <c r="H2337" s="7">
        <v>45489.33488425926</v>
      </c>
      <c r="I2337" s="7" t="str">
        <f>TEXT(multilingual_mobile_app_reviews_2025[[#This Row],[Review_date]],"dd-mm-yyyy")</f>
        <v>16-07-2024</v>
      </c>
      <c r="J2337" s="7" t="str">
        <f>TEXT(multilingual_mobile_app_reviews_2025[[#This Row],[Review_date]],"YYYY")</f>
        <v>2024</v>
      </c>
      <c r="K2337" s="7" t="str">
        <f>TEXT(multilingual_mobile_app_reviews_2025[[#This Row],[Review_date]],"MMMM")</f>
        <v>July</v>
      </c>
      <c r="L2337" s="4" t="b">
        <v>1</v>
      </c>
      <c r="M2337" s="4" t="s">
        <v>98</v>
      </c>
      <c r="N2337" s="5">
        <v>873</v>
      </c>
      <c r="O2337" s="5">
        <v>59</v>
      </c>
      <c r="P2337" s="4" t="s">
        <v>28</v>
      </c>
      <c r="Q2337" s="8" t="s">
        <v>39</v>
      </c>
      <c r="R2337" s="4" t="s">
        <v>2722</v>
      </c>
      <c r="S2337" s="4"/>
      <c r="T2337"/>
      <c r="U2337" s="23"/>
    </row>
    <row r="2338" spans="1:21" ht="15.6" x14ac:dyDescent="0.3">
      <c r="A2338" s="4">
        <v>2337</v>
      </c>
      <c r="B2338" s="5">
        <v>6988843</v>
      </c>
      <c r="C2338" s="4" t="s">
        <v>104</v>
      </c>
      <c r="D2338" s="4" t="s">
        <v>31</v>
      </c>
      <c r="E2338" s="4" t="s">
        <v>93</v>
      </c>
      <c r="F2338" s="4" t="s">
        <v>2939</v>
      </c>
      <c r="G2338" s="6">
        <v>3.3</v>
      </c>
      <c r="H2338" s="7">
        <v>45212.631041666667</v>
      </c>
      <c r="I2338" s="7" t="str">
        <f>TEXT(multilingual_mobile_app_reviews_2025[[#This Row],[Review_date]],"dd-mm-yyyy")</f>
        <v>13-10-2023</v>
      </c>
      <c r="J2338" s="7" t="str">
        <f>TEXT(multilingual_mobile_app_reviews_2025[[#This Row],[Review_date]],"YYYY")</f>
        <v>2023</v>
      </c>
      <c r="K2338" s="7" t="str">
        <f>TEXT(multilingual_mobile_app_reviews_2025[[#This Row],[Review_date]],"MMMM")</f>
        <v>October</v>
      </c>
      <c r="L2338" s="4" t="b">
        <v>1</v>
      </c>
      <c r="M2338" s="4" t="s">
        <v>22</v>
      </c>
      <c r="N2338" s="5">
        <v>534</v>
      </c>
      <c r="O2338" s="5">
        <v>33</v>
      </c>
      <c r="P2338" s="4" t="s">
        <v>23</v>
      </c>
      <c r="Q2338" s="8" t="s">
        <v>2963</v>
      </c>
      <c r="R2338" s="4" t="s">
        <v>2723</v>
      </c>
      <c r="S2338" s="4"/>
      <c r="T2338"/>
      <c r="U2338" s="23"/>
    </row>
    <row r="2339" spans="1:21" ht="15.6" x14ac:dyDescent="0.3">
      <c r="A2339" s="4">
        <v>2338</v>
      </c>
      <c r="B2339" s="5">
        <v>2253928</v>
      </c>
      <c r="C2339" s="4" t="s">
        <v>89</v>
      </c>
      <c r="D2339" s="4" t="s">
        <v>157</v>
      </c>
      <c r="E2339" s="4" t="s">
        <v>32</v>
      </c>
      <c r="F2339" s="4" t="s">
        <v>2939</v>
      </c>
      <c r="G2339" s="6">
        <v>1.7</v>
      </c>
      <c r="H2339" s="7">
        <v>45599.808252314811</v>
      </c>
      <c r="I2339" s="7" t="str">
        <f>TEXT(multilingual_mobile_app_reviews_2025[[#This Row],[Review_date]],"dd-mm-yyyy")</f>
        <v>03-11-2024</v>
      </c>
      <c r="J2339" s="7" t="str">
        <f>TEXT(multilingual_mobile_app_reviews_2025[[#This Row],[Review_date]],"YYYY")</f>
        <v>2024</v>
      </c>
      <c r="K2339" s="7" t="str">
        <f>TEXT(multilingual_mobile_app_reviews_2025[[#This Row],[Review_date]],"MMMM")</f>
        <v>November</v>
      </c>
      <c r="L2339" s="4" t="b">
        <v>0</v>
      </c>
      <c r="M2339" s="4" t="s">
        <v>10</v>
      </c>
      <c r="N2339" s="5">
        <v>347</v>
      </c>
      <c r="O2339" s="5">
        <v>34</v>
      </c>
      <c r="P2339" s="4" t="s">
        <v>73</v>
      </c>
      <c r="Q2339" s="8" t="s">
        <v>5</v>
      </c>
      <c r="R2339" s="4" t="s">
        <v>2724</v>
      </c>
      <c r="S2339" s="4"/>
      <c r="T2339"/>
      <c r="U2339" s="23"/>
    </row>
    <row r="2340" spans="1:21" ht="15.6" x14ac:dyDescent="0.3">
      <c r="A2340" s="4">
        <v>2339</v>
      </c>
      <c r="B2340" s="5">
        <v>573717</v>
      </c>
      <c r="C2340" s="4" t="s">
        <v>92</v>
      </c>
      <c r="D2340" s="4" t="s">
        <v>51</v>
      </c>
      <c r="E2340" s="4" t="s">
        <v>21</v>
      </c>
      <c r="F2340" s="4" t="s">
        <v>2957</v>
      </c>
      <c r="G2340" s="6">
        <v>1.1000000000000001</v>
      </c>
      <c r="H2340" s="7">
        <v>45865.532256944447</v>
      </c>
      <c r="I2340" s="7" t="str">
        <f>TEXT(multilingual_mobile_app_reviews_2025[[#This Row],[Review_date]],"dd-mm-yyyy")</f>
        <v>27-07-2025</v>
      </c>
      <c r="J2340" s="7" t="str">
        <f>TEXT(multilingual_mobile_app_reviews_2025[[#This Row],[Review_date]],"YYYY")</f>
        <v>2025</v>
      </c>
      <c r="K2340" s="7" t="str">
        <f>TEXT(multilingual_mobile_app_reviews_2025[[#This Row],[Review_date]],"MMMM")</f>
        <v>July</v>
      </c>
      <c r="L2340" s="4" t="b">
        <v>1</v>
      </c>
      <c r="M2340" s="4" t="s">
        <v>3</v>
      </c>
      <c r="N2340" s="5">
        <v>506</v>
      </c>
      <c r="O2340" s="5">
        <v>75</v>
      </c>
      <c r="P2340" s="4" t="s">
        <v>70</v>
      </c>
      <c r="Q2340" s="8" t="s">
        <v>2963</v>
      </c>
      <c r="R2340" s="4" t="s">
        <v>2725</v>
      </c>
      <c r="S2340" s="4"/>
      <c r="T2340"/>
      <c r="U2340" s="23"/>
    </row>
    <row r="2341" spans="1:21" ht="15.6" x14ac:dyDescent="0.3">
      <c r="A2341" s="4">
        <v>2340</v>
      </c>
      <c r="B2341" s="5">
        <v>7556297</v>
      </c>
      <c r="C2341" s="4" t="s">
        <v>89</v>
      </c>
      <c r="D2341" s="4" t="s">
        <v>220</v>
      </c>
      <c r="E2341" s="4" t="s">
        <v>16</v>
      </c>
      <c r="F2341" s="4" t="s">
        <v>2939</v>
      </c>
      <c r="G2341" s="6">
        <v>4</v>
      </c>
      <c r="H2341" s="7">
        <v>45192.549525462964</v>
      </c>
      <c r="I2341" s="7" t="str">
        <f>TEXT(multilingual_mobile_app_reviews_2025[[#This Row],[Review_date]],"dd-mm-yyyy")</f>
        <v>23-09-2023</v>
      </c>
      <c r="J2341" s="7" t="str">
        <f>TEXT(multilingual_mobile_app_reviews_2025[[#This Row],[Review_date]],"YYYY")</f>
        <v>2023</v>
      </c>
      <c r="K2341" s="7" t="str">
        <f>TEXT(multilingual_mobile_app_reviews_2025[[#This Row],[Review_date]],"MMMM")</f>
        <v>September</v>
      </c>
      <c r="L2341" s="4" t="b">
        <v>1</v>
      </c>
      <c r="M2341" s="4" t="s">
        <v>33</v>
      </c>
      <c r="N2341" s="5">
        <v>335</v>
      </c>
      <c r="O2341" s="5">
        <v>64</v>
      </c>
      <c r="P2341" s="4" t="s">
        <v>28</v>
      </c>
      <c r="Q2341" s="8" t="s">
        <v>29</v>
      </c>
      <c r="R2341" s="4" t="s">
        <v>2726</v>
      </c>
      <c r="S2341" s="4"/>
      <c r="T2341"/>
      <c r="U2341" s="23"/>
    </row>
    <row r="2342" spans="1:21" ht="15.6" x14ac:dyDescent="0.3">
      <c r="A2342" s="4">
        <v>2341</v>
      </c>
      <c r="B2342" s="5">
        <v>3140589</v>
      </c>
      <c r="C2342" s="4" t="s">
        <v>101</v>
      </c>
      <c r="D2342" s="4" t="s">
        <v>71</v>
      </c>
      <c r="E2342" s="4" t="s">
        <v>130</v>
      </c>
      <c r="F2342" s="4" t="s">
        <v>2949</v>
      </c>
      <c r="G2342" s="6">
        <v>4.3</v>
      </c>
      <c r="H2342" s="7">
        <v>45498.640798611108</v>
      </c>
      <c r="I2342" s="7" t="str">
        <f>TEXT(multilingual_mobile_app_reviews_2025[[#This Row],[Review_date]],"dd-mm-yyyy")</f>
        <v>25-07-2024</v>
      </c>
      <c r="J2342" s="7" t="str">
        <f>TEXT(multilingual_mobile_app_reviews_2025[[#This Row],[Review_date]],"YYYY")</f>
        <v>2024</v>
      </c>
      <c r="K2342" s="7" t="str">
        <f>TEXT(multilingual_mobile_app_reviews_2025[[#This Row],[Review_date]],"MMMM")</f>
        <v>July</v>
      </c>
      <c r="L2342" s="4" t="b">
        <v>1</v>
      </c>
      <c r="M2342" s="4" t="s">
        <v>3</v>
      </c>
      <c r="N2342" s="5">
        <v>347</v>
      </c>
      <c r="O2342" s="5">
        <v>34</v>
      </c>
      <c r="P2342" s="4" t="s">
        <v>23</v>
      </c>
      <c r="Q2342" s="8" t="s">
        <v>2963</v>
      </c>
      <c r="R2342" s="4" t="s">
        <v>2727</v>
      </c>
      <c r="S2342" s="4"/>
      <c r="T2342"/>
      <c r="U2342" s="23"/>
    </row>
    <row r="2343" spans="1:21" ht="15.6" x14ac:dyDescent="0.3">
      <c r="A2343" s="4">
        <v>2342</v>
      </c>
      <c r="B2343" s="5">
        <v>9579965</v>
      </c>
      <c r="C2343" s="4" t="s">
        <v>123</v>
      </c>
      <c r="D2343" s="4" t="s">
        <v>8</v>
      </c>
      <c r="E2343" s="4" t="s">
        <v>109</v>
      </c>
      <c r="F2343" s="4" t="s">
        <v>2950</v>
      </c>
      <c r="G2343" s="6">
        <v>3.3</v>
      </c>
      <c r="H2343" s="7">
        <v>45440.385115740741</v>
      </c>
      <c r="I2343" s="7" t="str">
        <f>TEXT(multilingual_mobile_app_reviews_2025[[#This Row],[Review_date]],"dd-mm-yyyy")</f>
        <v>28-05-2024</v>
      </c>
      <c r="J2343" s="7" t="str">
        <f>TEXT(multilingual_mobile_app_reviews_2025[[#This Row],[Review_date]],"YYYY")</f>
        <v>2024</v>
      </c>
      <c r="K2343" s="7" t="str">
        <f>TEXT(multilingual_mobile_app_reviews_2025[[#This Row],[Review_date]],"MMMM")</f>
        <v>May</v>
      </c>
      <c r="L2343" s="4" t="b">
        <v>1</v>
      </c>
      <c r="M2343" s="4" t="s">
        <v>22</v>
      </c>
      <c r="N2343" s="5">
        <v>1053</v>
      </c>
      <c r="O2343" s="5">
        <v>40</v>
      </c>
      <c r="P2343" s="4" t="s">
        <v>80</v>
      </c>
      <c r="Q2343" s="8" t="s">
        <v>12</v>
      </c>
      <c r="R2343" s="4" t="s">
        <v>163</v>
      </c>
      <c r="S2343" s="4"/>
      <c r="T2343"/>
      <c r="U2343" s="23"/>
    </row>
    <row r="2344" spans="1:21" ht="15.6" x14ac:dyDescent="0.3">
      <c r="A2344" s="4">
        <v>2343</v>
      </c>
      <c r="B2344" s="5">
        <v>917300</v>
      </c>
      <c r="C2344" s="4" t="s">
        <v>41</v>
      </c>
      <c r="D2344" s="4" t="s">
        <v>31</v>
      </c>
      <c r="E2344" s="4" t="s">
        <v>64</v>
      </c>
      <c r="F2344" s="4" t="s">
        <v>2945</v>
      </c>
      <c r="G2344" s="6">
        <v>2.2999999999999998</v>
      </c>
      <c r="H2344" s="7">
        <v>45335.54787037037</v>
      </c>
      <c r="I2344" s="7" t="str">
        <f>TEXT(multilingual_mobile_app_reviews_2025[[#This Row],[Review_date]],"dd-mm-yyyy")</f>
        <v>13-02-2024</v>
      </c>
      <c r="J2344" s="7" t="str">
        <f>TEXT(multilingual_mobile_app_reviews_2025[[#This Row],[Review_date]],"YYYY")</f>
        <v>2024</v>
      </c>
      <c r="K2344" s="7" t="str">
        <f>TEXT(multilingual_mobile_app_reviews_2025[[#This Row],[Review_date]],"MMMM")</f>
        <v>February</v>
      </c>
      <c r="L2344" s="4" t="b">
        <v>1</v>
      </c>
      <c r="M2344" s="4" t="s">
        <v>33</v>
      </c>
      <c r="N2344" s="5">
        <v>241</v>
      </c>
      <c r="O2344" s="5">
        <v>47</v>
      </c>
      <c r="P2344" s="4" t="s">
        <v>80</v>
      </c>
      <c r="Q2344" s="8" t="s">
        <v>2963</v>
      </c>
      <c r="R2344" s="4" t="s">
        <v>955</v>
      </c>
      <c r="S2344" s="4"/>
      <c r="T2344"/>
      <c r="U2344" s="23"/>
    </row>
    <row r="2345" spans="1:21" ht="15.6" x14ac:dyDescent="0.3">
      <c r="A2345" s="4">
        <v>2344</v>
      </c>
      <c r="B2345" s="5">
        <v>2074150</v>
      </c>
      <c r="C2345" s="4" t="s">
        <v>137</v>
      </c>
      <c r="D2345" s="4" t="s">
        <v>63</v>
      </c>
      <c r="E2345" s="4" t="s">
        <v>109</v>
      </c>
      <c r="F2345" s="4" t="s">
        <v>2961</v>
      </c>
      <c r="G2345" s="6">
        <v>3.7</v>
      </c>
      <c r="H2345" s="7">
        <v>45681.199108796296</v>
      </c>
      <c r="I2345" s="7" t="str">
        <f>TEXT(multilingual_mobile_app_reviews_2025[[#This Row],[Review_date]],"dd-mm-yyyy")</f>
        <v>24-01-2025</v>
      </c>
      <c r="J2345" s="7" t="str">
        <f>TEXT(multilingual_mobile_app_reviews_2025[[#This Row],[Review_date]],"YYYY")</f>
        <v>2025</v>
      </c>
      <c r="K2345" s="7" t="str">
        <f>TEXT(multilingual_mobile_app_reviews_2025[[#This Row],[Review_date]],"MMMM")</f>
        <v>January</v>
      </c>
      <c r="L2345" s="4" t="b">
        <v>1</v>
      </c>
      <c r="M2345" s="4" t="s">
        <v>22</v>
      </c>
      <c r="N2345" s="5">
        <v>108</v>
      </c>
      <c r="O2345" s="5">
        <v>27</v>
      </c>
      <c r="P2345" s="4" t="s">
        <v>34</v>
      </c>
      <c r="Q2345" s="8" t="s">
        <v>2963</v>
      </c>
      <c r="R2345" s="4" t="s">
        <v>2728</v>
      </c>
      <c r="S2345" s="4"/>
      <c r="T2345"/>
      <c r="U2345" s="23"/>
    </row>
    <row r="2346" spans="1:21" ht="15.6" x14ac:dyDescent="0.3">
      <c r="A2346" s="4">
        <v>2345</v>
      </c>
      <c r="B2346" s="5">
        <v>8339274</v>
      </c>
      <c r="C2346" s="4" t="s">
        <v>50</v>
      </c>
      <c r="D2346" s="4" t="s">
        <v>31</v>
      </c>
      <c r="E2346" s="4" t="s">
        <v>130</v>
      </c>
      <c r="F2346" s="4" t="s">
        <v>2942</v>
      </c>
      <c r="G2346" s="6">
        <v>3.3</v>
      </c>
      <c r="H2346" s="7">
        <v>45273.964895833335</v>
      </c>
      <c r="I2346" s="7" t="str">
        <f>TEXT(multilingual_mobile_app_reviews_2025[[#This Row],[Review_date]],"dd-mm-yyyy")</f>
        <v>13-12-2023</v>
      </c>
      <c r="J2346" s="7" t="str">
        <f>TEXT(multilingual_mobile_app_reviews_2025[[#This Row],[Review_date]],"YYYY")</f>
        <v>2023</v>
      </c>
      <c r="K2346" s="7" t="str">
        <f>TEXT(multilingual_mobile_app_reviews_2025[[#This Row],[Review_date]],"MMMM")</f>
        <v>December</v>
      </c>
      <c r="L2346" s="4" t="b">
        <v>1</v>
      </c>
      <c r="M2346" s="4" t="s">
        <v>98</v>
      </c>
      <c r="N2346" s="5">
        <v>1232</v>
      </c>
      <c r="O2346" s="5">
        <v>35</v>
      </c>
      <c r="P2346" s="4" t="s">
        <v>99</v>
      </c>
      <c r="Q2346" s="8" t="s">
        <v>39</v>
      </c>
      <c r="R2346" s="4" t="s">
        <v>2729</v>
      </c>
      <c r="S2346" s="4"/>
      <c r="T2346"/>
      <c r="U2346" s="23"/>
    </row>
    <row r="2347" spans="1:21" ht="15.6" x14ac:dyDescent="0.3">
      <c r="A2347" s="4">
        <v>2346</v>
      </c>
      <c r="B2347" s="5">
        <v>5022258</v>
      </c>
      <c r="C2347" s="4" t="s">
        <v>165</v>
      </c>
      <c r="D2347" s="4" t="s">
        <v>1</v>
      </c>
      <c r="E2347" s="4" t="s">
        <v>2730</v>
      </c>
      <c r="F2347" s="4" t="s">
        <v>2949</v>
      </c>
      <c r="G2347" s="6">
        <v>3.6</v>
      </c>
      <c r="H2347" s="7">
        <v>45789.286226851851</v>
      </c>
      <c r="I2347" s="7" t="str">
        <f>TEXT(multilingual_mobile_app_reviews_2025[[#This Row],[Review_date]],"dd-mm-yyyy")</f>
        <v>12-05-2025</v>
      </c>
      <c r="J2347" s="7" t="str">
        <f>TEXT(multilingual_mobile_app_reviews_2025[[#This Row],[Review_date]],"YYYY")</f>
        <v>2025</v>
      </c>
      <c r="K2347" s="7" t="str">
        <f>TEXT(multilingual_mobile_app_reviews_2025[[#This Row],[Review_date]],"MMMM")</f>
        <v>May</v>
      </c>
      <c r="L2347" s="4" t="b">
        <v>1</v>
      </c>
      <c r="M2347" s="4" t="s">
        <v>22</v>
      </c>
      <c r="N2347" s="5">
        <v>238</v>
      </c>
      <c r="O2347" s="5">
        <v>62</v>
      </c>
      <c r="P2347" s="4" t="s">
        <v>61</v>
      </c>
      <c r="Q2347" s="8" t="s">
        <v>39</v>
      </c>
      <c r="R2347" s="4" t="s">
        <v>2731</v>
      </c>
      <c r="S2347" s="4"/>
      <c r="T2347"/>
      <c r="U2347" s="23"/>
    </row>
    <row r="2348" spans="1:21" ht="15.6" x14ac:dyDescent="0.3">
      <c r="A2348" s="4">
        <v>2347</v>
      </c>
      <c r="B2348" s="5">
        <v>3440730</v>
      </c>
      <c r="C2348" s="4" t="s">
        <v>69</v>
      </c>
      <c r="D2348" s="4" t="s">
        <v>47</v>
      </c>
      <c r="E2348" s="4" t="s">
        <v>130</v>
      </c>
      <c r="F2348" s="4" t="s">
        <v>2959</v>
      </c>
      <c r="G2348" s="6">
        <v>1.7</v>
      </c>
      <c r="H2348" s="7">
        <v>45513.372291666667</v>
      </c>
      <c r="I2348" s="7" t="str">
        <f>TEXT(multilingual_mobile_app_reviews_2025[[#This Row],[Review_date]],"dd-mm-yyyy")</f>
        <v>09-08-2024</v>
      </c>
      <c r="J2348" s="7" t="str">
        <f>TEXT(multilingual_mobile_app_reviews_2025[[#This Row],[Review_date]],"YYYY")</f>
        <v>2024</v>
      </c>
      <c r="K2348" s="7" t="str">
        <f>TEXT(multilingual_mobile_app_reviews_2025[[#This Row],[Review_date]],"MMMM")</f>
        <v>August</v>
      </c>
      <c r="L2348" s="4" t="b">
        <v>1</v>
      </c>
      <c r="M2348" s="4" t="s">
        <v>10</v>
      </c>
      <c r="N2348" s="5">
        <v>467</v>
      </c>
      <c r="O2348" s="5">
        <v>44</v>
      </c>
      <c r="P2348" s="4" t="s">
        <v>23</v>
      </c>
      <c r="Q2348" s="8" t="s">
        <v>5</v>
      </c>
      <c r="R2348" s="4" t="s">
        <v>736</v>
      </c>
      <c r="S2348" s="4"/>
      <c r="T2348"/>
      <c r="U2348" s="23"/>
    </row>
    <row r="2349" spans="1:21" ht="15.6" x14ac:dyDescent="0.3">
      <c r="A2349" s="4">
        <v>2348</v>
      </c>
      <c r="B2349" s="5">
        <v>4278242</v>
      </c>
      <c r="C2349" s="4" t="s">
        <v>7</v>
      </c>
      <c r="D2349" s="4" t="s">
        <v>15</v>
      </c>
      <c r="E2349" s="4" t="s">
        <v>27</v>
      </c>
      <c r="F2349" s="4" t="s">
        <v>2962</v>
      </c>
      <c r="G2349" s="6">
        <v>1.8</v>
      </c>
      <c r="H2349" s="7">
        <v>45143.299768518518</v>
      </c>
      <c r="I2349" s="7" t="str">
        <f>TEXT(multilingual_mobile_app_reviews_2025[[#This Row],[Review_date]],"dd-mm-yyyy")</f>
        <v>05-08-2023</v>
      </c>
      <c r="J2349" s="7" t="str">
        <f>TEXT(multilingual_mobile_app_reviews_2025[[#This Row],[Review_date]],"YYYY")</f>
        <v>2023</v>
      </c>
      <c r="K2349" s="7" t="str">
        <f>TEXT(multilingual_mobile_app_reviews_2025[[#This Row],[Review_date]],"MMMM")</f>
        <v>August</v>
      </c>
      <c r="L2349" s="4" t="b">
        <v>1</v>
      </c>
      <c r="M2349" s="4" t="s">
        <v>3</v>
      </c>
      <c r="N2349" s="5">
        <v>813</v>
      </c>
      <c r="O2349" s="5">
        <v>46</v>
      </c>
      <c r="P2349" s="4" t="s">
        <v>38</v>
      </c>
      <c r="Q2349" s="8" t="s">
        <v>5</v>
      </c>
      <c r="R2349" s="4" t="s">
        <v>2732</v>
      </c>
      <c r="S2349" s="4"/>
      <c r="T2349"/>
      <c r="U2349" s="23"/>
    </row>
    <row r="2350" spans="1:21" ht="15.6" x14ac:dyDescent="0.3">
      <c r="A2350" s="4">
        <v>2349</v>
      </c>
      <c r="B2350" s="5">
        <v>3063386</v>
      </c>
      <c r="C2350" s="4" t="s">
        <v>106</v>
      </c>
      <c r="D2350" s="4" t="s">
        <v>157</v>
      </c>
      <c r="E2350" s="4" t="s">
        <v>109</v>
      </c>
      <c r="F2350" s="4" t="s">
        <v>2952</v>
      </c>
      <c r="G2350" s="6">
        <v>3.7</v>
      </c>
      <c r="H2350" s="7">
        <v>45738.867766203701</v>
      </c>
      <c r="I2350" s="7" t="str">
        <f>TEXT(multilingual_mobile_app_reviews_2025[[#This Row],[Review_date]],"dd-mm-yyyy")</f>
        <v>22-03-2025</v>
      </c>
      <c r="J2350" s="7" t="str">
        <f>TEXT(multilingual_mobile_app_reviews_2025[[#This Row],[Review_date]],"YYYY")</f>
        <v>2025</v>
      </c>
      <c r="K2350" s="7" t="str">
        <f>TEXT(multilingual_mobile_app_reviews_2025[[#This Row],[Review_date]],"MMMM")</f>
        <v>March</v>
      </c>
      <c r="L2350" s="4" t="b">
        <v>1</v>
      </c>
      <c r="M2350" s="4" t="s">
        <v>22</v>
      </c>
      <c r="N2350" s="5">
        <v>486</v>
      </c>
      <c r="O2350" s="5">
        <v>40</v>
      </c>
      <c r="P2350" s="4" t="s">
        <v>44</v>
      </c>
      <c r="Q2350" s="8" t="s">
        <v>5</v>
      </c>
      <c r="R2350" s="4" t="s">
        <v>2733</v>
      </c>
      <c r="S2350" s="4"/>
      <c r="T2350"/>
      <c r="U2350" s="23"/>
    </row>
    <row r="2351" spans="1:21" ht="15.6" x14ac:dyDescent="0.3">
      <c r="A2351" s="4">
        <v>2350</v>
      </c>
      <c r="B2351" s="5">
        <v>836094</v>
      </c>
      <c r="C2351" s="4" t="s">
        <v>113</v>
      </c>
      <c r="D2351" s="4" t="s">
        <v>20</v>
      </c>
      <c r="E2351" s="4" t="s">
        <v>130</v>
      </c>
      <c r="F2351" s="4" t="s">
        <v>2958</v>
      </c>
      <c r="G2351" s="6">
        <v>1.5</v>
      </c>
      <c r="H2351" s="7">
        <v>45373.663472222222</v>
      </c>
      <c r="I2351" s="7" t="str">
        <f>TEXT(multilingual_mobile_app_reviews_2025[[#This Row],[Review_date]],"dd-mm-yyyy")</f>
        <v>22-03-2024</v>
      </c>
      <c r="J2351" s="7" t="str">
        <f>TEXT(multilingual_mobile_app_reviews_2025[[#This Row],[Review_date]],"YYYY")</f>
        <v>2024</v>
      </c>
      <c r="K2351" s="7" t="str">
        <f>TEXT(multilingual_mobile_app_reviews_2025[[#This Row],[Review_date]],"MMMM")</f>
        <v>March</v>
      </c>
      <c r="L2351" s="4" t="b">
        <v>1</v>
      </c>
      <c r="M2351" s="4" t="s">
        <v>3</v>
      </c>
      <c r="N2351" s="5">
        <v>1150</v>
      </c>
      <c r="O2351" s="5">
        <v>22</v>
      </c>
      <c r="P2351" s="4" t="s">
        <v>90</v>
      </c>
      <c r="Q2351" s="8" t="s">
        <v>12</v>
      </c>
      <c r="R2351" s="4" t="s">
        <v>2734</v>
      </c>
      <c r="S2351" s="4"/>
      <c r="T2351"/>
      <c r="U2351" s="23"/>
    </row>
    <row r="2352" spans="1:21" ht="15.6" x14ac:dyDescent="0.3">
      <c r="A2352" s="4">
        <v>2351</v>
      </c>
      <c r="B2352" s="5">
        <v>3848410</v>
      </c>
      <c r="C2352" s="4" t="s">
        <v>132</v>
      </c>
      <c r="D2352" s="4" t="s">
        <v>57</v>
      </c>
      <c r="E2352" s="4" t="s">
        <v>2735</v>
      </c>
      <c r="F2352" s="4" t="s">
        <v>2961</v>
      </c>
      <c r="G2352" s="6">
        <v>2.4</v>
      </c>
      <c r="H2352" s="7">
        <v>45229.047685185185</v>
      </c>
      <c r="I2352" s="7" t="str">
        <f>TEXT(multilingual_mobile_app_reviews_2025[[#This Row],[Review_date]],"dd-mm-yyyy")</f>
        <v>30-10-2023</v>
      </c>
      <c r="J2352" s="7" t="str">
        <f>TEXT(multilingual_mobile_app_reviews_2025[[#This Row],[Review_date]],"YYYY")</f>
        <v>2023</v>
      </c>
      <c r="K2352" s="7" t="str">
        <f>TEXT(multilingual_mobile_app_reviews_2025[[#This Row],[Review_date]],"MMMM")</f>
        <v>October</v>
      </c>
      <c r="L2352" s="4" t="b">
        <v>1</v>
      </c>
      <c r="M2352" s="4" t="s">
        <v>98</v>
      </c>
      <c r="N2352" s="5">
        <v>574</v>
      </c>
      <c r="O2352" s="5">
        <v>65</v>
      </c>
      <c r="P2352" s="4" t="s">
        <v>73</v>
      </c>
      <c r="Q2352" s="8" t="s">
        <v>39</v>
      </c>
      <c r="R2352" s="4" t="s">
        <v>2736</v>
      </c>
      <c r="S2352" s="4"/>
      <c r="T2352"/>
      <c r="U2352" s="23"/>
    </row>
    <row r="2353" spans="1:21" ht="15.6" x14ac:dyDescent="0.3">
      <c r="A2353" s="4">
        <v>2352</v>
      </c>
      <c r="B2353" s="5">
        <v>2858732</v>
      </c>
      <c r="C2353" s="4" t="s">
        <v>264</v>
      </c>
      <c r="D2353" s="4" t="s">
        <v>1</v>
      </c>
      <c r="E2353" s="4" t="s">
        <v>32</v>
      </c>
      <c r="F2353" s="4" t="s">
        <v>2960</v>
      </c>
      <c r="G2353" s="6">
        <v>1.9</v>
      </c>
      <c r="H2353" s="7">
        <v>45247.002233796295</v>
      </c>
      <c r="I2353" s="7" t="str">
        <f>TEXT(multilingual_mobile_app_reviews_2025[[#This Row],[Review_date]],"dd-mm-yyyy")</f>
        <v>17-11-2023</v>
      </c>
      <c r="J2353" s="7" t="str">
        <f>TEXT(multilingual_mobile_app_reviews_2025[[#This Row],[Review_date]],"YYYY")</f>
        <v>2023</v>
      </c>
      <c r="K2353" s="7" t="str">
        <f>TEXT(multilingual_mobile_app_reviews_2025[[#This Row],[Review_date]],"MMMM")</f>
        <v>November</v>
      </c>
      <c r="L2353" s="4" t="b">
        <v>1</v>
      </c>
      <c r="M2353" s="4" t="s">
        <v>98</v>
      </c>
      <c r="N2353" s="5">
        <v>28</v>
      </c>
      <c r="O2353" s="5">
        <v>47</v>
      </c>
      <c r="P2353" s="4" t="s">
        <v>38</v>
      </c>
      <c r="Q2353" s="8" t="s">
        <v>2963</v>
      </c>
      <c r="R2353" s="4" t="s">
        <v>2737</v>
      </c>
      <c r="S2353" s="4"/>
      <c r="T2353"/>
      <c r="U2353" s="23"/>
    </row>
    <row r="2354" spans="1:21" ht="15.6" x14ac:dyDescent="0.3">
      <c r="A2354" s="4">
        <v>2353</v>
      </c>
      <c r="B2354" s="5">
        <v>9541726</v>
      </c>
      <c r="C2354" s="4" t="s">
        <v>258</v>
      </c>
      <c r="D2354" s="4" t="s">
        <v>60</v>
      </c>
      <c r="E2354" s="4" t="s">
        <v>64</v>
      </c>
      <c r="F2354" s="4" t="s">
        <v>2940</v>
      </c>
      <c r="G2354" s="6">
        <v>4.5999999999999996</v>
      </c>
      <c r="H2354" s="7">
        <v>45157.269675925927</v>
      </c>
      <c r="I2354" s="7" t="str">
        <f>TEXT(multilingual_mobile_app_reviews_2025[[#This Row],[Review_date]],"dd-mm-yyyy")</f>
        <v>19-08-2023</v>
      </c>
      <c r="J2354" s="7" t="str">
        <f>TEXT(multilingual_mobile_app_reviews_2025[[#This Row],[Review_date]],"YYYY")</f>
        <v>2023</v>
      </c>
      <c r="K2354" s="7" t="str">
        <f>TEXT(multilingual_mobile_app_reviews_2025[[#This Row],[Review_date]],"MMMM")</f>
        <v>August</v>
      </c>
      <c r="L2354" s="4" t="b">
        <v>1</v>
      </c>
      <c r="M2354" s="4" t="s">
        <v>10</v>
      </c>
      <c r="N2354" s="5">
        <v>140</v>
      </c>
      <c r="O2354" s="5">
        <v>45</v>
      </c>
      <c r="P2354" s="4" t="s">
        <v>94</v>
      </c>
      <c r="Q2354" s="8" t="s">
        <v>2963</v>
      </c>
      <c r="R2354" s="4" t="s">
        <v>2738</v>
      </c>
      <c r="S2354" s="4"/>
      <c r="T2354"/>
      <c r="U2354" s="23"/>
    </row>
    <row r="2355" spans="1:21" ht="15.6" x14ac:dyDescent="0.3">
      <c r="A2355" s="4">
        <v>2354</v>
      </c>
      <c r="B2355" s="5">
        <v>8423942</v>
      </c>
      <c r="C2355" s="4" t="s">
        <v>92</v>
      </c>
      <c r="D2355" s="4" t="s">
        <v>51</v>
      </c>
      <c r="E2355" s="4" t="s">
        <v>32</v>
      </c>
      <c r="F2355" s="4" t="s">
        <v>2940</v>
      </c>
      <c r="G2355" s="6">
        <v>4.7</v>
      </c>
      <c r="H2355" s="7">
        <v>45423.683657407404</v>
      </c>
      <c r="I2355" s="7" t="str">
        <f>TEXT(multilingual_mobile_app_reviews_2025[[#This Row],[Review_date]],"dd-mm-yyyy")</f>
        <v>11-05-2024</v>
      </c>
      <c r="J2355" s="7" t="str">
        <f>TEXT(multilingual_mobile_app_reviews_2025[[#This Row],[Review_date]],"YYYY")</f>
        <v>2024</v>
      </c>
      <c r="K2355" s="7" t="str">
        <f>TEXT(multilingual_mobile_app_reviews_2025[[#This Row],[Review_date]],"MMMM")</f>
        <v>May</v>
      </c>
      <c r="L2355" s="4" t="b">
        <v>0</v>
      </c>
      <c r="M2355" s="4" t="s">
        <v>33</v>
      </c>
      <c r="N2355" s="5">
        <v>936</v>
      </c>
      <c r="O2355" s="5">
        <v>26</v>
      </c>
      <c r="P2355" s="4" t="s">
        <v>90</v>
      </c>
      <c r="Q2355" s="8" t="s">
        <v>5</v>
      </c>
      <c r="R2355" s="4" t="s">
        <v>2739</v>
      </c>
      <c r="S2355" s="4"/>
      <c r="T2355"/>
      <c r="U2355" s="23"/>
    </row>
    <row r="2356" spans="1:21" ht="15.6" x14ac:dyDescent="0.3">
      <c r="A2356" s="4">
        <v>2355</v>
      </c>
      <c r="B2356" s="5">
        <v>7313757</v>
      </c>
      <c r="C2356" s="4" t="s">
        <v>174</v>
      </c>
      <c r="D2356" s="4" t="s">
        <v>31</v>
      </c>
      <c r="E2356" s="4" t="s">
        <v>27</v>
      </c>
      <c r="F2356" s="4" t="s">
        <v>2939</v>
      </c>
      <c r="G2356" s="6">
        <v>4.0999999999999996</v>
      </c>
      <c r="H2356" s="7">
        <v>45154.830300925925</v>
      </c>
      <c r="I2356" s="7" t="str">
        <f>TEXT(multilingual_mobile_app_reviews_2025[[#This Row],[Review_date]],"dd-mm-yyyy")</f>
        <v>16-08-2023</v>
      </c>
      <c r="J2356" s="7" t="str">
        <f>TEXT(multilingual_mobile_app_reviews_2025[[#This Row],[Review_date]],"YYYY")</f>
        <v>2023</v>
      </c>
      <c r="K2356" s="7" t="str">
        <f>TEXT(multilingual_mobile_app_reviews_2025[[#This Row],[Review_date]],"MMMM")</f>
        <v>August</v>
      </c>
      <c r="L2356" s="4" t="b">
        <v>0</v>
      </c>
      <c r="M2356" s="4" t="s">
        <v>33</v>
      </c>
      <c r="N2356" s="5">
        <v>470</v>
      </c>
      <c r="O2356" s="5">
        <v>30</v>
      </c>
      <c r="P2356" s="4" t="s">
        <v>28</v>
      </c>
      <c r="Q2356" s="8" t="s">
        <v>12</v>
      </c>
      <c r="R2356" s="4" t="s">
        <v>2740</v>
      </c>
      <c r="S2356" s="4"/>
      <c r="T2356"/>
      <c r="U2356" s="23"/>
    </row>
    <row r="2357" spans="1:21" ht="15.6" x14ac:dyDescent="0.3">
      <c r="A2357" s="4">
        <v>2356</v>
      </c>
      <c r="B2357" s="5">
        <v>8910978</v>
      </c>
      <c r="C2357" s="4" t="s">
        <v>54</v>
      </c>
      <c r="D2357" s="4" t="s">
        <v>220</v>
      </c>
      <c r="E2357" s="4" t="s">
        <v>2741</v>
      </c>
      <c r="F2357" s="4" t="s">
        <v>2956</v>
      </c>
      <c r="G2357" s="6">
        <v>1.5</v>
      </c>
      <c r="H2357" s="7">
        <v>45532.765023148146</v>
      </c>
      <c r="I2357" s="7" t="str">
        <f>TEXT(multilingual_mobile_app_reviews_2025[[#This Row],[Review_date]],"dd-mm-yyyy")</f>
        <v>28-08-2024</v>
      </c>
      <c r="J2357" s="7" t="str">
        <f>TEXT(multilingual_mobile_app_reviews_2025[[#This Row],[Review_date]],"YYYY")</f>
        <v>2024</v>
      </c>
      <c r="K2357" s="7" t="str">
        <f>TEXT(multilingual_mobile_app_reviews_2025[[#This Row],[Review_date]],"MMMM")</f>
        <v>August</v>
      </c>
      <c r="L2357" s="4" t="b">
        <v>1</v>
      </c>
      <c r="M2357" s="4" t="s">
        <v>22</v>
      </c>
      <c r="N2357" s="5">
        <v>998</v>
      </c>
      <c r="O2357" s="5">
        <v>64</v>
      </c>
      <c r="P2357" s="4" t="s">
        <v>61</v>
      </c>
      <c r="Q2357" s="8" t="s">
        <v>2963</v>
      </c>
      <c r="R2357" s="4" t="s">
        <v>532</v>
      </c>
      <c r="S2357" s="4"/>
      <c r="T2357"/>
      <c r="U2357" s="23"/>
    </row>
    <row r="2358" spans="1:21" ht="15.6" x14ac:dyDescent="0.3">
      <c r="A2358" s="4">
        <v>2357</v>
      </c>
      <c r="B2358" s="5">
        <v>2407324</v>
      </c>
      <c r="C2358" s="4" t="s">
        <v>258</v>
      </c>
      <c r="D2358" s="4" t="s">
        <v>97</v>
      </c>
      <c r="E2358" s="4" t="s">
        <v>130</v>
      </c>
      <c r="F2358" s="4" t="s">
        <v>2941</v>
      </c>
      <c r="G2358" s="6">
        <v>2.6</v>
      </c>
      <c r="H2358" s="7">
        <v>45232.870196759257</v>
      </c>
      <c r="I2358" s="7" t="str">
        <f>TEXT(multilingual_mobile_app_reviews_2025[[#This Row],[Review_date]],"dd-mm-yyyy")</f>
        <v>02-11-2023</v>
      </c>
      <c r="J2358" s="7" t="str">
        <f>TEXT(multilingual_mobile_app_reviews_2025[[#This Row],[Review_date]],"YYYY")</f>
        <v>2023</v>
      </c>
      <c r="K2358" s="7" t="str">
        <f>TEXT(multilingual_mobile_app_reviews_2025[[#This Row],[Review_date]],"MMMM")</f>
        <v>November</v>
      </c>
      <c r="L2358" s="4" t="b">
        <v>1</v>
      </c>
      <c r="M2358" s="4" t="s">
        <v>22</v>
      </c>
      <c r="N2358" s="5">
        <v>500</v>
      </c>
      <c r="O2358" s="5">
        <v>45</v>
      </c>
      <c r="P2358" s="4" t="s">
        <v>114</v>
      </c>
      <c r="Q2358" s="8" t="s">
        <v>12</v>
      </c>
      <c r="R2358" s="4" t="s">
        <v>2742</v>
      </c>
      <c r="S2358" s="4"/>
      <c r="T2358"/>
      <c r="U2358" s="23"/>
    </row>
    <row r="2359" spans="1:21" ht="15.6" x14ac:dyDescent="0.3">
      <c r="A2359" s="4">
        <v>2358</v>
      </c>
      <c r="B2359" s="5">
        <v>2817830</v>
      </c>
      <c r="C2359" s="4" t="s">
        <v>59</v>
      </c>
      <c r="D2359" s="4" t="s">
        <v>71</v>
      </c>
      <c r="E2359" s="4" t="s">
        <v>2743</v>
      </c>
      <c r="F2359" s="4" t="s">
        <v>2948</v>
      </c>
      <c r="G2359" s="6">
        <v>3</v>
      </c>
      <c r="H2359" s="7">
        <v>45169.757488425923</v>
      </c>
      <c r="I2359" s="7" t="str">
        <f>TEXT(multilingual_mobile_app_reviews_2025[[#This Row],[Review_date]],"dd-mm-yyyy")</f>
        <v>31-08-2023</v>
      </c>
      <c r="J2359" s="7" t="str">
        <f>TEXT(multilingual_mobile_app_reviews_2025[[#This Row],[Review_date]],"YYYY")</f>
        <v>2023</v>
      </c>
      <c r="K2359" s="7" t="str">
        <f>TEXT(multilingual_mobile_app_reviews_2025[[#This Row],[Review_date]],"MMMM")</f>
        <v>August</v>
      </c>
      <c r="L2359" s="4" t="b">
        <v>1</v>
      </c>
      <c r="M2359" s="4" t="s">
        <v>98</v>
      </c>
      <c r="N2359" s="5">
        <v>693</v>
      </c>
      <c r="O2359" s="5">
        <v>57</v>
      </c>
      <c r="P2359" s="4" t="s">
        <v>118</v>
      </c>
      <c r="Q2359" s="8" t="s">
        <v>5</v>
      </c>
      <c r="R2359" s="4" t="s">
        <v>2744</v>
      </c>
      <c r="S2359" s="4"/>
      <c r="T2359"/>
      <c r="U2359" s="23"/>
    </row>
    <row r="2360" spans="1:21" ht="15.6" x14ac:dyDescent="0.3">
      <c r="A2360" s="4">
        <v>2359</v>
      </c>
      <c r="B2360" s="5">
        <v>3496501</v>
      </c>
      <c r="C2360" s="4" t="s">
        <v>67</v>
      </c>
      <c r="D2360" s="4" t="s">
        <v>57</v>
      </c>
      <c r="E2360" s="4" t="s">
        <v>2745</v>
      </c>
      <c r="F2360" s="4" t="s">
        <v>2940</v>
      </c>
      <c r="G2360" s="6">
        <v>4.0999999999999996</v>
      </c>
      <c r="H2360" s="7">
        <v>45535.159236111111</v>
      </c>
      <c r="I2360" s="7" t="str">
        <f>TEXT(multilingual_mobile_app_reviews_2025[[#This Row],[Review_date]],"dd-mm-yyyy")</f>
        <v>31-08-2024</v>
      </c>
      <c r="J2360" s="7" t="str">
        <f>TEXT(multilingual_mobile_app_reviews_2025[[#This Row],[Review_date]],"YYYY")</f>
        <v>2024</v>
      </c>
      <c r="K2360" s="7" t="str">
        <f>TEXT(multilingual_mobile_app_reviews_2025[[#This Row],[Review_date]],"MMMM")</f>
        <v>August</v>
      </c>
      <c r="L2360" s="4" t="b">
        <v>1</v>
      </c>
      <c r="M2360" s="4" t="s">
        <v>22</v>
      </c>
      <c r="N2360" s="5">
        <v>376</v>
      </c>
      <c r="O2360" s="5">
        <v>63</v>
      </c>
      <c r="P2360" s="4" t="s">
        <v>70</v>
      </c>
      <c r="Q2360" s="8" t="s">
        <v>2963</v>
      </c>
      <c r="R2360" s="4" t="s">
        <v>2746</v>
      </c>
      <c r="S2360" s="4"/>
      <c r="T2360"/>
      <c r="U2360" s="23"/>
    </row>
    <row r="2361" spans="1:21" ht="15.6" x14ac:dyDescent="0.3">
      <c r="A2361" s="4">
        <v>2360</v>
      </c>
      <c r="B2361" s="5">
        <v>1991674</v>
      </c>
      <c r="C2361" s="4" t="s">
        <v>7</v>
      </c>
      <c r="D2361" s="4" t="s">
        <v>97</v>
      </c>
      <c r="E2361" s="4" t="s">
        <v>21</v>
      </c>
      <c r="F2361" s="4" t="s">
        <v>2948</v>
      </c>
      <c r="G2361" s="6">
        <v>2.7</v>
      </c>
      <c r="H2361" s="7">
        <v>45546.318495370368</v>
      </c>
      <c r="I2361" s="7" t="str">
        <f>TEXT(multilingual_mobile_app_reviews_2025[[#This Row],[Review_date]],"dd-mm-yyyy")</f>
        <v>11-09-2024</v>
      </c>
      <c r="J2361" s="7" t="str">
        <f>TEXT(multilingual_mobile_app_reviews_2025[[#This Row],[Review_date]],"YYYY")</f>
        <v>2024</v>
      </c>
      <c r="K2361" s="7" t="str">
        <f>TEXT(multilingual_mobile_app_reviews_2025[[#This Row],[Review_date]],"MMMM")</f>
        <v>September</v>
      </c>
      <c r="L2361" s="4" t="b">
        <v>0</v>
      </c>
      <c r="M2361" s="4" t="s">
        <v>98</v>
      </c>
      <c r="N2361" s="5">
        <v>697</v>
      </c>
      <c r="O2361" s="5">
        <v>40</v>
      </c>
      <c r="P2361" s="4" t="s">
        <v>94</v>
      </c>
      <c r="Q2361" s="8" t="s">
        <v>5</v>
      </c>
      <c r="R2361" s="4" t="s">
        <v>2747</v>
      </c>
      <c r="S2361" s="4"/>
      <c r="T2361"/>
      <c r="U2361" s="23"/>
    </row>
    <row r="2362" spans="1:21" ht="15.6" x14ac:dyDescent="0.3">
      <c r="A2362" s="4">
        <v>2361</v>
      </c>
      <c r="B2362" s="5">
        <v>4560852</v>
      </c>
      <c r="C2362" s="4" t="s">
        <v>25</v>
      </c>
      <c r="D2362" s="4" t="s">
        <v>111</v>
      </c>
      <c r="E2362" s="4" t="s">
        <v>2748</v>
      </c>
      <c r="F2362" s="4" t="s">
        <v>2949</v>
      </c>
      <c r="G2362" s="6">
        <v>4.5</v>
      </c>
      <c r="H2362" s="7">
        <v>45510.365787037037</v>
      </c>
      <c r="I2362" s="7" t="str">
        <f>TEXT(multilingual_mobile_app_reviews_2025[[#This Row],[Review_date]],"dd-mm-yyyy")</f>
        <v>06-08-2024</v>
      </c>
      <c r="J2362" s="7" t="str">
        <f>TEXT(multilingual_mobile_app_reviews_2025[[#This Row],[Review_date]],"YYYY")</f>
        <v>2024</v>
      </c>
      <c r="K2362" s="7" t="str">
        <f>TEXT(multilingual_mobile_app_reviews_2025[[#This Row],[Review_date]],"MMMM")</f>
        <v>August</v>
      </c>
      <c r="L2362" s="4" t="b">
        <v>1</v>
      </c>
      <c r="M2362" s="4" t="s">
        <v>98</v>
      </c>
      <c r="N2362" s="5">
        <v>522</v>
      </c>
      <c r="O2362" s="5">
        <v>31</v>
      </c>
      <c r="P2362" s="4" t="s">
        <v>70</v>
      </c>
      <c r="Q2362" s="8" t="s">
        <v>12</v>
      </c>
      <c r="R2362" s="4" t="s">
        <v>2749</v>
      </c>
      <c r="S2362" s="4"/>
      <c r="T2362"/>
      <c r="U2362" s="23"/>
    </row>
    <row r="2363" spans="1:21" ht="15.6" x14ac:dyDescent="0.3">
      <c r="A2363" s="4">
        <v>2362</v>
      </c>
      <c r="B2363" s="5">
        <v>3692379</v>
      </c>
      <c r="C2363" s="4" t="s">
        <v>7</v>
      </c>
      <c r="D2363" s="4" t="s">
        <v>31</v>
      </c>
      <c r="E2363" s="4" t="s">
        <v>76</v>
      </c>
      <c r="F2363" s="4" t="s">
        <v>2959</v>
      </c>
      <c r="G2363" s="6">
        <v>4.3</v>
      </c>
      <c r="H2363" s="7">
        <v>45215.810358796298</v>
      </c>
      <c r="I2363" s="7" t="str">
        <f>TEXT(multilingual_mobile_app_reviews_2025[[#This Row],[Review_date]],"dd-mm-yyyy")</f>
        <v>16-10-2023</v>
      </c>
      <c r="J2363" s="7" t="str">
        <f>TEXT(multilingual_mobile_app_reviews_2025[[#This Row],[Review_date]],"YYYY")</f>
        <v>2023</v>
      </c>
      <c r="K2363" s="7" t="str">
        <f>TEXT(multilingual_mobile_app_reviews_2025[[#This Row],[Review_date]],"MMMM")</f>
        <v>October</v>
      </c>
      <c r="L2363" s="4" t="b">
        <v>1</v>
      </c>
      <c r="M2363" s="4" t="s">
        <v>33</v>
      </c>
      <c r="N2363" s="5">
        <v>1139</v>
      </c>
      <c r="O2363" s="5">
        <v>40</v>
      </c>
      <c r="P2363" s="4" t="s">
        <v>61</v>
      </c>
      <c r="Q2363" s="8" t="s">
        <v>12</v>
      </c>
      <c r="R2363" s="4" t="s">
        <v>2750</v>
      </c>
      <c r="S2363" s="4"/>
      <c r="T2363"/>
      <c r="U2363" s="23"/>
    </row>
    <row r="2364" spans="1:21" ht="15.6" x14ac:dyDescent="0.3">
      <c r="A2364" s="4">
        <v>2363</v>
      </c>
      <c r="B2364" s="5">
        <v>6607169</v>
      </c>
      <c r="C2364" s="4" t="s">
        <v>7</v>
      </c>
      <c r="D2364" s="4" t="s">
        <v>42</v>
      </c>
      <c r="E2364" s="4" t="s">
        <v>2751</v>
      </c>
      <c r="F2364" s="4" t="s">
        <v>2956</v>
      </c>
      <c r="G2364" s="6">
        <v>1.3</v>
      </c>
      <c r="H2364" s="7">
        <v>45625.837696759256</v>
      </c>
      <c r="I2364" s="7" t="str">
        <f>TEXT(multilingual_mobile_app_reviews_2025[[#This Row],[Review_date]],"dd-mm-yyyy")</f>
        <v>29-11-2024</v>
      </c>
      <c r="J2364" s="7" t="str">
        <f>TEXT(multilingual_mobile_app_reviews_2025[[#This Row],[Review_date]],"YYYY")</f>
        <v>2024</v>
      </c>
      <c r="K2364" s="7" t="str">
        <f>TEXT(multilingual_mobile_app_reviews_2025[[#This Row],[Review_date]],"MMMM")</f>
        <v>November</v>
      </c>
      <c r="L2364" s="4" t="b">
        <v>0</v>
      </c>
      <c r="M2364" s="4" t="s">
        <v>22</v>
      </c>
      <c r="N2364" s="5">
        <v>834</v>
      </c>
      <c r="O2364" s="5">
        <v>48</v>
      </c>
      <c r="P2364" s="4" t="s">
        <v>28</v>
      </c>
      <c r="Q2364" s="8" t="s">
        <v>2963</v>
      </c>
      <c r="R2364" s="4" t="s">
        <v>2752</v>
      </c>
      <c r="S2364" s="4"/>
      <c r="T2364"/>
      <c r="U2364" s="23"/>
    </row>
    <row r="2365" spans="1:21" ht="15.6" x14ac:dyDescent="0.3">
      <c r="A2365" s="4">
        <v>2364</v>
      </c>
      <c r="B2365" s="5">
        <v>7037523</v>
      </c>
      <c r="C2365" s="4" t="s">
        <v>46</v>
      </c>
      <c r="D2365" s="4" t="s">
        <v>111</v>
      </c>
      <c r="E2365" s="4" t="s">
        <v>130</v>
      </c>
      <c r="F2365" s="4" t="s">
        <v>2961</v>
      </c>
      <c r="G2365" s="6">
        <v>4.3</v>
      </c>
      <c r="H2365" s="7">
        <v>45791.147650462961</v>
      </c>
      <c r="I2365" s="7" t="str">
        <f>TEXT(multilingual_mobile_app_reviews_2025[[#This Row],[Review_date]],"dd-mm-yyyy")</f>
        <v>14-05-2025</v>
      </c>
      <c r="J2365" s="7" t="str">
        <f>TEXT(multilingual_mobile_app_reviews_2025[[#This Row],[Review_date]],"YYYY")</f>
        <v>2025</v>
      </c>
      <c r="K2365" s="7" t="str">
        <f>TEXT(multilingual_mobile_app_reviews_2025[[#This Row],[Review_date]],"MMMM")</f>
        <v>May</v>
      </c>
      <c r="L2365" s="4" t="b">
        <v>0</v>
      </c>
      <c r="M2365" s="4" t="s">
        <v>10</v>
      </c>
      <c r="N2365" s="5">
        <v>852</v>
      </c>
      <c r="O2365" s="5">
        <v>62</v>
      </c>
      <c r="P2365" s="4" t="s">
        <v>4</v>
      </c>
      <c r="Q2365" s="8" t="s">
        <v>2963</v>
      </c>
      <c r="R2365" s="4" t="s">
        <v>851</v>
      </c>
      <c r="S2365" s="4"/>
      <c r="T2365"/>
      <c r="U2365" s="23"/>
    </row>
    <row r="2366" spans="1:21" ht="15.6" x14ac:dyDescent="0.3">
      <c r="A2366" s="4">
        <v>2365</v>
      </c>
      <c r="B2366" s="5">
        <v>6168696</v>
      </c>
      <c r="C2366" s="4" t="s">
        <v>41</v>
      </c>
      <c r="D2366" s="4" t="s">
        <v>79</v>
      </c>
      <c r="E2366" s="4" t="s">
        <v>2753</v>
      </c>
      <c r="F2366" s="4" t="s">
        <v>2945</v>
      </c>
      <c r="G2366" s="6">
        <v>1.3</v>
      </c>
      <c r="H2366" s="7">
        <v>45445.395555555559</v>
      </c>
      <c r="I2366" s="7" t="str">
        <f>TEXT(multilingual_mobile_app_reviews_2025[[#This Row],[Review_date]],"dd-mm-yyyy")</f>
        <v>02-06-2024</v>
      </c>
      <c r="J2366" s="7" t="str">
        <f>TEXT(multilingual_mobile_app_reviews_2025[[#This Row],[Review_date]],"YYYY")</f>
        <v>2024</v>
      </c>
      <c r="K2366" s="7" t="str">
        <f>TEXT(multilingual_mobile_app_reviews_2025[[#This Row],[Review_date]],"MMMM")</f>
        <v>June</v>
      </c>
      <c r="L2366" s="4" t="b">
        <v>1</v>
      </c>
      <c r="M2366" s="4" t="s">
        <v>33</v>
      </c>
      <c r="N2366" s="5">
        <v>392</v>
      </c>
      <c r="O2366" s="5">
        <v>41</v>
      </c>
      <c r="P2366" s="4" t="s">
        <v>114</v>
      </c>
      <c r="Q2366" s="8" t="s">
        <v>39</v>
      </c>
      <c r="R2366" s="4" t="s">
        <v>2754</v>
      </c>
      <c r="S2366" s="4"/>
      <c r="T2366"/>
      <c r="U2366" s="23"/>
    </row>
    <row r="2367" spans="1:21" ht="15.6" x14ac:dyDescent="0.3">
      <c r="A2367" s="4">
        <v>2366</v>
      </c>
      <c r="B2367" s="5">
        <v>3331387</v>
      </c>
      <c r="C2367" s="4" t="s">
        <v>101</v>
      </c>
      <c r="D2367" s="4" t="s">
        <v>63</v>
      </c>
      <c r="E2367" s="4" t="s">
        <v>9</v>
      </c>
      <c r="F2367" s="4" t="s">
        <v>2960</v>
      </c>
      <c r="G2367" s="6">
        <v>3</v>
      </c>
      <c r="H2367" s="7">
        <v>45660.568888888891</v>
      </c>
      <c r="I2367" s="7" t="str">
        <f>TEXT(multilingual_mobile_app_reviews_2025[[#This Row],[Review_date]],"dd-mm-yyyy")</f>
        <v>03-01-2025</v>
      </c>
      <c r="J2367" s="7" t="str">
        <f>TEXT(multilingual_mobile_app_reviews_2025[[#This Row],[Review_date]],"YYYY")</f>
        <v>2025</v>
      </c>
      <c r="K2367" s="7" t="str">
        <f>TEXT(multilingual_mobile_app_reviews_2025[[#This Row],[Review_date]],"MMMM")</f>
        <v>January</v>
      </c>
      <c r="L2367" s="4" t="b">
        <v>0</v>
      </c>
      <c r="M2367" s="4" t="s">
        <v>98</v>
      </c>
      <c r="N2367" s="5">
        <v>318</v>
      </c>
      <c r="O2367" s="5">
        <v>20</v>
      </c>
      <c r="P2367" s="4" t="s">
        <v>99</v>
      </c>
      <c r="Q2367" s="8" t="s">
        <v>2963</v>
      </c>
      <c r="R2367" s="4" t="s">
        <v>2755</v>
      </c>
      <c r="S2367" s="4"/>
      <c r="T2367"/>
      <c r="U2367" s="23"/>
    </row>
    <row r="2368" spans="1:21" ht="15.6" x14ac:dyDescent="0.3">
      <c r="A2368" s="4">
        <v>2367</v>
      </c>
      <c r="B2368" s="5">
        <v>6369347</v>
      </c>
      <c r="C2368" s="4" t="s">
        <v>159</v>
      </c>
      <c r="D2368" s="4" t="s">
        <v>1</v>
      </c>
      <c r="E2368" s="4" t="s">
        <v>76</v>
      </c>
      <c r="F2368" s="4" t="s">
        <v>2950</v>
      </c>
      <c r="G2368" s="6">
        <v>2.2000000000000002</v>
      </c>
      <c r="H2368" s="7">
        <v>45442.403136574074</v>
      </c>
      <c r="I2368" s="7" t="str">
        <f>TEXT(multilingual_mobile_app_reviews_2025[[#This Row],[Review_date]],"dd-mm-yyyy")</f>
        <v>30-05-2024</v>
      </c>
      <c r="J2368" s="7" t="str">
        <f>TEXT(multilingual_mobile_app_reviews_2025[[#This Row],[Review_date]],"YYYY")</f>
        <v>2024</v>
      </c>
      <c r="K2368" s="7" t="str">
        <f>TEXT(multilingual_mobile_app_reviews_2025[[#This Row],[Review_date]],"MMMM")</f>
        <v>May</v>
      </c>
      <c r="L2368" s="4" t="b">
        <v>1</v>
      </c>
      <c r="M2368" s="4" t="s">
        <v>22</v>
      </c>
      <c r="N2368" s="5">
        <v>1040</v>
      </c>
      <c r="O2368" s="5">
        <v>65</v>
      </c>
      <c r="P2368" s="4" t="s">
        <v>44</v>
      </c>
      <c r="Q2368" s="8" t="s">
        <v>12</v>
      </c>
      <c r="R2368" s="4" t="s">
        <v>2756</v>
      </c>
      <c r="S2368" s="4"/>
      <c r="T2368"/>
      <c r="U2368" s="23"/>
    </row>
    <row r="2369" spans="1:21" ht="15.6" x14ac:dyDescent="0.3">
      <c r="A2369" s="4">
        <v>2368</v>
      </c>
      <c r="B2369" s="5">
        <v>3870193</v>
      </c>
      <c r="C2369" s="4" t="s">
        <v>46</v>
      </c>
      <c r="D2369" s="4" t="s">
        <v>42</v>
      </c>
      <c r="E2369" s="4" t="s">
        <v>32</v>
      </c>
      <c r="F2369" s="4" t="s">
        <v>2942</v>
      </c>
      <c r="G2369" s="6">
        <v>3.5</v>
      </c>
      <c r="H2369" s="7">
        <v>45720.339687500003</v>
      </c>
      <c r="I2369" s="7" t="str">
        <f>TEXT(multilingual_mobile_app_reviews_2025[[#This Row],[Review_date]],"dd-mm-yyyy")</f>
        <v>04-03-2025</v>
      </c>
      <c r="J2369" s="7" t="str">
        <f>TEXT(multilingual_mobile_app_reviews_2025[[#This Row],[Review_date]],"YYYY")</f>
        <v>2025</v>
      </c>
      <c r="K2369" s="7" t="str">
        <f>TEXT(multilingual_mobile_app_reviews_2025[[#This Row],[Review_date]],"MMMM")</f>
        <v>March</v>
      </c>
      <c r="L2369" s="4" t="b">
        <v>1</v>
      </c>
      <c r="M2369" s="4" t="s">
        <v>33</v>
      </c>
      <c r="N2369" s="5">
        <v>947</v>
      </c>
      <c r="O2369" s="5">
        <v>71</v>
      </c>
      <c r="P2369" s="4" t="s">
        <v>118</v>
      </c>
      <c r="Q2369" s="8" t="s">
        <v>29</v>
      </c>
      <c r="R2369" s="4" t="s">
        <v>2757</v>
      </c>
      <c r="S2369" s="4"/>
      <c r="T2369"/>
      <c r="U2369" s="23"/>
    </row>
    <row r="2370" spans="1:21" ht="15.6" x14ac:dyDescent="0.3">
      <c r="A2370" s="4">
        <v>2369</v>
      </c>
      <c r="B2370" s="5">
        <v>8142423</v>
      </c>
      <c r="C2370" s="4" t="s">
        <v>67</v>
      </c>
      <c r="D2370" s="4" t="s">
        <v>31</v>
      </c>
      <c r="E2370" s="4" t="s">
        <v>2758</v>
      </c>
      <c r="F2370" s="4" t="s">
        <v>2952</v>
      </c>
      <c r="G2370" s="6">
        <v>2.4</v>
      </c>
      <c r="H2370" s="7">
        <v>45831.443657407406</v>
      </c>
      <c r="I2370" s="7" t="str">
        <f>TEXT(multilingual_mobile_app_reviews_2025[[#This Row],[Review_date]],"dd-mm-yyyy")</f>
        <v>23-06-2025</v>
      </c>
      <c r="J2370" s="7" t="str">
        <f>TEXT(multilingual_mobile_app_reviews_2025[[#This Row],[Review_date]],"YYYY")</f>
        <v>2025</v>
      </c>
      <c r="K2370" s="7" t="str">
        <f>TEXT(multilingual_mobile_app_reviews_2025[[#This Row],[Review_date]],"MMMM")</f>
        <v>June</v>
      </c>
      <c r="L2370" s="4" t="b">
        <v>0</v>
      </c>
      <c r="M2370" s="4" t="s">
        <v>98</v>
      </c>
      <c r="N2370" s="5">
        <v>135</v>
      </c>
      <c r="O2370" s="5">
        <v>69</v>
      </c>
      <c r="P2370" s="4" t="s">
        <v>11</v>
      </c>
      <c r="Q2370" s="8" t="s">
        <v>39</v>
      </c>
      <c r="R2370" s="4" t="s">
        <v>2759</v>
      </c>
      <c r="S2370" s="4"/>
      <c r="T2370"/>
      <c r="U2370" s="23"/>
    </row>
    <row r="2371" spans="1:21" ht="15.6" x14ac:dyDescent="0.3">
      <c r="A2371" s="4">
        <v>2370</v>
      </c>
      <c r="B2371" s="5">
        <v>2542155</v>
      </c>
      <c r="C2371" s="4" t="s">
        <v>199</v>
      </c>
      <c r="D2371" s="4" t="s">
        <v>51</v>
      </c>
      <c r="E2371" s="4" t="s">
        <v>2760</v>
      </c>
      <c r="F2371" s="4" t="s">
        <v>2954</v>
      </c>
      <c r="G2371" s="6">
        <v>5</v>
      </c>
      <c r="H2371" s="7">
        <v>45765.547199074077</v>
      </c>
      <c r="I2371" s="7" t="str">
        <f>TEXT(multilingual_mobile_app_reviews_2025[[#This Row],[Review_date]],"dd-mm-yyyy")</f>
        <v>18-04-2025</v>
      </c>
      <c r="J2371" s="7" t="str">
        <f>TEXT(multilingual_mobile_app_reviews_2025[[#This Row],[Review_date]],"YYYY")</f>
        <v>2025</v>
      </c>
      <c r="K2371" s="7" t="str">
        <f>TEXT(multilingual_mobile_app_reviews_2025[[#This Row],[Review_date]],"MMMM")</f>
        <v>April</v>
      </c>
      <c r="L2371" s="4" t="b">
        <v>1</v>
      </c>
      <c r="M2371" s="4" t="s">
        <v>3</v>
      </c>
      <c r="N2371" s="5">
        <v>430</v>
      </c>
      <c r="O2371" s="5">
        <v>46</v>
      </c>
      <c r="P2371" s="4" t="s">
        <v>2963</v>
      </c>
      <c r="Q2371" s="8" t="s">
        <v>2963</v>
      </c>
      <c r="R2371" s="4" t="s">
        <v>2761</v>
      </c>
      <c r="S2371" s="4"/>
      <c r="T2371"/>
      <c r="U2371" s="23"/>
    </row>
    <row r="2372" spans="1:21" ht="15.6" x14ac:dyDescent="0.3">
      <c r="A2372" s="4">
        <v>2371</v>
      </c>
      <c r="B2372" s="5">
        <v>5191832</v>
      </c>
      <c r="C2372" s="4" t="s">
        <v>101</v>
      </c>
      <c r="D2372" s="4" t="s">
        <v>1</v>
      </c>
      <c r="E2372" s="4" t="s">
        <v>2762</v>
      </c>
      <c r="F2372" s="4" t="s">
        <v>2960</v>
      </c>
      <c r="G2372" s="6">
        <v>1.1000000000000001</v>
      </c>
      <c r="H2372" s="7">
        <v>45404.835995370369</v>
      </c>
      <c r="I2372" s="7" t="str">
        <f>TEXT(multilingual_mobile_app_reviews_2025[[#This Row],[Review_date]],"dd-mm-yyyy")</f>
        <v>22-04-2024</v>
      </c>
      <c r="J2372" s="7" t="str">
        <f>TEXT(multilingual_mobile_app_reviews_2025[[#This Row],[Review_date]],"YYYY")</f>
        <v>2024</v>
      </c>
      <c r="K2372" s="7" t="str">
        <f>TEXT(multilingual_mobile_app_reviews_2025[[#This Row],[Review_date]],"MMMM")</f>
        <v>April</v>
      </c>
      <c r="L2372" s="4" t="b">
        <v>1</v>
      </c>
      <c r="M2372" s="4" t="s">
        <v>22</v>
      </c>
      <c r="N2372" s="5">
        <v>600</v>
      </c>
      <c r="O2372" s="5">
        <v>31</v>
      </c>
      <c r="P2372" s="4" t="s">
        <v>61</v>
      </c>
      <c r="Q2372" s="8" t="s">
        <v>39</v>
      </c>
      <c r="R2372" s="4" t="s">
        <v>1053</v>
      </c>
      <c r="S2372" s="4"/>
      <c r="T2372"/>
      <c r="U2372" s="23"/>
    </row>
    <row r="2373" spans="1:21" ht="15.6" x14ac:dyDescent="0.3">
      <c r="A2373" s="4">
        <v>2372</v>
      </c>
      <c r="B2373" s="5">
        <v>8773780</v>
      </c>
      <c r="C2373" s="4" t="s">
        <v>154</v>
      </c>
      <c r="D2373" s="4" t="s">
        <v>15</v>
      </c>
      <c r="E2373" s="4" t="s">
        <v>9</v>
      </c>
      <c r="F2373" s="4" t="s">
        <v>2944</v>
      </c>
      <c r="G2373" s="6">
        <v>2.6</v>
      </c>
      <c r="H2373" s="7">
        <v>45617.624409722222</v>
      </c>
      <c r="I2373" s="7" t="str">
        <f>TEXT(multilingual_mobile_app_reviews_2025[[#This Row],[Review_date]],"dd-mm-yyyy")</f>
        <v>21-11-2024</v>
      </c>
      <c r="J2373" s="7" t="str">
        <f>TEXT(multilingual_mobile_app_reviews_2025[[#This Row],[Review_date]],"YYYY")</f>
        <v>2024</v>
      </c>
      <c r="K2373" s="7" t="str">
        <f>TEXT(multilingual_mobile_app_reviews_2025[[#This Row],[Review_date]],"MMMM")</f>
        <v>November</v>
      </c>
      <c r="L2373" s="4" t="b">
        <v>0</v>
      </c>
      <c r="M2373" s="4" t="s">
        <v>98</v>
      </c>
      <c r="N2373" s="5">
        <v>787</v>
      </c>
      <c r="O2373" s="5">
        <v>48</v>
      </c>
      <c r="P2373" s="4" t="s">
        <v>127</v>
      </c>
      <c r="Q2373" s="8" t="s">
        <v>39</v>
      </c>
      <c r="R2373" s="4" t="s">
        <v>2763</v>
      </c>
      <c r="S2373" s="4"/>
      <c r="T2373"/>
      <c r="U2373" s="23"/>
    </row>
    <row r="2374" spans="1:21" ht="15.6" x14ac:dyDescent="0.3">
      <c r="A2374" s="4">
        <v>2373</v>
      </c>
      <c r="B2374" s="5">
        <v>1155863</v>
      </c>
      <c r="C2374" s="4" t="s">
        <v>56</v>
      </c>
      <c r="D2374" s="4" t="s">
        <v>47</v>
      </c>
      <c r="E2374" s="4" t="s">
        <v>32</v>
      </c>
      <c r="F2374" s="4" t="s">
        <v>2961</v>
      </c>
      <c r="G2374" s="6">
        <v>1.2</v>
      </c>
      <c r="H2374" s="7">
        <v>45334.296284722222</v>
      </c>
      <c r="I2374" s="7" t="str">
        <f>TEXT(multilingual_mobile_app_reviews_2025[[#This Row],[Review_date]],"dd-mm-yyyy")</f>
        <v>12-02-2024</v>
      </c>
      <c r="J2374" s="7" t="str">
        <f>TEXT(multilingual_mobile_app_reviews_2025[[#This Row],[Review_date]],"YYYY")</f>
        <v>2024</v>
      </c>
      <c r="K2374" s="7" t="str">
        <f>TEXT(multilingual_mobile_app_reviews_2025[[#This Row],[Review_date]],"MMMM")</f>
        <v>February</v>
      </c>
      <c r="L2374" s="4" t="b">
        <v>0</v>
      </c>
      <c r="M2374" s="4" t="s">
        <v>98</v>
      </c>
      <c r="N2374" s="5">
        <v>1052</v>
      </c>
      <c r="O2374" s="5">
        <v>42</v>
      </c>
      <c r="P2374" s="4" t="s">
        <v>73</v>
      </c>
      <c r="Q2374" s="8" t="s">
        <v>2963</v>
      </c>
      <c r="R2374" s="4" t="s">
        <v>2764</v>
      </c>
      <c r="S2374" s="4"/>
      <c r="T2374"/>
      <c r="U2374" s="23"/>
    </row>
    <row r="2375" spans="1:21" ht="15.6" x14ac:dyDescent="0.3">
      <c r="A2375" s="4">
        <v>2374</v>
      </c>
      <c r="B2375" s="5">
        <v>4599844</v>
      </c>
      <c r="C2375" s="4" t="s">
        <v>154</v>
      </c>
      <c r="D2375" s="4" t="s">
        <v>71</v>
      </c>
      <c r="E2375" s="4" t="s">
        <v>32</v>
      </c>
      <c r="F2375" s="4" t="s">
        <v>2942</v>
      </c>
      <c r="G2375" s="6">
        <v>4.5999999999999996</v>
      </c>
      <c r="H2375" s="7">
        <v>45864.462465277778</v>
      </c>
      <c r="I2375" s="7" t="str">
        <f>TEXT(multilingual_mobile_app_reviews_2025[[#This Row],[Review_date]],"dd-mm-yyyy")</f>
        <v>26-07-2025</v>
      </c>
      <c r="J2375" s="7" t="str">
        <f>TEXT(multilingual_mobile_app_reviews_2025[[#This Row],[Review_date]],"YYYY")</f>
        <v>2025</v>
      </c>
      <c r="K2375" s="7" t="str">
        <f>TEXT(multilingual_mobile_app_reviews_2025[[#This Row],[Review_date]],"MMMM")</f>
        <v>July</v>
      </c>
      <c r="L2375" s="4" t="b">
        <v>1</v>
      </c>
      <c r="M2375" s="4" t="s">
        <v>22</v>
      </c>
      <c r="N2375" s="5">
        <v>921</v>
      </c>
      <c r="O2375" s="5">
        <v>52</v>
      </c>
      <c r="P2375" s="4" t="s">
        <v>23</v>
      </c>
      <c r="Q2375" s="8" t="s">
        <v>5</v>
      </c>
      <c r="R2375" s="4" t="s">
        <v>2765</v>
      </c>
      <c r="S2375" s="4"/>
      <c r="T2375"/>
      <c r="U2375" s="23"/>
    </row>
    <row r="2376" spans="1:21" ht="15.6" x14ac:dyDescent="0.3">
      <c r="A2376" s="4">
        <v>2375</v>
      </c>
      <c r="B2376" s="5">
        <v>4947725</v>
      </c>
      <c r="C2376" s="4" t="s">
        <v>96</v>
      </c>
      <c r="D2376" s="4" t="s">
        <v>71</v>
      </c>
      <c r="E2376" s="4" t="s">
        <v>2766</v>
      </c>
      <c r="F2376" s="4" t="s">
        <v>2954</v>
      </c>
      <c r="G2376" s="6">
        <v>2.2999999999999998</v>
      </c>
      <c r="H2376" s="7">
        <v>45498.260555555556</v>
      </c>
      <c r="I2376" s="7" t="str">
        <f>TEXT(multilingual_mobile_app_reviews_2025[[#This Row],[Review_date]],"dd-mm-yyyy")</f>
        <v>25-07-2024</v>
      </c>
      <c r="J2376" s="7" t="str">
        <f>TEXT(multilingual_mobile_app_reviews_2025[[#This Row],[Review_date]],"YYYY")</f>
        <v>2024</v>
      </c>
      <c r="K2376" s="7" t="str">
        <f>TEXT(multilingual_mobile_app_reviews_2025[[#This Row],[Review_date]],"MMMM")</f>
        <v>July</v>
      </c>
      <c r="L2376" s="4" t="b">
        <v>1</v>
      </c>
      <c r="M2376" s="4" t="s">
        <v>3</v>
      </c>
      <c r="N2376" s="5">
        <v>1242</v>
      </c>
      <c r="O2376" s="5">
        <v>52</v>
      </c>
      <c r="P2376" s="4" t="s">
        <v>144</v>
      </c>
      <c r="Q2376" s="8" t="s">
        <v>12</v>
      </c>
      <c r="R2376" s="4" t="s">
        <v>2209</v>
      </c>
      <c r="S2376" s="4"/>
      <c r="T2376"/>
      <c r="U2376" s="23"/>
    </row>
    <row r="2377" spans="1:21" ht="15.6" x14ac:dyDescent="0.3">
      <c r="A2377" s="4">
        <v>2376</v>
      </c>
      <c r="B2377" s="5">
        <v>8826042</v>
      </c>
      <c r="C2377" s="4" t="s">
        <v>46</v>
      </c>
      <c r="D2377" s="4" t="s">
        <v>60</v>
      </c>
      <c r="E2377" s="4" t="s">
        <v>2767</v>
      </c>
      <c r="F2377" s="4" t="s">
        <v>2948</v>
      </c>
      <c r="G2377" s="6">
        <v>4.9000000000000004</v>
      </c>
      <c r="H2377" s="7">
        <v>45580.204016203701</v>
      </c>
      <c r="I2377" s="7" t="str">
        <f>TEXT(multilingual_mobile_app_reviews_2025[[#This Row],[Review_date]],"dd-mm-yyyy")</f>
        <v>15-10-2024</v>
      </c>
      <c r="J2377" s="7" t="str">
        <f>TEXT(multilingual_mobile_app_reviews_2025[[#This Row],[Review_date]],"YYYY")</f>
        <v>2024</v>
      </c>
      <c r="K2377" s="7" t="str">
        <f>TEXT(multilingual_mobile_app_reviews_2025[[#This Row],[Review_date]],"MMMM")</f>
        <v>October</v>
      </c>
      <c r="L2377" s="4" t="b">
        <v>1</v>
      </c>
      <c r="M2377" s="4" t="s">
        <v>3</v>
      </c>
      <c r="N2377" s="5">
        <v>150</v>
      </c>
      <c r="O2377" s="5">
        <v>54</v>
      </c>
      <c r="P2377" s="4" t="s">
        <v>94</v>
      </c>
      <c r="Q2377" s="8" t="s">
        <v>39</v>
      </c>
      <c r="R2377" s="4" t="s">
        <v>107</v>
      </c>
      <c r="S2377" s="4"/>
      <c r="T2377"/>
      <c r="U2377" s="23"/>
    </row>
    <row r="2378" spans="1:21" ht="15.6" x14ac:dyDescent="0.3">
      <c r="A2378" s="4">
        <v>2377</v>
      </c>
      <c r="B2378" s="5">
        <v>9116220</v>
      </c>
      <c r="C2378" s="4" t="s">
        <v>54</v>
      </c>
      <c r="D2378" s="4" t="s">
        <v>15</v>
      </c>
      <c r="E2378" s="4" t="s">
        <v>2768</v>
      </c>
      <c r="F2378" s="4" t="s">
        <v>2944</v>
      </c>
      <c r="G2378" s="6">
        <v>4.5</v>
      </c>
      <c r="H2378" s="7">
        <v>45141.415879629632</v>
      </c>
      <c r="I2378" s="7" t="str">
        <f>TEXT(multilingual_mobile_app_reviews_2025[[#This Row],[Review_date]],"dd-mm-yyyy")</f>
        <v>03-08-2023</v>
      </c>
      <c r="J2378" s="7" t="str">
        <f>TEXT(multilingual_mobile_app_reviews_2025[[#This Row],[Review_date]],"YYYY")</f>
        <v>2023</v>
      </c>
      <c r="K2378" s="7" t="str">
        <f>TEXT(multilingual_mobile_app_reviews_2025[[#This Row],[Review_date]],"MMMM")</f>
        <v>August</v>
      </c>
      <c r="L2378" s="4" t="b">
        <v>1</v>
      </c>
      <c r="M2378" s="4" t="s">
        <v>3</v>
      </c>
      <c r="N2378" s="5">
        <v>981</v>
      </c>
      <c r="O2378" s="5">
        <v>26</v>
      </c>
      <c r="P2378" s="4" t="s">
        <v>70</v>
      </c>
      <c r="Q2378" s="8" t="s">
        <v>12</v>
      </c>
      <c r="R2378" s="4" t="s">
        <v>13</v>
      </c>
      <c r="S2378" s="4"/>
      <c r="T2378"/>
      <c r="U2378" s="23"/>
    </row>
    <row r="2379" spans="1:21" ht="15.6" x14ac:dyDescent="0.3">
      <c r="A2379" s="4">
        <v>2378</v>
      </c>
      <c r="B2379" s="5">
        <v>3269687</v>
      </c>
      <c r="C2379" s="4" t="s">
        <v>174</v>
      </c>
      <c r="D2379" s="4" t="s">
        <v>42</v>
      </c>
      <c r="E2379" s="4" t="s">
        <v>76</v>
      </c>
      <c r="F2379" s="4" t="s">
        <v>2949</v>
      </c>
      <c r="G2379" s="6">
        <v>3.8</v>
      </c>
      <c r="H2379" s="7">
        <v>45769.570462962962</v>
      </c>
      <c r="I2379" s="7" t="str">
        <f>TEXT(multilingual_mobile_app_reviews_2025[[#This Row],[Review_date]],"dd-mm-yyyy")</f>
        <v>22-04-2025</v>
      </c>
      <c r="J2379" s="7" t="str">
        <f>TEXT(multilingual_mobile_app_reviews_2025[[#This Row],[Review_date]],"YYYY")</f>
        <v>2025</v>
      </c>
      <c r="K2379" s="7" t="str">
        <f>TEXT(multilingual_mobile_app_reviews_2025[[#This Row],[Review_date]],"MMMM")</f>
        <v>April</v>
      </c>
      <c r="L2379" s="4" t="b">
        <v>1</v>
      </c>
      <c r="M2379" s="4" t="s">
        <v>10</v>
      </c>
      <c r="N2379" s="5">
        <v>610</v>
      </c>
      <c r="O2379" s="5">
        <v>26</v>
      </c>
      <c r="P2379" s="4" t="s">
        <v>34</v>
      </c>
      <c r="Q2379" s="8" t="s">
        <v>2963</v>
      </c>
      <c r="R2379" s="4" t="s">
        <v>2769</v>
      </c>
      <c r="S2379" s="4"/>
      <c r="T2379"/>
      <c r="U2379" s="23"/>
    </row>
    <row r="2380" spans="1:21" ht="15.6" x14ac:dyDescent="0.3">
      <c r="A2380" s="4">
        <v>2379</v>
      </c>
      <c r="B2380" s="5">
        <v>8405654</v>
      </c>
      <c r="C2380" s="4" t="s">
        <v>67</v>
      </c>
      <c r="D2380" s="4" t="s">
        <v>15</v>
      </c>
      <c r="E2380" s="4" t="s">
        <v>64</v>
      </c>
      <c r="F2380" s="4" t="s">
        <v>2955</v>
      </c>
      <c r="G2380" s="6">
        <v>5</v>
      </c>
      <c r="H2380" s="7">
        <v>45492.101238425923</v>
      </c>
      <c r="I2380" s="7" t="str">
        <f>TEXT(multilingual_mobile_app_reviews_2025[[#This Row],[Review_date]],"dd-mm-yyyy")</f>
        <v>19-07-2024</v>
      </c>
      <c r="J2380" s="7" t="str">
        <f>TEXT(multilingual_mobile_app_reviews_2025[[#This Row],[Review_date]],"YYYY")</f>
        <v>2024</v>
      </c>
      <c r="K2380" s="7" t="str">
        <f>TEXT(multilingual_mobile_app_reviews_2025[[#This Row],[Review_date]],"MMMM")</f>
        <v>July</v>
      </c>
      <c r="L2380" s="4" t="b">
        <v>1</v>
      </c>
      <c r="M2380" s="4" t="s">
        <v>3</v>
      </c>
      <c r="N2380" s="5">
        <v>1233</v>
      </c>
      <c r="O2380" s="5">
        <v>68</v>
      </c>
      <c r="P2380" s="4" t="s">
        <v>118</v>
      </c>
      <c r="Q2380" s="8" t="s">
        <v>2963</v>
      </c>
      <c r="R2380" s="4" t="s">
        <v>2770</v>
      </c>
      <c r="S2380" s="4"/>
      <c r="T2380"/>
      <c r="U2380" s="23"/>
    </row>
    <row r="2381" spans="1:21" ht="15.6" x14ac:dyDescent="0.3">
      <c r="A2381" s="4">
        <v>2380</v>
      </c>
      <c r="B2381" s="5">
        <v>9890908</v>
      </c>
      <c r="C2381" s="4" t="s">
        <v>123</v>
      </c>
      <c r="D2381" s="4" t="s">
        <v>1</v>
      </c>
      <c r="E2381" s="4" t="s">
        <v>2771</v>
      </c>
      <c r="F2381" s="4" t="s">
        <v>2955</v>
      </c>
      <c r="G2381" s="6">
        <v>1.2</v>
      </c>
      <c r="H2381" s="7">
        <v>45181.211342592593</v>
      </c>
      <c r="I2381" s="7" t="str">
        <f>TEXT(multilingual_mobile_app_reviews_2025[[#This Row],[Review_date]],"dd-mm-yyyy")</f>
        <v>12-09-2023</v>
      </c>
      <c r="J2381" s="7" t="str">
        <f>TEXT(multilingual_mobile_app_reviews_2025[[#This Row],[Review_date]],"YYYY")</f>
        <v>2023</v>
      </c>
      <c r="K2381" s="7" t="str">
        <f>TEXT(multilingual_mobile_app_reviews_2025[[#This Row],[Review_date]],"MMMM")</f>
        <v>September</v>
      </c>
      <c r="L2381" s="4" t="b">
        <v>1</v>
      </c>
      <c r="M2381" s="4" t="s">
        <v>10</v>
      </c>
      <c r="N2381" s="5">
        <v>596</v>
      </c>
      <c r="O2381" s="5">
        <v>29</v>
      </c>
      <c r="P2381" s="4" t="s">
        <v>70</v>
      </c>
      <c r="Q2381" s="8" t="s">
        <v>39</v>
      </c>
      <c r="R2381" s="4" t="s">
        <v>2772</v>
      </c>
      <c r="S2381" s="4"/>
      <c r="T2381"/>
      <c r="U2381" s="23"/>
    </row>
    <row r="2382" spans="1:21" ht="15.6" x14ac:dyDescent="0.3">
      <c r="A2382" s="4">
        <v>2381</v>
      </c>
      <c r="B2382" s="5">
        <v>1279102</v>
      </c>
      <c r="C2382" s="4" t="s">
        <v>199</v>
      </c>
      <c r="D2382" s="4" t="s">
        <v>60</v>
      </c>
      <c r="E2382" s="4" t="s">
        <v>130</v>
      </c>
      <c r="F2382" s="4" t="s">
        <v>2956</v>
      </c>
      <c r="G2382" s="6">
        <v>1.7</v>
      </c>
      <c r="H2382" s="7">
        <v>45354.307060185187</v>
      </c>
      <c r="I2382" s="7" t="str">
        <f>TEXT(multilingual_mobile_app_reviews_2025[[#This Row],[Review_date]],"dd-mm-yyyy")</f>
        <v>03-03-2024</v>
      </c>
      <c r="J2382" s="7" t="str">
        <f>TEXT(multilingual_mobile_app_reviews_2025[[#This Row],[Review_date]],"YYYY")</f>
        <v>2024</v>
      </c>
      <c r="K2382" s="7" t="str">
        <f>TEXT(multilingual_mobile_app_reviews_2025[[#This Row],[Review_date]],"MMMM")</f>
        <v>March</v>
      </c>
      <c r="L2382" s="4" t="b">
        <v>1</v>
      </c>
      <c r="M2382" s="4" t="s">
        <v>3</v>
      </c>
      <c r="N2382" s="5">
        <v>567</v>
      </c>
      <c r="O2382" s="5">
        <v>70</v>
      </c>
      <c r="P2382" s="4" t="s">
        <v>23</v>
      </c>
      <c r="Q2382" s="8" t="s">
        <v>29</v>
      </c>
      <c r="R2382" s="4" t="s">
        <v>2773</v>
      </c>
      <c r="S2382" s="4"/>
      <c r="T2382"/>
      <c r="U2382" s="23"/>
    </row>
    <row r="2383" spans="1:21" ht="15.6" x14ac:dyDescent="0.3">
      <c r="A2383" s="4">
        <v>2382</v>
      </c>
      <c r="B2383" s="5">
        <v>9302146</v>
      </c>
      <c r="C2383" s="4" t="s">
        <v>101</v>
      </c>
      <c r="D2383" s="4" t="s">
        <v>42</v>
      </c>
      <c r="E2383" s="4" t="s">
        <v>2774</v>
      </c>
      <c r="F2383" s="4" t="s">
        <v>2954</v>
      </c>
      <c r="G2383" s="6">
        <v>2.7</v>
      </c>
      <c r="H2383" s="7">
        <v>45146.533726851849</v>
      </c>
      <c r="I2383" s="7" t="str">
        <f>TEXT(multilingual_mobile_app_reviews_2025[[#This Row],[Review_date]],"dd-mm-yyyy")</f>
        <v>08-08-2023</v>
      </c>
      <c r="J2383" s="7" t="str">
        <f>TEXT(multilingual_mobile_app_reviews_2025[[#This Row],[Review_date]],"YYYY")</f>
        <v>2023</v>
      </c>
      <c r="K2383" s="7" t="str">
        <f>TEXT(multilingual_mobile_app_reviews_2025[[#This Row],[Review_date]],"MMMM")</f>
        <v>August</v>
      </c>
      <c r="L2383" s="4" t="b">
        <v>1</v>
      </c>
      <c r="M2383" s="4" t="s">
        <v>33</v>
      </c>
      <c r="N2383" s="5">
        <v>1247</v>
      </c>
      <c r="O2383" s="5">
        <v>57</v>
      </c>
      <c r="P2383" s="4" t="s">
        <v>80</v>
      </c>
      <c r="Q2383" s="8" t="s">
        <v>12</v>
      </c>
      <c r="R2383" s="4" t="s">
        <v>2963</v>
      </c>
      <c r="S2383" s="4"/>
      <c r="T2383"/>
      <c r="U2383" s="23"/>
    </row>
    <row r="2384" spans="1:21" ht="15.6" x14ac:dyDescent="0.3">
      <c r="A2384" s="4">
        <v>2383</v>
      </c>
      <c r="B2384" s="5">
        <v>5764086</v>
      </c>
      <c r="C2384" s="4" t="s">
        <v>54</v>
      </c>
      <c r="D2384" s="4" t="s">
        <v>79</v>
      </c>
      <c r="E2384" s="4" t="s">
        <v>93</v>
      </c>
      <c r="F2384" s="4" t="s">
        <v>2956</v>
      </c>
      <c r="G2384" s="6">
        <v>1.7</v>
      </c>
      <c r="H2384" s="7">
        <v>45623.833032407405</v>
      </c>
      <c r="I2384" s="7" t="str">
        <f>TEXT(multilingual_mobile_app_reviews_2025[[#This Row],[Review_date]],"dd-mm-yyyy")</f>
        <v>27-11-2024</v>
      </c>
      <c r="J2384" s="7" t="str">
        <f>TEXT(multilingual_mobile_app_reviews_2025[[#This Row],[Review_date]],"YYYY")</f>
        <v>2024</v>
      </c>
      <c r="K2384" s="7" t="str">
        <f>TEXT(multilingual_mobile_app_reviews_2025[[#This Row],[Review_date]],"MMMM")</f>
        <v>November</v>
      </c>
      <c r="L2384" s="4" t="b">
        <v>0</v>
      </c>
      <c r="M2384" s="4" t="s">
        <v>10</v>
      </c>
      <c r="N2384" s="5">
        <v>806</v>
      </c>
      <c r="O2384" s="5">
        <v>74</v>
      </c>
      <c r="P2384" s="4" t="s">
        <v>70</v>
      </c>
      <c r="Q2384" s="8" t="s">
        <v>2963</v>
      </c>
      <c r="R2384" s="4" t="s">
        <v>2775</v>
      </c>
      <c r="S2384" s="4"/>
      <c r="T2384"/>
      <c r="U2384" s="23"/>
    </row>
    <row r="2385" spans="1:21" ht="15.6" x14ac:dyDescent="0.3">
      <c r="A2385" s="4">
        <v>2384</v>
      </c>
      <c r="B2385" s="5">
        <v>4750204</v>
      </c>
      <c r="C2385" s="4" t="s">
        <v>159</v>
      </c>
      <c r="D2385" s="4" t="s">
        <v>8</v>
      </c>
      <c r="E2385" s="4" t="s">
        <v>76</v>
      </c>
      <c r="F2385" s="4" t="s">
        <v>2945</v>
      </c>
      <c r="G2385" s="6">
        <v>2.6</v>
      </c>
      <c r="H2385" s="7">
        <v>45359.613692129627</v>
      </c>
      <c r="I2385" s="7" t="str">
        <f>TEXT(multilingual_mobile_app_reviews_2025[[#This Row],[Review_date]],"dd-mm-yyyy")</f>
        <v>08-03-2024</v>
      </c>
      <c r="J2385" s="7" t="str">
        <f>TEXT(multilingual_mobile_app_reviews_2025[[#This Row],[Review_date]],"YYYY")</f>
        <v>2024</v>
      </c>
      <c r="K2385" s="7" t="str">
        <f>TEXT(multilingual_mobile_app_reviews_2025[[#This Row],[Review_date]],"MMMM")</f>
        <v>March</v>
      </c>
      <c r="L2385" s="4" t="b">
        <v>1</v>
      </c>
      <c r="M2385" s="4" t="s">
        <v>3</v>
      </c>
      <c r="N2385" s="5">
        <v>1080</v>
      </c>
      <c r="O2385" s="5">
        <v>39</v>
      </c>
      <c r="P2385" s="4" t="s">
        <v>4</v>
      </c>
      <c r="Q2385" s="8" t="s">
        <v>29</v>
      </c>
      <c r="R2385" s="4" t="s">
        <v>2776</v>
      </c>
      <c r="S2385" s="4"/>
      <c r="T2385"/>
      <c r="U2385" s="23"/>
    </row>
    <row r="2386" spans="1:21" ht="15.6" x14ac:dyDescent="0.3">
      <c r="A2386" s="4">
        <v>2385</v>
      </c>
      <c r="B2386" s="5">
        <v>4137944</v>
      </c>
      <c r="C2386" s="4" t="s">
        <v>14</v>
      </c>
      <c r="D2386" s="4" t="s">
        <v>8</v>
      </c>
      <c r="E2386" s="4" t="s">
        <v>93</v>
      </c>
      <c r="F2386" s="4" t="s">
        <v>2948</v>
      </c>
      <c r="G2386" s="6">
        <v>2.7</v>
      </c>
      <c r="H2386" s="7">
        <v>45317.903854166667</v>
      </c>
      <c r="I2386" s="7" t="str">
        <f>TEXT(multilingual_mobile_app_reviews_2025[[#This Row],[Review_date]],"dd-mm-yyyy")</f>
        <v>26-01-2024</v>
      </c>
      <c r="J2386" s="7" t="str">
        <f>TEXT(multilingual_mobile_app_reviews_2025[[#This Row],[Review_date]],"YYYY")</f>
        <v>2024</v>
      </c>
      <c r="K2386" s="7" t="str">
        <f>TEXT(multilingual_mobile_app_reviews_2025[[#This Row],[Review_date]],"MMMM")</f>
        <v>January</v>
      </c>
      <c r="L2386" s="4" t="b">
        <v>1</v>
      </c>
      <c r="M2386" s="4" t="s">
        <v>98</v>
      </c>
      <c r="N2386" s="5">
        <v>1249</v>
      </c>
      <c r="O2386" s="5">
        <v>29</v>
      </c>
      <c r="P2386" s="4" t="s">
        <v>11</v>
      </c>
      <c r="Q2386" s="8" t="s">
        <v>29</v>
      </c>
      <c r="R2386" s="4" t="s">
        <v>561</v>
      </c>
      <c r="S2386" s="4"/>
      <c r="T2386"/>
      <c r="U2386" s="23"/>
    </row>
    <row r="2387" spans="1:21" ht="15.6" x14ac:dyDescent="0.3">
      <c r="A2387" s="4">
        <v>2386</v>
      </c>
      <c r="B2387" s="5">
        <v>9673366</v>
      </c>
      <c r="C2387" s="4" t="s">
        <v>154</v>
      </c>
      <c r="D2387" s="4" t="s">
        <v>15</v>
      </c>
      <c r="E2387" s="4" t="s">
        <v>21</v>
      </c>
      <c r="F2387" s="4" t="s">
        <v>2942</v>
      </c>
      <c r="G2387" s="6">
        <v>1.5</v>
      </c>
      <c r="H2387" s="7">
        <v>45722.761550925927</v>
      </c>
      <c r="I2387" s="7" t="str">
        <f>TEXT(multilingual_mobile_app_reviews_2025[[#This Row],[Review_date]],"dd-mm-yyyy")</f>
        <v>06-03-2025</v>
      </c>
      <c r="J2387" s="7" t="str">
        <f>TEXT(multilingual_mobile_app_reviews_2025[[#This Row],[Review_date]],"YYYY")</f>
        <v>2025</v>
      </c>
      <c r="K2387" s="7" t="str">
        <f>TEXT(multilingual_mobile_app_reviews_2025[[#This Row],[Review_date]],"MMMM")</f>
        <v>March</v>
      </c>
      <c r="L2387" s="4" t="b">
        <v>1</v>
      </c>
      <c r="M2387" s="4" t="s">
        <v>3</v>
      </c>
      <c r="N2387" s="5">
        <v>778</v>
      </c>
      <c r="O2387" s="5">
        <v>23</v>
      </c>
      <c r="P2387" s="4" t="s">
        <v>23</v>
      </c>
      <c r="Q2387" s="8" t="s">
        <v>2963</v>
      </c>
      <c r="R2387" s="4" t="s">
        <v>2777</v>
      </c>
      <c r="S2387" s="4"/>
      <c r="T2387"/>
      <c r="U2387" s="23"/>
    </row>
    <row r="2388" spans="1:21" ht="15.6" x14ac:dyDescent="0.3">
      <c r="A2388" s="4">
        <v>2387</v>
      </c>
      <c r="B2388" s="5">
        <v>9371354</v>
      </c>
      <c r="C2388" s="4" t="s">
        <v>87</v>
      </c>
      <c r="D2388" s="4" t="s">
        <v>97</v>
      </c>
      <c r="E2388" s="4" t="s">
        <v>109</v>
      </c>
      <c r="F2388" s="4" t="s">
        <v>2943</v>
      </c>
      <c r="G2388" s="6">
        <v>2</v>
      </c>
      <c r="H2388" s="7">
        <v>45413.489791666667</v>
      </c>
      <c r="I2388" s="7" t="str">
        <f>TEXT(multilingual_mobile_app_reviews_2025[[#This Row],[Review_date]],"dd-mm-yyyy")</f>
        <v>01-05-2024</v>
      </c>
      <c r="J2388" s="7" t="str">
        <f>TEXT(multilingual_mobile_app_reviews_2025[[#This Row],[Review_date]],"YYYY")</f>
        <v>2024</v>
      </c>
      <c r="K2388" s="7" t="str">
        <f>TEXT(multilingual_mobile_app_reviews_2025[[#This Row],[Review_date]],"MMMM")</f>
        <v>May</v>
      </c>
      <c r="L2388" s="4" t="b">
        <v>1</v>
      </c>
      <c r="M2388" s="4" t="s">
        <v>3</v>
      </c>
      <c r="N2388" s="5">
        <v>658</v>
      </c>
      <c r="O2388" s="5">
        <v>14</v>
      </c>
      <c r="P2388" s="4" t="s">
        <v>114</v>
      </c>
      <c r="Q2388" s="8" t="s">
        <v>39</v>
      </c>
      <c r="R2388" s="4" t="s">
        <v>2778</v>
      </c>
      <c r="S2388" s="4"/>
      <c r="T2388"/>
      <c r="U2388" s="23"/>
    </row>
    <row r="2389" spans="1:21" ht="15.6" x14ac:dyDescent="0.3">
      <c r="A2389" s="4">
        <v>2388</v>
      </c>
      <c r="B2389" s="5">
        <v>2645152</v>
      </c>
      <c r="C2389" s="4" t="s">
        <v>137</v>
      </c>
      <c r="D2389" s="4" t="s">
        <v>47</v>
      </c>
      <c r="E2389" s="4" t="s">
        <v>21</v>
      </c>
      <c r="F2389" s="4" t="s">
        <v>2939</v>
      </c>
      <c r="G2389" s="6">
        <v>4.8</v>
      </c>
      <c r="H2389" s="7">
        <v>45156.70722222222</v>
      </c>
      <c r="I2389" s="7" t="str">
        <f>TEXT(multilingual_mobile_app_reviews_2025[[#This Row],[Review_date]],"dd-mm-yyyy")</f>
        <v>18-08-2023</v>
      </c>
      <c r="J2389" s="7" t="str">
        <f>TEXT(multilingual_mobile_app_reviews_2025[[#This Row],[Review_date]],"YYYY")</f>
        <v>2023</v>
      </c>
      <c r="K2389" s="7" t="str">
        <f>TEXT(multilingual_mobile_app_reviews_2025[[#This Row],[Review_date]],"MMMM")</f>
        <v>August</v>
      </c>
      <c r="L2389" s="4" t="b">
        <v>1</v>
      </c>
      <c r="M2389" s="4" t="s">
        <v>98</v>
      </c>
      <c r="N2389" s="5">
        <v>641</v>
      </c>
      <c r="O2389" s="5">
        <v>53</v>
      </c>
      <c r="P2389" s="4" t="s">
        <v>70</v>
      </c>
      <c r="Q2389" s="8" t="s">
        <v>39</v>
      </c>
      <c r="R2389" s="4" t="s">
        <v>2779</v>
      </c>
      <c r="S2389" s="4"/>
      <c r="T2389"/>
      <c r="U2389" s="23"/>
    </row>
    <row r="2390" spans="1:21" ht="15.6" x14ac:dyDescent="0.3">
      <c r="A2390" s="4">
        <v>2389</v>
      </c>
      <c r="B2390" s="5">
        <v>9899907</v>
      </c>
      <c r="C2390" s="4" t="s">
        <v>106</v>
      </c>
      <c r="D2390" s="4" t="s">
        <v>47</v>
      </c>
      <c r="E2390" s="4" t="s">
        <v>2780</v>
      </c>
      <c r="F2390" s="4" t="s">
        <v>2954</v>
      </c>
      <c r="G2390" s="6">
        <v>2.7</v>
      </c>
      <c r="H2390" s="7">
        <v>45263.461354166669</v>
      </c>
      <c r="I2390" s="7" t="str">
        <f>TEXT(multilingual_mobile_app_reviews_2025[[#This Row],[Review_date]],"dd-mm-yyyy")</f>
        <v>03-12-2023</v>
      </c>
      <c r="J2390" s="7" t="str">
        <f>TEXT(multilingual_mobile_app_reviews_2025[[#This Row],[Review_date]],"YYYY")</f>
        <v>2023</v>
      </c>
      <c r="K2390" s="7" t="str">
        <f>TEXT(multilingual_mobile_app_reviews_2025[[#This Row],[Review_date]],"MMMM")</f>
        <v>December</v>
      </c>
      <c r="L2390" s="4" t="b">
        <v>1</v>
      </c>
      <c r="M2390" s="4" t="s">
        <v>33</v>
      </c>
      <c r="N2390" s="5">
        <v>636</v>
      </c>
      <c r="O2390" s="5">
        <v>70</v>
      </c>
      <c r="P2390" s="4" t="s">
        <v>180</v>
      </c>
      <c r="Q2390" s="8" t="s">
        <v>12</v>
      </c>
      <c r="R2390" s="4" t="s">
        <v>779</v>
      </c>
      <c r="S2390" s="4"/>
      <c r="T2390"/>
      <c r="U2390" s="23"/>
    </row>
    <row r="2391" spans="1:21" ht="15.6" x14ac:dyDescent="0.3">
      <c r="A2391" s="4">
        <v>2390</v>
      </c>
      <c r="B2391" s="5">
        <v>9683821</v>
      </c>
      <c r="C2391" s="4" t="s">
        <v>106</v>
      </c>
      <c r="D2391" s="4" t="s">
        <v>157</v>
      </c>
      <c r="E2391" s="4" t="s">
        <v>2781</v>
      </c>
      <c r="F2391" s="4" t="s">
        <v>2939</v>
      </c>
      <c r="G2391" s="6">
        <v>1.9</v>
      </c>
      <c r="H2391" s="7">
        <v>45273.673182870371</v>
      </c>
      <c r="I2391" s="7" t="str">
        <f>TEXT(multilingual_mobile_app_reviews_2025[[#This Row],[Review_date]],"dd-mm-yyyy")</f>
        <v>13-12-2023</v>
      </c>
      <c r="J2391" s="7" t="str">
        <f>TEXT(multilingual_mobile_app_reviews_2025[[#This Row],[Review_date]],"YYYY")</f>
        <v>2023</v>
      </c>
      <c r="K2391" s="7" t="str">
        <f>TEXT(multilingual_mobile_app_reviews_2025[[#This Row],[Review_date]],"MMMM")</f>
        <v>December</v>
      </c>
      <c r="L2391" s="4" t="b">
        <v>1</v>
      </c>
      <c r="M2391" s="4" t="s">
        <v>33</v>
      </c>
      <c r="N2391" s="5">
        <v>628</v>
      </c>
      <c r="O2391" s="5">
        <v>17</v>
      </c>
      <c r="P2391" s="4" t="s">
        <v>38</v>
      </c>
      <c r="Q2391" s="8" t="s">
        <v>29</v>
      </c>
      <c r="R2391" s="4" t="s">
        <v>2782</v>
      </c>
      <c r="S2391" s="4"/>
      <c r="T2391"/>
      <c r="U2391" s="23"/>
    </row>
    <row r="2392" spans="1:21" ht="15.6" x14ac:dyDescent="0.3">
      <c r="A2392" s="4">
        <v>2391</v>
      </c>
      <c r="B2392" s="5">
        <v>4788740</v>
      </c>
      <c r="C2392" s="4" t="s">
        <v>87</v>
      </c>
      <c r="D2392" s="4" t="s">
        <v>157</v>
      </c>
      <c r="E2392" s="4" t="s">
        <v>109</v>
      </c>
      <c r="F2392" s="4" t="s">
        <v>2953</v>
      </c>
      <c r="G2392" s="6">
        <v>4</v>
      </c>
      <c r="H2392" s="7">
        <v>45222.288148148145</v>
      </c>
      <c r="I2392" s="7" t="str">
        <f>TEXT(multilingual_mobile_app_reviews_2025[[#This Row],[Review_date]],"dd-mm-yyyy")</f>
        <v>23-10-2023</v>
      </c>
      <c r="J2392" s="7" t="str">
        <f>TEXT(multilingual_mobile_app_reviews_2025[[#This Row],[Review_date]],"YYYY")</f>
        <v>2023</v>
      </c>
      <c r="K2392" s="7" t="str">
        <f>TEXT(multilingual_mobile_app_reviews_2025[[#This Row],[Review_date]],"MMMM")</f>
        <v>October</v>
      </c>
      <c r="L2392" s="4" t="b">
        <v>1</v>
      </c>
      <c r="M2392" s="4" t="s">
        <v>33</v>
      </c>
      <c r="N2392" s="5">
        <v>574</v>
      </c>
      <c r="O2392" s="5">
        <v>60</v>
      </c>
      <c r="P2392" s="4" t="s">
        <v>90</v>
      </c>
      <c r="Q2392" s="8" t="s">
        <v>29</v>
      </c>
      <c r="R2392" s="4" t="s">
        <v>2783</v>
      </c>
      <c r="S2392" s="4"/>
      <c r="T2392"/>
      <c r="U2392" s="23"/>
    </row>
    <row r="2393" spans="1:21" ht="15.6" x14ac:dyDescent="0.3">
      <c r="A2393" s="4">
        <v>2392</v>
      </c>
      <c r="B2393" s="5">
        <v>4105908</v>
      </c>
      <c r="C2393" s="4" t="s">
        <v>192</v>
      </c>
      <c r="D2393" s="4" t="s">
        <v>47</v>
      </c>
      <c r="E2393" s="4" t="s">
        <v>9</v>
      </c>
      <c r="F2393" s="4" t="s">
        <v>2959</v>
      </c>
      <c r="G2393" s="6">
        <v>2.4</v>
      </c>
      <c r="H2393" s="7">
        <v>45660.184895833336</v>
      </c>
      <c r="I2393" s="7" t="str">
        <f>TEXT(multilingual_mobile_app_reviews_2025[[#This Row],[Review_date]],"dd-mm-yyyy")</f>
        <v>03-01-2025</v>
      </c>
      <c r="J2393" s="7" t="str">
        <f>TEXT(multilingual_mobile_app_reviews_2025[[#This Row],[Review_date]],"YYYY")</f>
        <v>2025</v>
      </c>
      <c r="K2393" s="7" t="str">
        <f>TEXT(multilingual_mobile_app_reviews_2025[[#This Row],[Review_date]],"MMMM")</f>
        <v>January</v>
      </c>
      <c r="L2393" s="4" t="b">
        <v>1</v>
      </c>
      <c r="M2393" s="4" t="s">
        <v>10</v>
      </c>
      <c r="N2393" s="5">
        <v>368</v>
      </c>
      <c r="O2393" s="5">
        <v>34</v>
      </c>
      <c r="P2393" s="4" t="s">
        <v>38</v>
      </c>
      <c r="Q2393" s="8" t="s">
        <v>29</v>
      </c>
      <c r="R2393" s="4" t="s">
        <v>2784</v>
      </c>
      <c r="S2393" s="4"/>
      <c r="T2393"/>
      <c r="U2393" s="23"/>
    </row>
    <row r="2394" spans="1:21" ht="15.6" x14ac:dyDescent="0.3">
      <c r="A2394" s="4">
        <v>2393</v>
      </c>
      <c r="B2394" s="5">
        <v>7401331</v>
      </c>
      <c r="C2394" s="4" t="s">
        <v>244</v>
      </c>
      <c r="D2394" s="4" t="s">
        <v>60</v>
      </c>
      <c r="E2394" s="4" t="s">
        <v>130</v>
      </c>
      <c r="F2394" s="4" t="s">
        <v>2954</v>
      </c>
      <c r="G2394" s="6">
        <v>4.4000000000000004</v>
      </c>
      <c r="H2394" s="7">
        <v>45589.096076388887</v>
      </c>
      <c r="I2394" s="7" t="str">
        <f>TEXT(multilingual_mobile_app_reviews_2025[[#This Row],[Review_date]],"dd-mm-yyyy")</f>
        <v>24-10-2024</v>
      </c>
      <c r="J2394" s="7" t="str">
        <f>TEXT(multilingual_mobile_app_reviews_2025[[#This Row],[Review_date]],"YYYY")</f>
        <v>2024</v>
      </c>
      <c r="K2394" s="7" t="str">
        <f>TEXT(multilingual_mobile_app_reviews_2025[[#This Row],[Review_date]],"MMMM")</f>
        <v>October</v>
      </c>
      <c r="L2394" s="4" t="b">
        <v>1</v>
      </c>
      <c r="M2394" s="4" t="s">
        <v>22</v>
      </c>
      <c r="N2394" s="5">
        <v>526</v>
      </c>
      <c r="O2394" s="5">
        <v>62</v>
      </c>
      <c r="P2394" s="4" t="s">
        <v>23</v>
      </c>
      <c r="Q2394" s="8" t="s">
        <v>29</v>
      </c>
      <c r="R2394" s="4" t="s">
        <v>2785</v>
      </c>
      <c r="S2394" s="4"/>
      <c r="T2394"/>
      <c r="U2394" s="23"/>
    </row>
    <row r="2395" spans="1:21" ht="15.6" x14ac:dyDescent="0.3">
      <c r="A2395" s="4">
        <v>2394</v>
      </c>
      <c r="B2395" s="5">
        <v>6587804</v>
      </c>
      <c r="C2395" s="4" t="s">
        <v>56</v>
      </c>
      <c r="D2395" s="4" t="s">
        <v>31</v>
      </c>
      <c r="E2395" s="4" t="s">
        <v>2786</v>
      </c>
      <c r="F2395" s="4" t="s">
        <v>2943</v>
      </c>
      <c r="G2395" s="6">
        <v>1.3</v>
      </c>
      <c r="H2395" s="7">
        <v>45610.002638888887</v>
      </c>
      <c r="I2395" s="7" t="str">
        <f>TEXT(multilingual_mobile_app_reviews_2025[[#This Row],[Review_date]],"dd-mm-yyyy")</f>
        <v>14-11-2024</v>
      </c>
      <c r="J2395" s="7" t="str">
        <f>TEXT(multilingual_mobile_app_reviews_2025[[#This Row],[Review_date]],"YYYY")</f>
        <v>2024</v>
      </c>
      <c r="K2395" s="7" t="str">
        <f>TEXT(multilingual_mobile_app_reviews_2025[[#This Row],[Review_date]],"MMMM")</f>
        <v>November</v>
      </c>
      <c r="L2395" s="4" t="b">
        <v>1</v>
      </c>
      <c r="M2395" s="4" t="s">
        <v>98</v>
      </c>
      <c r="N2395" s="5">
        <v>822</v>
      </c>
      <c r="O2395" s="5">
        <v>52</v>
      </c>
      <c r="P2395" s="4" t="s">
        <v>118</v>
      </c>
      <c r="Q2395" s="8" t="s">
        <v>29</v>
      </c>
      <c r="R2395" s="4" t="s">
        <v>2787</v>
      </c>
      <c r="S2395" s="4"/>
      <c r="T2395"/>
      <c r="U2395" s="23"/>
    </row>
    <row r="2396" spans="1:21" ht="15.6" x14ac:dyDescent="0.3">
      <c r="A2396" s="4">
        <v>2395</v>
      </c>
      <c r="B2396" s="5">
        <v>6357248</v>
      </c>
      <c r="C2396" s="4" t="s">
        <v>113</v>
      </c>
      <c r="D2396" s="4" t="s">
        <v>57</v>
      </c>
      <c r="E2396" s="4" t="s">
        <v>64</v>
      </c>
      <c r="F2396" s="4" t="s">
        <v>2944</v>
      </c>
      <c r="G2396" s="6">
        <v>2.5</v>
      </c>
      <c r="H2396" s="7">
        <v>45251.126956018517</v>
      </c>
      <c r="I2396" s="7" t="str">
        <f>TEXT(multilingual_mobile_app_reviews_2025[[#This Row],[Review_date]],"dd-mm-yyyy")</f>
        <v>21-11-2023</v>
      </c>
      <c r="J2396" s="7" t="str">
        <f>TEXT(multilingual_mobile_app_reviews_2025[[#This Row],[Review_date]],"YYYY")</f>
        <v>2023</v>
      </c>
      <c r="K2396" s="7" t="str">
        <f>TEXT(multilingual_mobile_app_reviews_2025[[#This Row],[Review_date]],"MMMM")</f>
        <v>November</v>
      </c>
      <c r="L2396" s="4" t="b">
        <v>0</v>
      </c>
      <c r="M2396" s="4" t="s">
        <v>22</v>
      </c>
      <c r="N2396" s="5">
        <v>1220</v>
      </c>
      <c r="O2396" s="5">
        <v>63</v>
      </c>
      <c r="P2396" s="4" t="s">
        <v>230</v>
      </c>
      <c r="Q2396" s="8" t="s">
        <v>39</v>
      </c>
      <c r="R2396" s="4" t="s">
        <v>717</v>
      </c>
      <c r="S2396" s="4"/>
      <c r="T2396"/>
      <c r="U2396" s="23"/>
    </row>
    <row r="2397" spans="1:21" ht="15.6" x14ac:dyDescent="0.3">
      <c r="A2397" s="4">
        <v>2396</v>
      </c>
      <c r="B2397" s="5">
        <v>1397834</v>
      </c>
      <c r="C2397" s="4" t="s">
        <v>132</v>
      </c>
      <c r="D2397" s="4" t="s">
        <v>63</v>
      </c>
      <c r="E2397" s="4" t="s">
        <v>109</v>
      </c>
      <c r="F2397" s="4" t="s">
        <v>2947</v>
      </c>
      <c r="G2397" s="6">
        <v>3.2</v>
      </c>
      <c r="H2397" s="7">
        <v>45605.652685185189</v>
      </c>
      <c r="I2397" s="7" t="str">
        <f>TEXT(multilingual_mobile_app_reviews_2025[[#This Row],[Review_date]],"dd-mm-yyyy")</f>
        <v>09-11-2024</v>
      </c>
      <c r="J2397" s="7" t="str">
        <f>TEXT(multilingual_mobile_app_reviews_2025[[#This Row],[Review_date]],"YYYY")</f>
        <v>2024</v>
      </c>
      <c r="K2397" s="7" t="str">
        <f>TEXT(multilingual_mobile_app_reviews_2025[[#This Row],[Review_date]],"MMMM")</f>
        <v>November</v>
      </c>
      <c r="L2397" s="4" t="b">
        <v>0</v>
      </c>
      <c r="M2397" s="4" t="s">
        <v>22</v>
      </c>
      <c r="N2397" s="5">
        <v>30</v>
      </c>
      <c r="O2397" s="5">
        <v>69</v>
      </c>
      <c r="P2397" s="4" t="s">
        <v>73</v>
      </c>
      <c r="Q2397" s="8" t="s">
        <v>5</v>
      </c>
      <c r="R2397" s="4" t="s">
        <v>2788</v>
      </c>
      <c r="S2397" s="4"/>
      <c r="T2397"/>
      <c r="U2397" s="23"/>
    </row>
    <row r="2398" spans="1:21" ht="15.6" x14ac:dyDescent="0.3">
      <c r="A2398" s="4">
        <v>2397</v>
      </c>
      <c r="B2398" s="5">
        <v>6436155</v>
      </c>
      <c r="C2398" s="4" t="s">
        <v>0</v>
      </c>
      <c r="D2398" s="4" t="s">
        <v>220</v>
      </c>
      <c r="E2398" s="4" t="s">
        <v>9</v>
      </c>
      <c r="F2398" s="4" t="s">
        <v>2957</v>
      </c>
      <c r="G2398" s="6">
        <v>2.5</v>
      </c>
      <c r="H2398" s="7">
        <v>45269.664166666669</v>
      </c>
      <c r="I2398" s="7" t="str">
        <f>TEXT(multilingual_mobile_app_reviews_2025[[#This Row],[Review_date]],"dd-mm-yyyy")</f>
        <v>09-12-2023</v>
      </c>
      <c r="J2398" s="7" t="str">
        <f>TEXT(multilingual_mobile_app_reviews_2025[[#This Row],[Review_date]],"YYYY")</f>
        <v>2023</v>
      </c>
      <c r="K2398" s="7" t="str">
        <f>TEXT(multilingual_mobile_app_reviews_2025[[#This Row],[Review_date]],"MMMM")</f>
        <v>December</v>
      </c>
      <c r="L2398" s="4" t="b">
        <v>1</v>
      </c>
      <c r="M2398" s="4" t="s">
        <v>10</v>
      </c>
      <c r="N2398" s="5">
        <v>709</v>
      </c>
      <c r="O2398" s="5">
        <v>73</v>
      </c>
      <c r="P2398" s="4" t="s">
        <v>44</v>
      </c>
      <c r="Q2398" s="8" t="s">
        <v>29</v>
      </c>
      <c r="R2398" s="4" t="s">
        <v>1333</v>
      </c>
      <c r="S2398" s="4"/>
      <c r="T2398"/>
      <c r="U2398" s="23"/>
    </row>
    <row r="2399" spans="1:21" ht="15.6" x14ac:dyDescent="0.3">
      <c r="A2399" s="4">
        <v>2398</v>
      </c>
      <c r="B2399" s="5">
        <v>3575080</v>
      </c>
      <c r="C2399" s="4" t="s">
        <v>84</v>
      </c>
      <c r="D2399" s="4" t="s">
        <v>57</v>
      </c>
      <c r="E2399" s="4" t="s">
        <v>21</v>
      </c>
      <c r="F2399" s="4" t="s">
        <v>2959</v>
      </c>
      <c r="G2399" s="6">
        <v>1.3</v>
      </c>
      <c r="H2399" s="7">
        <v>45308.148229166669</v>
      </c>
      <c r="I2399" s="7" t="str">
        <f>TEXT(multilingual_mobile_app_reviews_2025[[#This Row],[Review_date]],"dd-mm-yyyy")</f>
        <v>17-01-2024</v>
      </c>
      <c r="J2399" s="7" t="str">
        <f>TEXT(multilingual_mobile_app_reviews_2025[[#This Row],[Review_date]],"YYYY")</f>
        <v>2024</v>
      </c>
      <c r="K2399" s="7" t="str">
        <f>TEXT(multilingual_mobile_app_reviews_2025[[#This Row],[Review_date]],"MMMM")</f>
        <v>January</v>
      </c>
      <c r="L2399" s="4" t="b">
        <v>1</v>
      </c>
      <c r="M2399" s="4" t="s">
        <v>33</v>
      </c>
      <c r="N2399" s="5">
        <v>719</v>
      </c>
      <c r="O2399" s="5">
        <v>18</v>
      </c>
      <c r="P2399" s="4" t="s">
        <v>34</v>
      </c>
      <c r="Q2399" s="8" t="s">
        <v>2963</v>
      </c>
      <c r="R2399" s="4" t="s">
        <v>186</v>
      </c>
      <c r="S2399" s="4"/>
      <c r="T2399"/>
      <c r="U2399" s="23"/>
    </row>
    <row r="2400" spans="1:21" ht="15.6" x14ac:dyDescent="0.3">
      <c r="A2400" s="4">
        <v>2399</v>
      </c>
      <c r="B2400" s="5">
        <v>6026811</v>
      </c>
      <c r="C2400" s="4" t="s">
        <v>41</v>
      </c>
      <c r="D2400" s="4" t="s">
        <v>42</v>
      </c>
      <c r="E2400" s="4" t="s">
        <v>2789</v>
      </c>
      <c r="F2400" s="4" t="s">
        <v>2953</v>
      </c>
      <c r="G2400" s="6">
        <v>3.4</v>
      </c>
      <c r="H2400" s="7">
        <v>45340.716793981483</v>
      </c>
      <c r="I2400" s="7" t="str">
        <f>TEXT(multilingual_mobile_app_reviews_2025[[#This Row],[Review_date]],"dd-mm-yyyy")</f>
        <v>18-02-2024</v>
      </c>
      <c r="J2400" s="7" t="str">
        <f>TEXT(multilingual_mobile_app_reviews_2025[[#This Row],[Review_date]],"YYYY")</f>
        <v>2024</v>
      </c>
      <c r="K2400" s="7" t="str">
        <f>TEXT(multilingual_mobile_app_reviews_2025[[#This Row],[Review_date]],"MMMM")</f>
        <v>February</v>
      </c>
      <c r="L2400" s="4" t="b">
        <v>1</v>
      </c>
      <c r="M2400" s="4" t="s">
        <v>33</v>
      </c>
      <c r="N2400" s="5">
        <v>406</v>
      </c>
      <c r="O2400" s="5">
        <v>13</v>
      </c>
      <c r="P2400" s="4" t="s">
        <v>94</v>
      </c>
      <c r="Q2400" s="8" t="s">
        <v>12</v>
      </c>
      <c r="R2400" s="4" t="s">
        <v>100</v>
      </c>
      <c r="S2400" s="4"/>
      <c r="T2400"/>
      <c r="U2400" s="23"/>
    </row>
    <row r="2401" spans="1:21" ht="15.6" x14ac:dyDescent="0.3">
      <c r="A2401" s="4">
        <v>2400</v>
      </c>
      <c r="B2401" s="5">
        <v>2752447</v>
      </c>
      <c r="C2401" s="4" t="s">
        <v>41</v>
      </c>
      <c r="D2401" s="4" t="s">
        <v>71</v>
      </c>
      <c r="E2401" s="4" t="s">
        <v>2790</v>
      </c>
      <c r="F2401" s="4" t="s">
        <v>2954</v>
      </c>
      <c r="G2401" s="6">
        <v>3.7</v>
      </c>
      <c r="H2401" s="7">
        <v>45862.791909722226</v>
      </c>
      <c r="I2401" s="7" t="str">
        <f>TEXT(multilingual_mobile_app_reviews_2025[[#This Row],[Review_date]],"dd-mm-yyyy")</f>
        <v>24-07-2025</v>
      </c>
      <c r="J2401" s="7" t="str">
        <f>TEXT(multilingual_mobile_app_reviews_2025[[#This Row],[Review_date]],"YYYY")</f>
        <v>2025</v>
      </c>
      <c r="K2401" s="7" t="str">
        <f>TEXT(multilingual_mobile_app_reviews_2025[[#This Row],[Review_date]],"MMMM")</f>
        <v>July</v>
      </c>
      <c r="L2401" s="4" t="b">
        <v>1</v>
      </c>
      <c r="M2401" s="4" t="s">
        <v>3</v>
      </c>
      <c r="N2401" s="5">
        <v>957</v>
      </c>
      <c r="O2401" s="5">
        <v>13</v>
      </c>
      <c r="P2401" s="4" t="s">
        <v>127</v>
      </c>
      <c r="Q2401" s="8" t="s">
        <v>5</v>
      </c>
      <c r="R2401" s="4" t="s">
        <v>2791</v>
      </c>
      <c r="S2401" s="4"/>
      <c r="T2401"/>
      <c r="U2401" s="23"/>
    </row>
    <row r="2402" spans="1:21" ht="15.6" x14ac:dyDescent="0.3">
      <c r="A2402" s="4">
        <v>2401</v>
      </c>
      <c r="B2402" s="5">
        <v>7701770</v>
      </c>
      <c r="C2402" s="4" t="s">
        <v>104</v>
      </c>
      <c r="D2402" s="4" t="s">
        <v>26</v>
      </c>
      <c r="E2402" s="4" t="s">
        <v>9</v>
      </c>
      <c r="F2402" s="4" t="s">
        <v>2957</v>
      </c>
      <c r="G2402" s="6">
        <v>4.5999999999999996</v>
      </c>
      <c r="H2402" s="7">
        <v>45254.632777777777</v>
      </c>
      <c r="I2402" s="7" t="str">
        <f>TEXT(multilingual_mobile_app_reviews_2025[[#This Row],[Review_date]],"dd-mm-yyyy")</f>
        <v>24-11-2023</v>
      </c>
      <c r="J2402" s="7" t="str">
        <f>TEXT(multilingual_mobile_app_reviews_2025[[#This Row],[Review_date]],"YYYY")</f>
        <v>2023</v>
      </c>
      <c r="K2402" s="7" t="str">
        <f>TEXT(multilingual_mobile_app_reviews_2025[[#This Row],[Review_date]],"MMMM")</f>
        <v>November</v>
      </c>
      <c r="L2402" s="4" t="b">
        <v>1</v>
      </c>
      <c r="M2402" s="4" t="s">
        <v>98</v>
      </c>
      <c r="N2402" s="5">
        <v>516</v>
      </c>
      <c r="O2402" s="5">
        <v>38</v>
      </c>
      <c r="P2402" s="4" t="s">
        <v>28</v>
      </c>
      <c r="Q2402" s="8" t="s">
        <v>2963</v>
      </c>
      <c r="R2402" s="4" t="s">
        <v>962</v>
      </c>
      <c r="S2402" s="4"/>
      <c r="T2402"/>
      <c r="U2402" s="23"/>
    </row>
    <row r="2403" spans="1:21" ht="15.6" x14ac:dyDescent="0.3">
      <c r="A2403" s="4">
        <v>2402</v>
      </c>
      <c r="B2403" s="5">
        <v>2476224</v>
      </c>
      <c r="C2403" s="4" t="s">
        <v>87</v>
      </c>
      <c r="D2403" s="4" t="s">
        <v>51</v>
      </c>
      <c r="E2403" s="4" t="s">
        <v>76</v>
      </c>
      <c r="F2403" s="4" t="s">
        <v>2962</v>
      </c>
      <c r="G2403" s="6">
        <v>3.5</v>
      </c>
      <c r="H2403" s="7">
        <v>45805.695127314815</v>
      </c>
      <c r="I2403" s="7" t="str">
        <f>TEXT(multilingual_mobile_app_reviews_2025[[#This Row],[Review_date]],"dd-mm-yyyy")</f>
        <v>28-05-2025</v>
      </c>
      <c r="J2403" s="7" t="str">
        <f>TEXT(multilingual_mobile_app_reviews_2025[[#This Row],[Review_date]],"YYYY")</f>
        <v>2025</v>
      </c>
      <c r="K2403" s="7" t="str">
        <f>TEXT(multilingual_mobile_app_reviews_2025[[#This Row],[Review_date]],"MMMM")</f>
        <v>May</v>
      </c>
      <c r="L2403" s="4" t="b">
        <v>1</v>
      </c>
      <c r="M2403" s="4" t="s">
        <v>10</v>
      </c>
      <c r="N2403" s="5">
        <v>550</v>
      </c>
      <c r="O2403" s="5">
        <v>13</v>
      </c>
      <c r="P2403" s="4" t="s">
        <v>94</v>
      </c>
      <c r="Q2403" s="8" t="s">
        <v>29</v>
      </c>
      <c r="R2403" s="4" t="s">
        <v>2792</v>
      </c>
      <c r="S2403" s="4"/>
      <c r="T2403"/>
      <c r="U2403" s="23"/>
    </row>
    <row r="2404" spans="1:21" ht="15.6" x14ac:dyDescent="0.3">
      <c r="A2404" s="4">
        <v>2403</v>
      </c>
      <c r="B2404" s="5">
        <v>4772680</v>
      </c>
      <c r="C2404" s="4" t="s">
        <v>244</v>
      </c>
      <c r="D2404" s="4" t="s">
        <v>1</v>
      </c>
      <c r="E2404" s="4" t="s">
        <v>76</v>
      </c>
      <c r="F2404" s="4" t="s">
        <v>2955</v>
      </c>
      <c r="G2404" s="6">
        <v>3.7</v>
      </c>
      <c r="H2404" s="7">
        <v>45815.410740740743</v>
      </c>
      <c r="I2404" s="7" t="str">
        <f>TEXT(multilingual_mobile_app_reviews_2025[[#This Row],[Review_date]],"dd-mm-yyyy")</f>
        <v>07-06-2025</v>
      </c>
      <c r="J2404" s="7" t="str">
        <f>TEXT(multilingual_mobile_app_reviews_2025[[#This Row],[Review_date]],"YYYY")</f>
        <v>2025</v>
      </c>
      <c r="K2404" s="7" t="str">
        <f>TEXT(multilingual_mobile_app_reviews_2025[[#This Row],[Review_date]],"MMMM")</f>
        <v>June</v>
      </c>
      <c r="L2404" s="4" t="b">
        <v>1</v>
      </c>
      <c r="M2404" s="4" t="s">
        <v>98</v>
      </c>
      <c r="N2404" s="5">
        <v>808</v>
      </c>
      <c r="O2404" s="5">
        <v>52</v>
      </c>
      <c r="P2404" s="4" t="s">
        <v>38</v>
      </c>
      <c r="Q2404" s="8" t="s">
        <v>39</v>
      </c>
      <c r="R2404" s="4" t="s">
        <v>2793</v>
      </c>
      <c r="S2404" s="4"/>
      <c r="T2404"/>
      <c r="U2404" s="23"/>
    </row>
    <row r="2405" spans="1:21" ht="15.6" x14ac:dyDescent="0.3">
      <c r="A2405" s="4">
        <v>2404</v>
      </c>
      <c r="B2405" s="5">
        <v>3943470</v>
      </c>
      <c r="C2405" s="4" t="s">
        <v>7</v>
      </c>
      <c r="D2405" s="4" t="s">
        <v>157</v>
      </c>
      <c r="E2405" s="4" t="s">
        <v>27</v>
      </c>
      <c r="F2405" s="4" t="s">
        <v>2943</v>
      </c>
      <c r="G2405" s="6">
        <v>1.7</v>
      </c>
      <c r="H2405" s="7">
        <v>45456.918657407405</v>
      </c>
      <c r="I2405" s="7" t="str">
        <f>TEXT(multilingual_mobile_app_reviews_2025[[#This Row],[Review_date]],"dd-mm-yyyy")</f>
        <v>13-06-2024</v>
      </c>
      <c r="J2405" s="7" t="str">
        <f>TEXT(multilingual_mobile_app_reviews_2025[[#This Row],[Review_date]],"YYYY")</f>
        <v>2024</v>
      </c>
      <c r="K2405" s="7" t="str">
        <f>TEXT(multilingual_mobile_app_reviews_2025[[#This Row],[Review_date]],"MMMM")</f>
        <v>June</v>
      </c>
      <c r="L2405" s="4" t="b">
        <v>1</v>
      </c>
      <c r="M2405" s="4" t="s">
        <v>10</v>
      </c>
      <c r="N2405" s="5">
        <v>860</v>
      </c>
      <c r="O2405" s="5">
        <v>36</v>
      </c>
      <c r="P2405" s="4" t="s">
        <v>180</v>
      </c>
      <c r="Q2405" s="8" t="s">
        <v>12</v>
      </c>
      <c r="R2405" s="4" t="s">
        <v>2794</v>
      </c>
      <c r="S2405" s="4"/>
      <c r="T2405"/>
      <c r="U2405" s="23"/>
    </row>
    <row r="2406" spans="1:21" ht="15.6" x14ac:dyDescent="0.3">
      <c r="A2406" s="4">
        <v>2405</v>
      </c>
      <c r="B2406" s="5">
        <v>2895567</v>
      </c>
      <c r="C2406" s="4" t="s">
        <v>244</v>
      </c>
      <c r="D2406" s="4" t="s">
        <v>42</v>
      </c>
      <c r="E2406" s="4" t="s">
        <v>9</v>
      </c>
      <c r="F2406" s="4" t="s">
        <v>2952</v>
      </c>
      <c r="G2406" s="6">
        <v>5</v>
      </c>
      <c r="H2406" s="7">
        <v>45543.168761574074</v>
      </c>
      <c r="I2406" s="7" t="str">
        <f>TEXT(multilingual_mobile_app_reviews_2025[[#This Row],[Review_date]],"dd-mm-yyyy")</f>
        <v>08-09-2024</v>
      </c>
      <c r="J2406" s="7" t="str">
        <f>TEXT(multilingual_mobile_app_reviews_2025[[#This Row],[Review_date]],"YYYY")</f>
        <v>2024</v>
      </c>
      <c r="K2406" s="7" t="str">
        <f>TEXT(multilingual_mobile_app_reviews_2025[[#This Row],[Review_date]],"MMMM")</f>
        <v>September</v>
      </c>
      <c r="L2406" s="4" t="b">
        <v>1</v>
      </c>
      <c r="M2406" s="4" t="s">
        <v>98</v>
      </c>
      <c r="N2406" s="5">
        <v>121</v>
      </c>
      <c r="O2406" s="5">
        <v>66</v>
      </c>
      <c r="P2406" s="4" t="s">
        <v>99</v>
      </c>
      <c r="Q2406" s="8" t="s">
        <v>39</v>
      </c>
      <c r="R2406" s="4" t="s">
        <v>502</v>
      </c>
      <c r="S2406" s="4"/>
      <c r="T2406"/>
      <c r="U2406" s="23"/>
    </row>
    <row r="2407" spans="1:21" ht="15.6" x14ac:dyDescent="0.3">
      <c r="A2407" s="4">
        <v>2406</v>
      </c>
      <c r="B2407" s="5">
        <v>3989220</v>
      </c>
      <c r="C2407" s="4" t="s">
        <v>78</v>
      </c>
      <c r="D2407" s="4" t="s">
        <v>51</v>
      </c>
      <c r="E2407" s="4" t="s">
        <v>2795</v>
      </c>
      <c r="F2407" s="4" t="s">
        <v>2960</v>
      </c>
      <c r="G2407" s="6">
        <v>3</v>
      </c>
      <c r="H2407" s="7">
        <v>45812.147210648145</v>
      </c>
      <c r="I2407" s="7" t="str">
        <f>TEXT(multilingual_mobile_app_reviews_2025[[#This Row],[Review_date]],"dd-mm-yyyy")</f>
        <v>04-06-2025</v>
      </c>
      <c r="J2407" s="7" t="str">
        <f>TEXT(multilingual_mobile_app_reviews_2025[[#This Row],[Review_date]],"YYYY")</f>
        <v>2025</v>
      </c>
      <c r="K2407" s="7" t="str">
        <f>TEXT(multilingual_mobile_app_reviews_2025[[#This Row],[Review_date]],"MMMM")</f>
        <v>June</v>
      </c>
      <c r="L2407" s="4" t="b">
        <v>0</v>
      </c>
      <c r="M2407" s="4" t="s">
        <v>22</v>
      </c>
      <c r="N2407" s="5">
        <v>267</v>
      </c>
      <c r="O2407" s="5">
        <v>67</v>
      </c>
      <c r="P2407" s="4" t="s">
        <v>114</v>
      </c>
      <c r="Q2407" s="8" t="s">
        <v>29</v>
      </c>
      <c r="R2407" s="4" t="s">
        <v>2796</v>
      </c>
      <c r="S2407" s="4"/>
      <c r="T2407"/>
      <c r="U2407" s="23"/>
    </row>
    <row r="2408" spans="1:21" ht="15.6" x14ac:dyDescent="0.3">
      <c r="A2408" s="4">
        <v>2407</v>
      </c>
      <c r="B2408" s="5">
        <v>3051849</v>
      </c>
      <c r="C2408" s="4" t="s">
        <v>159</v>
      </c>
      <c r="D2408" s="4" t="s">
        <v>63</v>
      </c>
      <c r="E2408" s="4" t="s">
        <v>2797</v>
      </c>
      <c r="F2408" s="4" t="s">
        <v>2955</v>
      </c>
      <c r="G2408" s="6">
        <v>1.7</v>
      </c>
      <c r="H2408" s="7">
        <v>45145.671875</v>
      </c>
      <c r="I2408" s="7" t="str">
        <f>TEXT(multilingual_mobile_app_reviews_2025[[#This Row],[Review_date]],"dd-mm-yyyy")</f>
        <v>07-08-2023</v>
      </c>
      <c r="J2408" s="7" t="str">
        <f>TEXT(multilingual_mobile_app_reviews_2025[[#This Row],[Review_date]],"YYYY")</f>
        <v>2023</v>
      </c>
      <c r="K2408" s="7" t="str">
        <f>TEXT(multilingual_mobile_app_reviews_2025[[#This Row],[Review_date]],"MMMM")</f>
        <v>August</v>
      </c>
      <c r="L2408" s="4" t="b">
        <v>1</v>
      </c>
      <c r="M2408" s="4" t="s">
        <v>10</v>
      </c>
      <c r="N2408" s="5">
        <v>250</v>
      </c>
      <c r="O2408" s="5">
        <v>47</v>
      </c>
      <c r="P2408" s="4" t="s">
        <v>80</v>
      </c>
      <c r="Q2408" s="8" t="s">
        <v>12</v>
      </c>
      <c r="R2408" s="4" t="s">
        <v>2798</v>
      </c>
      <c r="S2408" s="4"/>
      <c r="T2408"/>
      <c r="U2408" s="23"/>
    </row>
    <row r="2409" spans="1:21" ht="15.6" x14ac:dyDescent="0.3">
      <c r="A2409" s="4">
        <v>2408</v>
      </c>
      <c r="B2409" s="5">
        <v>2982234</v>
      </c>
      <c r="C2409" s="4" t="s">
        <v>147</v>
      </c>
      <c r="D2409" s="4" t="s">
        <v>51</v>
      </c>
      <c r="E2409" s="4" t="s">
        <v>9</v>
      </c>
      <c r="F2409" s="4" t="s">
        <v>2960</v>
      </c>
      <c r="G2409" s="6">
        <v>2.1</v>
      </c>
      <c r="H2409" s="7">
        <v>45734.119629629633</v>
      </c>
      <c r="I2409" s="7" t="str">
        <f>TEXT(multilingual_mobile_app_reviews_2025[[#This Row],[Review_date]],"dd-mm-yyyy")</f>
        <v>18-03-2025</v>
      </c>
      <c r="J2409" s="7" t="str">
        <f>TEXT(multilingual_mobile_app_reviews_2025[[#This Row],[Review_date]],"YYYY")</f>
        <v>2025</v>
      </c>
      <c r="K2409" s="7" t="str">
        <f>TEXT(multilingual_mobile_app_reviews_2025[[#This Row],[Review_date]],"MMMM")</f>
        <v>March</v>
      </c>
      <c r="L2409" s="4" t="b">
        <v>1</v>
      </c>
      <c r="M2409" s="4" t="s">
        <v>3</v>
      </c>
      <c r="N2409" s="5">
        <v>677</v>
      </c>
      <c r="O2409" s="5">
        <v>47</v>
      </c>
      <c r="P2409" s="4" t="s">
        <v>38</v>
      </c>
      <c r="Q2409" s="8" t="s">
        <v>39</v>
      </c>
      <c r="R2409" s="4" t="s">
        <v>2799</v>
      </c>
      <c r="S2409" s="4"/>
      <c r="T2409"/>
      <c r="U2409" s="23"/>
    </row>
    <row r="2410" spans="1:21" ht="15.6" x14ac:dyDescent="0.3">
      <c r="A2410" s="4">
        <v>2409</v>
      </c>
      <c r="B2410" s="5">
        <v>8710837</v>
      </c>
      <c r="C2410" s="4" t="s">
        <v>154</v>
      </c>
      <c r="D2410" s="4" t="s">
        <v>15</v>
      </c>
      <c r="E2410" s="4" t="s">
        <v>2800</v>
      </c>
      <c r="F2410" s="4" t="s">
        <v>2955</v>
      </c>
      <c r="G2410" s="6">
        <v>4.9000000000000004</v>
      </c>
      <c r="H2410" s="7">
        <v>45786.882638888892</v>
      </c>
      <c r="I2410" s="7" t="str">
        <f>TEXT(multilingual_mobile_app_reviews_2025[[#This Row],[Review_date]],"dd-mm-yyyy")</f>
        <v>09-05-2025</v>
      </c>
      <c r="J2410" s="7" t="str">
        <f>TEXT(multilingual_mobile_app_reviews_2025[[#This Row],[Review_date]],"YYYY")</f>
        <v>2025</v>
      </c>
      <c r="K2410" s="7" t="str">
        <f>TEXT(multilingual_mobile_app_reviews_2025[[#This Row],[Review_date]],"MMMM")</f>
        <v>May</v>
      </c>
      <c r="L2410" s="4" t="b">
        <v>1</v>
      </c>
      <c r="M2410" s="4" t="s">
        <v>98</v>
      </c>
      <c r="N2410" s="5">
        <v>1194</v>
      </c>
      <c r="O2410" s="5">
        <v>61</v>
      </c>
      <c r="P2410" s="4" t="s">
        <v>144</v>
      </c>
      <c r="Q2410" s="8" t="s">
        <v>2963</v>
      </c>
      <c r="R2410" s="4" t="s">
        <v>2801</v>
      </c>
      <c r="S2410" s="4"/>
      <c r="T2410"/>
      <c r="U2410" s="23"/>
    </row>
    <row r="2411" spans="1:21" ht="15.6" x14ac:dyDescent="0.3">
      <c r="A2411" s="4">
        <v>2410</v>
      </c>
      <c r="B2411" s="5">
        <v>9727848</v>
      </c>
      <c r="C2411" s="4" t="s">
        <v>56</v>
      </c>
      <c r="D2411" s="4" t="s">
        <v>15</v>
      </c>
      <c r="E2411" s="4" t="s">
        <v>9</v>
      </c>
      <c r="F2411" s="4" t="s">
        <v>2959</v>
      </c>
      <c r="G2411" s="6">
        <v>1.8</v>
      </c>
      <c r="H2411" s="7">
        <v>45747.17465277778</v>
      </c>
      <c r="I2411" s="7" t="str">
        <f>TEXT(multilingual_mobile_app_reviews_2025[[#This Row],[Review_date]],"dd-mm-yyyy")</f>
        <v>31-03-2025</v>
      </c>
      <c r="J2411" s="7" t="str">
        <f>TEXT(multilingual_mobile_app_reviews_2025[[#This Row],[Review_date]],"YYYY")</f>
        <v>2025</v>
      </c>
      <c r="K2411" s="7" t="str">
        <f>TEXT(multilingual_mobile_app_reviews_2025[[#This Row],[Review_date]],"MMMM")</f>
        <v>March</v>
      </c>
      <c r="L2411" s="4" t="b">
        <v>1</v>
      </c>
      <c r="M2411" s="4" t="s">
        <v>22</v>
      </c>
      <c r="N2411" s="5">
        <v>50</v>
      </c>
      <c r="O2411" s="5">
        <v>29</v>
      </c>
      <c r="P2411" s="4" t="s">
        <v>144</v>
      </c>
      <c r="Q2411" s="8" t="s">
        <v>2963</v>
      </c>
      <c r="R2411" s="4" t="s">
        <v>2802</v>
      </c>
      <c r="S2411" s="4"/>
      <c r="T2411"/>
      <c r="U2411" s="23"/>
    </row>
    <row r="2412" spans="1:21" ht="15.6" x14ac:dyDescent="0.3">
      <c r="A2412" s="4">
        <v>2411</v>
      </c>
      <c r="B2412" s="5">
        <v>7857872</v>
      </c>
      <c r="C2412" s="4" t="s">
        <v>69</v>
      </c>
      <c r="D2412" s="4" t="s">
        <v>79</v>
      </c>
      <c r="E2412" s="4" t="s">
        <v>2803</v>
      </c>
      <c r="F2412" s="4" t="s">
        <v>2945</v>
      </c>
      <c r="G2412" s="6">
        <v>4.2</v>
      </c>
      <c r="H2412" s="7">
        <v>45641.692407407405</v>
      </c>
      <c r="I2412" s="7" t="str">
        <f>TEXT(multilingual_mobile_app_reviews_2025[[#This Row],[Review_date]],"dd-mm-yyyy")</f>
        <v>15-12-2024</v>
      </c>
      <c r="J2412" s="7" t="str">
        <f>TEXT(multilingual_mobile_app_reviews_2025[[#This Row],[Review_date]],"YYYY")</f>
        <v>2024</v>
      </c>
      <c r="K2412" s="7" t="str">
        <f>TEXT(multilingual_mobile_app_reviews_2025[[#This Row],[Review_date]],"MMMM")</f>
        <v>December</v>
      </c>
      <c r="L2412" s="4" t="b">
        <v>1</v>
      </c>
      <c r="M2412" s="4" t="s">
        <v>98</v>
      </c>
      <c r="N2412" s="5">
        <v>869</v>
      </c>
      <c r="O2412" s="5">
        <v>26</v>
      </c>
      <c r="P2412" s="4" t="s">
        <v>85</v>
      </c>
      <c r="Q2412" s="8" t="s">
        <v>5</v>
      </c>
      <c r="R2412" s="4" t="s">
        <v>2102</v>
      </c>
      <c r="S2412" s="4"/>
      <c r="T2412"/>
      <c r="U2412" s="23"/>
    </row>
    <row r="2413" spans="1:21" ht="15.6" x14ac:dyDescent="0.3">
      <c r="A2413" s="4">
        <v>2412</v>
      </c>
      <c r="B2413" s="5">
        <v>6038052</v>
      </c>
      <c r="C2413" s="4" t="s">
        <v>89</v>
      </c>
      <c r="D2413" s="4" t="s">
        <v>63</v>
      </c>
      <c r="E2413" s="4" t="s">
        <v>76</v>
      </c>
      <c r="F2413" s="4" t="s">
        <v>2960</v>
      </c>
      <c r="G2413" s="6">
        <v>4.8</v>
      </c>
      <c r="H2413" s="7">
        <v>45749.681342592594</v>
      </c>
      <c r="I2413" s="7" t="str">
        <f>TEXT(multilingual_mobile_app_reviews_2025[[#This Row],[Review_date]],"dd-mm-yyyy")</f>
        <v>02-04-2025</v>
      </c>
      <c r="J2413" s="7" t="str">
        <f>TEXT(multilingual_mobile_app_reviews_2025[[#This Row],[Review_date]],"YYYY")</f>
        <v>2025</v>
      </c>
      <c r="K2413" s="7" t="str">
        <f>TEXT(multilingual_mobile_app_reviews_2025[[#This Row],[Review_date]],"MMMM")</f>
        <v>April</v>
      </c>
      <c r="L2413" s="4" t="b">
        <v>1</v>
      </c>
      <c r="M2413" s="4" t="s">
        <v>22</v>
      </c>
      <c r="N2413" s="5">
        <v>59</v>
      </c>
      <c r="O2413" s="5">
        <v>47</v>
      </c>
      <c r="P2413" s="4" t="s">
        <v>23</v>
      </c>
      <c r="Q2413" s="8" t="s">
        <v>39</v>
      </c>
      <c r="R2413" s="4" t="s">
        <v>2804</v>
      </c>
      <c r="S2413" s="4"/>
      <c r="T2413"/>
      <c r="U2413" s="23"/>
    </row>
    <row r="2414" spans="1:21" ht="15.6" x14ac:dyDescent="0.3">
      <c r="A2414" s="4">
        <v>2413</v>
      </c>
      <c r="B2414" s="5">
        <v>9788370</v>
      </c>
      <c r="C2414" s="4" t="s">
        <v>192</v>
      </c>
      <c r="D2414" s="4" t="s">
        <v>157</v>
      </c>
      <c r="E2414" s="4" t="s">
        <v>21</v>
      </c>
      <c r="F2414" s="4" t="s">
        <v>2962</v>
      </c>
      <c r="G2414" s="6">
        <v>3.8</v>
      </c>
      <c r="H2414" s="7">
        <v>45696.84175925926</v>
      </c>
      <c r="I2414" s="7" t="str">
        <f>TEXT(multilingual_mobile_app_reviews_2025[[#This Row],[Review_date]],"dd-mm-yyyy")</f>
        <v>08-02-2025</v>
      </c>
      <c r="J2414" s="7" t="str">
        <f>TEXT(multilingual_mobile_app_reviews_2025[[#This Row],[Review_date]],"YYYY")</f>
        <v>2025</v>
      </c>
      <c r="K2414" s="7" t="str">
        <f>TEXT(multilingual_mobile_app_reviews_2025[[#This Row],[Review_date]],"MMMM")</f>
        <v>February</v>
      </c>
      <c r="L2414" s="4" t="b">
        <v>0</v>
      </c>
      <c r="M2414" s="4" t="s">
        <v>22</v>
      </c>
      <c r="N2414" s="5">
        <v>123</v>
      </c>
      <c r="O2414" s="5">
        <v>38</v>
      </c>
      <c r="P2414" s="4" t="s">
        <v>73</v>
      </c>
      <c r="Q2414" s="8" t="s">
        <v>29</v>
      </c>
      <c r="R2414" s="4" t="s">
        <v>2805</v>
      </c>
      <c r="S2414" s="4"/>
      <c r="T2414"/>
      <c r="U2414" s="23"/>
    </row>
    <row r="2415" spans="1:21" ht="15.6" x14ac:dyDescent="0.3">
      <c r="A2415" s="4">
        <v>2414</v>
      </c>
      <c r="B2415" s="5">
        <v>6898104</v>
      </c>
      <c r="C2415" s="4" t="s">
        <v>41</v>
      </c>
      <c r="D2415" s="4" t="s">
        <v>1</v>
      </c>
      <c r="E2415" s="4" t="s">
        <v>2806</v>
      </c>
      <c r="F2415" s="4" t="s">
        <v>2943</v>
      </c>
      <c r="G2415" s="6">
        <v>1.5</v>
      </c>
      <c r="H2415" s="7">
        <v>45299.576828703706</v>
      </c>
      <c r="I2415" s="7" t="str">
        <f>TEXT(multilingual_mobile_app_reviews_2025[[#This Row],[Review_date]],"dd-mm-yyyy")</f>
        <v>08-01-2024</v>
      </c>
      <c r="J2415" s="7" t="str">
        <f>TEXT(multilingual_mobile_app_reviews_2025[[#This Row],[Review_date]],"YYYY")</f>
        <v>2024</v>
      </c>
      <c r="K2415" s="7" t="str">
        <f>TEXT(multilingual_mobile_app_reviews_2025[[#This Row],[Review_date]],"MMMM")</f>
        <v>January</v>
      </c>
      <c r="L2415" s="4" t="b">
        <v>1</v>
      </c>
      <c r="M2415" s="4" t="s">
        <v>10</v>
      </c>
      <c r="N2415" s="5">
        <v>311</v>
      </c>
      <c r="O2415" s="5">
        <v>72</v>
      </c>
      <c r="P2415" s="4" t="s">
        <v>90</v>
      </c>
      <c r="Q2415" s="8" t="s">
        <v>2963</v>
      </c>
      <c r="R2415" s="4" t="s">
        <v>2807</v>
      </c>
      <c r="S2415" s="4"/>
      <c r="T2415"/>
      <c r="U2415" s="23"/>
    </row>
    <row r="2416" spans="1:21" ht="15.6" x14ac:dyDescent="0.3">
      <c r="A2416" s="4">
        <v>2415</v>
      </c>
      <c r="B2416" s="5">
        <v>6265648</v>
      </c>
      <c r="C2416" s="4" t="s">
        <v>159</v>
      </c>
      <c r="D2416" s="4" t="s">
        <v>51</v>
      </c>
      <c r="E2416" s="4" t="s">
        <v>21</v>
      </c>
      <c r="F2416" s="4" t="s">
        <v>2942</v>
      </c>
      <c r="G2416" s="6">
        <v>2.2000000000000002</v>
      </c>
      <c r="H2416" s="7">
        <v>45792.837071759262</v>
      </c>
      <c r="I2416" s="7" t="str">
        <f>TEXT(multilingual_mobile_app_reviews_2025[[#This Row],[Review_date]],"dd-mm-yyyy")</f>
        <v>15-05-2025</v>
      </c>
      <c r="J2416" s="7" t="str">
        <f>TEXT(multilingual_mobile_app_reviews_2025[[#This Row],[Review_date]],"YYYY")</f>
        <v>2025</v>
      </c>
      <c r="K2416" s="7" t="str">
        <f>TEXT(multilingual_mobile_app_reviews_2025[[#This Row],[Review_date]],"MMMM")</f>
        <v>May</v>
      </c>
      <c r="L2416" s="4" t="b">
        <v>1</v>
      </c>
      <c r="M2416" s="4" t="s">
        <v>22</v>
      </c>
      <c r="N2416" s="5">
        <v>716</v>
      </c>
      <c r="O2416" s="5">
        <v>68</v>
      </c>
      <c r="P2416" s="4" t="s">
        <v>144</v>
      </c>
      <c r="Q2416" s="8" t="s">
        <v>39</v>
      </c>
      <c r="R2416" s="4" t="s">
        <v>2808</v>
      </c>
      <c r="S2416" s="4"/>
      <c r="T2416"/>
      <c r="U2416" s="23"/>
    </row>
    <row r="2417" spans="1:21" ht="15.6" x14ac:dyDescent="0.3">
      <c r="A2417" s="4">
        <v>2416</v>
      </c>
      <c r="B2417" s="5">
        <v>2038375</v>
      </c>
      <c r="C2417" s="4" t="s">
        <v>36</v>
      </c>
      <c r="D2417" s="4" t="s">
        <v>47</v>
      </c>
      <c r="E2417" s="4" t="s">
        <v>93</v>
      </c>
      <c r="F2417" s="4" t="s">
        <v>2956</v>
      </c>
      <c r="G2417" s="6">
        <v>3.8</v>
      </c>
      <c r="H2417" s="7">
        <v>45608.326331018521</v>
      </c>
      <c r="I2417" s="7" t="str">
        <f>TEXT(multilingual_mobile_app_reviews_2025[[#This Row],[Review_date]],"dd-mm-yyyy")</f>
        <v>12-11-2024</v>
      </c>
      <c r="J2417" s="7" t="str">
        <f>TEXT(multilingual_mobile_app_reviews_2025[[#This Row],[Review_date]],"YYYY")</f>
        <v>2024</v>
      </c>
      <c r="K2417" s="7" t="str">
        <f>TEXT(multilingual_mobile_app_reviews_2025[[#This Row],[Review_date]],"MMMM")</f>
        <v>November</v>
      </c>
      <c r="L2417" s="4" t="b">
        <v>1</v>
      </c>
      <c r="M2417" s="4" t="s">
        <v>3</v>
      </c>
      <c r="N2417" s="5">
        <v>452</v>
      </c>
      <c r="O2417" s="5">
        <v>56</v>
      </c>
      <c r="P2417" s="4" t="s">
        <v>28</v>
      </c>
      <c r="Q2417" s="8" t="s">
        <v>39</v>
      </c>
      <c r="R2417" s="4" t="s">
        <v>2809</v>
      </c>
      <c r="S2417" s="4"/>
      <c r="T2417"/>
      <c r="U2417" s="23"/>
    </row>
    <row r="2418" spans="1:21" ht="15.6" x14ac:dyDescent="0.3">
      <c r="A2418" s="4">
        <v>2417</v>
      </c>
      <c r="B2418" s="5">
        <v>6518497</v>
      </c>
      <c r="C2418" s="4" t="s">
        <v>67</v>
      </c>
      <c r="D2418" s="4" t="s">
        <v>60</v>
      </c>
      <c r="E2418" s="4" t="s">
        <v>2810</v>
      </c>
      <c r="F2418" s="4" t="s">
        <v>2956</v>
      </c>
      <c r="G2418" s="6">
        <v>4.9000000000000004</v>
      </c>
      <c r="H2418" s="7">
        <v>45448.9765162037</v>
      </c>
      <c r="I2418" s="7" t="str">
        <f>TEXT(multilingual_mobile_app_reviews_2025[[#This Row],[Review_date]],"dd-mm-yyyy")</f>
        <v>05-06-2024</v>
      </c>
      <c r="J2418" s="7" t="str">
        <f>TEXT(multilingual_mobile_app_reviews_2025[[#This Row],[Review_date]],"YYYY")</f>
        <v>2024</v>
      </c>
      <c r="K2418" s="7" t="str">
        <f>TEXT(multilingual_mobile_app_reviews_2025[[#This Row],[Review_date]],"MMMM")</f>
        <v>June</v>
      </c>
      <c r="L2418" s="4" t="b">
        <v>1</v>
      </c>
      <c r="M2418" s="4" t="s">
        <v>3</v>
      </c>
      <c r="N2418" s="5">
        <v>157</v>
      </c>
      <c r="O2418" s="5">
        <v>35</v>
      </c>
      <c r="P2418" s="4" t="s">
        <v>38</v>
      </c>
      <c r="Q2418" s="8" t="s">
        <v>12</v>
      </c>
      <c r="R2418" s="4" t="s">
        <v>2811</v>
      </c>
      <c r="S2418" s="4"/>
      <c r="T2418"/>
      <c r="U2418" s="23"/>
    </row>
    <row r="2419" spans="1:21" ht="15.6" x14ac:dyDescent="0.3">
      <c r="A2419" s="4">
        <v>2418</v>
      </c>
      <c r="B2419" s="5">
        <v>7904839</v>
      </c>
      <c r="C2419" s="4" t="s">
        <v>154</v>
      </c>
      <c r="D2419" s="4" t="s">
        <v>63</v>
      </c>
      <c r="E2419" s="4" t="s">
        <v>93</v>
      </c>
      <c r="F2419" s="4" t="s">
        <v>2945</v>
      </c>
      <c r="G2419" s="6">
        <v>1.3</v>
      </c>
      <c r="H2419" s="7">
        <v>45427.482986111114</v>
      </c>
      <c r="I2419" s="7" t="str">
        <f>TEXT(multilingual_mobile_app_reviews_2025[[#This Row],[Review_date]],"dd-mm-yyyy")</f>
        <v>15-05-2024</v>
      </c>
      <c r="J2419" s="7" t="str">
        <f>TEXT(multilingual_mobile_app_reviews_2025[[#This Row],[Review_date]],"YYYY")</f>
        <v>2024</v>
      </c>
      <c r="K2419" s="7" t="str">
        <f>TEXT(multilingual_mobile_app_reviews_2025[[#This Row],[Review_date]],"MMMM")</f>
        <v>May</v>
      </c>
      <c r="L2419" s="4" t="b">
        <v>1</v>
      </c>
      <c r="M2419" s="4" t="s">
        <v>98</v>
      </c>
      <c r="N2419" s="5">
        <v>740</v>
      </c>
      <c r="O2419" s="5">
        <v>53</v>
      </c>
      <c r="P2419" s="4" t="s">
        <v>38</v>
      </c>
      <c r="Q2419" s="8" t="s">
        <v>2963</v>
      </c>
      <c r="R2419" s="4" t="s">
        <v>250</v>
      </c>
      <c r="S2419" s="4"/>
      <c r="T2419"/>
      <c r="U2419" s="23"/>
    </row>
    <row r="2420" spans="1:21" ht="15.6" x14ac:dyDescent="0.3">
      <c r="A2420" s="4">
        <v>2419</v>
      </c>
      <c r="B2420" s="5">
        <v>7872872</v>
      </c>
      <c r="C2420" s="4" t="s">
        <v>192</v>
      </c>
      <c r="D2420" s="4" t="s">
        <v>71</v>
      </c>
      <c r="E2420" s="4" t="s">
        <v>64</v>
      </c>
      <c r="F2420" s="4" t="s">
        <v>2961</v>
      </c>
      <c r="G2420" s="6">
        <v>4.0999999999999996</v>
      </c>
      <c r="H2420" s="7">
        <v>45240.173900462964</v>
      </c>
      <c r="I2420" s="7" t="str">
        <f>TEXT(multilingual_mobile_app_reviews_2025[[#This Row],[Review_date]],"dd-mm-yyyy")</f>
        <v>10-11-2023</v>
      </c>
      <c r="J2420" s="7" t="str">
        <f>TEXT(multilingual_mobile_app_reviews_2025[[#This Row],[Review_date]],"YYYY")</f>
        <v>2023</v>
      </c>
      <c r="K2420" s="7" t="str">
        <f>TEXT(multilingual_mobile_app_reviews_2025[[#This Row],[Review_date]],"MMMM")</f>
        <v>November</v>
      </c>
      <c r="L2420" s="4" t="b">
        <v>1</v>
      </c>
      <c r="M2420" s="4" t="s">
        <v>98</v>
      </c>
      <c r="N2420" s="5">
        <v>657</v>
      </c>
      <c r="O2420" s="5">
        <v>59</v>
      </c>
      <c r="P2420" s="4" t="s">
        <v>61</v>
      </c>
      <c r="Q2420" s="8" t="s">
        <v>29</v>
      </c>
      <c r="R2420" s="4" t="s">
        <v>2812</v>
      </c>
      <c r="S2420" s="4"/>
      <c r="T2420"/>
      <c r="U2420" s="23"/>
    </row>
    <row r="2421" spans="1:21" ht="15.6" x14ac:dyDescent="0.3">
      <c r="A2421" s="4">
        <v>2420</v>
      </c>
      <c r="B2421" s="5">
        <v>961447</v>
      </c>
      <c r="C2421" s="4" t="s">
        <v>25</v>
      </c>
      <c r="D2421" s="4" t="s">
        <v>51</v>
      </c>
      <c r="E2421" s="4" t="s">
        <v>27</v>
      </c>
      <c r="F2421" s="4" t="s">
        <v>2944</v>
      </c>
      <c r="G2421" s="6">
        <v>4.3</v>
      </c>
      <c r="H2421" s="7">
        <v>45329.459675925929</v>
      </c>
      <c r="I2421" s="7" t="str">
        <f>TEXT(multilingual_mobile_app_reviews_2025[[#This Row],[Review_date]],"dd-mm-yyyy")</f>
        <v>07-02-2024</v>
      </c>
      <c r="J2421" s="7" t="str">
        <f>TEXT(multilingual_mobile_app_reviews_2025[[#This Row],[Review_date]],"YYYY")</f>
        <v>2024</v>
      </c>
      <c r="K2421" s="7" t="str">
        <f>TEXT(multilingual_mobile_app_reviews_2025[[#This Row],[Review_date]],"MMMM")</f>
        <v>February</v>
      </c>
      <c r="L2421" s="4" t="b">
        <v>1</v>
      </c>
      <c r="M2421" s="4" t="s">
        <v>22</v>
      </c>
      <c r="N2421" s="5">
        <v>834</v>
      </c>
      <c r="O2421" s="5">
        <v>28</v>
      </c>
      <c r="P2421" s="4" t="s">
        <v>73</v>
      </c>
      <c r="Q2421" s="8" t="s">
        <v>29</v>
      </c>
      <c r="R2421" s="4" t="s">
        <v>2213</v>
      </c>
      <c r="S2421" s="4"/>
      <c r="T2421"/>
      <c r="U2421" s="23"/>
    </row>
    <row r="2422" spans="1:21" ht="15.6" x14ac:dyDescent="0.3">
      <c r="A2422" s="4">
        <v>2421</v>
      </c>
      <c r="B2422" s="5">
        <v>1799277</v>
      </c>
      <c r="C2422" s="4" t="s">
        <v>67</v>
      </c>
      <c r="D2422" s="4" t="s">
        <v>71</v>
      </c>
      <c r="E2422" s="4" t="s">
        <v>2938</v>
      </c>
      <c r="F2422" s="4" t="s">
        <v>2951</v>
      </c>
      <c r="G2422" s="6">
        <v>1.4</v>
      </c>
      <c r="H2422" s="7">
        <v>45864.319791666669</v>
      </c>
      <c r="I2422" s="7" t="str">
        <f>TEXT(multilingual_mobile_app_reviews_2025[[#This Row],[Review_date]],"dd-mm-yyyy")</f>
        <v>26-07-2025</v>
      </c>
      <c r="J2422" s="7" t="str">
        <f>TEXT(multilingual_mobile_app_reviews_2025[[#This Row],[Review_date]],"YYYY")</f>
        <v>2025</v>
      </c>
      <c r="K2422" s="7" t="str">
        <f>TEXT(multilingual_mobile_app_reviews_2025[[#This Row],[Review_date]],"MMMM")</f>
        <v>July</v>
      </c>
      <c r="L2422" s="4" t="b">
        <v>1</v>
      </c>
      <c r="M2422" s="4" t="s">
        <v>33</v>
      </c>
      <c r="N2422" s="5">
        <v>1005</v>
      </c>
      <c r="O2422" s="5">
        <v>60</v>
      </c>
      <c r="P2422" s="4" t="s">
        <v>114</v>
      </c>
      <c r="Q2422" s="8" t="s">
        <v>5</v>
      </c>
      <c r="R2422" s="4" t="s">
        <v>2813</v>
      </c>
      <c r="S2422" s="4"/>
      <c r="T2422"/>
      <c r="U2422" s="23"/>
    </row>
    <row r="2423" spans="1:21" ht="15.6" x14ac:dyDescent="0.3">
      <c r="A2423" s="4">
        <v>2422</v>
      </c>
      <c r="B2423" s="5">
        <v>1236751</v>
      </c>
      <c r="C2423" s="4" t="s">
        <v>174</v>
      </c>
      <c r="D2423" s="4" t="s">
        <v>15</v>
      </c>
      <c r="E2423" s="4" t="s">
        <v>93</v>
      </c>
      <c r="F2423" s="4" t="s">
        <v>2961</v>
      </c>
      <c r="G2423" s="6">
        <v>4.8</v>
      </c>
      <c r="H2423" s="7">
        <v>45412.659467592595</v>
      </c>
      <c r="I2423" s="7" t="str">
        <f>TEXT(multilingual_mobile_app_reviews_2025[[#This Row],[Review_date]],"dd-mm-yyyy")</f>
        <v>30-04-2024</v>
      </c>
      <c r="J2423" s="7" t="str">
        <f>TEXT(multilingual_mobile_app_reviews_2025[[#This Row],[Review_date]],"YYYY")</f>
        <v>2024</v>
      </c>
      <c r="K2423" s="7" t="str">
        <f>TEXT(multilingual_mobile_app_reviews_2025[[#This Row],[Review_date]],"MMMM")</f>
        <v>April</v>
      </c>
      <c r="L2423" s="4" t="b">
        <v>1</v>
      </c>
      <c r="M2423" s="4" t="s">
        <v>22</v>
      </c>
      <c r="N2423" s="5">
        <v>1195</v>
      </c>
      <c r="O2423" s="5">
        <v>67</v>
      </c>
      <c r="P2423" s="4" t="s">
        <v>73</v>
      </c>
      <c r="Q2423" s="8" t="s">
        <v>12</v>
      </c>
      <c r="R2423" s="4" t="s">
        <v>2814</v>
      </c>
      <c r="S2423" s="4"/>
      <c r="T2423"/>
      <c r="U2423" s="23"/>
    </row>
    <row r="2424" spans="1:21" ht="15.6" x14ac:dyDescent="0.3">
      <c r="A2424" s="4">
        <v>2423</v>
      </c>
      <c r="B2424" s="5">
        <v>3346044</v>
      </c>
      <c r="C2424" s="4" t="s">
        <v>87</v>
      </c>
      <c r="D2424" s="4" t="s">
        <v>97</v>
      </c>
      <c r="E2424" s="4" t="s">
        <v>27</v>
      </c>
      <c r="F2424" s="4" t="s">
        <v>2953</v>
      </c>
      <c r="G2424" s="6">
        <v>1.4</v>
      </c>
      <c r="H2424" s="7">
        <v>45379.927847222221</v>
      </c>
      <c r="I2424" s="7" t="str">
        <f>TEXT(multilingual_mobile_app_reviews_2025[[#This Row],[Review_date]],"dd-mm-yyyy")</f>
        <v>28-03-2024</v>
      </c>
      <c r="J2424" s="7" t="str">
        <f>TEXT(multilingual_mobile_app_reviews_2025[[#This Row],[Review_date]],"YYYY")</f>
        <v>2024</v>
      </c>
      <c r="K2424" s="7" t="str">
        <f>TEXT(multilingual_mobile_app_reviews_2025[[#This Row],[Review_date]],"MMMM")</f>
        <v>March</v>
      </c>
      <c r="L2424" s="4" t="b">
        <v>1</v>
      </c>
      <c r="M2424" s="4" t="s">
        <v>22</v>
      </c>
      <c r="N2424" s="5">
        <v>691</v>
      </c>
      <c r="O2424" s="5">
        <v>46</v>
      </c>
      <c r="P2424" s="4" t="s">
        <v>80</v>
      </c>
      <c r="Q2424" s="8" t="s">
        <v>5</v>
      </c>
      <c r="R2424" s="4" t="s">
        <v>2815</v>
      </c>
      <c r="S2424" s="4"/>
      <c r="T2424"/>
      <c r="U2424" s="23"/>
    </row>
    <row r="2425" spans="1:21" ht="15.6" x14ac:dyDescent="0.3">
      <c r="A2425" s="4">
        <v>2424</v>
      </c>
      <c r="B2425" s="5">
        <v>2884101</v>
      </c>
      <c r="C2425" s="4" t="s">
        <v>154</v>
      </c>
      <c r="D2425" s="4" t="s">
        <v>111</v>
      </c>
      <c r="E2425" s="4" t="s">
        <v>130</v>
      </c>
      <c r="F2425" s="4" t="s">
        <v>2945</v>
      </c>
      <c r="G2425" s="6">
        <v>2.4</v>
      </c>
      <c r="H2425" s="7">
        <v>45147.465856481482</v>
      </c>
      <c r="I2425" s="7" t="str">
        <f>TEXT(multilingual_mobile_app_reviews_2025[[#This Row],[Review_date]],"dd-mm-yyyy")</f>
        <v>09-08-2023</v>
      </c>
      <c r="J2425" s="7" t="str">
        <f>TEXT(multilingual_mobile_app_reviews_2025[[#This Row],[Review_date]],"YYYY")</f>
        <v>2023</v>
      </c>
      <c r="K2425" s="7" t="str">
        <f>TEXT(multilingual_mobile_app_reviews_2025[[#This Row],[Review_date]],"MMMM")</f>
        <v>August</v>
      </c>
      <c r="L2425" s="4" t="b">
        <v>1</v>
      </c>
      <c r="M2425" s="4" t="s">
        <v>22</v>
      </c>
      <c r="N2425" s="5">
        <v>264</v>
      </c>
      <c r="O2425" s="5">
        <v>32</v>
      </c>
      <c r="P2425" s="4" t="s">
        <v>11</v>
      </c>
      <c r="Q2425" s="8" t="s">
        <v>2963</v>
      </c>
      <c r="R2425" s="4" t="s">
        <v>2816</v>
      </c>
      <c r="S2425" s="4"/>
      <c r="T2425"/>
      <c r="U2425" s="23"/>
    </row>
    <row r="2426" spans="1:21" ht="15.6" x14ac:dyDescent="0.3">
      <c r="A2426" s="4">
        <v>2425</v>
      </c>
      <c r="B2426" s="5">
        <v>2548450</v>
      </c>
      <c r="C2426" s="4" t="s">
        <v>264</v>
      </c>
      <c r="D2426" s="4" t="s">
        <v>60</v>
      </c>
      <c r="E2426" s="4" t="s">
        <v>76</v>
      </c>
      <c r="F2426" s="4" t="s">
        <v>2956</v>
      </c>
      <c r="G2426" s="6">
        <v>3.2</v>
      </c>
      <c r="H2426" s="7">
        <v>45717.022465277776</v>
      </c>
      <c r="I2426" s="7" t="str">
        <f>TEXT(multilingual_mobile_app_reviews_2025[[#This Row],[Review_date]],"dd-mm-yyyy")</f>
        <v>01-03-2025</v>
      </c>
      <c r="J2426" s="7" t="str">
        <f>TEXT(multilingual_mobile_app_reviews_2025[[#This Row],[Review_date]],"YYYY")</f>
        <v>2025</v>
      </c>
      <c r="K2426" s="7" t="str">
        <f>TEXT(multilingual_mobile_app_reviews_2025[[#This Row],[Review_date]],"MMMM")</f>
        <v>March</v>
      </c>
      <c r="L2426" s="4" t="b">
        <v>0</v>
      </c>
      <c r="M2426" s="4" t="s">
        <v>10</v>
      </c>
      <c r="N2426" s="5">
        <v>533</v>
      </c>
      <c r="O2426" s="5">
        <v>54</v>
      </c>
      <c r="P2426" s="4" t="s">
        <v>2963</v>
      </c>
      <c r="Q2426" s="8" t="s">
        <v>2963</v>
      </c>
      <c r="R2426" s="4" t="s">
        <v>563</v>
      </c>
      <c r="S2426" s="4"/>
      <c r="T2426"/>
      <c r="U2426" s="23"/>
    </row>
    <row r="2427" spans="1:21" ht="15.6" x14ac:dyDescent="0.3">
      <c r="A2427" s="4">
        <v>2426</v>
      </c>
      <c r="B2427" s="5">
        <v>9521918</v>
      </c>
      <c r="C2427" s="4" t="s">
        <v>104</v>
      </c>
      <c r="D2427" s="4" t="s">
        <v>111</v>
      </c>
      <c r="E2427" s="4" t="s">
        <v>32</v>
      </c>
      <c r="F2427" s="4" t="s">
        <v>2962</v>
      </c>
      <c r="G2427" s="6">
        <v>3.1</v>
      </c>
      <c r="H2427" s="7">
        <v>45348.289467592593</v>
      </c>
      <c r="I2427" s="7" t="str">
        <f>TEXT(multilingual_mobile_app_reviews_2025[[#This Row],[Review_date]],"dd-mm-yyyy")</f>
        <v>26-02-2024</v>
      </c>
      <c r="J2427" s="7" t="str">
        <f>TEXT(multilingual_mobile_app_reviews_2025[[#This Row],[Review_date]],"YYYY")</f>
        <v>2024</v>
      </c>
      <c r="K2427" s="7" t="str">
        <f>TEXT(multilingual_mobile_app_reviews_2025[[#This Row],[Review_date]],"MMMM")</f>
        <v>February</v>
      </c>
      <c r="L2427" s="4" t="b">
        <v>1</v>
      </c>
      <c r="M2427" s="4" t="s">
        <v>33</v>
      </c>
      <c r="N2427" s="5">
        <v>610</v>
      </c>
      <c r="O2427" s="5">
        <v>20</v>
      </c>
      <c r="P2427" s="4" t="s">
        <v>17</v>
      </c>
      <c r="Q2427" s="8" t="s">
        <v>2963</v>
      </c>
      <c r="R2427" s="4" t="s">
        <v>2817</v>
      </c>
      <c r="S2427" s="4"/>
      <c r="T2427"/>
      <c r="U2427" s="23"/>
    </row>
    <row r="2428" spans="1:21" ht="15.6" x14ac:dyDescent="0.3">
      <c r="A2428" s="4">
        <v>2427</v>
      </c>
      <c r="B2428" s="5">
        <v>514120</v>
      </c>
      <c r="C2428" s="4" t="s">
        <v>67</v>
      </c>
      <c r="D2428" s="4" t="s">
        <v>220</v>
      </c>
      <c r="E2428" s="4" t="s">
        <v>76</v>
      </c>
      <c r="F2428" s="4" t="s">
        <v>2944</v>
      </c>
      <c r="G2428" s="6">
        <v>2.4</v>
      </c>
      <c r="H2428" s="7">
        <v>45534.623831018522</v>
      </c>
      <c r="I2428" s="7" t="str">
        <f>TEXT(multilingual_mobile_app_reviews_2025[[#This Row],[Review_date]],"dd-mm-yyyy")</f>
        <v>30-08-2024</v>
      </c>
      <c r="J2428" s="7" t="str">
        <f>TEXT(multilingual_mobile_app_reviews_2025[[#This Row],[Review_date]],"YYYY")</f>
        <v>2024</v>
      </c>
      <c r="K2428" s="7" t="str">
        <f>TEXT(multilingual_mobile_app_reviews_2025[[#This Row],[Review_date]],"MMMM")</f>
        <v>August</v>
      </c>
      <c r="L2428" s="4" t="b">
        <v>1</v>
      </c>
      <c r="M2428" s="4" t="s">
        <v>10</v>
      </c>
      <c r="N2428" s="5">
        <v>1108</v>
      </c>
      <c r="O2428" s="5">
        <v>47</v>
      </c>
      <c r="P2428" s="4" t="s">
        <v>80</v>
      </c>
      <c r="Q2428" s="8" t="s">
        <v>29</v>
      </c>
      <c r="R2428" s="4" t="s">
        <v>2455</v>
      </c>
      <c r="S2428" s="4"/>
      <c r="T2428"/>
      <c r="U2428" s="23"/>
    </row>
    <row r="2429" spans="1:21" ht="15.6" x14ac:dyDescent="0.3">
      <c r="A2429" s="4">
        <v>2428</v>
      </c>
      <c r="B2429" s="5">
        <v>8842456</v>
      </c>
      <c r="C2429" s="4" t="s">
        <v>59</v>
      </c>
      <c r="D2429" s="4" t="s">
        <v>157</v>
      </c>
      <c r="E2429" s="4" t="s">
        <v>2818</v>
      </c>
      <c r="F2429" s="4" t="s">
        <v>2956</v>
      </c>
      <c r="G2429" s="6">
        <v>4.0999999999999996</v>
      </c>
      <c r="H2429" s="7">
        <v>45178.426168981481</v>
      </c>
      <c r="I2429" s="7" t="str">
        <f>TEXT(multilingual_mobile_app_reviews_2025[[#This Row],[Review_date]],"dd-mm-yyyy")</f>
        <v>09-09-2023</v>
      </c>
      <c r="J2429" s="7" t="str">
        <f>TEXT(multilingual_mobile_app_reviews_2025[[#This Row],[Review_date]],"YYYY")</f>
        <v>2023</v>
      </c>
      <c r="K2429" s="7" t="str">
        <f>TEXT(multilingual_mobile_app_reviews_2025[[#This Row],[Review_date]],"MMMM")</f>
        <v>September</v>
      </c>
      <c r="L2429" s="4" t="b">
        <v>1</v>
      </c>
      <c r="M2429" s="4" t="s">
        <v>98</v>
      </c>
      <c r="N2429" s="5">
        <v>66</v>
      </c>
      <c r="O2429" s="5">
        <v>54</v>
      </c>
      <c r="P2429" s="4" t="s">
        <v>80</v>
      </c>
      <c r="Q2429" s="8" t="s">
        <v>39</v>
      </c>
      <c r="R2429" s="4" t="s">
        <v>334</v>
      </c>
      <c r="S2429" s="4"/>
      <c r="T2429"/>
      <c r="U2429" s="23"/>
    </row>
    <row r="2430" spans="1:21" ht="15.6" x14ac:dyDescent="0.3">
      <c r="A2430" s="4">
        <v>2429</v>
      </c>
      <c r="B2430" s="5">
        <v>9925092</v>
      </c>
      <c r="C2430" s="4" t="s">
        <v>106</v>
      </c>
      <c r="D2430" s="4" t="s">
        <v>47</v>
      </c>
      <c r="E2430" s="4" t="s">
        <v>21</v>
      </c>
      <c r="F2430" s="4" t="s">
        <v>2949</v>
      </c>
      <c r="G2430" s="6">
        <v>4.9000000000000004</v>
      </c>
      <c r="H2430" s="7">
        <v>45234.646493055552</v>
      </c>
      <c r="I2430" s="7" t="str">
        <f>TEXT(multilingual_mobile_app_reviews_2025[[#This Row],[Review_date]],"dd-mm-yyyy")</f>
        <v>04-11-2023</v>
      </c>
      <c r="J2430" s="7" t="str">
        <f>TEXT(multilingual_mobile_app_reviews_2025[[#This Row],[Review_date]],"YYYY")</f>
        <v>2023</v>
      </c>
      <c r="K2430" s="7" t="str">
        <f>TEXT(multilingual_mobile_app_reviews_2025[[#This Row],[Review_date]],"MMMM")</f>
        <v>November</v>
      </c>
      <c r="L2430" s="4" t="b">
        <v>1</v>
      </c>
      <c r="M2430" s="4" t="s">
        <v>98</v>
      </c>
      <c r="N2430" s="5">
        <v>202</v>
      </c>
      <c r="O2430" s="5">
        <v>21</v>
      </c>
      <c r="P2430" s="4" t="s">
        <v>70</v>
      </c>
      <c r="Q2430" s="8" t="s">
        <v>29</v>
      </c>
      <c r="R2430" s="4" t="s">
        <v>2819</v>
      </c>
      <c r="S2430" s="4"/>
      <c r="T2430"/>
      <c r="U2430" s="23"/>
    </row>
    <row r="2431" spans="1:21" ht="15.6" x14ac:dyDescent="0.3">
      <c r="A2431" s="4">
        <v>2430</v>
      </c>
      <c r="B2431" s="5">
        <v>8279175</v>
      </c>
      <c r="C2431" s="4" t="s">
        <v>101</v>
      </c>
      <c r="D2431" s="4" t="s">
        <v>97</v>
      </c>
      <c r="E2431" s="4" t="s">
        <v>130</v>
      </c>
      <c r="F2431" s="4" t="s">
        <v>2962</v>
      </c>
      <c r="G2431" s="6">
        <v>2.1</v>
      </c>
      <c r="H2431" s="7">
        <v>45475.51635416667</v>
      </c>
      <c r="I2431" s="7" t="str">
        <f>TEXT(multilingual_mobile_app_reviews_2025[[#This Row],[Review_date]],"dd-mm-yyyy")</f>
        <v>02-07-2024</v>
      </c>
      <c r="J2431" s="7" t="str">
        <f>TEXT(multilingual_mobile_app_reviews_2025[[#This Row],[Review_date]],"YYYY")</f>
        <v>2024</v>
      </c>
      <c r="K2431" s="7" t="str">
        <f>TEXT(multilingual_mobile_app_reviews_2025[[#This Row],[Review_date]],"MMMM")</f>
        <v>July</v>
      </c>
      <c r="L2431" s="4" t="b">
        <v>0</v>
      </c>
      <c r="M2431" s="4" t="s">
        <v>33</v>
      </c>
      <c r="N2431" s="5">
        <v>516</v>
      </c>
      <c r="O2431" s="5">
        <v>13</v>
      </c>
      <c r="P2431" s="4" t="s">
        <v>85</v>
      </c>
      <c r="Q2431" s="8" t="s">
        <v>12</v>
      </c>
      <c r="R2431" s="4" t="s">
        <v>2820</v>
      </c>
      <c r="S2431" s="4"/>
      <c r="T2431"/>
      <c r="U2431" s="23"/>
    </row>
    <row r="2432" spans="1:21" ht="15.6" x14ac:dyDescent="0.3">
      <c r="A2432" s="4">
        <v>2431</v>
      </c>
      <c r="B2432" s="5">
        <v>8723013</v>
      </c>
      <c r="C2432" s="4" t="s">
        <v>176</v>
      </c>
      <c r="D2432" s="4" t="s">
        <v>47</v>
      </c>
      <c r="E2432" s="4" t="s">
        <v>32</v>
      </c>
      <c r="F2432" s="4" t="s">
        <v>2954</v>
      </c>
      <c r="G2432" s="6">
        <v>3.2</v>
      </c>
      <c r="H2432" s="7">
        <v>45166.961400462962</v>
      </c>
      <c r="I2432" s="7" t="str">
        <f>TEXT(multilingual_mobile_app_reviews_2025[[#This Row],[Review_date]],"dd-mm-yyyy")</f>
        <v>28-08-2023</v>
      </c>
      <c r="J2432" s="7" t="str">
        <f>TEXT(multilingual_mobile_app_reviews_2025[[#This Row],[Review_date]],"YYYY")</f>
        <v>2023</v>
      </c>
      <c r="K2432" s="7" t="str">
        <f>TEXT(multilingual_mobile_app_reviews_2025[[#This Row],[Review_date]],"MMMM")</f>
        <v>August</v>
      </c>
      <c r="L2432" s="4" t="b">
        <v>0</v>
      </c>
      <c r="M2432" s="4" t="s">
        <v>10</v>
      </c>
      <c r="N2432" s="5">
        <v>67</v>
      </c>
      <c r="O2432" s="5">
        <v>22</v>
      </c>
      <c r="P2432" s="4" t="s">
        <v>61</v>
      </c>
      <c r="Q2432" s="8" t="s">
        <v>2963</v>
      </c>
      <c r="R2432" s="4" t="s">
        <v>2821</v>
      </c>
      <c r="S2432" s="4"/>
      <c r="T2432"/>
      <c r="U2432" s="23"/>
    </row>
    <row r="2433" spans="1:21" ht="15.6" x14ac:dyDescent="0.3">
      <c r="A2433" s="4">
        <v>2432</v>
      </c>
      <c r="B2433" s="5">
        <v>9293742</v>
      </c>
      <c r="C2433" s="4" t="s">
        <v>46</v>
      </c>
      <c r="D2433" s="4" t="s">
        <v>57</v>
      </c>
      <c r="E2433" s="4" t="s">
        <v>32</v>
      </c>
      <c r="F2433" s="4" t="s">
        <v>2954</v>
      </c>
      <c r="G2433" s="6">
        <v>2.7</v>
      </c>
      <c r="H2433" s="7">
        <v>45704.848668981482</v>
      </c>
      <c r="I2433" s="7" t="str">
        <f>TEXT(multilingual_mobile_app_reviews_2025[[#This Row],[Review_date]],"dd-mm-yyyy")</f>
        <v>16-02-2025</v>
      </c>
      <c r="J2433" s="7" t="str">
        <f>TEXT(multilingual_mobile_app_reviews_2025[[#This Row],[Review_date]],"YYYY")</f>
        <v>2025</v>
      </c>
      <c r="K2433" s="7" t="str">
        <f>TEXT(multilingual_mobile_app_reviews_2025[[#This Row],[Review_date]],"MMMM")</f>
        <v>February</v>
      </c>
      <c r="L2433" s="4" t="b">
        <v>0</v>
      </c>
      <c r="M2433" s="4" t="s">
        <v>3</v>
      </c>
      <c r="N2433" s="5">
        <v>89</v>
      </c>
      <c r="O2433" s="5">
        <v>13</v>
      </c>
      <c r="P2433" s="4" t="s">
        <v>34</v>
      </c>
      <c r="Q2433" s="8" t="s">
        <v>12</v>
      </c>
      <c r="R2433" s="4" t="s">
        <v>1339</v>
      </c>
      <c r="S2433" s="4"/>
      <c r="T2433"/>
      <c r="U2433" s="23"/>
    </row>
    <row r="2434" spans="1:21" ht="15.6" x14ac:dyDescent="0.3">
      <c r="A2434" s="4">
        <v>2433</v>
      </c>
      <c r="B2434" s="5">
        <v>9601785</v>
      </c>
      <c r="C2434" s="4" t="s">
        <v>46</v>
      </c>
      <c r="D2434" s="4" t="s">
        <v>97</v>
      </c>
      <c r="E2434" s="4" t="s">
        <v>27</v>
      </c>
      <c r="F2434" s="4" t="s">
        <v>2946</v>
      </c>
      <c r="G2434" s="6">
        <v>3.2</v>
      </c>
      <c r="H2434" s="7">
        <v>45531.859502314815</v>
      </c>
      <c r="I2434" s="7" t="str">
        <f>TEXT(multilingual_mobile_app_reviews_2025[[#This Row],[Review_date]],"dd-mm-yyyy")</f>
        <v>27-08-2024</v>
      </c>
      <c r="J2434" s="7" t="str">
        <f>TEXT(multilingual_mobile_app_reviews_2025[[#This Row],[Review_date]],"YYYY")</f>
        <v>2024</v>
      </c>
      <c r="K2434" s="7" t="str">
        <f>TEXT(multilingual_mobile_app_reviews_2025[[#This Row],[Review_date]],"MMMM")</f>
        <v>August</v>
      </c>
      <c r="L2434" s="4" t="b">
        <v>1</v>
      </c>
      <c r="M2434" s="4" t="s">
        <v>33</v>
      </c>
      <c r="N2434" s="5">
        <v>813</v>
      </c>
      <c r="O2434" s="5">
        <v>68</v>
      </c>
      <c r="P2434" s="4" t="s">
        <v>85</v>
      </c>
      <c r="Q2434" s="8" t="s">
        <v>29</v>
      </c>
      <c r="R2434" s="4" t="s">
        <v>2822</v>
      </c>
      <c r="S2434" s="4"/>
      <c r="T2434"/>
      <c r="U2434" s="23"/>
    </row>
    <row r="2435" spans="1:21" ht="15.6" x14ac:dyDescent="0.3">
      <c r="A2435" s="4">
        <v>2434</v>
      </c>
      <c r="B2435" s="5">
        <v>2672450</v>
      </c>
      <c r="C2435" s="4" t="s">
        <v>89</v>
      </c>
      <c r="D2435" s="4" t="s">
        <v>42</v>
      </c>
      <c r="E2435" s="4" t="s">
        <v>2823</v>
      </c>
      <c r="F2435" s="4" t="s">
        <v>2961</v>
      </c>
      <c r="G2435" s="6">
        <v>1.7</v>
      </c>
      <c r="H2435" s="7">
        <v>45256.665555555555</v>
      </c>
      <c r="I2435" s="7" t="str">
        <f>TEXT(multilingual_mobile_app_reviews_2025[[#This Row],[Review_date]],"dd-mm-yyyy")</f>
        <v>26-11-2023</v>
      </c>
      <c r="J2435" s="7" t="str">
        <f>TEXT(multilingual_mobile_app_reviews_2025[[#This Row],[Review_date]],"YYYY")</f>
        <v>2023</v>
      </c>
      <c r="K2435" s="7" t="str">
        <f>TEXT(multilingual_mobile_app_reviews_2025[[#This Row],[Review_date]],"MMMM")</f>
        <v>November</v>
      </c>
      <c r="L2435" s="4" t="b">
        <v>1</v>
      </c>
      <c r="M2435" s="4" t="s">
        <v>22</v>
      </c>
      <c r="N2435" s="5">
        <v>419</v>
      </c>
      <c r="O2435" s="5">
        <v>68</v>
      </c>
      <c r="P2435" s="4" t="s">
        <v>61</v>
      </c>
      <c r="Q2435" s="8" t="s">
        <v>2963</v>
      </c>
      <c r="R2435" s="4" t="s">
        <v>2824</v>
      </c>
      <c r="S2435" s="4"/>
      <c r="T2435"/>
      <c r="U2435" s="23"/>
    </row>
    <row r="2436" spans="1:21" ht="15.6" x14ac:dyDescent="0.3">
      <c r="A2436" s="4">
        <v>2435</v>
      </c>
      <c r="B2436" s="5">
        <v>9278076</v>
      </c>
      <c r="C2436" s="4" t="s">
        <v>84</v>
      </c>
      <c r="D2436" s="4" t="s">
        <v>20</v>
      </c>
      <c r="E2436" s="4" t="s">
        <v>2825</v>
      </c>
      <c r="F2436" s="4" t="s">
        <v>2946</v>
      </c>
      <c r="G2436" s="6">
        <v>3.9</v>
      </c>
      <c r="H2436" s="7">
        <v>45190.211168981485</v>
      </c>
      <c r="I2436" s="7" t="str">
        <f>TEXT(multilingual_mobile_app_reviews_2025[[#This Row],[Review_date]],"dd-mm-yyyy")</f>
        <v>21-09-2023</v>
      </c>
      <c r="J2436" s="7" t="str">
        <f>TEXT(multilingual_mobile_app_reviews_2025[[#This Row],[Review_date]],"YYYY")</f>
        <v>2023</v>
      </c>
      <c r="K2436" s="7" t="str">
        <f>TEXT(multilingual_mobile_app_reviews_2025[[#This Row],[Review_date]],"MMMM")</f>
        <v>September</v>
      </c>
      <c r="L2436" s="4" t="b">
        <v>1</v>
      </c>
      <c r="M2436" s="4" t="s">
        <v>33</v>
      </c>
      <c r="N2436" s="5">
        <v>341</v>
      </c>
      <c r="O2436" s="5">
        <v>66</v>
      </c>
      <c r="P2436" s="4" t="s">
        <v>61</v>
      </c>
      <c r="Q2436" s="8" t="s">
        <v>2963</v>
      </c>
      <c r="R2436" s="4" t="s">
        <v>2826</v>
      </c>
      <c r="S2436" s="4"/>
      <c r="T2436"/>
      <c r="U2436" s="23"/>
    </row>
    <row r="2437" spans="1:21" ht="15.6" x14ac:dyDescent="0.3">
      <c r="A2437" s="4">
        <v>2436</v>
      </c>
      <c r="B2437" s="5">
        <v>7956881</v>
      </c>
      <c r="C2437" s="4" t="s">
        <v>56</v>
      </c>
      <c r="D2437" s="4" t="s">
        <v>8</v>
      </c>
      <c r="E2437" s="4" t="s">
        <v>64</v>
      </c>
      <c r="F2437" s="4" t="s">
        <v>2947</v>
      </c>
      <c r="G2437" s="6">
        <v>3.6</v>
      </c>
      <c r="H2437" s="7">
        <v>45849.683877314812</v>
      </c>
      <c r="I2437" s="7" t="str">
        <f>TEXT(multilingual_mobile_app_reviews_2025[[#This Row],[Review_date]],"dd-mm-yyyy")</f>
        <v>11-07-2025</v>
      </c>
      <c r="J2437" s="7" t="str">
        <f>TEXT(multilingual_mobile_app_reviews_2025[[#This Row],[Review_date]],"YYYY")</f>
        <v>2025</v>
      </c>
      <c r="K2437" s="7" t="str">
        <f>TEXT(multilingual_mobile_app_reviews_2025[[#This Row],[Review_date]],"MMMM")</f>
        <v>July</v>
      </c>
      <c r="L2437" s="4" t="b">
        <v>1</v>
      </c>
      <c r="M2437" s="4" t="s">
        <v>10</v>
      </c>
      <c r="N2437" s="5">
        <v>663</v>
      </c>
      <c r="O2437" s="5">
        <v>35</v>
      </c>
      <c r="P2437" s="4" t="s">
        <v>144</v>
      </c>
      <c r="Q2437" s="8" t="s">
        <v>12</v>
      </c>
      <c r="R2437" s="4" t="s">
        <v>2223</v>
      </c>
      <c r="S2437" s="4"/>
      <c r="T2437"/>
      <c r="U2437" s="23"/>
    </row>
    <row r="2438" spans="1:21" ht="15.6" x14ac:dyDescent="0.3">
      <c r="A2438" s="4">
        <v>2437</v>
      </c>
      <c r="B2438" s="5">
        <v>8379258</v>
      </c>
      <c r="C2438" s="4" t="s">
        <v>258</v>
      </c>
      <c r="D2438" s="4" t="s">
        <v>97</v>
      </c>
      <c r="E2438" s="4" t="s">
        <v>21</v>
      </c>
      <c r="F2438" s="4" t="s">
        <v>2960</v>
      </c>
      <c r="G2438" s="6">
        <v>3.6</v>
      </c>
      <c r="H2438" s="7">
        <v>45227.608784722222</v>
      </c>
      <c r="I2438" s="7" t="str">
        <f>TEXT(multilingual_mobile_app_reviews_2025[[#This Row],[Review_date]],"dd-mm-yyyy")</f>
        <v>28-10-2023</v>
      </c>
      <c r="J2438" s="7" t="str">
        <f>TEXT(multilingual_mobile_app_reviews_2025[[#This Row],[Review_date]],"YYYY")</f>
        <v>2023</v>
      </c>
      <c r="K2438" s="7" t="str">
        <f>TEXT(multilingual_mobile_app_reviews_2025[[#This Row],[Review_date]],"MMMM")</f>
        <v>October</v>
      </c>
      <c r="L2438" s="4" t="b">
        <v>1</v>
      </c>
      <c r="M2438" s="4" t="s">
        <v>33</v>
      </c>
      <c r="N2438" s="5">
        <v>1247</v>
      </c>
      <c r="O2438" s="5">
        <v>19</v>
      </c>
      <c r="P2438" s="4" t="s">
        <v>90</v>
      </c>
      <c r="Q2438" s="8" t="s">
        <v>12</v>
      </c>
      <c r="R2438" s="4" t="s">
        <v>2827</v>
      </c>
      <c r="S2438" s="4"/>
      <c r="T2438"/>
      <c r="U2438" s="23"/>
    </row>
    <row r="2439" spans="1:21" ht="15.6" x14ac:dyDescent="0.3">
      <c r="A2439" s="4">
        <v>2438</v>
      </c>
      <c r="B2439" s="5">
        <v>7810913</v>
      </c>
      <c r="C2439" s="4" t="s">
        <v>113</v>
      </c>
      <c r="D2439" s="4" t="s">
        <v>42</v>
      </c>
      <c r="E2439" s="4" t="s">
        <v>93</v>
      </c>
      <c r="F2439" s="4" t="s">
        <v>2955</v>
      </c>
      <c r="G2439" s="6">
        <v>3.7</v>
      </c>
      <c r="H2439" s="7">
        <v>45769.336354166669</v>
      </c>
      <c r="I2439" s="7" t="str">
        <f>TEXT(multilingual_mobile_app_reviews_2025[[#This Row],[Review_date]],"dd-mm-yyyy")</f>
        <v>22-04-2025</v>
      </c>
      <c r="J2439" s="7" t="str">
        <f>TEXT(multilingual_mobile_app_reviews_2025[[#This Row],[Review_date]],"YYYY")</f>
        <v>2025</v>
      </c>
      <c r="K2439" s="7" t="str">
        <f>TEXT(multilingual_mobile_app_reviews_2025[[#This Row],[Review_date]],"MMMM")</f>
        <v>April</v>
      </c>
      <c r="L2439" s="4" t="b">
        <v>1</v>
      </c>
      <c r="M2439" s="4" t="s">
        <v>98</v>
      </c>
      <c r="N2439" s="5">
        <v>1248</v>
      </c>
      <c r="O2439" s="5">
        <v>32</v>
      </c>
      <c r="P2439" s="4" t="s">
        <v>4</v>
      </c>
      <c r="Q2439" s="8" t="s">
        <v>29</v>
      </c>
      <c r="R2439" s="4" t="s">
        <v>2828</v>
      </c>
      <c r="S2439" s="4"/>
      <c r="T2439"/>
      <c r="U2439" s="23"/>
    </row>
    <row r="2440" spans="1:21" ht="15.6" x14ac:dyDescent="0.3">
      <c r="A2440" s="4">
        <v>2439</v>
      </c>
      <c r="B2440" s="5">
        <v>6343076</v>
      </c>
      <c r="C2440" s="4" t="s">
        <v>137</v>
      </c>
      <c r="D2440" s="4" t="s">
        <v>97</v>
      </c>
      <c r="E2440" s="4" t="s">
        <v>2829</v>
      </c>
      <c r="F2440" s="4" t="s">
        <v>2949</v>
      </c>
      <c r="G2440" s="6">
        <v>4.8</v>
      </c>
      <c r="H2440" s="7">
        <v>45547.98537037037</v>
      </c>
      <c r="I2440" s="7" t="str">
        <f>TEXT(multilingual_mobile_app_reviews_2025[[#This Row],[Review_date]],"dd-mm-yyyy")</f>
        <v>12-09-2024</v>
      </c>
      <c r="J2440" s="7" t="str">
        <f>TEXT(multilingual_mobile_app_reviews_2025[[#This Row],[Review_date]],"YYYY")</f>
        <v>2024</v>
      </c>
      <c r="K2440" s="7" t="str">
        <f>TEXT(multilingual_mobile_app_reviews_2025[[#This Row],[Review_date]],"MMMM")</f>
        <v>September</v>
      </c>
      <c r="L2440" s="4" t="b">
        <v>1</v>
      </c>
      <c r="M2440" s="4" t="s">
        <v>98</v>
      </c>
      <c r="N2440" s="5">
        <v>969</v>
      </c>
      <c r="O2440" s="5">
        <v>53</v>
      </c>
      <c r="P2440" s="4" t="s">
        <v>65</v>
      </c>
      <c r="Q2440" s="8" t="s">
        <v>2963</v>
      </c>
      <c r="R2440" s="4" t="s">
        <v>2830</v>
      </c>
      <c r="S2440" s="4"/>
      <c r="T2440"/>
      <c r="U2440" s="23"/>
    </row>
    <row r="2441" spans="1:21" ht="15.6" x14ac:dyDescent="0.3">
      <c r="A2441" s="4">
        <v>2440</v>
      </c>
      <c r="B2441" s="5">
        <v>9994859</v>
      </c>
      <c r="C2441" s="4" t="s">
        <v>87</v>
      </c>
      <c r="D2441" s="4" t="s">
        <v>63</v>
      </c>
      <c r="E2441" s="4" t="s">
        <v>64</v>
      </c>
      <c r="F2441" s="4" t="s">
        <v>2960</v>
      </c>
      <c r="G2441" s="6">
        <v>2.4</v>
      </c>
      <c r="H2441" s="7">
        <v>45542.811712962961</v>
      </c>
      <c r="I2441" s="7" t="str">
        <f>TEXT(multilingual_mobile_app_reviews_2025[[#This Row],[Review_date]],"dd-mm-yyyy")</f>
        <v>07-09-2024</v>
      </c>
      <c r="J2441" s="7" t="str">
        <f>TEXT(multilingual_mobile_app_reviews_2025[[#This Row],[Review_date]],"YYYY")</f>
        <v>2024</v>
      </c>
      <c r="K2441" s="7" t="str">
        <f>TEXT(multilingual_mobile_app_reviews_2025[[#This Row],[Review_date]],"MMMM")</f>
        <v>September</v>
      </c>
      <c r="L2441" s="4" t="b">
        <v>0</v>
      </c>
      <c r="M2441" s="4" t="s">
        <v>33</v>
      </c>
      <c r="N2441" s="5">
        <v>45</v>
      </c>
      <c r="O2441" s="5">
        <v>75</v>
      </c>
      <c r="P2441" s="4" t="s">
        <v>99</v>
      </c>
      <c r="Q2441" s="8" t="s">
        <v>5</v>
      </c>
      <c r="R2441" s="4" t="s">
        <v>2831</v>
      </c>
      <c r="S2441" s="4"/>
      <c r="T2441"/>
      <c r="U2441" s="23"/>
    </row>
    <row r="2442" spans="1:21" ht="15.6" x14ac:dyDescent="0.3">
      <c r="A2442" s="4">
        <v>2441</v>
      </c>
      <c r="B2442" s="5">
        <v>4780249</v>
      </c>
      <c r="C2442" s="4" t="s">
        <v>132</v>
      </c>
      <c r="D2442" s="4" t="s">
        <v>20</v>
      </c>
      <c r="E2442" s="4" t="s">
        <v>76</v>
      </c>
      <c r="F2442" s="4" t="s">
        <v>2957</v>
      </c>
      <c r="G2442" s="6">
        <v>4.5999999999999996</v>
      </c>
      <c r="H2442" s="7">
        <v>45765.063750000001</v>
      </c>
      <c r="I2442" s="7" t="str">
        <f>TEXT(multilingual_mobile_app_reviews_2025[[#This Row],[Review_date]],"dd-mm-yyyy")</f>
        <v>18-04-2025</v>
      </c>
      <c r="J2442" s="7" t="str">
        <f>TEXT(multilingual_mobile_app_reviews_2025[[#This Row],[Review_date]],"YYYY")</f>
        <v>2025</v>
      </c>
      <c r="K2442" s="7" t="str">
        <f>TEXT(multilingual_mobile_app_reviews_2025[[#This Row],[Review_date]],"MMMM")</f>
        <v>April</v>
      </c>
      <c r="L2442" s="4" t="b">
        <v>1</v>
      </c>
      <c r="M2442" s="4" t="s">
        <v>22</v>
      </c>
      <c r="N2442" s="5">
        <v>676</v>
      </c>
      <c r="O2442" s="5">
        <v>35</v>
      </c>
      <c r="P2442" s="4" t="s">
        <v>61</v>
      </c>
      <c r="Q2442" s="8" t="s">
        <v>39</v>
      </c>
      <c r="R2442" s="4" t="s">
        <v>2832</v>
      </c>
      <c r="S2442" s="4"/>
      <c r="T2442"/>
      <c r="U2442" s="23"/>
    </row>
    <row r="2443" spans="1:21" ht="15.6" x14ac:dyDescent="0.3">
      <c r="A2443" s="4">
        <v>2442</v>
      </c>
      <c r="B2443" s="5">
        <v>4215393</v>
      </c>
      <c r="C2443" s="4" t="s">
        <v>137</v>
      </c>
      <c r="D2443" s="4" t="s">
        <v>42</v>
      </c>
      <c r="E2443" s="4" t="s">
        <v>27</v>
      </c>
      <c r="F2443" s="4" t="s">
        <v>2960</v>
      </c>
      <c r="G2443" s="6">
        <v>4.4000000000000004</v>
      </c>
      <c r="H2443" s="7">
        <v>45314.572141203702</v>
      </c>
      <c r="I2443" s="7" t="str">
        <f>TEXT(multilingual_mobile_app_reviews_2025[[#This Row],[Review_date]],"dd-mm-yyyy")</f>
        <v>23-01-2024</v>
      </c>
      <c r="J2443" s="7" t="str">
        <f>TEXT(multilingual_mobile_app_reviews_2025[[#This Row],[Review_date]],"YYYY")</f>
        <v>2024</v>
      </c>
      <c r="K2443" s="7" t="str">
        <f>TEXT(multilingual_mobile_app_reviews_2025[[#This Row],[Review_date]],"MMMM")</f>
        <v>January</v>
      </c>
      <c r="L2443" s="4" t="b">
        <v>1</v>
      </c>
      <c r="M2443" s="4" t="s">
        <v>10</v>
      </c>
      <c r="N2443" s="5">
        <v>383</v>
      </c>
      <c r="O2443" s="5">
        <v>31</v>
      </c>
      <c r="P2443" s="4" t="s">
        <v>2963</v>
      </c>
      <c r="Q2443" s="8" t="s">
        <v>39</v>
      </c>
      <c r="R2443" s="4" t="s">
        <v>2833</v>
      </c>
      <c r="S2443" s="4"/>
      <c r="T2443"/>
      <c r="U2443" s="23"/>
    </row>
    <row r="2444" spans="1:21" ht="15.6" x14ac:dyDescent="0.3">
      <c r="A2444" s="4">
        <v>2443</v>
      </c>
      <c r="B2444" s="5">
        <v>7379187</v>
      </c>
      <c r="C2444" s="4" t="s">
        <v>25</v>
      </c>
      <c r="D2444" s="4" t="s">
        <v>63</v>
      </c>
      <c r="E2444" s="4" t="s">
        <v>2834</v>
      </c>
      <c r="F2444" s="4" t="s">
        <v>2943</v>
      </c>
      <c r="G2444" s="6">
        <v>4.2</v>
      </c>
      <c r="H2444" s="7">
        <v>45715.613379629627</v>
      </c>
      <c r="I2444" s="7" t="str">
        <f>TEXT(multilingual_mobile_app_reviews_2025[[#This Row],[Review_date]],"dd-mm-yyyy")</f>
        <v>27-02-2025</v>
      </c>
      <c r="J2444" s="7" t="str">
        <f>TEXT(multilingual_mobile_app_reviews_2025[[#This Row],[Review_date]],"YYYY")</f>
        <v>2025</v>
      </c>
      <c r="K2444" s="7" t="str">
        <f>TEXT(multilingual_mobile_app_reviews_2025[[#This Row],[Review_date]],"MMMM")</f>
        <v>February</v>
      </c>
      <c r="L2444" s="4" t="b">
        <v>1</v>
      </c>
      <c r="M2444" s="4" t="s">
        <v>3</v>
      </c>
      <c r="N2444" s="5">
        <v>992</v>
      </c>
      <c r="O2444" s="5">
        <v>70</v>
      </c>
      <c r="P2444" s="4" t="s">
        <v>65</v>
      </c>
      <c r="Q2444" s="8" t="s">
        <v>39</v>
      </c>
      <c r="R2444" s="4" t="s">
        <v>2835</v>
      </c>
      <c r="S2444" s="4"/>
      <c r="T2444"/>
      <c r="U2444" s="23"/>
    </row>
    <row r="2445" spans="1:21" ht="15.6" x14ac:dyDescent="0.3">
      <c r="A2445" s="4">
        <v>2444</v>
      </c>
      <c r="B2445" s="5">
        <v>7134544</v>
      </c>
      <c r="C2445" s="4" t="s">
        <v>75</v>
      </c>
      <c r="D2445" s="4" t="s">
        <v>51</v>
      </c>
      <c r="E2445" s="4" t="s">
        <v>93</v>
      </c>
      <c r="F2445" s="4" t="s">
        <v>2942</v>
      </c>
      <c r="G2445" s="6">
        <v>4.4000000000000004</v>
      </c>
      <c r="H2445" s="7">
        <v>45578.948425925926</v>
      </c>
      <c r="I2445" s="7" t="str">
        <f>TEXT(multilingual_mobile_app_reviews_2025[[#This Row],[Review_date]],"dd-mm-yyyy")</f>
        <v>13-10-2024</v>
      </c>
      <c r="J2445" s="7" t="str">
        <f>TEXT(multilingual_mobile_app_reviews_2025[[#This Row],[Review_date]],"YYYY")</f>
        <v>2024</v>
      </c>
      <c r="K2445" s="7" t="str">
        <f>TEXT(multilingual_mobile_app_reviews_2025[[#This Row],[Review_date]],"MMMM")</f>
        <v>October</v>
      </c>
      <c r="L2445" s="4" t="b">
        <v>1</v>
      </c>
      <c r="M2445" s="4" t="s">
        <v>98</v>
      </c>
      <c r="N2445" s="5">
        <v>75</v>
      </c>
      <c r="O2445" s="5">
        <v>58</v>
      </c>
      <c r="P2445" s="4" t="s">
        <v>61</v>
      </c>
      <c r="Q2445" s="8" t="s">
        <v>29</v>
      </c>
      <c r="R2445" s="4" t="s">
        <v>2836</v>
      </c>
      <c r="S2445" s="4"/>
      <c r="T2445"/>
      <c r="U2445" s="23"/>
    </row>
    <row r="2446" spans="1:21" ht="15.6" x14ac:dyDescent="0.3">
      <c r="A2446" s="4">
        <v>2445</v>
      </c>
      <c r="B2446" s="5">
        <v>5117805</v>
      </c>
      <c r="C2446" s="4" t="s">
        <v>244</v>
      </c>
      <c r="D2446" s="4" t="s">
        <v>111</v>
      </c>
      <c r="E2446" s="4" t="s">
        <v>9</v>
      </c>
      <c r="F2446" s="4" t="s">
        <v>2950</v>
      </c>
      <c r="G2446" s="6">
        <v>2.9</v>
      </c>
      <c r="H2446" s="7">
        <v>45201.893182870372</v>
      </c>
      <c r="I2446" s="7" t="str">
        <f>TEXT(multilingual_mobile_app_reviews_2025[[#This Row],[Review_date]],"dd-mm-yyyy")</f>
        <v>02-10-2023</v>
      </c>
      <c r="J2446" s="7" t="str">
        <f>TEXT(multilingual_mobile_app_reviews_2025[[#This Row],[Review_date]],"YYYY")</f>
        <v>2023</v>
      </c>
      <c r="K2446" s="7" t="str">
        <f>TEXT(multilingual_mobile_app_reviews_2025[[#This Row],[Review_date]],"MMMM")</f>
        <v>October</v>
      </c>
      <c r="L2446" s="4" t="b">
        <v>1</v>
      </c>
      <c r="M2446" s="4" t="s">
        <v>10</v>
      </c>
      <c r="N2446" s="5">
        <v>935</v>
      </c>
      <c r="O2446" s="5">
        <v>28</v>
      </c>
      <c r="P2446" s="4" t="s">
        <v>127</v>
      </c>
      <c r="Q2446" s="8" t="s">
        <v>29</v>
      </c>
      <c r="R2446" s="4" t="s">
        <v>809</v>
      </c>
      <c r="S2446" s="4"/>
      <c r="T2446"/>
      <c r="U2446" s="23"/>
    </row>
    <row r="2447" spans="1:21" ht="15.6" x14ac:dyDescent="0.3">
      <c r="A2447" s="4">
        <v>2446</v>
      </c>
      <c r="B2447" s="5">
        <v>2825382</v>
      </c>
      <c r="C2447" s="4" t="s">
        <v>101</v>
      </c>
      <c r="D2447" s="4" t="s">
        <v>79</v>
      </c>
      <c r="E2447" s="4" t="s">
        <v>64</v>
      </c>
      <c r="F2447" s="4" t="s">
        <v>2945</v>
      </c>
      <c r="G2447" s="6">
        <v>3.2</v>
      </c>
      <c r="H2447" s="7">
        <v>45622.821840277778</v>
      </c>
      <c r="I2447" s="7" t="str">
        <f>TEXT(multilingual_mobile_app_reviews_2025[[#This Row],[Review_date]],"dd-mm-yyyy")</f>
        <v>26-11-2024</v>
      </c>
      <c r="J2447" s="7" t="str">
        <f>TEXT(multilingual_mobile_app_reviews_2025[[#This Row],[Review_date]],"YYYY")</f>
        <v>2024</v>
      </c>
      <c r="K2447" s="7" t="str">
        <f>TEXT(multilingual_mobile_app_reviews_2025[[#This Row],[Review_date]],"MMMM")</f>
        <v>November</v>
      </c>
      <c r="L2447" s="4" t="b">
        <v>1</v>
      </c>
      <c r="M2447" s="4" t="s">
        <v>3</v>
      </c>
      <c r="N2447" s="5">
        <v>1107</v>
      </c>
      <c r="O2447" s="5">
        <v>36</v>
      </c>
      <c r="P2447" s="4" t="s">
        <v>118</v>
      </c>
      <c r="Q2447" s="8" t="s">
        <v>29</v>
      </c>
      <c r="R2447" s="4" t="s">
        <v>2837</v>
      </c>
      <c r="S2447" s="4"/>
      <c r="T2447"/>
      <c r="U2447" s="23"/>
    </row>
    <row r="2448" spans="1:21" ht="15.6" x14ac:dyDescent="0.3">
      <c r="A2448" s="4">
        <v>2447</v>
      </c>
      <c r="B2448" s="5">
        <v>1212674</v>
      </c>
      <c r="C2448" s="4" t="s">
        <v>159</v>
      </c>
      <c r="D2448" s="4" t="s">
        <v>71</v>
      </c>
      <c r="E2448" s="4" t="s">
        <v>109</v>
      </c>
      <c r="F2448" s="4" t="s">
        <v>2952</v>
      </c>
      <c r="G2448" s="6">
        <v>2.4</v>
      </c>
      <c r="H2448" s="7">
        <v>45740.8121875</v>
      </c>
      <c r="I2448" s="7" t="str">
        <f>TEXT(multilingual_mobile_app_reviews_2025[[#This Row],[Review_date]],"dd-mm-yyyy")</f>
        <v>24-03-2025</v>
      </c>
      <c r="J2448" s="7" t="str">
        <f>TEXT(multilingual_mobile_app_reviews_2025[[#This Row],[Review_date]],"YYYY")</f>
        <v>2025</v>
      </c>
      <c r="K2448" s="7" t="str">
        <f>TEXT(multilingual_mobile_app_reviews_2025[[#This Row],[Review_date]],"MMMM")</f>
        <v>March</v>
      </c>
      <c r="L2448" s="4" t="b">
        <v>1</v>
      </c>
      <c r="M2448" s="4" t="s">
        <v>10</v>
      </c>
      <c r="N2448" s="5">
        <v>829</v>
      </c>
      <c r="O2448" s="5">
        <v>54</v>
      </c>
      <c r="P2448" s="4" t="s">
        <v>230</v>
      </c>
      <c r="Q2448" s="8" t="s">
        <v>39</v>
      </c>
      <c r="R2448" s="4" t="s">
        <v>272</v>
      </c>
      <c r="S2448" s="4"/>
      <c r="T2448"/>
      <c r="U2448" s="23"/>
    </row>
    <row r="2449" spans="1:21" ht="15.6" x14ac:dyDescent="0.3">
      <c r="A2449" s="4">
        <v>2448</v>
      </c>
      <c r="B2449" s="5">
        <v>1054674</v>
      </c>
      <c r="C2449" s="4" t="s">
        <v>87</v>
      </c>
      <c r="D2449" s="4" t="s">
        <v>97</v>
      </c>
      <c r="E2449" s="4" t="s">
        <v>2838</v>
      </c>
      <c r="F2449" s="4" t="s">
        <v>2962</v>
      </c>
      <c r="G2449" s="6">
        <v>2.5</v>
      </c>
      <c r="H2449" s="7">
        <v>45599.821435185186</v>
      </c>
      <c r="I2449" s="7" t="str">
        <f>TEXT(multilingual_mobile_app_reviews_2025[[#This Row],[Review_date]],"dd-mm-yyyy")</f>
        <v>03-11-2024</v>
      </c>
      <c r="J2449" s="7" t="str">
        <f>TEXT(multilingual_mobile_app_reviews_2025[[#This Row],[Review_date]],"YYYY")</f>
        <v>2024</v>
      </c>
      <c r="K2449" s="7" t="str">
        <f>TEXT(multilingual_mobile_app_reviews_2025[[#This Row],[Review_date]],"MMMM")</f>
        <v>November</v>
      </c>
      <c r="L2449" s="4" t="b">
        <v>1</v>
      </c>
      <c r="M2449" s="4" t="s">
        <v>10</v>
      </c>
      <c r="N2449" s="5">
        <v>789</v>
      </c>
      <c r="O2449" s="5">
        <v>26</v>
      </c>
      <c r="P2449" s="4" t="s">
        <v>127</v>
      </c>
      <c r="Q2449" s="8" t="s">
        <v>29</v>
      </c>
      <c r="R2449" s="4" t="s">
        <v>2839</v>
      </c>
      <c r="S2449" s="4"/>
      <c r="T2449"/>
      <c r="U2449" s="23"/>
    </row>
    <row r="2450" spans="1:21" ht="15.6" x14ac:dyDescent="0.3">
      <c r="A2450" s="4">
        <v>2449</v>
      </c>
      <c r="B2450" s="5">
        <v>1490468</v>
      </c>
      <c r="C2450" s="4" t="s">
        <v>134</v>
      </c>
      <c r="D2450" s="4" t="s">
        <v>15</v>
      </c>
      <c r="E2450" s="4" t="s">
        <v>2840</v>
      </c>
      <c r="F2450" s="4" t="s">
        <v>2955</v>
      </c>
      <c r="G2450" s="6">
        <v>2.4</v>
      </c>
      <c r="H2450" s="7">
        <v>45671.447453703702</v>
      </c>
      <c r="I2450" s="7" t="str">
        <f>TEXT(multilingual_mobile_app_reviews_2025[[#This Row],[Review_date]],"dd-mm-yyyy")</f>
        <v>14-01-2025</v>
      </c>
      <c r="J2450" s="7" t="str">
        <f>TEXT(multilingual_mobile_app_reviews_2025[[#This Row],[Review_date]],"YYYY")</f>
        <v>2025</v>
      </c>
      <c r="K2450" s="7" t="str">
        <f>TEXT(multilingual_mobile_app_reviews_2025[[#This Row],[Review_date]],"MMMM")</f>
        <v>January</v>
      </c>
      <c r="L2450" s="4" t="b">
        <v>0</v>
      </c>
      <c r="M2450" s="4" t="s">
        <v>33</v>
      </c>
      <c r="N2450" s="5">
        <v>572</v>
      </c>
      <c r="O2450" s="5">
        <v>23</v>
      </c>
      <c r="P2450" s="4" t="s">
        <v>65</v>
      </c>
      <c r="Q2450" s="8" t="s">
        <v>2963</v>
      </c>
      <c r="R2450" s="4" t="s">
        <v>2841</v>
      </c>
      <c r="S2450" s="4"/>
      <c r="T2450"/>
      <c r="U2450" s="23"/>
    </row>
    <row r="2451" spans="1:21" ht="15.6" x14ac:dyDescent="0.3">
      <c r="A2451" s="4">
        <v>2450</v>
      </c>
      <c r="B2451" s="5">
        <v>6093668</v>
      </c>
      <c r="C2451" s="4" t="s">
        <v>96</v>
      </c>
      <c r="D2451" s="4" t="s">
        <v>20</v>
      </c>
      <c r="E2451" s="4" t="s">
        <v>109</v>
      </c>
      <c r="F2451" s="4" t="s">
        <v>2942</v>
      </c>
      <c r="G2451" s="6">
        <v>3.9</v>
      </c>
      <c r="H2451" s="7">
        <v>45656.220995370371</v>
      </c>
      <c r="I2451" s="7" t="str">
        <f>TEXT(multilingual_mobile_app_reviews_2025[[#This Row],[Review_date]],"dd-mm-yyyy")</f>
        <v>30-12-2024</v>
      </c>
      <c r="J2451" s="7" t="str">
        <f>TEXT(multilingual_mobile_app_reviews_2025[[#This Row],[Review_date]],"YYYY")</f>
        <v>2024</v>
      </c>
      <c r="K2451" s="7" t="str">
        <f>TEXT(multilingual_mobile_app_reviews_2025[[#This Row],[Review_date]],"MMMM")</f>
        <v>December</v>
      </c>
      <c r="L2451" s="4" t="b">
        <v>1</v>
      </c>
      <c r="M2451" s="4" t="s">
        <v>3</v>
      </c>
      <c r="N2451" s="5">
        <v>904</v>
      </c>
      <c r="O2451" s="5">
        <v>57</v>
      </c>
      <c r="P2451" s="4" t="s">
        <v>70</v>
      </c>
      <c r="Q2451" s="8" t="s">
        <v>39</v>
      </c>
      <c r="R2451" s="4" t="s">
        <v>2842</v>
      </c>
      <c r="S2451" s="4"/>
      <c r="T2451"/>
      <c r="U2451" s="23"/>
    </row>
    <row r="2452" spans="1:21" ht="15.6" x14ac:dyDescent="0.3">
      <c r="A2452" s="4">
        <v>2451</v>
      </c>
      <c r="B2452" s="5">
        <v>1568345</v>
      </c>
      <c r="C2452" s="4" t="s">
        <v>244</v>
      </c>
      <c r="D2452" s="4" t="s">
        <v>97</v>
      </c>
      <c r="E2452" s="4" t="s">
        <v>2843</v>
      </c>
      <c r="F2452" s="4" t="s">
        <v>2945</v>
      </c>
      <c r="G2452" s="6">
        <v>3.3</v>
      </c>
      <c r="H2452" s="7">
        <v>45189.320613425924</v>
      </c>
      <c r="I2452" s="7" t="str">
        <f>TEXT(multilingual_mobile_app_reviews_2025[[#This Row],[Review_date]],"dd-mm-yyyy")</f>
        <v>20-09-2023</v>
      </c>
      <c r="J2452" s="7" t="str">
        <f>TEXT(multilingual_mobile_app_reviews_2025[[#This Row],[Review_date]],"YYYY")</f>
        <v>2023</v>
      </c>
      <c r="K2452" s="7" t="str">
        <f>TEXT(multilingual_mobile_app_reviews_2025[[#This Row],[Review_date]],"MMMM")</f>
        <v>September</v>
      </c>
      <c r="L2452" s="4" t="b">
        <v>1</v>
      </c>
      <c r="M2452" s="4" t="s">
        <v>10</v>
      </c>
      <c r="N2452" s="5">
        <v>963</v>
      </c>
      <c r="O2452" s="5">
        <v>29</v>
      </c>
      <c r="P2452" s="4" t="s">
        <v>144</v>
      </c>
      <c r="Q2452" s="8" t="s">
        <v>5</v>
      </c>
      <c r="R2452" s="4" t="s">
        <v>2844</v>
      </c>
      <c r="S2452" s="4"/>
      <c r="T2452"/>
      <c r="U2452" s="23"/>
    </row>
    <row r="2453" spans="1:21" ht="15.6" x14ac:dyDescent="0.3">
      <c r="A2453" s="4">
        <v>2452</v>
      </c>
      <c r="B2453" s="5">
        <v>4461777</v>
      </c>
      <c r="C2453" s="4" t="s">
        <v>50</v>
      </c>
      <c r="D2453" s="4" t="s">
        <v>220</v>
      </c>
      <c r="E2453" s="4" t="s">
        <v>16</v>
      </c>
      <c r="F2453" s="4" t="s">
        <v>2958</v>
      </c>
      <c r="G2453" s="6">
        <v>4.7</v>
      </c>
      <c r="H2453" s="7">
        <v>45261.129837962966</v>
      </c>
      <c r="I2453" s="7" t="str">
        <f>TEXT(multilingual_mobile_app_reviews_2025[[#This Row],[Review_date]],"dd-mm-yyyy")</f>
        <v>01-12-2023</v>
      </c>
      <c r="J2453" s="7" t="str">
        <f>TEXT(multilingual_mobile_app_reviews_2025[[#This Row],[Review_date]],"YYYY")</f>
        <v>2023</v>
      </c>
      <c r="K2453" s="7" t="str">
        <f>TEXT(multilingual_mobile_app_reviews_2025[[#This Row],[Review_date]],"MMMM")</f>
        <v>December</v>
      </c>
      <c r="L2453" s="4" t="b">
        <v>0</v>
      </c>
      <c r="M2453" s="4" t="s">
        <v>3</v>
      </c>
      <c r="N2453" s="5">
        <v>940</v>
      </c>
      <c r="O2453" s="5">
        <v>37</v>
      </c>
      <c r="P2453" s="4" t="s">
        <v>114</v>
      </c>
      <c r="Q2453" s="8" t="s">
        <v>39</v>
      </c>
      <c r="R2453" s="4" t="s">
        <v>2845</v>
      </c>
      <c r="S2453" s="4"/>
      <c r="T2453"/>
      <c r="U2453" s="23"/>
    </row>
    <row r="2454" spans="1:21" ht="15.6" x14ac:dyDescent="0.3">
      <c r="A2454" s="4">
        <v>2453</v>
      </c>
      <c r="B2454" s="5">
        <v>8738445</v>
      </c>
      <c r="C2454" s="4" t="s">
        <v>0</v>
      </c>
      <c r="D2454" s="4" t="s">
        <v>26</v>
      </c>
      <c r="E2454" s="4" t="s">
        <v>2846</v>
      </c>
      <c r="F2454" s="4" t="s">
        <v>2954</v>
      </c>
      <c r="G2454" s="6">
        <v>1.8</v>
      </c>
      <c r="H2454" s="7">
        <v>45401.921412037038</v>
      </c>
      <c r="I2454" s="7" t="str">
        <f>TEXT(multilingual_mobile_app_reviews_2025[[#This Row],[Review_date]],"dd-mm-yyyy")</f>
        <v>19-04-2024</v>
      </c>
      <c r="J2454" s="7" t="str">
        <f>TEXT(multilingual_mobile_app_reviews_2025[[#This Row],[Review_date]],"YYYY")</f>
        <v>2024</v>
      </c>
      <c r="K2454" s="7" t="str">
        <f>TEXT(multilingual_mobile_app_reviews_2025[[#This Row],[Review_date]],"MMMM")</f>
        <v>April</v>
      </c>
      <c r="L2454" s="4" t="b">
        <v>0</v>
      </c>
      <c r="M2454" s="4" t="s">
        <v>98</v>
      </c>
      <c r="N2454" s="5">
        <v>274</v>
      </c>
      <c r="O2454" s="5">
        <v>39</v>
      </c>
      <c r="P2454" s="4" t="s">
        <v>118</v>
      </c>
      <c r="Q2454" s="8" t="s">
        <v>39</v>
      </c>
      <c r="R2454" s="4" t="s">
        <v>2847</v>
      </c>
      <c r="S2454" s="4"/>
      <c r="T2454"/>
      <c r="U2454" s="23"/>
    </row>
    <row r="2455" spans="1:21" ht="15.6" x14ac:dyDescent="0.3">
      <c r="A2455" s="4">
        <v>2454</v>
      </c>
      <c r="B2455" s="5">
        <v>2831440</v>
      </c>
      <c r="C2455" s="4" t="s">
        <v>56</v>
      </c>
      <c r="D2455" s="4" t="s">
        <v>71</v>
      </c>
      <c r="E2455" s="4" t="s">
        <v>2848</v>
      </c>
      <c r="F2455" s="4" t="s">
        <v>2950</v>
      </c>
      <c r="G2455" s="6">
        <v>2.2999999999999998</v>
      </c>
      <c r="H2455" s="7">
        <v>45685.096747685187</v>
      </c>
      <c r="I2455" s="7" t="str">
        <f>TEXT(multilingual_mobile_app_reviews_2025[[#This Row],[Review_date]],"dd-mm-yyyy")</f>
        <v>28-01-2025</v>
      </c>
      <c r="J2455" s="7" t="str">
        <f>TEXT(multilingual_mobile_app_reviews_2025[[#This Row],[Review_date]],"YYYY")</f>
        <v>2025</v>
      </c>
      <c r="K2455" s="7" t="str">
        <f>TEXT(multilingual_mobile_app_reviews_2025[[#This Row],[Review_date]],"MMMM")</f>
        <v>January</v>
      </c>
      <c r="L2455" s="4" t="b">
        <v>1</v>
      </c>
      <c r="M2455" s="4" t="s">
        <v>33</v>
      </c>
      <c r="N2455" s="5">
        <v>192</v>
      </c>
      <c r="O2455" s="5">
        <v>53</v>
      </c>
      <c r="P2455" s="4" t="s">
        <v>65</v>
      </c>
      <c r="Q2455" s="8" t="s">
        <v>29</v>
      </c>
      <c r="R2455" s="4" t="s">
        <v>2849</v>
      </c>
      <c r="S2455" s="4"/>
      <c r="T2455"/>
      <c r="U2455" s="23"/>
    </row>
    <row r="2456" spans="1:21" ht="15.6" x14ac:dyDescent="0.3">
      <c r="A2456" s="4">
        <v>2455</v>
      </c>
      <c r="B2456" s="5">
        <v>717362</v>
      </c>
      <c r="C2456" s="4" t="s">
        <v>134</v>
      </c>
      <c r="D2456" s="4" t="s">
        <v>97</v>
      </c>
      <c r="E2456" s="4" t="s">
        <v>27</v>
      </c>
      <c r="F2456" s="4" t="s">
        <v>2961</v>
      </c>
      <c r="G2456" s="6">
        <v>5</v>
      </c>
      <c r="H2456" s="7">
        <v>45200.59134259259</v>
      </c>
      <c r="I2456" s="7" t="str">
        <f>TEXT(multilingual_mobile_app_reviews_2025[[#This Row],[Review_date]],"dd-mm-yyyy")</f>
        <v>01-10-2023</v>
      </c>
      <c r="J2456" s="7" t="str">
        <f>TEXT(multilingual_mobile_app_reviews_2025[[#This Row],[Review_date]],"YYYY")</f>
        <v>2023</v>
      </c>
      <c r="K2456" s="7" t="str">
        <f>TEXT(multilingual_mobile_app_reviews_2025[[#This Row],[Review_date]],"MMMM")</f>
        <v>October</v>
      </c>
      <c r="L2456" s="4" t="b">
        <v>1</v>
      </c>
      <c r="M2456" s="4" t="s">
        <v>10</v>
      </c>
      <c r="N2456" s="5">
        <v>1193</v>
      </c>
      <c r="O2456" s="5">
        <v>58</v>
      </c>
      <c r="P2456" s="4" t="s">
        <v>65</v>
      </c>
      <c r="Q2456" s="8" t="s">
        <v>5</v>
      </c>
      <c r="R2456" s="4" t="s">
        <v>2850</v>
      </c>
      <c r="S2456" s="4"/>
      <c r="T2456"/>
      <c r="U2456" s="23"/>
    </row>
    <row r="2457" spans="1:21" ht="15.6" x14ac:dyDescent="0.3">
      <c r="A2457" s="4">
        <v>2456</v>
      </c>
      <c r="B2457" s="5">
        <v>9959686</v>
      </c>
      <c r="C2457" s="4" t="s">
        <v>84</v>
      </c>
      <c r="D2457" s="4" t="s">
        <v>26</v>
      </c>
      <c r="E2457" s="4" t="s">
        <v>2851</v>
      </c>
      <c r="F2457" s="4" t="s">
        <v>2946</v>
      </c>
      <c r="G2457" s="6">
        <v>2.1</v>
      </c>
      <c r="H2457" s="7">
        <v>45373.872696759259</v>
      </c>
      <c r="I2457" s="7" t="str">
        <f>TEXT(multilingual_mobile_app_reviews_2025[[#This Row],[Review_date]],"dd-mm-yyyy")</f>
        <v>22-03-2024</v>
      </c>
      <c r="J2457" s="7" t="str">
        <f>TEXT(multilingual_mobile_app_reviews_2025[[#This Row],[Review_date]],"YYYY")</f>
        <v>2024</v>
      </c>
      <c r="K2457" s="7" t="str">
        <f>TEXT(multilingual_mobile_app_reviews_2025[[#This Row],[Review_date]],"MMMM")</f>
        <v>March</v>
      </c>
      <c r="L2457" s="4" t="b">
        <v>0</v>
      </c>
      <c r="M2457" s="4" t="s">
        <v>22</v>
      </c>
      <c r="N2457" s="5">
        <v>681</v>
      </c>
      <c r="O2457" s="5">
        <v>19</v>
      </c>
      <c r="P2457" s="4" t="s">
        <v>114</v>
      </c>
      <c r="Q2457" s="8" t="s">
        <v>2963</v>
      </c>
      <c r="R2457" s="4" t="s">
        <v>2852</v>
      </c>
      <c r="S2457" s="4"/>
      <c r="T2457"/>
      <c r="U2457" s="23"/>
    </row>
    <row r="2458" spans="1:21" ht="15.6" x14ac:dyDescent="0.3">
      <c r="A2458" s="4">
        <v>2457</v>
      </c>
      <c r="B2458" s="5">
        <v>3619388</v>
      </c>
      <c r="C2458" s="4" t="s">
        <v>113</v>
      </c>
      <c r="D2458" s="4" t="s">
        <v>1</v>
      </c>
      <c r="E2458" s="4" t="s">
        <v>16</v>
      </c>
      <c r="F2458" s="4" t="s">
        <v>2940</v>
      </c>
      <c r="G2458" s="6">
        <v>4.8</v>
      </c>
      <c r="H2458" s="7">
        <v>45834.503310185188</v>
      </c>
      <c r="I2458" s="7" t="str">
        <f>TEXT(multilingual_mobile_app_reviews_2025[[#This Row],[Review_date]],"dd-mm-yyyy")</f>
        <v>26-06-2025</v>
      </c>
      <c r="J2458" s="7" t="str">
        <f>TEXT(multilingual_mobile_app_reviews_2025[[#This Row],[Review_date]],"YYYY")</f>
        <v>2025</v>
      </c>
      <c r="K2458" s="7" t="str">
        <f>TEXT(multilingual_mobile_app_reviews_2025[[#This Row],[Review_date]],"MMMM")</f>
        <v>June</v>
      </c>
      <c r="L2458" s="4" t="b">
        <v>1</v>
      </c>
      <c r="M2458" s="4" t="s">
        <v>98</v>
      </c>
      <c r="N2458" s="5">
        <v>992</v>
      </c>
      <c r="O2458" s="5">
        <v>37</v>
      </c>
      <c r="P2458" s="4" t="s">
        <v>17</v>
      </c>
      <c r="Q2458" s="8" t="s">
        <v>2963</v>
      </c>
      <c r="R2458" s="4" t="s">
        <v>1056</v>
      </c>
      <c r="S2458" s="4"/>
      <c r="T2458"/>
      <c r="U2458" s="23"/>
    </row>
    <row r="2459" spans="1:21" ht="15.6" x14ac:dyDescent="0.3">
      <c r="A2459" s="4">
        <v>2458</v>
      </c>
      <c r="B2459" s="5">
        <v>667676</v>
      </c>
      <c r="C2459" s="4" t="s">
        <v>101</v>
      </c>
      <c r="D2459" s="4" t="s">
        <v>220</v>
      </c>
      <c r="E2459" s="4" t="s">
        <v>2853</v>
      </c>
      <c r="F2459" s="4" t="s">
        <v>2950</v>
      </c>
      <c r="G2459" s="6">
        <v>4.2</v>
      </c>
      <c r="H2459" s="7">
        <v>45283.785636574074</v>
      </c>
      <c r="I2459" s="7" t="str">
        <f>TEXT(multilingual_mobile_app_reviews_2025[[#This Row],[Review_date]],"dd-mm-yyyy")</f>
        <v>23-12-2023</v>
      </c>
      <c r="J2459" s="7" t="str">
        <f>TEXT(multilingual_mobile_app_reviews_2025[[#This Row],[Review_date]],"YYYY")</f>
        <v>2023</v>
      </c>
      <c r="K2459" s="7" t="str">
        <f>TEXT(multilingual_mobile_app_reviews_2025[[#This Row],[Review_date]],"MMMM")</f>
        <v>December</v>
      </c>
      <c r="L2459" s="4" t="b">
        <v>1</v>
      </c>
      <c r="M2459" s="4" t="s">
        <v>3</v>
      </c>
      <c r="N2459" s="5">
        <v>77</v>
      </c>
      <c r="O2459" s="5">
        <v>64</v>
      </c>
      <c r="P2459" s="4" t="s">
        <v>65</v>
      </c>
      <c r="Q2459" s="8" t="s">
        <v>39</v>
      </c>
      <c r="R2459" s="4" t="s">
        <v>2854</v>
      </c>
      <c r="S2459" s="4"/>
      <c r="T2459"/>
      <c r="U2459" s="23"/>
    </row>
    <row r="2460" spans="1:21" ht="15.6" x14ac:dyDescent="0.3">
      <c r="A2460" s="4">
        <v>2459</v>
      </c>
      <c r="B2460" s="5">
        <v>7876305</v>
      </c>
      <c r="C2460" s="4" t="s">
        <v>154</v>
      </c>
      <c r="D2460" s="4" t="s">
        <v>79</v>
      </c>
      <c r="E2460" s="4" t="s">
        <v>64</v>
      </c>
      <c r="F2460" s="4" t="s">
        <v>2943</v>
      </c>
      <c r="G2460" s="6">
        <v>1.2</v>
      </c>
      <c r="H2460" s="7">
        <v>45650.217870370368</v>
      </c>
      <c r="I2460" s="7" t="str">
        <f>TEXT(multilingual_mobile_app_reviews_2025[[#This Row],[Review_date]],"dd-mm-yyyy")</f>
        <v>24-12-2024</v>
      </c>
      <c r="J2460" s="7" t="str">
        <f>TEXT(multilingual_mobile_app_reviews_2025[[#This Row],[Review_date]],"YYYY")</f>
        <v>2024</v>
      </c>
      <c r="K2460" s="7" t="str">
        <f>TEXT(multilingual_mobile_app_reviews_2025[[#This Row],[Review_date]],"MMMM")</f>
        <v>December</v>
      </c>
      <c r="L2460" s="4" t="b">
        <v>1</v>
      </c>
      <c r="M2460" s="4" t="s">
        <v>10</v>
      </c>
      <c r="N2460" s="5">
        <v>1097</v>
      </c>
      <c r="O2460" s="5">
        <v>36</v>
      </c>
      <c r="P2460" s="4" t="s">
        <v>65</v>
      </c>
      <c r="Q2460" s="8" t="s">
        <v>29</v>
      </c>
      <c r="R2460" s="4" t="s">
        <v>275</v>
      </c>
      <c r="S2460" s="4"/>
      <c r="T2460"/>
      <c r="U2460" s="23"/>
    </row>
    <row r="2461" spans="1:21" ht="15.6" x14ac:dyDescent="0.3">
      <c r="A2461" s="4">
        <v>2460</v>
      </c>
      <c r="B2461" s="5">
        <v>5528764</v>
      </c>
      <c r="C2461" s="4" t="s">
        <v>96</v>
      </c>
      <c r="D2461" s="4" t="s">
        <v>60</v>
      </c>
      <c r="E2461" s="4" t="s">
        <v>2938</v>
      </c>
      <c r="F2461" s="4" t="s">
        <v>2940</v>
      </c>
      <c r="G2461" s="6">
        <v>4.0999999999999996</v>
      </c>
      <c r="H2461" s="7">
        <v>45682.471909722219</v>
      </c>
      <c r="I2461" s="7" t="str">
        <f>TEXT(multilingual_mobile_app_reviews_2025[[#This Row],[Review_date]],"dd-mm-yyyy")</f>
        <v>25-01-2025</v>
      </c>
      <c r="J2461" s="7" t="str">
        <f>TEXT(multilingual_mobile_app_reviews_2025[[#This Row],[Review_date]],"YYYY")</f>
        <v>2025</v>
      </c>
      <c r="K2461" s="7" t="str">
        <f>TEXT(multilingual_mobile_app_reviews_2025[[#This Row],[Review_date]],"MMMM")</f>
        <v>January</v>
      </c>
      <c r="L2461" s="4" t="b">
        <v>1</v>
      </c>
      <c r="M2461" s="4" t="s">
        <v>98</v>
      </c>
      <c r="N2461" s="5">
        <v>237</v>
      </c>
      <c r="O2461" s="5">
        <v>27</v>
      </c>
      <c r="P2461" s="4" t="s">
        <v>144</v>
      </c>
      <c r="Q2461" s="8" t="s">
        <v>12</v>
      </c>
      <c r="R2461" s="4" t="s">
        <v>2855</v>
      </c>
      <c r="S2461" s="4"/>
      <c r="T2461"/>
      <c r="U2461" s="23"/>
    </row>
    <row r="2462" spans="1:21" ht="15.6" x14ac:dyDescent="0.3">
      <c r="A2462" s="4">
        <v>2461</v>
      </c>
      <c r="B2462" s="5">
        <v>224800</v>
      </c>
      <c r="C2462" s="4" t="s">
        <v>0</v>
      </c>
      <c r="D2462" s="4" t="s">
        <v>47</v>
      </c>
      <c r="E2462" s="4" t="s">
        <v>9</v>
      </c>
      <c r="F2462" s="4" t="s">
        <v>2945</v>
      </c>
      <c r="G2462" s="6">
        <v>3.2</v>
      </c>
      <c r="H2462" s="7">
        <v>45813.985798611109</v>
      </c>
      <c r="I2462" s="7" t="str">
        <f>TEXT(multilingual_mobile_app_reviews_2025[[#This Row],[Review_date]],"dd-mm-yyyy")</f>
        <v>05-06-2025</v>
      </c>
      <c r="J2462" s="7" t="str">
        <f>TEXT(multilingual_mobile_app_reviews_2025[[#This Row],[Review_date]],"YYYY")</f>
        <v>2025</v>
      </c>
      <c r="K2462" s="7" t="str">
        <f>TEXT(multilingual_mobile_app_reviews_2025[[#This Row],[Review_date]],"MMMM")</f>
        <v>June</v>
      </c>
      <c r="L2462" s="4" t="b">
        <v>1</v>
      </c>
      <c r="M2462" s="4" t="s">
        <v>22</v>
      </c>
      <c r="N2462" s="5">
        <v>448</v>
      </c>
      <c r="O2462" s="5">
        <v>34</v>
      </c>
      <c r="P2462" s="4" t="s">
        <v>162</v>
      </c>
      <c r="Q2462" s="8" t="s">
        <v>39</v>
      </c>
      <c r="R2462" s="4" t="s">
        <v>2856</v>
      </c>
      <c r="S2462" s="4"/>
      <c r="T2462"/>
      <c r="U2462" s="23"/>
    </row>
    <row r="2463" spans="1:21" ht="15.6" x14ac:dyDescent="0.3">
      <c r="A2463" s="4">
        <v>2462</v>
      </c>
      <c r="B2463" s="5">
        <v>4304376</v>
      </c>
      <c r="C2463" s="4" t="s">
        <v>46</v>
      </c>
      <c r="D2463" s="4" t="s">
        <v>111</v>
      </c>
      <c r="E2463" s="4" t="s">
        <v>32</v>
      </c>
      <c r="F2463" s="4" t="s">
        <v>2950</v>
      </c>
      <c r="G2463" s="6">
        <v>3.2</v>
      </c>
      <c r="H2463" s="7">
        <v>45461.840486111112</v>
      </c>
      <c r="I2463" s="7" t="str">
        <f>TEXT(multilingual_mobile_app_reviews_2025[[#This Row],[Review_date]],"dd-mm-yyyy")</f>
        <v>18-06-2024</v>
      </c>
      <c r="J2463" s="7" t="str">
        <f>TEXT(multilingual_mobile_app_reviews_2025[[#This Row],[Review_date]],"YYYY")</f>
        <v>2024</v>
      </c>
      <c r="K2463" s="7" t="str">
        <f>TEXT(multilingual_mobile_app_reviews_2025[[#This Row],[Review_date]],"MMMM")</f>
        <v>June</v>
      </c>
      <c r="L2463" s="4" t="b">
        <v>1</v>
      </c>
      <c r="M2463" s="4" t="s">
        <v>98</v>
      </c>
      <c r="N2463" s="5">
        <v>707</v>
      </c>
      <c r="O2463" s="5">
        <v>58</v>
      </c>
      <c r="P2463" s="4" t="s">
        <v>162</v>
      </c>
      <c r="Q2463" s="8" t="s">
        <v>29</v>
      </c>
      <c r="R2463" s="4" t="s">
        <v>2857</v>
      </c>
      <c r="S2463" s="4"/>
      <c r="T2463"/>
      <c r="U2463" s="23"/>
    </row>
    <row r="2464" spans="1:21" ht="15.6" x14ac:dyDescent="0.3">
      <c r="A2464" s="4">
        <v>2463</v>
      </c>
      <c r="B2464" s="5">
        <v>8268729</v>
      </c>
      <c r="C2464" s="4" t="s">
        <v>69</v>
      </c>
      <c r="D2464" s="4" t="s">
        <v>31</v>
      </c>
      <c r="E2464" s="4" t="s">
        <v>2938</v>
      </c>
      <c r="F2464" s="4" t="s">
        <v>2946</v>
      </c>
      <c r="G2464" s="6">
        <v>4.5</v>
      </c>
      <c r="H2464" s="7">
        <v>45818.915497685186</v>
      </c>
      <c r="I2464" s="7" t="str">
        <f>TEXT(multilingual_mobile_app_reviews_2025[[#This Row],[Review_date]],"dd-mm-yyyy")</f>
        <v>10-06-2025</v>
      </c>
      <c r="J2464" s="7" t="str">
        <f>TEXT(multilingual_mobile_app_reviews_2025[[#This Row],[Review_date]],"YYYY")</f>
        <v>2025</v>
      </c>
      <c r="K2464" s="7" t="str">
        <f>TEXT(multilingual_mobile_app_reviews_2025[[#This Row],[Review_date]],"MMMM")</f>
        <v>June</v>
      </c>
      <c r="L2464" s="4" t="b">
        <v>1</v>
      </c>
      <c r="M2464" s="4" t="s">
        <v>10</v>
      </c>
      <c r="N2464" s="5">
        <v>53</v>
      </c>
      <c r="O2464" s="5">
        <v>19</v>
      </c>
      <c r="P2464" s="4" t="s">
        <v>70</v>
      </c>
      <c r="Q2464" s="8" t="s">
        <v>39</v>
      </c>
      <c r="R2464" s="4" t="s">
        <v>2858</v>
      </c>
      <c r="S2464" s="4"/>
      <c r="T2464"/>
      <c r="U2464" s="23"/>
    </row>
    <row r="2465" spans="1:21" ht="15.6" x14ac:dyDescent="0.3">
      <c r="A2465" s="4">
        <v>2464</v>
      </c>
      <c r="B2465" s="5">
        <v>2585842</v>
      </c>
      <c r="C2465" s="4" t="s">
        <v>137</v>
      </c>
      <c r="D2465" s="4" t="s">
        <v>63</v>
      </c>
      <c r="E2465" s="4" t="s">
        <v>2859</v>
      </c>
      <c r="F2465" s="4" t="s">
        <v>2958</v>
      </c>
      <c r="G2465" s="6">
        <v>3.9</v>
      </c>
      <c r="H2465" s="7">
        <v>45302.814791666664</v>
      </c>
      <c r="I2465" s="7" t="str">
        <f>TEXT(multilingual_mobile_app_reviews_2025[[#This Row],[Review_date]],"dd-mm-yyyy")</f>
        <v>11-01-2024</v>
      </c>
      <c r="J2465" s="7" t="str">
        <f>TEXT(multilingual_mobile_app_reviews_2025[[#This Row],[Review_date]],"YYYY")</f>
        <v>2024</v>
      </c>
      <c r="K2465" s="7" t="str">
        <f>TEXT(multilingual_mobile_app_reviews_2025[[#This Row],[Review_date]],"MMMM")</f>
        <v>January</v>
      </c>
      <c r="L2465" s="4" t="b">
        <v>1</v>
      </c>
      <c r="M2465" s="4" t="s">
        <v>22</v>
      </c>
      <c r="N2465" s="5">
        <v>413</v>
      </c>
      <c r="O2465" s="5">
        <v>23</v>
      </c>
      <c r="P2465" s="4" t="s">
        <v>114</v>
      </c>
      <c r="Q2465" s="8" t="s">
        <v>5</v>
      </c>
      <c r="R2465" s="4" t="s">
        <v>2860</v>
      </c>
      <c r="S2465" s="4"/>
      <c r="T2465"/>
      <c r="U2465" s="23"/>
    </row>
    <row r="2466" spans="1:21" ht="15.6" x14ac:dyDescent="0.3">
      <c r="A2466" s="4">
        <v>2465</v>
      </c>
      <c r="B2466" s="5">
        <v>5678724</v>
      </c>
      <c r="C2466" s="4" t="s">
        <v>134</v>
      </c>
      <c r="D2466" s="4" t="s">
        <v>63</v>
      </c>
      <c r="E2466" s="4" t="s">
        <v>2861</v>
      </c>
      <c r="F2466" s="4" t="s">
        <v>2953</v>
      </c>
      <c r="G2466" s="6">
        <v>2.4</v>
      </c>
      <c r="H2466" s="7">
        <v>45557.370578703703</v>
      </c>
      <c r="I2466" s="7" t="str">
        <f>TEXT(multilingual_mobile_app_reviews_2025[[#This Row],[Review_date]],"dd-mm-yyyy")</f>
        <v>22-09-2024</v>
      </c>
      <c r="J2466" s="7" t="str">
        <f>TEXT(multilingual_mobile_app_reviews_2025[[#This Row],[Review_date]],"YYYY")</f>
        <v>2024</v>
      </c>
      <c r="K2466" s="7" t="str">
        <f>TEXT(multilingual_mobile_app_reviews_2025[[#This Row],[Review_date]],"MMMM")</f>
        <v>September</v>
      </c>
      <c r="L2466" s="4" t="b">
        <v>0</v>
      </c>
      <c r="M2466" s="4" t="s">
        <v>98</v>
      </c>
      <c r="N2466" s="5">
        <v>186</v>
      </c>
      <c r="O2466" s="5">
        <v>67</v>
      </c>
      <c r="P2466" s="4" t="s">
        <v>114</v>
      </c>
      <c r="Q2466" s="8" t="s">
        <v>5</v>
      </c>
      <c r="R2466" s="4" t="s">
        <v>2862</v>
      </c>
      <c r="S2466" s="4"/>
      <c r="T2466"/>
      <c r="U2466" s="23"/>
    </row>
    <row r="2467" spans="1:21" ht="15.6" x14ac:dyDescent="0.3">
      <c r="A2467" s="4">
        <v>2466</v>
      </c>
      <c r="B2467" s="5">
        <v>7757731</v>
      </c>
      <c r="C2467" s="4" t="s">
        <v>199</v>
      </c>
      <c r="D2467" s="4" t="s">
        <v>220</v>
      </c>
      <c r="E2467" s="4" t="s">
        <v>76</v>
      </c>
      <c r="F2467" s="4" t="s">
        <v>2956</v>
      </c>
      <c r="G2467" s="6">
        <v>2.2000000000000002</v>
      </c>
      <c r="H2467" s="7">
        <v>45173.453055555554</v>
      </c>
      <c r="I2467" s="7" t="str">
        <f>TEXT(multilingual_mobile_app_reviews_2025[[#This Row],[Review_date]],"dd-mm-yyyy")</f>
        <v>04-09-2023</v>
      </c>
      <c r="J2467" s="7" t="str">
        <f>TEXT(multilingual_mobile_app_reviews_2025[[#This Row],[Review_date]],"YYYY")</f>
        <v>2023</v>
      </c>
      <c r="K2467" s="7" t="str">
        <f>TEXT(multilingual_mobile_app_reviews_2025[[#This Row],[Review_date]],"MMMM")</f>
        <v>September</v>
      </c>
      <c r="L2467" s="4" t="b">
        <v>1</v>
      </c>
      <c r="M2467" s="4" t="s">
        <v>10</v>
      </c>
      <c r="N2467" s="5">
        <v>610</v>
      </c>
      <c r="O2467" s="5">
        <v>21</v>
      </c>
      <c r="P2467" s="4" t="s">
        <v>180</v>
      </c>
      <c r="Q2467" s="8" t="s">
        <v>2963</v>
      </c>
      <c r="R2467" s="4" t="s">
        <v>2863</v>
      </c>
      <c r="S2467" s="4"/>
      <c r="T2467"/>
      <c r="U2467" s="23"/>
    </row>
    <row r="2468" spans="1:21" ht="15.6" x14ac:dyDescent="0.3">
      <c r="A2468" s="4">
        <v>2467</v>
      </c>
      <c r="B2468" s="5">
        <v>5680192</v>
      </c>
      <c r="C2468" s="4" t="s">
        <v>174</v>
      </c>
      <c r="D2468" s="4" t="s">
        <v>63</v>
      </c>
      <c r="E2468" s="4" t="s">
        <v>93</v>
      </c>
      <c r="F2468" s="4" t="s">
        <v>2952</v>
      </c>
      <c r="G2468" s="6">
        <v>3.2</v>
      </c>
      <c r="H2468" s="7">
        <v>45152.793182870373</v>
      </c>
      <c r="I2468" s="7" t="str">
        <f>TEXT(multilingual_mobile_app_reviews_2025[[#This Row],[Review_date]],"dd-mm-yyyy")</f>
        <v>14-08-2023</v>
      </c>
      <c r="J2468" s="7" t="str">
        <f>TEXT(multilingual_mobile_app_reviews_2025[[#This Row],[Review_date]],"YYYY")</f>
        <v>2023</v>
      </c>
      <c r="K2468" s="7" t="str">
        <f>TEXT(multilingual_mobile_app_reviews_2025[[#This Row],[Review_date]],"MMMM")</f>
        <v>August</v>
      </c>
      <c r="L2468" s="4" t="b">
        <v>1</v>
      </c>
      <c r="M2468" s="4" t="s">
        <v>22</v>
      </c>
      <c r="N2468" s="5">
        <v>542</v>
      </c>
      <c r="O2468" s="5">
        <v>55</v>
      </c>
      <c r="P2468" s="4" t="s">
        <v>17</v>
      </c>
      <c r="Q2468" s="8" t="s">
        <v>39</v>
      </c>
      <c r="R2468" s="4" t="s">
        <v>781</v>
      </c>
      <c r="S2468" s="4"/>
      <c r="T2468"/>
      <c r="U2468" s="23"/>
    </row>
    <row r="2469" spans="1:21" ht="15.6" x14ac:dyDescent="0.3">
      <c r="A2469" s="4">
        <v>2468</v>
      </c>
      <c r="B2469" s="5">
        <v>9987153</v>
      </c>
      <c r="C2469" s="4" t="s">
        <v>36</v>
      </c>
      <c r="D2469" s="4" t="s">
        <v>8</v>
      </c>
      <c r="E2469" s="4" t="s">
        <v>130</v>
      </c>
      <c r="F2469" s="4" t="s">
        <v>2945</v>
      </c>
      <c r="G2469" s="6">
        <v>1.7</v>
      </c>
      <c r="H2469" s="7">
        <v>45625.916759259257</v>
      </c>
      <c r="I2469" s="7" t="str">
        <f>TEXT(multilingual_mobile_app_reviews_2025[[#This Row],[Review_date]],"dd-mm-yyyy")</f>
        <v>29-11-2024</v>
      </c>
      <c r="J2469" s="7" t="str">
        <f>TEXT(multilingual_mobile_app_reviews_2025[[#This Row],[Review_date]],"YYYY")</f>
        <v>2024</v>
      </c>
      <c r="K2469" s="7" t="str">
        <f>TEXT(multilingual_mobile_app_reviews_2025[[#This Row],[Review_date]],"MMMM")</f>
        <v>November</v>
      </c>
      <c r="L2469" s="4" t="b">
        <v>1</v>
      </c>
      <c r="M2469" s="4" t="s">
        <v>10</v>
      </c>
      <c r="N2469" s="5">
        <v>1063</v>
      </c>
      <c r="O2469" s="5">
        <v>30</v>
      </c>
      <c r="P2469" s="4" t="s">
        <v>90</v>
      </c>
      <c r="Q2469" s="8" t="s">
        <v>29</v>
      </c>
      <c r="R2469" s="4" t="s">
        <v>2864</v>
      </c>
      <c r="S2469" s="4"/>
      <c r="T2469"/>
      <c r="U2469" s="23"/>
    </row>
    <row r="2470" spans="1:21" ht="15.6" x14ac:dyDescent="0.3">
      <c r="A2470" s="4">
        <v>2469</v>
      </c>
      <c r="B2470" s="5">
        <v>8061083</v>
      </c>
      <c r="C2470" s="4" t="s">
        <v>137</v>
      </c>
      <c r="D2470" s="4" t="s">
        <v>57</v>
      </c>
      <c r="E2470" s="4" t="s">
        <v>21</v>
      </c>
      <c r="F2470" s="4" t="s">
        <v>2939</v>
      </c>
      <c r="G2470" s="6">
        <v>3.2</v>
      </c>
      <c r="H2470" s="7">
        <v>45783.210949074077</v>
      </c>
      <c r="I2470" s="7" t="str">
        <f>TEXT(multilingual_mobile_app_reviews_2025[[#This Row],[Review_date]],"dd-mm-yyyy")</f>
        <v>06-05-2025</v>
      </c>
      <c r="J2470" s="7" t="str">
        <f>TEXT(multilingual_mobile_app_reviews_2025[[#This Row],[Review_date]],"YYYY")</f>
        <v>2025</v>
      </c>
      <c r="K2470" s="7" t="str">
        <f>TEXT(multilingual_mobile_app_reviews_2025[[#This Row],[Review_date]],"MMMM")</f>
        <v>May</v>
      </c>
      <c r="L2470" s="4" t="b">
        <v>1</v>
      </c>
      <c r="M2470" s="4" t="s">
        <v>98</v>
      </c>
      <c r="N2470" s="5">
        <v>952</v>
      </c>
      <c r="O2470" s="5">
        <v>15</v>
      </c>
      <c r="P2470" s="4" t="s">
        <v>144</v>
      </c>
      <c r="Q2470" s="8" t="s">
        <v>12</v>
      </c>
      <c r="R2470" s="4" t="s">
        <v>2865</v>
      </c>
      <c r="S2470" s="4"/>
      <c r="T2470"/>
      <c r="U2470" s="23"/>
    </row>
    <row r="2471" spans="1:21" ht="15.6" x14ac:dyDescent="0.3">
      <c r="A2471" s="4">
        <v>2470</v>
      </c>
      <c r="B2471" s="5">
        <v>7876962</v>
      </c>
      <c r="C2471" s="4" t="s">
        <v>89</v>
      </c>
      <c r="D2471" s="4" t="s">
        <v>1</v>
      </c>
      <c r="E2471" s="4" t="s">
        <v>130</v>
      </c>
      <c r="F2471" s="4" t="s">
        <v>2961</v>
      </c>
      <c r="G2471" s="6">
        <v>4.7</v>
      </c>
      <c r="H2471" s="7">
        <v>45848.884768518517</v>
      </c>
      <c r="I2471" s="7" t="str">
        <f>TEXT(multilingual_mobile_app_reviews_2025[[#This Row],[Review_date]],"dd-mm-yyyy")</f>
        <v>10-07-2025</v>
      </c>
      <c r="J2471" s="7" t="str">
        <f>TEXT(multilingual_mobile_app_reviews_2025[[#This Row],[Review_date]],"YYYY")</f>
        <v>2025</v>
      </c>
      <c r="K2471" s="7" t="str">
        <f>TEXT(multilingual_mobile_app_reviews_2025[[#This Row],[Review_date]],"MMMM")</f>
        <v>July</v>
      </c>
      <c r="L2471" s="4" t="b">
        <v>1</v>
      </c>
      <c r="M2471" s="4" t="s">
        <v>22</v>
      </c>
      <c r="N2471" s="5">
        <v>879</v>
      </c>
      <c r="O2471" s="5">
        <v>24</v>
      </c>
      <c r="P2471" s="4" t="s">
        <v>28</v>
      </c>
      <c r="Q2471" s="8" t="s">
        <v>5</v>
      </c>
      <c r="R2471" s="4" t="s">
        <v>303</v>
      </c>
      <c r="S2471" s="4"/>
      <c r="T2471"/>
      <c r="U2471" s="23"/>
    </row>
    <row r="2472" spans="1:21" ht="15.6" x14ac:dyDescent="0.3">
      <c r="A2472" s="4">
        <v>2471</v>
      </c>
      <c r="B2472" s="5">
        <v>9694850</v>
      </c>
      <c r="C2472" s="4" t="s">
        <v>69</v>
      </c>
      <c r="D2472" s="4" t="s">
        <v>220</v>
      </c>
      <c r="E2472" s="4" t="s">
        <v>2866</v>
      </c>
      <c r="F2472" s="4" t="s">
        <v>2944</v>
      </c>
      <c r="G2472" s="6">
        <v>2.7</v>
      </c>
      <c r="H2472" s="7">
        <v>45800.774178240739</v>
      </c>
      <c r="I2472" s="7" t="str">
        <f>TEXT(multilingual_mobile_app_reviews_2025[[#This Row],[Review_date]],"dd-mm-yyyy")</f>
        <v>23-05-2025</v>
      </c>
      <c r="J2472" s="7" t="str">
        <f>TEXT(multilingual_mobile_app_reviews_2025[[#This Row],[Review_date]],"YYYY")</f>
        <v>2025</v>
      </c>
      <c r="K2472" s="7" t="str">
        <f>TEXT(multilingual_mobile_app_reviews_2025[[#This Row],[Review_date]],"MMMM")</f>
        <v>May</v>
      </c>
      <c r="L2472" s="4" t="b">
        <v>1</v>
      </c>
      <c r="M2472" s="4" t="s">
        <v>33</v>
      </c>
      <c r="N2472" s="5">
        <v>327</v>
      </c>
      <c r="O2472" s="5">
        <v>23</v>
      </c>
      <c r="P2472" s="4" t="s">
        <v>65</v>
      </c>
      <c r="Q2472" s="8" t="s">
        <v>5</v>
      </c>
      <c r="R2472" s="4" t="s">
        <v>205</v>
      </c>
      <c r="S2472" s="4"/>
      <c r="T2472"/>
      <c r="U2472" s="23"/>
    </row>
    <row r="2473" spans="1:21" ht="15.6" x14ac:dyDescent="0.3">
      <c r="A2473" s="4">
        <v>2472</v>
      </c>
      <c r="B2473" s="5">
        <v>3949916</v>
      </c>
      <c r="C2473" s="4" t="s">
        <v>192</v>
      </c>
      <c r="D2473" s="4" t="s">
        <v>26</v>
      </c>
      <c r="E2473" s="4" t="s">
        <v>2867</v>
      </c>
      <c r="F2473" s="4" t="s">
        <v>2947</v>
      </c>
      <c r="G2473" s="6">
        <v>3.7</v>
      </c>
      <c r="H2473" s="7">
        <v>45197.991319444445</v>
      </c>
      <c r="I2473" s="7" t="str">
        <f>TEXT(multilingual_mobile_app_reviews_2025[[#This Row],[Review_date]],"dd-mm-yyyy")</f>
        <v>28-09-2023</v>
      </c>
      <c r="J2473" s="7" t="str">
        <f>TEXT(multilingual_mobile_app_reviews_2025[[#This Row],[Review_date]],"YYYY")</f>
        <v>2023</v>
      </c>
      <c r="K2473" s="7" t="str">
        <f>TEXT(multilingual_mobile_app_reviews_2025[[#This Row],[Review_date]],"MMMM")</f>
        <v>September</v>
      </c>
      <c r="L2473" s="4" t="b">
        <v>1</v>
      </c>
      <c r="M2473" s="4" t="s">
        <v>33</v>
      </c>
      <c r="N2473" s="5">
        <v>596</v>
      </c>
      <c r="O2473" s="5">
        <v>71</v>
      </c>
      <c r="P2473" s="4" t="s">
        <v>23</v>
      </c>
      <c r="Q2473" s="8" t="s">
        <v>12</v>
      </c>
      <c r="R2473" s="4" t="s">
        <v>2868</v>
      </c>
      <c r="S2473" s="4"/>
      <c r="T2473"/>
      <c r="U2473" s="23"/>
    </row>
    <row r="2474" spans="1:21" ht="15.6" x14ac:dyDescent="0.3">
      <c r="A2474" s="4">
        <v>2473</v>
      </c>
      <c r="B2474" s="5">
        <v>9080132</v>
      </c>
      <c r="C2474" s="4" t="s">
        <v>50</v>
      </c>
      <c r="D2474" s="4" t="s">
        <v>31</v>
      </c>
      <c r="E2474" s="4" t="s">
        <v>93</v>
      </c>
      <c r="F2474" s="4" t="s">
        <v>2953</v>
      </c>
      <c r="G2474" s="6">
        <v>3.3</v>
      </c>
      <c r="H2474" s="7">
        <v>45771.460613425923</v>
      </c>
      <c r="I2474" s="7" t="str">
        <f>TEXT(multilingual_mobile_app_reviews_2025[[#This Row],[Review_date]],"dd-mm-yyyy")</f>
        <v>24-04-2025</v>
      </c>
      <c r="J2474" s="7" t="str">
        <f>TEXT(multilingual_mobile_app_reviews_2025[[#This Row],[Review_date]],"YYYY")</f>
        <v>2025</v>
      </c>
      <c r="K2474" s="7" t="str">
        <f>TEXT(multilingual_mobile_app_reviews_2025[[#This Row],[Review_date]],"MMMM")</f>
        <v>April</v>
      </c>
      <c r="L2474" s="4" t="b">
        <v>1</v>
      </c>
      <c r="M2474" s="4" t="s">
        <v>22</v>
      </c>
      <c r="N2474" s="5">
        <v>713</v>
      </c>
      <c r="O2474" s="5">
        <v>15</v>
      </c>
      <c r="P2474" s="4" t="s">
        <v>230</v>
      </c>
      <c r="Q2474" s="8" t="s">
        <v>29</v>
      </c>
      <c r="R2474" s="4" t="s">
        <v>2869</v>
      </c>
      <c r="S2474" s="4"/>
      <c r="T2474"/>
      <c r="U2474" s="23"/>
    </row>
    <row r="2475" spans="1:21" ht="15.6" x14ac:dyDescent="0.3">
      <c r="A2475" s="4">
        <v>2474</v>
      </c>
      <c r="B2475" s="5">
        <v>7091989</v>
      </c>
      <c r="C2475" s="4" t="s">
        <v>69</v>
      </c>
      <c r="D2475" s="4" t="s">
        <v>111</v>
      </c>
      <c r="E2475" s="4" t="s">
        <v>2870</v>
      </c>
      <c r="F2475" s="4" t="s">
        <v>2959</v>
      </c>
      <c r="G2475" s="6">
        <v>3.9</v>
      </c>
      <c r="H2475" s="7">
        <v>45635.99622685185</v>
      </c>
      <c r="I2475" s="7" t="str">
        <f>TEXT(multilingual_mobile_app_reviews_2025[[#This Row],[Review_date]],"dd-mm-yyyy")</f>
        <v>09-12-2024</v>
      </c>
      <c r="J2475" s="7" t="str">
        <f>TEXT(multilingual_mobile_app_reviews_2025[[#This Row],[Review_date]],"YYYY")</f>
        <v>2024</v>
      </c>
      <c r="K2475" s="7" t="str">
        <f>TEXT(multilingual_mobile_app_reviews_2025[[#This Row],[Review_date]],"MMMM")</f>
        <v>December</v>
      </c>
      <c r="L2475" s="4" t="b">
        <v>1</v>
      </c>
      <c r="M2475" s="4" t="s">
        <v>3</v>
      </c>
      <c r="N2475" s="5">
        <v>1041</v>
      </c>
      <c r="O2475" s="5">
        <v>54</v>
      </c>
      <c r="P2475" s="4" t="s">
        <v>28</v>
      </c>
      <c r="Q2475" s="8" t="s">
        <v>39</v>
      </c>
      <c r="R2475" s="4" t="s">
        <v>2871</v>
      </c>
      <c r="S2475" s="4"/>
      <c r="T2475"/>
      <c r="U2475" s="23"/>
    </row>
    <row r="2476" spans="1:21" ht="15.6" x14ac:dyDescent="0.3">
      <c r="A2476" s="4">
        <v>2475</v>
      </c>
      <c r="B2476" s="5">
        <v>958921</v>
      </c>
      <c r="C2476" s="4" t="s">
        <v>67</v>
      </c>
      <c r="D2476" s="4" t="s">
        <v>63</v>
      </c>
      <c r="E2476" s="4" t="s">
        <v>9</v>
      </c>
      <c r="F2476" s="4" t="s">
        <v>2940</v>
      </c>
      <c r="G2476" s="6">
        <v>3</v>
      </c>
      <c r="H2476" s="7">
        <v>45524.626539351855</v>
      </c>
      <c r="I2476" s="7" t="str">
        <f>TEXT(multilingual_mobile_app_reviews_2025[[#This Row],[Review_date]],"dd-mm-yyyy")</f>
        <v>20-08-2024</v>
      </c>
      <c r="J2476" s="7" t="str">
        <f>TEXT(multilingual_mobile_app_reviews_2025[[#This Row],[Review_date]],"YYYY")</f>
        <v>2024</v>
      </c>
      <c r="K2476" s="7" t="str">
        <f>TEXT(multilingual_mobile_app_reviews_2025[[#This Row],[Review_date]],"MMMM")</f>
        <v>August</v>
      </c>
      <c r="L2476" s="4" t="b">
        <v>1</v>
      </c>
      <c r="M2476" s="4" t="s">
        <v>22</v>
      </c>
      <c r="N2476" s="5">
        <v>707</v>
      </c>
      <c r="O2476" s="5">
        <v>64</v>
      </c>
      <c r="P2476" s="4" t="s">
        <v>99</v>
      </c>
      <c r="Q2476" s="8" t="s">
        <v>2963</v>
      </c>
      <c r="R2476" s="4" t="s">
        <v>2872</v>
      </c>
      <c r="S2476" s="4"/>
      <c r="T2476"/>
      <c r="U2476" s="23"/>
    </row>
    <row r="2477" spans="1:21" ht="15.6" x14ac:dyDescent="0.3">
      <c r="A2477" s="4">
        <v>2476</v>
      </c>
      <c r="B2477" s="5">
        <v>3680502</v>
      </c>
      <c r="C2477" s="4" t="s">
        <v>46</v>
      </c>
      <c r="D2477" s="4" t="s">
        <v>157</v>
      </c>
      <c r="E2477" s="4" t="s">
        <v>2873</v>
      </c>
      <c r="F2477" s="4" t="s">
        <v>2960</v>
      </c>
      <c r="G2477" s="6">
        <v>3.7</v>
      </c>
      <c r="H2477" s="7">
        <v>45862.071018518516</v>
      </c>
      <c r="I2477" s="7" t="str">
        <f>TEXT(multilingual_mobile_app_reviews_2025[[#This Row],[Review_date]],"dd-mm-yyyy")</f>
        <v>24-07-2025</v>
      </c>
      <c r="J2477" s="7" t="str">
        <f>TEXT(multilingual_mobile_app_reviews_2025[[#This Row],[Review_date]],"YYYY")</f>
        <v>2025</v>
      </c>
      <c r="K2477" s="7" t="str">
        <f>TEXT(multilingual_mobile_app_reviews_2025[[#This Row],[Review_date]],"MMMM")</f>
        <v>July</v>
      </c>
      <c r="L2477" s="4" t="b">
        <v>0</v>
      </c>
      <c r="M2477" s="4" t="s">
        <v>10</v>
      </c>
      <c r="N2477" s="5">
        <v>955</v>
      </c>
      <c r="O2477" s="5">
        <v>59</v>
      </c>
      <c r="P2477" s="4" t="s">
        <v>38</v>
      </c>
      <c r="Q2477" s="8" t="s">
        <v>39</v>
      </c>
      <c r="R2477" s="4" t="s">
        <v>2874</v>
      </c>
      <c r="S2477" s="4"/>
      <c r="T2477"/>
      <c r="U2477" s="23"/>
    </row>
    <row r="2478" spans="1:21" ht="15.6" x14ac:dyDescent="0.3">
      <c r="A2478" s="4">
        <v>2477</v>
      </c>
      <c r="B2478" s="5">
        <v>4431763</v>
      </c>
      <c r="C2478" s="4" t="s">
        <v>101</v>
      </c>
      <c r="D2478" s="4" t="s">
        <v>79</v>
      </c>
      <c r="E2478" s="4" t="s">
        <v>76</v>
      </c>
      <c r="F2478" s="4" t="s">
        <v>2946</v>
      </c>
      <c r="G2478" s="6">
        <v>4.4000000000000004</v>
      </c>
      <c r="H2478" s="7">
        <v>45270.16202546296</v>
      </c>
      <c r="I2478" s="7" t="str">
        <f>TEXT(multilingual_mobile_app_reviews_2025[[#This Row],[Review_date]],"dd-mm-yyyy")</f>
        <v>10-12-2023</v>
      </c>
      <c r="J2478" s="7" t="str">
        <f>TEXT(multilingual_mobile_app_reviews_2025[[#This Row],[Review_date]],"YYYY")</f>
        <v>2023</v>
      </c>
      <c r="K2478" s="7" t="str">
        <f>TEXT(multilingual_mobile_app_reviews_2025[[#This Row],[Review_date]],"MMMM")</f>
        <v>December</v>
      </c>
      <c r="L2478" s="4" t="b">
        <v>0</v>
      </c>
      <c r="M2478" s="4" t="s">
        <v>98</v>
      </c>
      <c r="N2478" s="5">
        <v>353</v>
      </c>
      <c r="O2478" s="5">
        <v>34</v>
      </c>
      <c r="P2478" s="4" t="s">
        <v>180</v>
      </c>
      <c r="Q2478" s="8" t="s">
        <v>39</v>
      </c>
      <c r="R2478" s="4" t="s">
        <v>2875</v>
      </c>
      <c r="S2478" s="4"/>
      <c r="T2478"/>
      <c r="U2478" s="23"/>
    </row>
    <row r="2479" spans="1:21" ht="15.6" x14ac:dyDescent="0.3">
      <c r="A2479" s="4">
        <v>2478</v>
      </c>
      <c r="B2479" s="5">
        <v>5004259</v>
      </c>
      <c r="C2479" s="4" t="s">
        <v>14</v>
      </c>
      <c r="D2479" s="4" t="s">
        <v>63</v>
      </c>
      <c r="E2479" s="4" t="s">
        <v>16</v>
      </c>
      <c r="F2479" s="4" t="s">
        <v>2951</v>
      </c>
      <c r="G2479" s="6">
        <v>2.7</v>
      </c>
      <c r="H2479" s="7">
        <v>45660.689201388886</v>
      </c>
      <c r="I2479" s="7" t="str">
        <f>TEXT(multilingual_mobile_app_reviews_2025[[#This Row],[Review_date]],"dd-mm-yyyy")</f>
        <v>03-01-2025</v>
      </c>
      <c r="J2479" s="7" t="str">
        <f>TEXT(multilingual_mobile_app_reviews_2025[[#This Row],[Review_date]],"YYYY")</f>
        <v>2025</v>
      </c>
      <c r="K2479" s="7" t="str">
        <f>TEXT(multilingual_mobile_app_reviews_2025[[#This Row],[Review_date]],"MMMM")</f>
        <v>January</v>
      </c>
      <c r="L2479" s="4" t="b">
        <v>1</v>
      </c>
      <c r="M2479" s="4" t="s">
        <v>3</v>
      </c>
      <c r="N2479" s="5">
        <v>912</v>
      </c>
      <c r="O2479" s="5">
        <v>39</v>
      </c>
      <c r="P2479" s="4" t="s">
        <v>38</v>
      </c>
      <c r="Q2479" s="8" t="s">
        <v>2963</v>
      </c>
      <c r="R2479" s="4" t="s">
        <v>331</v>
      </c>
      <c r="S2479" s="4"/>
      <c r="T2479"/>
      <c r="U2479" s="23"/>
    </row>
    <row r="2480" spans="1:21" ht="15.6" x14ac:dyDescent="0.3">
      <c r="A2480" s="4">
        <v>2479</v>
      </c>
      <c r="B2480" s="5">
        <v>7072202</v>
      </c>
      <c r="C2480" s="4" t="s">
        <v>208</v>
      </c>
      <c r="D2480" s="4" t="s">
        <v>15</v>
      </c>
      <c r="E2480" s="4" t="s">
        <v>2938</v>
      </c>
      <c r="F2480" s="4" t="s">
        <v>2952</v>
      </c>
      <c r="G2480" s="6">
        <v>4.4000000000000004</v>
      </c>
      <c r="H2480" s="7">
        <v>45264.599791666667</v>
      </c>
      <c r="I2480" s="7" t="str">
        <f>TEXT(multilingual_mobile_app_reviews_2025[[#This Row],[Review_date]],"dd-mm-yyyy")</f>
        <v>04-12-2023</v>
      </c>
      <c r="J2480" s="7" t="str">
        <f>TEXT(multilingual_mobile_app_reviews_2025[[#This Row],[Review_date]],"YYYY")</f>
        <v>2023</v>
      </c>
      <c r="K2480" s="7" t="str">
        <f>TEXT(multilingual_mobile_app_reviews_2025[[#This Row],[Review_date]],"MMMM")</f>
        <v>December</v>
      </c>
      <c r="L2480" s="4" t="b">
        <v>1</v>
      </c>
      <c r="M2480" s="4" t="s">
        <v>10</v>
      </c>
      <c r="N2480" s="5">
        <v>406</v>
      </c>
      <c r="O2480" s="5">
        <v>75</v>
      </c>
      <c r="P2480" s="4" t="s">
        <v>61</v>
      </c>
      <c r="Q2480" s="8" t="s">
        <v>5</v>
      </c>
      <c r="R2480" s="4" t="s">
        <v>730</v>
      </c>
      <c r="S2480" s="4"/>
      <c r="T2480"/>
      <c r="U2480" s="23"/>
    </row>
    <row r="2481" spans="1:21" ht="15.6" x14ac:dyDescent="0.3">
      <c r="A2481" s="4">
        <v>2480</v>
      </c>
      <c r="B2481" s="5">
        <v>3524117</v>
      </c>
      <c r="C2481" s="4" t="s">
        <v>7</v>
      </c>
      <c r="D2481" s="4" t="s">
        <v>20</v>
      </c>
      <c r="E2481" s="4" t="s">
        <v>9</v>
      </c>
      <c r="F2481" s="4" t="s">
        <v>2951</v>
      </c>
      <c r="G2481" s="6">
        <v>4.5999999999999996</v>
      </c>
      <c r="H2481" s="7">
        <v>45705.234976851854</v>
      </c>
      <c r="I2481" s="7" t="str">
        <f>TEXT(multilingual_mobile_app_reviews_2025[[#This Row],[Review_date]],"dd-mm-yyyy")</f>
        <v>17-02-2025</v>
      </c>
      <c r="J2481" s="7" t="str">
        <f>TEXT(multilingual_mobile_app_reviews_2025[[#This Row],[Review_date]],"YYYY")</f>
        <v>2025</v>
      </c>
      <c r="K2481" s="7" t="str">
        <f>TEXT(multilingual_mobile_app_reviews_2025[[#This Row],[Review_date]],"MMMM")</f>
        <v>February</v>
      </c>
      <c r="L2481" s="4" t="b">
        <v>1</v>
      </c>
      <c r="M2481" s="4" t="s">
        <v>10</v>
      </c>
      <c r="N2481" s="5">
        <v>389</v>
      </c>
      <c r="O2481" s="5">
        <v>63</v>
      </c>
      <c r="P2481" s="4" t="s">
        <v>80</v>
      </c>
      <c r="Q2481" s="8" t="s">
        <v>12</v>
      </c>
      <c r="R2481" s="4" t="s">
        <v>806</v>
      </c>
      <c r="S2481" s="4"/>
      <c r="T2481"/>
      <c r="U2481" s="23"/>
    </row>
    <row r="2482" spans="1:21" ht="15.6" x14ac:dyDescent="0.3">
      <c r="A2482" s="4">
        <v>2481</v>
      </c>
      <c r="B2482" s="5">
        <v>6163782</v>
      </c>
      <c r="C2482" s="4" t="s">
        <v>132</v>
      </c>
      <c r="D2482" s="4" t="s">
        <v>79</v>
      </c>
      <c r="E2482" s="4" t="s">
        <v>2876</v>
      </c>
      <c r="F2482" s="4" t="s">
        <v>2960</v>
      </c>
      <c r="G2482" s="6">
        <v>2.1</v>
      </c>
      <c r="H2482" s="7">
        <v>45732.993888888886</v>
      </c>
      <c r="I2482" s="7" t="str">
        <f>TEXT(multilingual_mobile_app_reviews_2025[[#This Row],[Review_date]],"dd-mm-yyyy")</f>
        <v>16-03-2025</v>
      </c>
      <c r="J2482" s="7" t="str">
        <f>TEXT(multilingual_mobile_app_reviews_2025[[#This Row],[Review_date]],"YYYY")</f>
        <v>2025</v>
      </c>
      <c r="K2482" s="7" t="str">
        <f>TEXT(multilingual_mobile_app_reviews_2025[[#This Row],[Review_date]],"MMMM")</f>
        <v>March</v>
      </c>
      <c r="L2482" s="4" t="b">
        <v>1</v>
      </c>
      <c r="M2482" s="4" t="s">
        <v>3</v>
      </c>
      <c r="N2482" s="5">
        <v>576</v>
      </c>
      <c r="O2482" s="5">
        <v>41</v>
      </c>
      <c r="P2482" s="4" t="s">
        <v>34</v>
      </c>
      <c r="Q2482" s="8" t="s">
        <v>29</v>
      </c>
      <c r="R2482" s="4" t="s">
        <v>160</v>
      </c>
      <c r="S2482" s="4"/>
      <c r="T2482"/>
      <c r="U2482" s="23"/>
    </row>
    <row r="2483" spans="1:21" ht="15.6" x14ac:dyDescent="0.3">
      <c r="A2483" s="4">
        <v>2482</v>
      </c>
      <c r="B2483" s="5">
        <v>5762811</v>
      </c>
      <c r="C2483" s="4" t="s">
        <v>192</v>
      </c>
      <c r="D2483" s="4" t="s">
        <v>157</v>
      </c>
      <c r="E2483" s="4" t="s">
        <v>16</v>
      </c>
      <c r="F2483" s="4" t="s">
        <v>2961</v>
      </c>
      <c r="G2483" s="6">
        <v>1.2</v>
      </c>
      <c r="H2483" s="7">
        <v>45233.202766203707</v>
      </c>
      <c r="I2483" s="7" t="str">
        <f>TEXT(multilingual_mobile_app_reviews_2025[[#This Row],[Review_date]],"dd-mm-yyyy")</f>
        <v>03-11-2023</v>
      </c>
      <c r="J2483" s="7" t="str">
        <f>TEXT(multilingual_mobile_app_reviews_2025[[#This Row],[Review_date]],"YYYY")</f>
        <v>2023</v>
      </c>
      <c r="K2483" s="7" t="str">
        <f>TEXT(multilingual_mobile_app_reviews_2025[[#This Row],[Review_date]],"MMMM")</f>
        <v>November</v>
      </c>
      <c r="L2483" s="4" t="b">
        <v>1</v>
      </c>
      <c r="M2483" s="4" t="s">
        <v>98</v>
      </c>
      <c r="N2483" s="5">
        <v>75</v>
      </c>
      <c r="O2483" s="5">
        <v>19</v>
      </c>
      <c r="P2483" s="4" t="s">
        <v>180</v>
      </c>
      <c r="Q2483" s="8" t="s">
        <v>2963</v>
      </c>
      <c r="R2483" s="4" t="s">
        <v>2877</v>
      </c>
      <c r="S2483" s="4"/>
      <c r="T2483"/>
      <c r="U2483" s="23"/>
    </row>
    <row r="2484" spans="1:21" ht="15.6" x14ac:dyDescent="0.3">
      <c r="A2484" s="4">
        <v>2483</v>
      </c>
      <c r="B2484" s="5">
        <v>9068963</v>
      </c>
      <c r="C2484" s="4" t="s">
        <v>0</v>
      </c>
      <c r="D2484" s="4" t="s">
        <v>71</v>
      </c>
      <c r="E2484" s="4" t="s">
        <v>93</v>
      </c>
      <c r="F2484" s="4" t="s">
        <v>2956</v>
      </c>
      <c r="G2484" s="6">
        <v>1.1000000000000001</v>
      </c>
      <c r="H2484" s="7">
        <v>45500.285312499997</v>
      </c>
      <c r="I2484" s="7" t="str">
        <f>TEXT(multilingual_mobile_app_reviews_2025[[#This Row],[Review_date]],"dd-mm-yyyy")</f>
        <v>27-07-2024</v>
      </c>
      <c r="J2484" s="7" t="str">
        <f>TEXT(multilingual_mobile_app_reviews_2025[[#This Row],[Review_date]],"YYYY")</f>
        <v>2024</v>
      </c>
      <c r="K2484" s="7" t="str">
        <f>TEXT(multilingual_mobile_app_reviews_2025[[#This Row],[Review_date]],"MMMM")</f>
        <v>July</v>
      </c>
      <c r="L2484" s="4" t="b">
        <v>1</v>
      </c>
      <c r="M2484" s="4" t="s">
        <v>10</v>
      </c>
      <c r="N2484" s="5">
        <v>524</v>
      </c>
      <c r="O2484" s="5">
        <v>50</v>
      </c>
      <c r="P2484" s="4" t="s">
        <v>4</v>
      </c>
      <c r="Q2484" s="8" t="s">
        <v>12</v>
      </c>
      <c r="R2484" s="4" t="s">
        <v>2878</v>
      </c>
      <c r="S2484" s="4"/>
      <c r="T2484"/>
      <c r="U2484" s="23"/>
    </row>
    <row r="2485" spans="1:21" ht="15.6" x14ac:dyDescent="0.3">
      <c r="A2485" s="4">
        <v>2484</v>
      </c>
      <c r="B2485" s="5">
        <v>2148456</v>
      </c>
      <c r="C2485" s="4" t="s">
        <v>264</v>
      </c>
      <c r="D2485" s="4" t="s">
        <v>71</v>
      </c>
      <c r="E2485" s="4" t="s">
        <v>27</v>
      </c>
      <c r="F2485" s="4" t="s">
        <v>2939</v>
      </c>
      <c r="G2485" s="6">
        <v>3.9</v>
      </c>
      <c r="H2485" s="7">
        <v>45512.66988425926</v>
      </c>
      <c r="I2485" s="7" t="str">
        <f>TEXT(multilingual_mobile_app_reviews_2025[[#This Row],[Review_date]],"dd-mm-yyyy")</f>
        <v>08-08-2024</v>
      </c>
      <c r="J2485" s="7" t="str">
        <f>TEXT(multilingual_mobile_app_reviews_2025[[#This Row],[Review_date]],"YYYY")</f>
        <v>2024</v>
      </c>
      <c r="K2485" s="7" t="str">
        <f>TEXT(multilingual_mobile_app_reviews_2025[[#This Row],[Review_date]],"MMMM")</f>
        <v>August</v>
      </c>
      <c r="L2485" s="4" t="b">
        <v>0</v>
      </c>
      <c r="M2485" s="4" t="s">
        <v>3</v>
      </c>
      <c r="N2485" s="5">
        <v>592</v>
      </c>
      <c r="O2485" s="5">
        <v>16</v>
      </c>
      <c r="P2485" s="4" t="s">
        <v>230</v>
      </c>
      <c r="Q2485" s="8" t="s">
        <v>12</v>
      </c>
      <c r="R2485" s="4" t="s">
        <v>2879</v>
      </c>
      <c r="S2485" s="4"/>
      <c r="T2485"/>
      <c r="U2485" s="23"/>
    </row>
    <row r="2486" spans="1:21" ht="15.6" x14ac:dyDescent="0.3">
      <c r="A2486" s="4">
        <v>2485</v>
      </c>
      <c r="B2486" s="5">
        <v>4769108</v>
      </c>
      <c r="C2486" s="4" t="s">
        <v>113</v>
      </c>
      <c r="D2486" s="4" t="s">
        <v>20</v>
      </c>
      <c r="E2486" s="4" t="s">
        <v>64</v>
      </c>
      <c r="F2486" s="4" t="s">
        <v>2948</v>
      </c>
      <c r="G2486" s="6">
        <v>2.8</v>
      </c>
      <c r="H2486" s="7">
        <v>45748.991828703707</v>
      </c>
      <c r="I2486" s="7" t="str">
        <f>TEXT(multilingual_mobile_app_reviews_2025[[#This Row],[Review_date]],"dd-mm-yyyy")</f>
        <v>01-04-2025</v>
      </c>
      <c r="J2486" s="7" t="str">
        <f>TEXT(multilingual_mobile_app_reviews_2025[[#This Row],[Review_date]],"YYYY")</f>
        <v>2025</v>
      </c>
      <c r="K2486" s="7" t="str">
        <f>TEXT(multilingual_mobile_app_reviews_2025[[#This Row],[Review_date]],"MMMM")</f>
        <v>April</v>
      </c>
      <c r="L2486" s="4" t="b">
        <v>1</v>
      </c>
      <c r="M2486" s="4" t="s">
        <v>10</v>
      </c>
      <c r="N2486" s="5">
        <v>79</v>
      </c>
      <c r="O2486" s="5">
        <v>37</v>
      </c>
      <c r="P2486" s="4" t="s">
        <v>90</v>
      </c>
      <c r="Q2486" s="8" t="s">
        <v>12</v>
      </c>
      <c r="R2486" s="4" t="s">
        <v>2213</v>
      </c>
      <c r="S2486" s="4"/>
      <c r="T2486"/>
      <c r="U2486" s="23"/>
    </row>
    <row r="2487" spans="1:21" ht="15.6" x14ac:dyDescent="0.3">
      <c r="A2487" s="4">
        <v>2486</v>
      </c>
      <c r="B2487" s="5">
        <v>6077035</v>
      </c>
      <c r="C2487" s="4" t="s">
        <v>87</v>
      </c>
      <c r="D2487" s="4" t="s">
        <v>97</v>
      </c>
      <c r="E2487" s="4" t="s">
        <v>9</v>
      </c>
      <c r="F2487" s="4" t="s">
        <v>2942</v>
      </c>
      <c r="G2487" s="6">
        <v>2.1</v>
      </c>
      <c r="H2487" s="7">
        <v>45751.712708333333</v>
      </c>
      <c r="I2487" s="7" t="str">
        <f>TEXT(multilingual_mobile_app_reviews_2025[[#This Row],[Review_date]],"dd-mm-yyyy")</f>
        <v>04-04-2025</v>
      </c>
      <c r="J2487" s="7" t="str">
        <f>TEXT(multilingual_mobile_app_reviews_2025[[#This Row],[Review_date]],"YYYY")</f>
        <v>2025</v>
      </c>
      <c r="K2487" s="7" t="str">
        <f>TEXT(multilingual_mobile_app_reviews_2025[[#This Row],[Review_date]],"MMMM")</f>
        <v>April</v>
      </c>
      <c r="L2487" s="4" t="b">
        <v>1</v>
      </c>
      <c r="M2487" s="4" t="s">
        <v>22</v>
      </c>
      <c r="N2487" s="5">
        <v>937</v>
      </c>
      <c r="O2487" s="5">
        <v>43</v>
      </c>
      <c r="P2487" s="4" t="s">
        <v>23</v>
      </c>
      <c r="Q2487" s="8" t="s">
        <v>5</v>
      </c>
      <c r="R2487" s="4" t="s">
        <v>2880</v>
      </c>
      <c r="S2487" s="4"/>
      <c r="T2487"/>
      <c r="U2487" s="23"/>
    </row>
    <row r="2488" spans="1:21" ht="15.6" x14ac:dyDescent="0.3">
      <c r="A2488" s="4">
        <v>2487</v>
      </c>
      <c r="B2488" s="5">
        <v>6026386</v>
      </c>
      <c r="C2488" s="4" t="s">
        <v>14</v>
      </c>
      <c r="D2488" s="4" t="s">
        <v>1</v>
      </c>
      <c r="E2488" s="4" t="s">
        <v>9</v>
      </c>
      <c r="F2488" s="4" t="s">
        <v>2955</v>
      </c>
      <c r="G2488" s="6">
        <v>3</v>
      </c>
      <c r="H2488" s="7">
        <v>45275.891064814816</v>
      </c>
      <c r="I2488" s="7" t="str">
        <f>TEXT(multilingual_mobile_app_reviews_2025[[#This Row],[Review_date]],"dd-mm-yyyy")</f>
        <v>15-12-2023</v>
      </c>
      <c r="J2488" s="7" t="str">
        <f>TEXT(multilingual_mobile_app_reviews_2025[[#This Row],[Review_date]],"YYYY")</f>
        <v>2023</v>
      </c>
      <c r="K2488" s="7" t="str">
        <f>TEXT(multilingual_mobile_app_reviews_2025[[#This Row],[Review_date]],"MMMM")</f>
        <v>December</v>
      </c>
      <c r="L2488" s="4" t="b">
        <v>1</v>
      </c>
      <c r="M2488" s="4" t="s">
        <v>98</v>
      </c>
      <c r="N2488" s="5">
        <v>73</v>
      </c>
      <c r="O2488" s="5">
        <v>38</v>
      </c>
      <c r="P2488" s="4" t="s">
        <v>80</v>
      </c>
      <c r="Q2488" s="8" t="s">
        <v>29</v>
      </c>
      <c r="R2488" s="4" t="s">
        <v>2881</v>
      </c>
      <c r="S2488" s="4"/>
      <c r="T2488"/>
      <c r="U2488" s="23"/>
    </row>
    <row r="2489" spans="1:21" ht="15.6" x14ac:dyDescent="0.3">
      <c r="A2489" s="4">
        <v>2488</v>
      </c>
      <c r="B2489" s="5">
        <v>3275929</v>
      </c>
      <c r="C2489" s="4" t="s">
        <v>208</v>
      </c>
      <c r="D2489" s="4" t="s">
        <v>79</v>
      </c>
      <c r="E2489" s="4" t="s">
        <v>16</v>
      </c>
      <c r="F2489" s="4" t="s">
        <v>2952</v>
      </c>
      <c r="G2489" s="6">
        <v>1.6</v>
      </c>
      <c r="H2489" s="7">
        <v>45562.428761574076</v>
      </c>
      <c r="I2489" s="7" t="str">
        <f>TEXT(multilingual_mobile_app_reviews_2025[[#This Row],[Review_date]],"dd-mm-yyyy")</f>
        <v>27-09-2024</v>
      </c>
      <c r="J2489" s="7" t="str">
        <f>TEXT(multilingual_mobile_app_reviews_2025[[#This Row],[Review_date]],"YYYY")</f>
        <v>2024</v>
      </c>
      <c r="K2489" s="7" t="str">
        <f>TEXT(multilingual_mobile_app_reviews_2025[[#This Row],[Review_date]],"MMMM")</f>
        <v>September</v>
      </c>
      <c r="L2489" s="4" t="b">
        <v>1</v>
      </c>
      <c r="M2489" s="4" t="s">
        <v>3</v>
      </c>
      <c r="N2489" s="5">
        <v>297</v>
      </c>
      <c r="O2489" s="5">
        <v>33</v>
      </c>
      <c r="P2489" s="4" t="s">
        <v>44</v>
      </c>
      <c r="Q2489" s="8" t="s">
        <v>12</v>
      </c>
      <c r="R2489" s="4" t="s">
        <v>2882</v>
      </c>
      <c r="S2489" s="4"/>
      <c r="T2489"/>
      <c r="U2489" s="23"/>
    </row>
    <row r="2490" spans="1:21" ht="15.6" x14ac:dyDescent="0.3">
      <c r="A2490" s="4">
        <v>2489</v>
      </c>
      <c r="B2490" s="5">
        <v>405807</v>
      </c>
      <c r="C2490" s="4" t="s">
        <v>132</v>
      </c>
      <c r="D2490" s="4" t="s">
        <v>51</v>
      </c>
      <c r="E2490" s="4" t="s">
        <v>93</v>
      </c>
      <c r="F2490" s="4" t="s">
        <v>2951</v>
      </c>
      <c r="G2490" s="6">
        <v>2.2999999999999998</v>
      </c>
      <c r="H2490" s="7">
        <v>45846.410694444443</v>
      </c>
      <c r="I2490" s="7" t="str">
        <f>TEXT(multilingual_mobile_app_reviews_2025[[#This Row],[Review_date]],"dd-mm-yyyy")</f>
        <v>08-07-2025</v>
      </c>
      <c r="J2490" s="7" t="str">
        <f>TEXT(multilingual_mobile_app_reviews_2025[[#This Row],[Review_date]],"YYYY")</f>
        <v>2025</v>
      </c>
      <c r="K2490" s="7" t="str">
        <f>TEXT(multilingual_mobile_app_reviews_2025[[#This Row],[Review_date]],"MMMM")</f>
        <v>July</v>
      </c>
      <c r="L2490" s="4" t="b">
        <v>0</v>
      </c>
      <c r="M2490" s="4" t="s">
        <v>22</v>
      </c>
      <c r="N2490" s="5">
        <v>480</v>
      </c>
      <c r="O2490" s="5">
        <v>39</v>
      </c>
      <c r="P2490" s="4" t="s">
        <v>23</v>
      </c>
      <c r="Q2490" s="8" t="s">
        <v>12</v>
      </c>
      <c r="R2490" s="4" t="s">
        <v>2883</v>
      </c>
      <c r="S2490" s="4"/>
      <c r="T2490"/>
      <c r="U2490" s="23"/>
    </row>
    <row r="2491" spans="1:21" ht="15.6" x14ac:dyDescent="0.3">
      <c r="A2491" s="4">
        <v>2490</v>
      </c>
      <c r="B2491" s="5">
        <v>1549957</v>
      </c>
      <c r="C2491" s="4" t="s">
        <v>264</v>
      </c>
      <c r="D2491" s="4" t="s">
        <v>1</v>
      </c>
      <c r="E2491" s="4" t="s">
        <v>2884</v>
      </c>
      <c r="F2491" s="4" t="s">
        <v>2948</v>
      </c>
      <c r="G2491" s="6">
        <v>1.5</v>
      </c>
      <c r="H2491" s="7">
        <v>45739.64503472222</v>
      </c>
      <c r="I2491" s="7" t="str">
        <f>TEXT(multilingual_mobile_app_reviews_2025[[#This Row],[Review_date]],"dd-mm-yyyy")</f>
        <v>23-03-2025</v>
      </c>
      <c r="J2491" s="7" t="str">
        <f>TEXT(multilingual_mobile_app_reviews_2025[[#This Row],[Review_date]],"YYYY")</f>
        <v>2025</v>
      </c>
      <c r="K2491" s="7" t="str">
        <f>TEXT(multilingual_mobile_app_reviews_2025[[#This Row],[Review_date]],"MMMM")</f>
        <v>March</v>
      </c>
      <c r="L2491" s="4" t="b">
        <v>1</v>
      </c>
      <c r="M2491" s="4" t="s">
        <v>33</v>
      </c>
      <c r="N2491" s="5">
        <v>925</v>
      </c>
      <c r="O2491" s="5">
        <v>73</v>
      </c>
      <c r="P2491" s="4" t="s">
        <v>61</v>
      </c>
      <c r="Q2491" s="8" t="s">
        <v>12</v>
      </c>
      <c r="R2491" s="4" t="s">
        <v>2885</v>
      </c>
      <c r="S2491" s="4"/>
      <c r="T2491"/>
      <c r="U2491" s="23"/>
    </row>
    <row r="2492" spans="1:21" ht="15.6" x14ac:dyDescent="0.3">
      <c r="A2492" s="4">
        <v>2491</v>
      </c>
      <c r="B2492" s="5">
        <v>1222405</v>
      </c>
      <c r="C2492" s="4" t="s">
        <v>41</v>
      </c>
      <c r="D2492" s="4" t="s">
        <v>97</v>
      </c>
      <c r="E2492" s="4" t="s">
        <v>2886</v>
      </c>
      <c r="F2492" s="4" t="s">
        <v>2955</v>
      </c>
      <c r="G2492" s="6">
        <v>1.6</v>
      </c>
      <c r="H2492" s="7">
        <v>45655.072997685187</v>
      </c>
      <c r="I2492" s="7" t="str">
        <f>TEXT(multilingual_mobile_app_reviews_2025[[#This Row],[Review_date]],"dd-mm-yyyy")</f>
        <v>29-12-2024</v>
      </c>
      <c r="J2492" s="7" t="str">
        <f>TEXT(multilingual_mobile_app_reviews_2025[[#This Row],[Review_date]],"YYYY")</f>
        <v>2024</v>
      </c>
      <c r="K2492" s="7" t="str">
        <f>TEXT(multilingual_mobile_app_reviews_2025[[#This Row],[Review_date]],"MMMM")</f>
        <v>December</v>
      </c>
      <c r="L2492" s="4" t="b">
        <v>1</v>
      </c>
      <c r="M2492" s="4" t="s">
        <v>10</v>
      </c>
      <c r="N2492" s="5">
        <v>542</v>
      </c>
      <c r="O2492" s="5">
        <v>53</v>
      </c>
      <c r="P2492" s="4" t="s">
        <v>127</v>
      </c>
      <c r="Q2492" s="8" t="s">
        <v>39</v>
      </c>
      <c r="R2492" s="4" t="s">
        <v>2887</v>
      </c>
      <c r="S2492" s="4"/>
      <c r="T2492"/>
      <c r="U2492" s="23"/>
    </row>
    <row r="2493" spans="1:21" ht="15.6" x14ac:dyDescent="0.3">
      <c r="A2493" s="4">
        <v>2492</v>
      </c>
      <c r="B2493" s="5">
        <v>5782872</v>
      </c>
      <c r="C2493" s="4" t="s">
        <v>54</v>
      </c>
      <c r="D2493" s="4" t="s">
        <v>8</v>
      </c>
      <c r="E2493" s="4" t="s">
        <v>2888</v>
      </c>
      <c r="F2493" s="4" t="s">
        <v>2941</v>
      </c>
      <c r="G2493" s="6">
        <v>4.5</v>
      </c>
      <c r="H2493" s="7">
        <v>45868.258888888886</v>
      </c>
      <c r="I2493" s="7" t="str">
        <f>TEXT(multilingual_mobile_app_reviews_2025[[#This Row],[Review_date]],"dd-mm-yyyy")</f>
        <v>30-07-2025</v>
      </c>
      <c r="J2493" s="7" t="str">
        <f>TEXT(multilingual_mobile_app_reviews_2025[[#This Row],[Review_date]],"YYYY")</f>
        <v>2025</v>
      </c>
      <c r="K2493" s="7" t="str">
        <f>TEXT(multilingual_mobile_app_reviews_2025[[#This Row],[Review_date]],"MMMM")</f>
        <v>July</v>
      </c>
      <c r="L2493" s="4" t="b">
        <v>1</v>
      </c>
      <c r="M2493" s="4" t="s">
        <v>98</v>
      </c>
      <c r="N2493" s="5">
        <v>684</v>
      </c>
      <c r="O2493" s="5">
        <v>17</v>
      </c>
      <c r="P2493" s="4" t="s">
        <v>65</v>
      </c>
      <c r="Q2493" s="8" t="s">
        <v>2963</v>
      </c>
      <c r="R2493" s="4" t="s">
        <v>2889</v>
      </c>
      <c r="S2493" s="4"/>
      <c r="T2493"/>
      <c r="U2493" s="23"/>
    </row>
    <row r="2494" spans="1:21" ht="15.6" x14ac:dyDescent="0.3">
      <c r="A2494" s="4">
        <v>2493</v>
      </c>
      <c r="B2494" s="5">
        <v>2397127</v>
      </c>
      <c r="C2494" s="4" t="s">
        <v>132</v>
      </c>
      <c r="D2494" s="4" t="s">
        <v>157</v>
      </c>
      <c r="E2494" s="4" t="s">
        <v>130</v>
      </c>
      <c r="F2494" s="4" t="s">
        <v>2946</v>
      </c>
      <c r="G2494" s="6">
        <v>3</v>
      </c>
      <c r="H2494" s="7">
        <v>45679.405046296299</v>
      </c>
      <c r="I2494" s="7" t="str">
        <f>TEXT(multilingual_mobile_app_reviews_2025[[#This Row],[Review_date]],"dd-mm-yyyy")</f>
        <v>22-01-2025</v>
      </c>
      <c r="J2494" s="7" t="str">
        <f>TEXT(multilingual_mobile_app_reviews_2025[[#This Row],[Review_date]],"YYYY")</f>
        <v>2025</v>
      </c>
      <c r="K2494" s="7" t="str">
        <f>TEXT(multilingual_mobile_app_reviews_2025[[#This Row],[Review_date]],"MMMM")</f>
        <v>January</v>
      </c>
      <c r="L2494" s="4" t="b">
        <v>1</v>
      </c>
      <c r="M2494" s="4" t="s">
        <v>98</v>
      </c>
      <c r="N2494" s="5">
        <v>1010</v>
      </c>
      <c r="O2494" s="5">
        <v>13</v>
      </c>
      <c r="P2494" s="4" t="s">
        <v>85</v>
      </c>
      <c r="Q2494" s="8" t="s">
        <v>5</v>
      </c>
      <c r="R2494" s="4" t="s">
        <v>779</v>
      </c>
      <c r="S2494" s="4"/>
      <c r="T2494"/>
      <c r="U2494" s="23"/>
    </row>
    <row r="2495" spans="1:21" ht="15.6" x14ac:dyDescent="0.3">
      <c r="A2495" s="4">
        <v>2494</v>
      </c>
      <c r="B2495" s="5">
        <v>6468315</v>
      </c>
      <c r="C2495" s="4" t="s">
        <v>154</v>
      </c>
      <c r="D2495" s="4" t="s">
        <v>220</v>
      </c>
      <c r="E2495" s="4" t="s">
        <v>64</v>
      </c>
      <c r="F2495" s="4" t="s">
        <v>2952</v>
      </c>
      <c r="G2495" s="6">
        <v>3.7</v>
      </c>
      <c r="H2495" s="7">
        <v>45257.745439814818</v>
      </c>
      <c r="I2495" s="7" t="str">
        <f>TEXT(multilingual_mobile_app_reviews_2025[[#This Row],[Review_date]],"dd-mm-yyyy")</f>
        <v>27-11-2023</v>
      </c>
      <c r="J2495" s="7" t="str">
        <f>TEXT(multilingual_mobile_app_reviews_2025[[#This Row],[Review_date]],"YYYY")</f>
        <v>2023</v>
      </c>
      <c r="K2495" s="7" t="str">
        <f>TEXT(multilingual_mobile_app_reviews_2025[[#This Row],[Review_date]],"MMMM")</f>
        <v>November</v>
      </c>
      <c r="L2495" s="4" t="b">
        <v>1</v>
      </c>
      <c r="M2495" s="4" t="s">
        <v>3</v>
      </c>
      <c r="N2495" s="5">
        <v>789</v>
      </c>
      <c r="O2495" s="5">
        <v>18</v>
      </c>
      <c r="P2495" s="4" t="s">
        <v>61</v>
      </c>
      <c r="Q2495" s="8" t="s">
        <v>29</v>
      </c>
      <c r="R2495" s="4" t="s">
        <v>2890</v>
      </c>
      <c r="S2495" s="4"/>
      <c r="T2495"/>
      <c r="U2495" s="23"/>
    </row>
    <row r="2496" spans="1:21" ht="15.6" x14ac:dyDescent="0.3">
      <c r="A2496" s="4">
        <v>2495</v>
      </c>
      <c r="B2496" s="5">
        <v>5803266</v>
      </c>
      <c r="C2496" s="4" t="s">
        <v>208</v>
      </c>
      <c r="D2496" s="4" t="s">
        <v>1</v>
      </c>
      <c r="E2496" s="4" t="s">
        <v>2891</v>
      </c>
      <c r="F2496" s="4" t="s">
        <v>2950</v>
      </c>
      <c r="G2496" s="6">
        <v>2.7</v>
      </c>
      <c r="H2496" s="7">
        <v>45814.242685185185</v>
      </c>
      <c r="I2496" s="7" t="str">
        <f>TEXT(multilingual_mobile_app_reviews_2025[[#This Row],[Review_date]],"dd-mm-yyyy")</f>
        <v>06-06-2025</v>
      </c>
      <c r="J2496" s="7" t="str">
        <f>TEXT(multilingual_mobile_app_reviews_2025[[#This Row],[Review_date]],"YYYY")</f>
        <v>2025</v>
      </c>
      <c r="K2496" s="7" t="str">
        <f>TEXT(multilingual_mobile_app_reviews_2025[[#This Row],[Review_date]],"MMMM")</f>
        <v>June</v>
      </c>
      <c r="L2496" s="4" t="b">
        <v>1</v>
      </c>
      <c r="M2496" s="4" t="s">
        <v>98</v>
      </c>
      <c r="N2496" s="5">
        <v>179</v>
      </c>
      <c r="O2496" s="5">
        <v>67</v>
      </c>
      <c r="P2496" s="4" t="s">
        <v>118</v>
      </c>
      <c r="Q2496" s="8" t="s">
        <v>2963</v>
      </c>
      <c r="R2496" s="4" t="s">
        <v>805</v>
      </c>
      <c r="S2496" s="4"/>
      <c r="T2496"/>
      <c r="U2496" s="23"/>
    </row>
    <row r="2497" spans="1:21" ht="15.6" x14ac:dyDescent="0.3">
      <c r="A2497" s="4">
        <v>2496</v>
      </c>
      <c r="B2497" s="5">
        <v>8907272</v>
      </c>
      <c r="C2497" s="4" t="s">
        <v>54</v>
      </c>
      <c r="D2497" s="4" t="s">
        <v>15</v>
      </c>
      <c r="E2497" s="4" t="s">
        <v>2892</v>
      </c>
      <c r="F2497" s="4" t="s">
        <v>2959</v>
      </c>
      <c r="G2497" s="6">
        <v>1.9</v>
      </c>
      <c r="H2497" s="7">
        <v>45591.108275462961</v>
      </c>
      <c r="I2497" s="7" t="str">
        <f>TEXT(multilingual_mobile_app_reviews_2025[[#This Row],[Review_date]],"dd-mm-yyyy")</f>
        <v>26-10-2024</v>
      </c>
      <c r="J2497" s="7" t="str">
        <f>TEXT(multilingual_mobile_app_reviews_2025[[#This Row],[Review_date]],"YYYY")</f>
        <v>2024</v>
      </c>
      <c r="K2497" s="7" t="str">
        <f>TEXT(multilingual_mobile_app_reviews_2025[[#This Row],[Review_date]],"MMMM")</f>
        <v>October</v>
      </c>
      <c r="L2497" s="4" t="b">
        <v>1</v>
      </c>
      <c r="M2497" s="4" t="s">
        <v>33</v>
      </c>
      <c r="N2497" s="5">
        <v>1219</v>
      </c>
      <c r="O2497" s="5">
        <v>54</v>
      </c>
      <c r="P2497" s="4" t="s">
        <v>162</v>
      </c>
      <c r="Q2497" s="8" t="s">
        <v>12</v>
      </c>
      <c r="R2497" s="4" t="s">
        <v>2963</v>
      </c>
      <c r="S2497" s="4"/>
      <c r="T2497"/>
      <c r="U2497" s="23"/>
    </row>
    <row r="2498" spans="1:21" ht="15.6" x14ac:dyDescent="0.3">
      <c r="A2498" s="4">
        <v>2497</v>
      </c>
      <c r="B2498" s="5">
        <v>3984250</v>
      </c>
      <c r="C2498" s="4" t="s">
        <v>36</v>
      </c>
      <c r="D2498" s="4" t="s">
        <v>79</v>
      </c>
      <c r="E2498" s="4" t="s">
        <v>109</v>
      </c>
      <c r="F2498" s="4" t="s">
        <v>2957</v>
      </c>
      <c r="G2498" s="6">
        <v>3.4</v>
      </c>
      <c r="H2498" s="7">
        <v>45176.998831018522</v>
      </c>
      <c r="I2498" s="7" t="str">
        <f>TEXT(multilingual_mobile_app_reviews_2025[[#This Row],[Review_date]],"dd-mm-yyyy")</f>
        <v>07-09-2023</v>
      </c>
      <c r="J2498" s="7" t="str">
        <f>TEXT(multilingual_mobile_app_reviews_2025[[#This Row],[Review_date]],"YYYY")</f>
        <v>2023</v>
      </c>
      <c r="K2498" s="7" t="str">
        <f>TEXT(multilingual_mobile_app_reviews_2025[[#This Row],[Review_date]],"MMMM")</f>
        <v>September</v>
      </c>
      <c r="L2498" s="4" t="b">
        <v>1</v>
      </c>
      <c r="M2498" s="4" t="s">
        <v>33</v>
      </c>
      <c r="N2498" s="5">
        <v>446</v>
      </c>
      <c r="O2498" s="5">
        <v>15</v>
      </c>
      <c r="P2498" s="4" t="s">
        <v>90</v>
      </c>
      <c r="Q2498" s="8" t="s">
        <v>2963</v>
      </c>
      <c r="R2498" s="4" t="s">
        <v>2893</v>
      </c>
      <c r="S2498" s="4"/>
      <c r="T2498"/>
      <c r="U2498" s="23"/>
    </row>
    <row r="2499" spans="1:21" ht="15.6" x14ac:dyDescent="0.3">
      <c r="A2499" s="4">
        <v>2498</v>
      </c>
      <c r="B2499" s="5">
        <v>5325910</v>
      </c>
      <c r="C2499" s="4" t="s">
        <v>84</v>
      </c>
      <c r="D2499" s="4" t="s">
        <v>79</v>
      </c>
      <c r="E2499" s="4" t="s">
        <v>21</v>
      </c>
      <c r="F2499" s="4" t="s">
        <v>2941</v>
      </c>
      <c r="G2499" s="6">
        <v>3</v>
      </c>
      <c r="H2499" s="7">
        <v>45792.465162037035</v>
      </c>
      <c r="I2499" s="7" t="str">
        <f>TEXT(multilingual_mobile_app_reviews_2025[[#This Row],[Review_date]],"dd-mm-yyyy")</f>
        <v>15-05-2025</v>
      </c>
      <c r="J2499" s="7" t="str">
        <f>TEXT(multilingual_mobile_app_reviews_2025[[#This Row],[Review_date]],"YYYY")</f>
        <v>2025</v>
      </c>
      <c r="K2499" s="7" t="str">
        <f>TEXT(multilingual_mobile_app_reviews_2025[[#This Row],[Review_date]],"MMMM")</f>
        <v>May</v>
      </c>
      <c r="L2499" s="4" t="b">
        <v>0</v>
      </c>
      <c r="M2499" s="4" t="s">
        <v>10</v>
      </c>
      <c r="N2499" s="5">
        <v>432</v>
      </c>
      <c r="O2499" s="5">
        <v>39</v>
      </c>
      <c r="P2499" s="4" t="s">
        <v>4</v>
      </c>
      <c r="Q2499" s="8" t="s">
        <v>29</v>
      </c>
      <c r="R2499" s="4" t="s">
        <v>2894</v>
      </c>
      <c r="S2499" s="4"/>
      <c r="T2499"/>
      <c r="U2499" s="23"/>
    </row>
    <row r="2500" spans="1:21" ht="15.6" x14ac:dyDescent="0.3">
      <c r="A2500" s="4">
        <v>2499</v>
      </c>
      <c r="B2500" s="5">
        <v>9330964</v>
      </c>
      <c r="C2500" s="4" t="s">
        <v>147</v>
      </c>
      <c r="D2500" s="4" t="s">
        <v>63</v>
      </c>
      <c r="E2500" s="4" t="s">
        <v>2895</v>
      </c>
      <c r="F2500" s="4" t="s">
        <v>2961</v>
      </c>
      <c r="G2500" s="6">
        <v>4.5999999999999996</v>
      </c>
      <c r="H2500" s="7">
        <v>45649.884085648147</v>
      </c>
      <c r="I2500" s="7" t="str">
        <f>TEXT(multilingual_mobile_app_reviews_2025[[#This Row],[Review_date]],"dd-mm-yyyy")</f>
        <v>23-12-2024</v>
      </c>
      <c r="J2500" s="7" t="str">
        <f>TEXT(multilingual_mobile_app_reviews_2025[[#This Row],[Review_date]],"YYYY")</f>
        <v>2024</v>
      </c>
      <c r="K2500" s="7" t="str">
        <f>TEXT(multilingual_mobile_app_reviews_2025[[#This Row],[Review_date]],"MMMM")</f>
        <v>December</v>
      </c>
      <c r="L2500" s="4" t="b">
        <v>1</v>
      </c>
      <c r="M2500" s="4" t="s">
        <v>10</v>
      </c>
      <c r="N2500" s="5">
        <v>1098</v>
      </c>
      <c r="O2500" s="5">
        <v>26</v>
      </c>
      <c r="P2500" s="4" t="s">
        <v>90</v>
      </c>
      <c r="Q2500" s="8" t="s">
        <v>29</v>
      </c>
      <c r="R2500" s="4" t="s">
        <v>2896</v>
      </c>
      <c r="S2500" s="4"/>
      <c r="T2500"/>
      <c r="U2500" s="23"/>
    </row>
    <row r="2501" spans="1:21" ht="15.6" x14ac:dyDescent="0.3">
      <c r="A2501" s="4">
        <v>2500</v>
      </c>
      <c r="B2501" s="5">
        <v>1785031</v>
      </c>
      <c r="C2501" s="4" t="s">
        <v>104</v>
      </c>
      <c r="D2501" s="4" t="s">
        <v>111</v>
      </c>
      <c r="E2501" s="4" t="s">
        <v>9</v>
      </c>
      <c r="F2501" s="4" t="s">
        <v>2939</v>
      </c>
      <c r="G2501" s="6">
        <v>4.9000000000000004</v>
      </c>
      <c r="H2501" s="7">
        <v>45834.298391203702</v>
      </c>
      <c r="I2501" s="7" t="str">
        <f>TEXT(multilingual_mobile_app_reviews_2025[[#This Row],[Review_date]],"dd-mm-yyyy")</f>
        <v>26-06-2025</v>
      </c>
      <c r="J2501" s="7" t="str">
        <f>TEXT(multilingual_mobile_app_reviews_2025[[#This Row],[Review_date]],"YYYY")</f>
        <v>2025</v>
      </c>
      <c r="K2501" s="7" t="str">
        <f>TEXT(multilingual_mobile_app_reviews_2025[[#This Row],[Review_date]],"MMMM")</f>
        <v>June</v>
      </c>
      <c r="L2501" s="4" t="b">
        <v>1</v>
      </c>
      <c r="M2501" s="4" t="s">
        <v>98</v>
      </c>
      <c r="N2501" s="5">
        <v>571</v>
      </c>
      <c r="O2501" s="5">
        <v>25</v>
      </c>
      <c r="P2501" s="4" t="s">
        <v>99</v>
      </c>
      <c r="Q2501" s="8" t="s">
        <v>39</v>
      </c>
      <c r="R2501" s="4" t="s">
        <v>2897</v>
      </c>
      <c r="S2501" s="4"/>
      <c r="T2501"/>
      <c r="U2501" s="23"/>
    </row>
    <row r="2502" spans="1:21" ht="15.6" x14ac:dyDescent="0.3">
      <c r="A2502" s="4">
        <v>2501</v>
      </c>
      <c r="B2502" s="5">
        <v>783460</v>
      </c>
      <c r="C2502" s="4" t="s">
        <v>174</v>
      </c>
      <c r="D2502" s="4" t="s">
        <v>47</v>
      </c>
      <c r="E2502" s="4" t="s">
        <v>2898</v>
      </c>
      <c r="F2502" s="4" t="s">
        <v>2959</v>
      </c>
      <c r="G2502" s="6">
        <v>4.8</v>
      </c>
      <c r="H2502" s="7">
        <v>45192.276076388887</v>
      </c>
      <c r="I2502" s="7" t="str">
        <f>TEXT(multilingual_mobile_app_reviews_2025[[#This Row],[Review_date]],"dd-mm-yyyy")</f>
        <v>23-09-2023</v>
      </c>
      <c r="J2502" s="7" t="str">
        <f>TEXT(multilingual_mobile_app_reviews_2025[[#This Row],[Review_date]],"YYYY")</f>
        <v>2023</v>
      </c>
      <c r="K2502" s="7" t="str">
        <f>TEXT(multilingual_mobile_app_reviews_2025[[#This Row],[Review_date]],"MMMM")</f>
        <v>September</v>
      </c>
      <c r="L2502" s="4" t="b">
        <v>1</v>
      </c>
      <c r="M2502" s="4" t="s">
        <v>98</v>
      </c>
      <c r="N2502" s="5">
        <v>436</v>
      </c>
      <c r="O2502" s="5">
        <v>40</v>
      </c>
      <c r="P2502" s="4" t="s">
        <v>99</v>
      </c>
      <c r="Q2502" s="8" t="s">
        <v>39</v>
      </c>
      <c r="R2502" s="4" t="s">
        <v>508</v>
      </c>
      <c r="S2502" s="4"/>
      <c r="T2502"/>
      <c r="U2502" s="23"/>
    </row>
    <row r="2503" spans="1:21" ht="15.6" x14ac:dyDescent="0.3">
      <c r="A2503" s="4">
        <v>2502</v>
      </c>
      <c r="B2503" s="5">
        <v>9970107</v>
      </c>
      <c r="C2503" s="4" t="s">
        <v>113</v>
      </c>
      <c r="D2503" s="4" t="s">
        <v>26</v>
      </c>
      <c r="E2503" s="4" t="s">
        <v>93</v>
      </c>
      <c r="F2503" s="4" t="s">
        <v>2951</v>
      </c>
      <c r="G2503" s="6">
        <v>3</v>
      </c>
      <c r="H2503" s="7">
        <v>45141.9925</v>
      </c>
      <c r="I2503" s="7" t="str">
        <f>TEXT(multilingual_mobile_app_reviews_2025[[#This Row],[Review_date]],"dd-mm-yyyy")</f>
        <v>03-08-2023</v>
      </c>
      <c r="J2503" s="7" t="str">
        <f>TEXT(multilingual_mobile_app_reviews_2025[[#This Row],[Review_date]],"YYYY")</f>
        <v>2023</v>
      </c>
      <c r="K2503" s="7" t="str">
        <f>TEXT(multilingual_mobile_app_reviews_2025[[#This Row],[Review_date]],"MMMM")</f>
        <v>August</v>
      </c>
      <c r="L2503" s="4" t="b">
        <v>1</v>
      </c>
      <c r="M2503" s="4" t="s">
        <v>33</v>
      </c>
      <c r="N2503" s="5">
        <v>214</v>
      </c>
      <c r="O2503" s="5">
        <v>23</v>
      </c>
      <c r="P2503" s="4" t="s">
        <v>23</v>
      </c>
      <c r="Q2503" s="8" t="s">
        <v>29</v>
      </c>
      <c r="R2503" s="4" t="s">
        <v>2899</v>
      </c>
      <c r="S2503" s="4"/>
      <c r="T2503"/>
      <c r="U2503" s="23"/>
    </row>
    <row r="2504" spans="1:21" ht="15.6" x14ac:dyDescent="0.3">
      <c r="A2504" s="4">
        <v>2503</v>
      </c>
      <c r="B2504" s="5">
        <v>8102347</v>
      </c>
      <c r="C2504" s="4" t="s">
        <v>244</v>
      </c>
      <c r="D2504" s="4" t="s">
        <v>1</v>
      </c>
      <c r="E2504" s="4" t="s">
        <v>2938</v>
      </c>
      <c r="F2504" s="4" t="s">
        <v>2944</v>
      </c>
      <c r="G2504" s="6">
        <v>4.5999999999999996</v>
      </c>
      <c r="H2504" s="7">
        <v>45171.90829861111</v>
      </c>
      <c r="I2504" s="7" t="str">
        <f>TEXT(multilingual_mobile_app_reviews_2025[[#This Row],[Review_date]],"dd-mm-yyyy")</f>
        <v>02-09-2023</v>
      </c>
      <c r="J2504" s="7" t="str">
        <f>TEXT(multilingual_mobile_app_reviews_2025[[#This Row],[Review_date]],"YYYY")</f>
        <v>2023</v>
      </c>
      <c r="K2504" s="7" t="str">
        <f>TEXT(multilingual_mobile_app_reviews_2025[[#This Row],[Review_date]],"MMMM")</f>
        <v>September</v>
      </c>
      <c r="L2504" s="4" t="b">
        <v>1</v>
      </c>
      <c r="M2504" s="4" t="s">
        <v>3</v>
      </c>
      <c r="N2504" s="5">
        <v>19</v>
      </c>
      <c r="O2504" s="5">
        <v>51</v>
      </c>
      <c r="P2504" s="4" t="s">
        <v>94</v>
      </c>
      <c r="Q2504" s="8" t="s">
        <v>2963</v>
      </c>
      <c r="R2504" s="4" t="s">
        <v>2900</v>
      </c>
      <c r="S2504" s="4"/>
      <c r="T2504"/>
      <c r="U2504" s="23"/>
    </row>
    <row r="2505" spans="1:21" ht="15.6" x14ac:dyDescent="0.3">
      <c r="A2505" s="4">
        <v>2504</v>
      </c>
      <c r="B2505" s="5">
        <v>6158725</v>
      </c>
      <c r="C2505" s="4" t="s">
        <v>84</v>
      </c>
      <c r="D2505" s="4" t="s">
        <v>1</v>
      </c>
      <c r="E2505" s="4" t="s">
        <v>32</v>
      </c>
      <c r="F2505" s="4" t="s">
        <v>2944</v>
      </c>
      <c r="G2505" s="6">
        <v>2.2000000000000002</v>
      </c>
      <c r="H2505" s="7">
        <v>45454.219004629631</v>
      </c>
      <c r="I2505" s="7" t="str">
        <f>TEXT(multilingual_mobile_app_reviews_2025[[#This Row],[Review_date]],"dd-mm-yyyy")</f>
        <v>11-06-2024</v>
      </c>
      <c r="J2505" s="7" t="str">
        <f>TEXT(multilingual_mobile_app_reviews_2025[[#This Row],[Review_date]],"YYYY")</f>
        <v>2024</v>
      </c>
      <c r="K2505" s="7" t="str">
        <f>TEXT(multilingual_mobile_app_reviews_2025[[#This Row],[Review_date]],"MMMM")</f>
        <v>June</v>
      </c>
      <c r="L2505" s="4" t="b">
        <v>1</v>
      </c>
      <c r="M2505" s="4" t="s">
        <v>33</v>
      </c>
      <c r="N2505" s="5">
        <v>98</v>
      </c>
      <c r="O2505" s="5">
        <v>30</v>
      </c>
      <c r="P2505" s="4" t="s">
        <v>17</v>
      </c>
      <c r="Q2505" s="8" t="s">
        <v>2963</v>
      </c>
      <c r="R2505" s="4" t="s">
        <v>2901</v>
      </c>
      <c r="S2505" s="4"/>
      <c r="T2505"/>
      <c r="U2505" s="23"/>
    </row>
    <row r="2506" spans="1:21" ht="15.6" x14ac:dyDescent="0.3">
      <c r="A2506" s="4">
        <v>2505</v>
      </c>
      <c r="B2506" s="5">
        <v>1893332</v>
      </c>
      <c r="C2506" s="4" t="s">
        <v>199</v>
      </c>
      <c r="D2506" s="4" t="s">
        <v>31</v>
      </c>
      <c r="E2506" s="4" t="s">
        <v>109</v>
      </c>
      <c r="F2506" s="4" t="s">
        <v>2954</v>
      </c>
      <c r="G2506" s="6">
        <v>2.1</v>
      </c>
      <c r="H2506" s="7">
        <v>45344.152361111112</v>
      </c>
      <c r="I2506" s="7" t="str">
        <f>TEXT(multilingual_mobile_app_reviews_2025[[#This Row],[Review_date]],"dd-mm-yyyy")</f>
        <v>22-02-2024</v>
      </c>
      <c r="J2506" s="7" t="str">
        <f>TEXT(multilingual_mobile_app_reviews_2025[[#This Row],[Review_date]],"YYYY")</f>
        <v>2024</v>
      </c>
      <c r="K2506" s="7" t="str">
        <f>TEXT(multilingual_mobile_app_reviews_2025[[#This Row],[Review_date]],"MMMM")</f>
        <v>February</v>
      </c>
      <c r="L2506" s="4" t="b">
        <v>1</v>
      </c>
      <c r="M2506" s="4" t="s">
        <v>98</v>
      </c>
      <c r="N2506" s="5">
        <v>346</v>
      </c>
      <c r="O2506" s="5">
        <v>59</v>
      </c>
      <c r="P2506" s="4" t="s">
        <v>11</v>
      </c>
      <c r="Q2506" s="8" t="s">
        <v>12</v>
      </c>
      <c r="R2506" s="4" t="s">
        <v>178</v>
      </c>
      <c r="S2506" s="4"/>
      <c r="T2506"/>
      <c r="U2506" s="23"/>
    </row>
    <row r="2507" spans="1:21" ht="15.6" x14ac:dyDescent="0.3">
      <c r="A2507" s="4">
        <v>2506</v>
      </c>
      <c r="B2507" s="5">
        <v>9515213</v>
      </c>
      <c r="C2507" s="4" t="s">
        <v>36</v>
      </c>
      <c r="D2507" s="4" t="s">
        <v>31</v>
      </c>
      <c r="E2507" s="4" t="s">
        <v>64</v>
      </c>
      <c r="F2507" s="4" t="s">
        <v>2948</v>
      </c>
      <c r="G2507" s="6">
        <v>4.2</v>
      </c>
      <c r="H2507" s="7">
        <v>45834.064363425925</v>
      </c>
      <c r="I2507" s="7" t="str">
        <f>TEXT(multilingual_mobile_app_reviews_2025[[#This Row],[Review_date]],"dd-mm-yyyy")</f>
        <v>26-06-2025</v>
      </c>
      <c r="J2507" s="7" t="str">
        <f>TEXT(multilingual_mobile_app_reviews_2025[[#This Row],[Review_date]],"YYYY")</f>
        <v>2025</v>
      </c>
      <c r="K2507" s="7" t="str">
        <f>TEXT(multilingual_mobile_app_reviews_2025[[#This Row],[Review_date]],"MMMM")</f>
        <v>June</v>
      </c>
      <c r="L2507" s="4" t="b">
        <v>1</v>
      </c>
      <c r="M2507" s="4" t="s">
        <v>10</v>
      </c>
      <c r="N2507" s="5">
        <v>1179</v>
      </c>
      <c r="O2507" s="5">
        <v>70</v>
      </c>
      <c r="P2507" s="4" t="s">
        <v>127</v>
      </c>
      <c r="Q2507" s="8" t="s">
        <v>5</v>
      </c>
      <c r="R2507" s="4" t="s">
        <v>2902</v>
      </c>
      <c r="S2507" s="4"/>
      <c r="T2507"/>
      <c r="U2507" s="23"/>
    </row>
    <row r="2508" spans="1:21" ht="15.6" x14ac:dyDescent="0.3">
      <c r="A2508" s="4">
        <v>2507</v>
      </c>
      <c r="B2508" s="5">
        <v>1475880</v>
      </c>
      <c r="C2508" s="4" t="s">
        <v>264</v>
      </c>
      <c r="D2508" s="4" t="s">
        <v>51</v>
      </c>
      <c r="E2508" s="4" t="s">
        <v>32</v>
      </c>
      <c r="F2508" s="4" t="s">
        <v>2941</v>
      </c>
      <c r="G2508" s="6">
        <v>4.0999999999999996</v>
      </c>
      <c r="H2508" s="7">
        <v>45398.352546296293</v>
      </c>
      <c r="I2508" s="7" t="str">
        <f>TEXT(multilingual_mobile_app_reviews_2025[[#This Row],[Review_date]],"dd-mm-yyyy")</f>
        <v>16-04-2024</v>
      </c>
      <c r="J2508" s="7" t="str">
        <f>TEXT(multilingual_mobile_app_reviews_2025[[#This Row],[Review_date]],"YYYY")</f>
        <v>2024</v>
      </c>
      <c r="K2508" s="7" t="str">
        <f>TEXT(multilingual_mobile_app_reviews_2025[[#This Row],[Review_date]],"MMMM")</f>
        <v>April</v>
      </c>
      <c r="L2508" s="4" t="b">
        <v>1</v>
      </c>
      <c r="M2508" s="4" t="s">
        <v>10</v>
      </c>
      <c r="N2508" s="5">
        <v>621</v>
      </c>
      <c r="O2508" s="5">
        <v>29</v>
      </c>
      <c r="P2508" s="4" t="s">
        <v>17</v>
      </c>
      <c r="Q2508" s="8" t="s">
        <v>5</v>
      </c>
      <c r="R2508" s="4" t="s">
        <v>2903</v>
      </c>
      <c r="S2508" s="4"/>
      <c r="T2508"/>
      <c r="U2508" s="23"/>
    </row>
    <row r="2509" spans="1:21" ht="15.6" x14ac:dyDescent="0.3">
      <c r="A2509" s="4">
        <v>2508</v>
      </c>
      <c r="B2509" s="5">
        <v>3205952</v>
      </c>
      <c r="C2509" s="4" t="s">
        <v>78</v>
      </c>
      <c r="D2509" s="4" t="s">
        <v>63</v>
      </c>
      <c r="E2509" s="4" t="s">
        <v>2904</v>
      </c>
      <c r="F2509" s="4" t="s">
        <v>2962</v>
      </c>
      <c r="G2509" s="6">
        <v>2.8</v>
      </c>
      <c r="H2509" s="7">
        <v>45453.078703703701</v>
      </c>
      <c r="I2509" s="7" t="str">
        <f>TEXT(multilingual_mobile_app_reviews_2025[[#This Row],[Review_date]],"dd-mm-yyyy")</f>
        <v>10-06-2024</v>
      </c>
      <c r="J2509" s="7" t="str">
        <f>TEXT(multilingual_mobile_app_reviews_2025[[#This Row],[Review_date]],"YYYY")</f>
        <v>2024</v>
      </c>
      <c r="K2509" s="7" t="str">
        <f>TEXT(multilingual_mobile_app_reviews_2025[[#This Row],[Review_date]],"MMMM")</f>
        <v>June</v>
      </c>
      <c r="L2509" s="4" t="b">
        <v>1</v>
      </c>
      <c r="M2509" s="4" t="s">
        <v>22</v>
      </c>
      <c r="N2509" s="5">
        <v>214</v>
      </c>
      <c r="O2509" s="5">
        <v>46</v>
      </c>
      <c r="P2509" s="4" t="s">
        <v>61</v>
      </c>
      <c r="Q2509" s="8" t="s">
        <v>2963</v>
      </c>
      <c r="R2509" s="4" t="s">
        <v>876</v>
      </c>
      <c r="S2509" s="4"/>
      <c r="T2509"/>
      <c r="U2509" s="23"/>
    </row>
    <row r="2510" spans="1:21" ht="15.6" x14ac:dyDescent="0.3">
      <c r="A2510" s="4">
        <v>2509</v>
      </c>
      <c r="B2510" s="5">
        <v>7004546</v>
      </c>
      <c r="C2510" s="4" t="s">
        <v>50</v>
      </c>
      <c r="D2510" s="4" t="s">
        <v>47</v>
      </c>
      <c r="E2510" s="4" t="s">
        <v>2905</v>
      </c>
      <c r="F2510" s="4" t="s">
        <v>2961</v>
      </c>
      <c r="G2510" s="6">
        <v>4.8</v>
      </c>
      <c r="H2510" s="7">
        <v>45660.077847222223</v>
      </c>
      <c r="I2510" s="7" t="str">
        <f>TEXT(multilingual_mobile_app_reviews_2025[[#This Row],[Review_date]],"dd-mm-yyyy")</f>
        <v>03-01-2025</v>
      </c>
      <c r="J2510" s="7" t="str">
        <f>TEXT(multilingual_mobile_app_reviews_2025[[#This Row],[Review_date]],"YYYY")</f>
        <v>2025</v>
      </c>
      <c r="K2510" s="7" t="str">
        <f>TEXT(multilingual_mobile_app_reviews_2025[[#This Row],[Review_date]],"MMMM")</f>
        <v>January</v>
      </c>
      <c r="L2510" s="4" t="b">
        <v>1</v>
      </c>
      <c r="M2510" s="4" t="s">
        <v>98</v>
      </c>
      <c r="N2510" s="5">
        <v>649</v>
      </c>
      <c r="O2510" s="5">
        <v>17</v>
      </c>
      <c r="P2510" s="4" t="s">
        <v>65</v>
      </c>
      <c r="Q2510" s="8" t="s">
        <v>2963</v>
      </c>
      <c r="R2510" s="4" t="s">
        <v>498</v>
      </c>
      <c r="S2510" s="4"/>
      <c r="T2510"/>
      <c r="U2510" s="23"/>
    </row>
    <row r="2511" spans="1:21" ht="15.6" x14ac:dyDescent="0.3">
      <c r="A2511" s="4">
        <v>2510</v>
      </c>
      <c r="B2511" s="5">
        <v>2322118</v>
      </c>
      <c r="C2511" s="4" t="s">
        <v>137</v>
      </c>
      <c r="D2511" s="4" t="s">
        <v>157</v>
      </c>
      <c r="E2511" s="4" t="s">
        <v>2906</v>
      </c>
      <c r="F2511" s="4" t="s">
        <v>2946</v>
      </c>
      <c r="G2511" s="6">
        <v>3</v>
      </c>
      <c r="H2511" s="7">
        <v>45253.046875</v>
      </c>
      <c r="I2511" s="7" t="str">
        <f>TEXT(multilingual_mobile_app_reviews_2025[[#This Row],[Review_date]],"dd-mm-yyyy")</f>
        <v>23-11-2023</v>
      </c>
      <c r="J2511" s="7" t="str">
        <f>TEXT(multilingual_mobile_app_reviews_2025[[#This Row],[Review_date]],"YYYY")</f>
        <v>2023</v>
      </c>
      <c r="K2511" s="7" t="str">
        <f>TEXT(multilingual_mobile_app_reviews_2025[[#This Row],[Review_date]],"MMMM")</f>
        <v>November</v>
      </c>
      <c r="L2511" s="4" t="b">
        <v>0</v>
      </c>
      <c r="M2511" s="4" t="s">
        <v>22</v>
      </c>
      <c r="N2511" s="5">
        <v>635</v>
      </c>
      <c r="O2511" s="5">
        <v>21</v>
      </c>
      <c r="P2511" s="4" t="s">
        <v>44</v>
      </c>
      <c r="Q2511" s="8" t="s">
        <v>39</v>
      </c>
      <c r="R2511" s="4" t="s">
        <v>2907</v>
      </c>
      <c r="S2511" s="4"/>
      <c r="T2511"/>
      <c r="U2511" s="23"/>
    </row>
    <row r="2512" spans="1:21" ht="15.6" x14ac:dyDescent="0.3">
      <c r="A2512" s="4">
        <v>2511</v>
      </c>
      <c r="B2512" s="5">
        <v>2167693</v>
      </c>
      <c r="C2512" s="4" t="s">
        <v>36</v>
      </c>
      <c r="D2512" s="4" t="s">
        <v>111</v>
      </c>
      <c r="E2512" s="4" t="s">
        <v>109</v>
      </c>
      <c r="F2512" s="4" t="s">
        <v>2958</v>
      </c>
      <c r="G2512" s="6">
        <v>1.9</v>
      </c>
      <c r="H2512" s="7">
        <v>45813.696064814816</v>
      </c>
      <c r="I2512" s="7" t="str">
        <f>TEXT(multilingual_mobile_app_reviews_2025[[#This Row],[Review_date]],"dd-mm-yyyy")</f>
        <v>05-06-2025</v>
      </c>
      <c r="J2512" s="7" t="str">
        <f>TEXT(multilingual_mobile_app_reviews_2025[[#This Row],[Review_date]],"YYYY")</f>
        <v>2025</v>
      </c>
      <c r="K2512" s="7" t="str">
        <f>TEXT(multilingual_mobile_app_reviews_2025[[#This Row],[Review_date]],"MMMM")</f>
        <v>June</v>
      </c>
      <c r="L2512" s="4" t="b">
        <v>1</v>
      </c>
      <c r="M2512" s="4" t="s">
        <v>33</v>
      </c>
      <c r="N2512" s="5">
        <v>1127</v>
      </c>
      <c r="O2512" s="5">
        <v>38</v>
      </c>
      <c r="P2512" s="4" t="s">
        <v>127</v>
      </c>
      <c r="Q2512" s="8" t="s">
        <v>2963</v>
      </c>
      <c r="R2512" s="4" t="s">
        <v>2908</v>
      </c>
      <c r="S2512" s="4"/>
      <c r="T2512"/>
      <c r="U2512" s="23"/>
    </row>
    <row r="2513" spans="1:21" ht="15.6" x14ac:dyDescent="0.3">
      <c r="A2513" s="4">
        <v>2512</v>
      </c>
      <c r="B2513" s="5">
        <v>5554467</v>
      </c>
      <c r="C2513" s="4" t="s">
        <v>137</v>
      </c>
      <c r="D2513" s="4" t="s">
        <v>42</v>
      </c>
      <c r="E2513" s="4" t="s">
        <v>109</v>
      </c>
      <c r="F2513" s="4" t="s">
        <v>2951</v>
      </c>
      <c r="G2513" s="6">
        <v>3.4</v>
      </c>
      <c r="H2513" s="7">
        <v>45458.209930555553</v>
      </c>
      <c r="I2513" s="7" t="str">
        <f>TEXT(multilingual_mobile_app_reviews_2025[[#This Row],[Review_date]],"dd-mm-yyyy")</f>
        <v>15-06-2024</v>
      </c>
      <c r="J2513" s="7" t="str">
        <f>TEXT(multilingual_mobile_app_reviews_2025[[#This Row],[Review_date]],"YYYY")</f>
        <v>2024</v>
      </c>
      <c r="K2513" s="7" t="str">
        <f>TEXT(multilingual_mobile_app_reviews_2025[[#This Row],[Review_date]],"MMMM")</f>
        <v>June</v>
      </c>
      <c r="L2513" s="4" t="b">
        <v>1</v>
      </c>
      <c r="M2513" s="4" t="s">
        <v>3</v>
      </c>
      <c r="N2513" s="5">
        <v>677</v>
      </c>
      <c r="O2513" s="5">
        <v>27</v>
      </c>
      <c r="P2513" s="4" t="s">
        <v>65</v>
      </c>
      <c r="Q2513" s="8" t="s">
        <v>2963</v>
      </c>
      <c r="R2513" s="4" t="s">
        <v>2909</v>
      </c>
      <c r="S2513" s="4"/>
      <c r="T2513"/>
      <c r="U2513" s="23"/>
    </row>
    <row r="2514" spans="1:21" ht="15.6" x14ac:dyDescent="0.3">
      <c r="A2514" s="4">
        <v>2513</v>
      </c>
      <c r="B2514" s="5">
        <v>8805125</v>
      </c>
      <c r="C2514" s="4" t="s">
        <v>54</v>
      </c>
      <c r="D2514" s="4" t="s">
        <v>42</v>
      </c>
      <c r="E2514" s="4" t="s">
        <v>2910</v>
      </c>
      <c r="F2514" s="4" t="s">
        <v>2948</v>
      </c>
      <c r="G2514" s="6">
        <v>2.7</v>
      </c>
      <c r="H2514" s="7">
        <v>45262.070497685185</v>
      </c>
      <c r="I2514" s="7" t="str">
        <f>TEXT(multilingual_mobile_app_reviews_2025[[#This Row],[Review_date]],"dd-mm-yyyy")</f>
        <v>02-12-2023</v>
      </c>
      <c r="J2514" s="7" t="str">
        <f>TEXT(multilingual_mobile_app_reviews_2025[[#This Row],[Review_date]],"YYYY")</f>
        <v>2023</v>
      </c>
      <c r="K2514" s="7" t="str">
        <f>TEXT(multilingual_mobile_app_reviews_2025[[#This Row],[Review_date]],"MMMM")</f>
        <v>December</v>
      </c>
      <c r="L2514" s="4" t="b">
        <v>1</v>
      </c>
      <c r="M2514" s="4" t="s">
        <v>98</v>
      </c>
      <c r="N2514" s="5">
        <v>155</v>
      </c>
      <c r="O2514" s="5">
        <v>35</v>
      </c>
      <c r="P2514" s="4" t="s">
        <v>23</v>
      </c>
      <c r="Q2514" s="8" t="s">
        <v>2963</v>
      </c>
      <c r="R2514" s="4" t="s">
        <v>2911</v>
      </c>
      <c r="S2514" s="4"/>
      <c r="T2514"/>
      <c r="U2514" s="23"/>
    </row>
    <row r="2515" spans="1:21" ht="15.6" x14ac:dyDescent="0.3">
      <c r="A2515" s="4">
        <v>2514</v>
      </c>
      <c r="B2515" s="5">
        <v>1099793</v>
      </c>
      <c r="C2515" s="4" t="s">
        <v>19</v>
      </c>
      <c r="D2515" s="4" t="s">
        <v>26</v>
      </c>
      <c r="E2515" s="4" t="s">
        <v>21</v>
      </c>
      <c r="F2515" s="4" t="s">
        <v>2943</v>
      </c>
      <c r="G2515" s="6">
        <v>2.1</v>
      </c>
      <c r="H2515" s="7">
        <v>45720.118946759256</v>
      </c>
      <c r="I2515" s="7" t="str">
        <f>TEXT(multilingual_mobile_app_reviews_2025[[#This Row],[Review_date]],"dd-mm-yyyy")</f>
        <v>04-03-2025</v>
      </c>
      <c r="J2515" s="7" t="str">
        <f>TEXT(multilingual_mobile_app_reviews_2025[[#This Row],[Review_date]],"YYYY")</f>
        <v>2025</v>
      </c>
      <c r="K2515" s="7" t="str">
        <f>TEXT(multilingual_mobile_app_reviews_2025[[#This Row],[Review_date]],"MMMM")</f>
        <v>March</v>
      </c>
      <c r="L2515" s="4" t="b">
        <v>1</v>
      </c>
      <c r="M2515" s="4" t="s">
        <v>98</v>
      </c>
      <c r="N2515" s="5">
        <v>1040</v>
      </c>
      <c r="O2515" s="5">
        <v>26</v>
      </c>
      <c r="P2515" s="4" t="s">
        <v>127</v>
      </c>
      <c r="Q2515" s="8" t="s">
        <v>29</v>
      </c>
      <c r="R2515" s="4" t="s">
        <v>1401</v>
      </c>
      <c r="S2515" s="4"/>
      <c r="T2515"/>
      <c r="U2515" s="23"/>
    </row>
  </sheetData>
  <conditionalFormatting sqref="A2:A2515">
    <cfRule type="duplicateValues" dxfId="1" priority="1"/>
  </conditionalFormatting>
  <conditionalFormatting sqref="B2:B2515">
    <cfRule type="duplicateValues" dxfId="0" priority="2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4C8E9-2790-4995-AFA6-2D2901CD8FCE}">
  <dimension ref="A2:G193"/>
  <sheetViews>
    <sheetView topLeftCell="A123" zoomScale="80" zoomScaleNormal="80" workbookViewId="0">
      <selection activeCell="A145" sqref="A145"/>
    </sheetView>
  </sheetViews>
  <sheetFormatPr defaultRowHeight="14.4" x14ac:dyDescent="0.3"/>
  <cols>
    <col min="1" max="1" width="12.5546875" bestFit="1" customWidth="1"/>
    <col min="2" max="2" width="17.5546875" bestFit="1" customWidth="1"/>
    <col min="3" max="3" width="16" bestFit="1" customWidth="1"/>
    <col min="4" max="4" width="14" customWidth="1"/>
    <col min="5" max="5" width="12.33203125" customWidth="1"/>
    <col min="6" max="6" width="12.21875" customWidth="1"/>
  </cols>
  <sheetData>
    <row r="2" spans="1:7" ht="15.6" customHeight="1" x14ac:dyDescent="0.3"/>
    <row r="3" spans="1:7" s="14" customFormat="1" ht="28.8" x14ac:dyDescent="0.3">
      <c r="A3" s="16" t="s">
        <v>3001</v>
      </c>
      <c r="B3" s="16" t="s">
        <v>3002</v>
      </c>
      <c r="C3" s="17" t="s">
        <v>3003</v>
      </c>
      <c r="D3" s="16" t="s">
        <v>2998</v>
      </c>
      <c r="E3" s="17" t="s">
        <v>2999</v>
      </c>
      <c r="F3" s="17" t="s">
        <v>3000</v>
      </c>
      <c r="G3" s="15"/>
    </row>
    <row r="4" spans="1:7" x14ac:dyDescent="0.3">
      <c r="A4" s="18">
        <v>2514</v>
      </c>
      <c r="B4" s="19">
        <v>3.0207239459029402</v>
      </c>
      <c r="C4" s="20">
        <v>1550394</v>
      </c>
      <c r="D4" s="18">
        <f>COUNTA(_xlfn.UNIQUE(multilingual_mobile_app_reviews_2025[App_name],FALSE,FALSE))</f>
        <v>41</v>
      </c>
      <c r="E4" s="18">
        <f>COUNTA(_xlfn.UNIQUE(multilingual_mobile_app_reviews_2025[Review_language],FALSE,FALSE))</f>
        <v>24</v>
      </c>
      <c r="F4" s="19">
        <f>COUNTIF(multilingual_mobile_app_reviews_2025[Verified_purchase],"TRUE")/2514*100</f>
        <v>77.128082736674614</v>
      </c>
    </row>
    <row r="5" spans="1:7" x14ac:dyDescent="0.3">
      <c r="B5" s="2"/>
      <c r="C5" s="10"/>
      <c r="F5" s="13"/>
    </row>
    <row r="6" spans="1:7" x14ac:dyDescent="0.3">
      <c r="A6" t="s">
        <v>2969</v>
      </c>
    </row>
    <row r="8" spans="1:7" x14ac:dyDescent="0.3">
      <c r="A8" s="11" t="s">
        <v>2972</v>
      </c>
      <c r="B8" t="s">
        <v>2970</v>
      </c>
      <c r="C8" t="s">
        <v>2971</v>
      </c>
    </row>
    <row r="9" spans="1:7" x14ac:dyDescent="0.3">
      <c r="A9" s="12" t="s">
        <v>56</v>
      </c>
      <c r="B9">
        <v>68</v>
      </c>
      <c r="C9" s="2">
        <v>2.7897058823529415</v>
      </c>
    </row>
    <row r="10" spans="1:7" x14ac:dyDescent="0.3">
      <c r="A10" s="12" t="s">
        <v>176</v>
      </c>
      <c r="B10">
        <v>65</v>
      </c>
      <c r="C10" s="2">
        <v>2.9399999999999986</v>
      </c>
    </row>
    <row r="11" spans="1:7" x14ac:dyDescent="0.3">
      <c r="A11" s="12" t="s">
        <v>154</v>
      </c>
      <c r="B11">
        <v>54</v>
      </c>
      <c r="C11" s="2">
        <v>3.0592592592592589</v>
      </c>
    </row>
    <row r="12" spans="1:7" x14ac:dyDescent="0.3">
      <c r="A12" s="12" t="s">
        <v>92</v>
      </c>
      <c r="B12">
        <v>62</v>
      </c>
      <c r="C12" s="2">
        <v>2.819354838709677</v>
      </c>
    </row>
    <row r="13" spans="1:7" x14ac:dyDescent="0.3">
      <c r="A13" s="12" t="s">
        <v>165</v>
      </c>
      <c r="B13">
        <v>56</v>
      </c>
      <c r="C13" s="2">
        <v>3.0517857142857134</v>
      </c>
    </row>
    <row r="14" spans="1:7" x14ac:dyDescent="0.3">
      <c r="A14" s="12" t="s">
        <v>41</v>
      </c>
      <c r="B14">
        <v>57</v>
      </c>
      <c r="C14" s="2">
        <v>3.0157894736842095</v>
      </c>
    </row>
    <row r="15" spans="1:7" x14ac:dyDescent="0.3">
      <c r="A15" s="12" t="s">
        <v>54</v>
      </c>
      <c r="B15">
        <v>59</v>
      </c>
      <c r="C15" s="2">
        <v>2.922033898305084</v>
      </c>
    </row>
    <row r="16" spans="1:7" x14ac:dyDescent="0.3">
      <c r="A16" s="12" t="s">
        <v>123</v>
      </c>
      <c r="B16">
        <v>44</v>
      </c>
      <c r="C16" s="2">
        <v>3.1250000000000004</v>
      </c>
    </row>
    <row r="17" spans="1:3" x14ac:dyDescent="0.3">
      <c r="A17" s="12" t="s">
        <v>50</v>
      </c>
      <c r="B17">
        <v>70</v>
      </c>
      <c r="C17" s="2">
        <v>3.1171428571428574</v>
      </c>
    </row>
    <row r="18" spans="1:3" x14ac:dyDescent="0.3">
      <c r="A18" s="12" t="s">
        <v>104</v>
      </c>
      <c r="B18">
        <v>57</v>
      </c>
      <c r="C18" s="2">
        <v>2.978947368421053</v>
      </c>
    </row>
    <row r="19" spans="1:3" x14ac:dyDescent="0.3">
      <c r="A19" s="12" t="s">
        <v>67</v>
      </c>
      <c r="B19">
        <v>57</v>
      </c>
      <c r="C19" s="2">
        <v>2.9859649122807017</v>
      </c>
    </row>
    <row r="20" spans="1:3" x14ac:dyDescent="0.3">
      <c r="A20" s="12" t="s">
        <v>78</v>
      </c>
      <c r="B20">
        <v>52</v>
      </c>
      <c r="C20" s="2">
        <v>2.9730769230769232</v>
      </c>
    </row>
    <row r="21" spans="1:3" x14ac:dyDescent="0.3">
      <c r="A21" s="12" t="s">
        <v>25</v>
      </c>
      <c r="B21">
        <v>76</v>
      </c>
      <c r="C21" s="2">
        <v>3.0881578947368422</v>
      </c>
    </row>
    <row r="22" spans="1:3" x14ac:dyDescent="0.3">
      <c r="A22" s="12" t="s">
        <v>89</v>
      </c>
      <c r="B22">
        <v>63</v>
      </c>
      <c r="C22" s="2">
        <v>2.9587301587301584</v>
      </c>
    </row>
    <row r="23" spans="1:3" x14ac:dyDescent="0.3">
      <c r="A23" s="12" t="s">
        <v>192</v>
      </c>
      <c r="B23">
        <v>66</v>
      </c>
      <c r="C23" s="2">
        <v>3.2045454545454555</v>
      </c>
    </row>
    <row r="24" spans="1:3" x14ac:dyDescent="0.3">
      <c r="A24" s="12" t="s">
        <v>132</v>
      </c>
      <c r="B24">
        <v>72</v>
      </c>
      <c r="C24" s="2">
        <v>3.0194444444444435</v>
      </c>
    </row>
    <row r="25" spans="1:3" x14ac:dyDescent="0.3">
      <c r="A25" s="12" t="s">
        <v>69</v>
      </c>
      <c r="B25">
        <v>54</v>
      </c>
      <c r="C25" s="2">
        <v>3.2574074074074066</v>
      </c>
    </row>
    <row r="26" spans="1:3" x14ac:dyDescent="0.3">
      <c r="A26" s="12" t="s">
        <v>84</v>
      </c>
      <c r="B26">
        <v>56</v>
      </c>
      <c r="C26" s="2">
        <v>2.9232142857142862</v>
      </c>
    </row>
    <row r="27" spans="1:3" x14ac:dyDescent="0.3">
      <c r="A27" s="12" t="s">
        <v>199</v>
      </c>
      <c r="B27">
        <v>55</v>
      </c>
      <c r="C27" s="2">
        <v>3.089090909090908</v>
      </c>
    </row>
    <row r="28" spans="1:3" x14ac:dyDescent="0.3">
      <c r="A28" s="12" t="s">
        <v>46</v>
      </c>
      <c r="B28">
        <v>68</v>
      </c>
      <c r="C28" s="2">
        <v>3.0647058823529409</v>
      </c>
    </row>
    <row r="29" spans="1:3" x14ac:dyDescent="0.3">
      <c r="A29" s="12" t="s">
        <v>0</v>
      </c>
      <c r="B29">
        <v>72</v>
      </c>
      <c r="C29" s="2">
        <v>2.9750000000000005</v>
      </c>
    </row>
    <row r="30" spans="1:3" x14ac:dyDescent="0.3">
      <c r="A30" s="12" t="s">
        <v>14</v>
      </c>
      <c r="B30">
        <v>62</v>
      </c>
      <c r="C30" s="2">
        <v>2.9854838709677405</v>
      </c>
    </row>
    <row r="31" spans="1:3" x14ac:dyDescent="0.3">
      <c r="A31" s="12" t="s">
        <v>137</v>
      </c>
      <c r="B31">
        <v>74</v>
      </c>
      <c r="C31" s="2">
        <v>3.2945945945945958</v>
      </c>
    </row>
    <row r="32" spans="1:3" x14ac:dyDescent="0.3">
      <c r="A32" s="12" t="s">
        <v>87</v>
      </c>
      <c r="B32">
        <v>61</v>
      </c>
      <c r="C32" s="2">
        <v>2.8704918032786888</v>
      </c>
    </row>
    <row r="33" spans="1:3" x14ac:dyDescent="0.3">
      <c r="A33" s="12" t="s">
        <v>159</v>
      </c>
      <c r="B33">
        <v>80</v>
      </c>
      <c r="C33" s="2">
        <v>3.0075000000000003</v>
      </c>
    </row>
    <row r="34" spans="1:3" x14ac:dyDescent="0.3">
      <c r="A34" s="12" t="s">
        <v>101</v>
      </c>
      <c r="B34">
        <v>80</v>
      </c>
      <c r="C34" s="2">
        <v>3.0837499999999998</v>
      </c>
    </row>
    <row r="35" spans="1:3" x14ac:dyDescent="0.3">
      <c r="A35" s="12" t="s">
        <v>36</v>
      </c>
      <c r="B35">
        <v>56</v>
      </c>
      <c r="C35" s="2">
        <v>2.9964285714285706</v>
      </c>
    </row>
    <row r="36" spans="1:3" x14ac:dyDescent="0.3">
      <c r="A36" s="12" t="s">
        <v>75</v>
      </c>
      <c r="B36">
        <v>51</v>
      </c>
      <c r="C36" s="2">
        <v>3.3019607843137262</v>
      </c>
    </row>
    <row r="37" spans="1:3" x14ac:dyDescent="0.3">
      <c r="A37" s="12" t="s">
        <v>134</v>
      </c>
      <c r="B37">
        <v>51</v>
      </c>
      <c r="C37" s="2">
        <v>3.1333333333333346</v>
      </c>
    </row>
    <row r="38" spans="1:3" x14ac:dyDescent="0.3">
      <c r="A38" s="12" t="s">
        <v>208</v>
      </c>
      <c r="B38">
        <v>68</v>
      </c>
      <c r="C38" s="2">
        <v>3.0573529411764708</v>
      </c>
    </row>
    <row r="39" spans="1:3" x14ac:dyDescent="0.3">
      <c r="A39" s="12" t="s">
        <v>264</v>
      </c>
      <c r="B39">
        <v>63</v>
      </c>
      <c r="C39" s="2">
        <v>3.0285714285714298</v>
      </c>
    </row>
    <row r="40" spans="1:3" x14ac:dyDescent="0.3">
      <c r="A40" s="12" t="s">
        <v>7</v>
      </c>
      <c r="B40">
        <v>62</v>
      </c>
      <c r="C40" s="2">
        <v>2.7177419354838706</v>
      </c>
    </row>
    <row r="41" spans="1:3" x14ac:dyDescent="0.3">
      <c r="A41" s="12" t="s">
        <v>258</v>
      </c>
      <c r="B41">
        <v>59</v>
      </c>
      <c r="C41" s="2">
        <v>2.8016949152542372</v>
      </c>
    </row>
    <row r="42" spans="1:3" x14ac:dyDescent="0.3">
      <c r="A42" s="12" t="s">
        <v>174</v>
      </c>
      <c r="B42">
        <v>64</v>
      </c>
      <c r="C42" s="2">
        <v>3.209375000000001</v>
      </c>
    </row>
    <row r="43" spans="1:3" x14ac:dyDescent="0.3">
      <c r="A43" s="12" t="s">
        <v>59</v>
      </c>
      <c r="B43">
        <v>52</v>
      </c>
      <c r="C43" s="2">
        <v>2.9365384615384613</v>
      </c>
    </row>
    <row r="44" spans="1:3" x14ac:dyDescent="0.3">
      <c r="A44" s="12" t="s">
        <v>19</v>
      </c>
      <c r="B44">
        <v>50</v>
      </c>
      <c r="C44" s="2">
        <v>3.0220000000000016</v>
      </c>
    </row>
    <row r="45" spans="1:3" x14ac:dyDescent="0.3">
      <c r="A45" s="12" t="s">
        <v>147</v>
      </c>
      <c r="B45">
        <v>49</v>
      </c>
      <c r="C45" s="2">
        <v>3.1469387755102041</v>
      </c>
    </row>
    <row r="46" spans="1:3" x14ac:dyDescent="0.3">
      <c r="A46" s="12" t="s">
        <v>113</v>
      </c>
      <c r="B46">
        <v>64</v>
      </c>
      <c r="C46" s="2">
        <v>2.8562500000000002</v>
      </c>
    </row>
    <row r="47" spans="1:3" x14ac:dyDescent="0.3">
      <c r="A47" s="12" t="s">
        <v>244</v>
      </c>
      <c r="B47">
        <v>59</v>
      </c>
      <c r="C47" s="2">
        <v>3.1271186440677972</v>
      </c>
    </row>
    <row r="48" spans="1:3" x14ac:dyDescent="0.3">
      <c r="A48" s="12" t="s">
        <v>106</v>
      </c>
      <c r="B48">
        <v>66</v>
      </c>
      <c r="C48" s="2">
        <v>3.0621212121212111</v>
      </c>
    </row>
    <row r="49" spans="1:3" x14ac:dyDescent="0.3">
      <c r="A49" s="12" t="s">
        <v>96</v>
      </c>
      <c r="B49">
        <v>60</v>
      </c>
      <c r="C49" s="2">
        <v>2.8849999999999998</v>
      </c>
    </row>
    <row r="50" spans="1:3" x14ac:dyDescent="0.3">
      <c r="A50" s="12" t="s">
        <v>2973</v>
      </c>
      <c r="B50">
        <v>2514</v>
      </c>
      <c r="C50" s="2">
        <v>3.020723945902942</v>
      </c>
    </row>
    <row r="52" spans="1:3" x14ac:dyDescent="0.3">
      <c r="A52" s="12" t="s">
        <v>2974</v>
      </c>
    </row>
    <row r="54" spans="1:3" x14ac:dyDescent="0.3">
      <c r="A54" s="11" t="s">
        <v>2972</v>
      </c>
      <c r="B54" t="s">
        <v>2970</v>
      </c>
      <c r="C54" t="s">
        <v>2971</v>
      </c>
    </row>
    <row r="55" spans="1:3" x14ac:dyDescent="0.3">
      <c r="A55" s="12" t="s">
        <v>157</v>
      </c>
      <c r="B55">
        <v>150</v>
      </c>
      <c r="C55" s="2">
        <v>3.0433333333333339</v>
      </c>
    </row>
    <row r="56" spans="1:3" x14ac:dyDescent="0.3">
      <c r="A56" s="12" t="s">
        <v>71</v>
      </c>
      <c r="B56">
        <v>137</v>
      </c>
      <c r="C56" s="2">
        <v>2.9927007299270079</v>
      </c>
    </row>
    <row r="57" spans="1:3" x14ac:dyDescent="0.3">
      <c r="A57" s="12" t="s">
        <v>15</v>
      </c>
      <c r="B57">
        <v>140</v>
      </c>
      <c r="C57" s="2">
        <v>2.8771428571428559</v>
      </c>
    </row>
    <row r="58" spans="1:3" x14ac:dyDescent="0.3">
      <c r="A58" s="12" t="s">
        <v>26</v>
      </c>
      <c r="B58">
        <v>136</v>
      </c>
      <c r="C58" s="2">
        <v>3.0051470588235287</v>
      </c>
    </row>
    <row r="59" spans="1:3" x14ac:dyDescent="0.3">
      <c r="A59" s="12" t="s">
        <v>63</v>
      </c>
      <c r="B59">
        <v>167</v>
      </c>
      <c r="C59" s="2">
        <v>3.0976047904191608</v>
      </c>
    </row>
    <row r="60" spans="1:3" x14ac:dyDescent="0.3">
      <c r="A60" s="12" t="s">
        <v>111</v>
      </c>
      <c r="B60">
        <v>128</v>
      </c>
      <c r="C60" s="2">
        <v>2.9742187499999986</v>
      </c>
    </row>
    <row r="61" spans="1:3" x14ac:dyDescent="0.3">
      <c r="A61" s="12" t="s">
        <v>97</v>
      </c>
      <c r="B61">
        <v>117</v>
      </c>
      <c r="C61" s="2">
        <v>3.0658119658119678</v>
      </c>
    </row>
    <row r="62" spans="1:3" x14ac:dyDescent="0.3">
      <c r="A62" s="12" t="s">
        <v>60</v>
      </c>
      <c r="B62">
        <v>155</v>
      </c>
      <c r="C62" s="2">
        <v>3.2503225806451619</v>
      </c>
    </row>
    <row r="63" spans="1:3" x14ac:dyDescent="0.3">
      <c r="A63" s="12" t="s">
        <v>31</v>
      </c>
      <c r="B63">
        <v>152</v>
      </c>
      <c r="C63" s="2">
        <v>3.0203947368421051</v>
      </c>
    </row>
    <row r="64" spans="1:3" x14ac:dyDescent="0.3">
      <c r="A64" s="12" t="s">
        <v>8</v>
      </c>
      <c r="B64">
        <v>161</v>
      </c>
      <c r="C64" s="2">
        <v>3.1074534161490677</v>
      </c>
    </row>
    <row r="65" spans="1:3" x14ac:dyDescent="0.3">
      <c r="A65" s="12" t="s">
        <v>51</v>
      </c>
      <c r="B65">
        <v>133</v>
      </c>
      <c r="C65" s="2">
        <v>2.9270676691729318</v>
      </c>
    </row>
    <row r="66" spans="1:3" x14ac:dyDescent="0.3">
      <c r="A66" s="12" t="s">
        <v>79</v>
      </c>
      <c r="B66">
        <v>109</v>
      </c>
      <c r="C66" s="2">
        <v>3.0467889908256867</v>
      </c>
    </row>
    <row r="67" spans="1:3" x14ac:dyDescent="0.3">
      <c r="A67" s="12" t="s">
        <v>20</v>
      </c>
      <c r="B67">
        <v>140</v>
      </c>
      <c r="C67" s="2">
        <v>2.9678571428571434</v>
      </c>
    </row>
    <row r="68" spans="1:3" x14ac:dyDescent="0.3">
      <c r="A68" s="12" t="s">
        <v>220</v>
      </c>
      <c r="B68">
        <v>137</v>
      </c>
      <c r="C68" s="2">
        <v>2.9773722627737222</v>
      </c>
    </row>
    <row r="69" spans="1:3" x14ac:dyDescent="0.3">
      <c r="A69" s="12" t="s">
        <v>42</v>
      </c>
      <c r="B69">
        <v>139</v>
      </c>
      <c r="C69" s="2">
        <v>3.0143884892086321</v>
      </c>
    </row>
    <row r="70" spans="1:3" x14ac:dyDescent="0.3">
      <c r="A70" s="12" t="s">
        <v>1</v>
      </c>
      <c r="B70">
        <v>159</v>
      </c>
      <c r="C70" s="2">
        <v>2.8421383647798728</v>
      </c>
    </row>
    <row r="71" spans="1:3" x14ac:dyDescent="0.3">
      <c r="A71" s="12" t="s">
        <v>57</v>
      </c>
      <c r="B71">
        <v>115</v>
      </c>
      <c r="C71" s="2">
        <v>3.0826086956521745</v>
      </c>
    </row>
    <row r="72" spans="1:3" x14ac:dyDescent="0.3">
      <c r="A72" s="12" t="s">
        <v>47</v>
      </c>
      <c r="B72">
        <v>139</v>
      </c>
      <c r="C72" s="2">
        <v>3.064748201438849</v>
      </c>
    </row>
    <row r="73" spans="1:3" x14ac:dyDescent="0.3">
      <c r="A73" s="12" t="s">
        <v>2973</v>
      </c>
      <c r="B73">
        <v>2514</v>
      </c>
      <c r="C73" s="2">
        <v>3.020723945902942</v>
      </c>
    </row>
    <row r="75" spans="1:3" x14ac:dyDescent="0.3">
      <c r="A75" s="12" t="s">
        <v>2975</v>
      </c>
    </row>
    <row r="77" spans="1:3" x14ac:dyDescent="0.3">
      <c r="A77" s="11" t="s">
        <v>2972</v>
      </c>
      <c r="B77" t="s">
        <v>2970</v>
      </c>
    </row>
    <row r="78" spans="1:3" x14ac:dyDescent="0.3">
      <c r="A78" s="12" t="s">
        <v>2959</v>
      </c>
      <c r="B78">
        <v>108</v>
      </c>
    </row>
    <row r="79" spans="1:3" x14ac:dyDescent="0.3">
      <c r="A79" s="12" t="s">
        <v>2948</v>
      </c>
      <c r="B79">
        <v>105</v>
      </c>
    </row>
    <row r="80" spans="1:3" x14ac:dyDescent="0.3">
      <c r="A80" s="12" t="s">
        <v>2946</v>
      </c>
      <c r="B80">
        <v>116</v>
      </c>
    </row>
    <row r="81" spans="1:3" x14ac:dyDescent="0.3">
      <c r="A81" s="12" t="s">
        <v>2961</v>
      </c>
      <c r="B81">
        <v>114</v>
      </c>
    </row>
    <row r="82" spans="1:3" x14ac:dyDescent="0.3">
      <c r="A82" s="12" t="s">
        <v>2950</v>
      </c>
      <c r="B82">
        <v>111</v>
      </c>
    </row>
    <row r="83" spans="1:3" x14ac:dyDescent="0.3">
      <c r="A83" s="12" t="s">
        <v>2957</v>
      </c>
      <c r="B83">
        <v>111</v>
      </c>
    </row>
    <row r="84" spans="1:3" x14ac:dyDescent="0.3">
      <c r="A84" s="12" t="s">
        <v>2954</v>
      </c>
      <c r="B84">
        <v>114</v>
      </c>
    </row>
    <row r="85" spans="1:3" x14ac:dyDescent="0.3">
      <c r="A85" s="12" t="s">
        <v>2945</v>
      </c>
      <c r="B85">
        <v>122</v>
      </c>
    </row>
    <row r="86" spans="1:3" x14ac:dyDescent="0.3">
      <c r="A86" s="12" t="s">
        <v>2944</v>
      </c>
      <c r="B86">
        <v>134</v>
      </c>
    </row>
    <row r="87" spans="1:3" x14ac:dyDescent="0.3">
      <c r="A87" s="12" t="s">
        <v>2940</v>
      </c>
      <c r="B87">
        <v>119</v>
      </c>
    </row>
    <row r="88" spans="1:3" x14ac:dyDescent="0.3">
      <c r="A88" s="12" t="s">
        <v>2973</v>
      </c>
      <c r="B88">
        <v>1154</v>
      </c>
    </row>
    <row r="93" spans="1:3" x14ac:dyDescent="0.3">
      <c r="A93" s="12" t="s">
        <v>2976</v>
      </c>
    </row>
    <row r="95" spans="1:3" x14ac:dyDescent="0.3">
      <c r="A95" s="11" t="s">
        <v>2972</v>
      </c>
      <c r="B95" t="s">
        <v>2970</v>
      </c>
      <c r="C95" t="s">
        <v>2971</v>
      </c>
    </row>
    <row r="96" spans="1:3" x14ac:dyDescent="0.3">
      <c r="A96" s="12" t="s">
        <v>38</v>
      </c>
      <c r="B96">
        <v>128</v>
      </c>
      <c r="C96" s="2">
        <v>2.9359374999999996</v>
      </c>
    </row>
    <row r="97" spans="1:3" x14ac:dyDescent="0.3">
      <c r="A97" s="12" t="s">
        <v>127</v>
      </c>
      <c r="B97">
        <v>95</v>
      </c>
      <c r="C97" s="2">
        <v>2.9957894736842103</v>
      </c>
    </row>
    <row r="98" spans="1:3" x14ac:dyDescent="0.3">
      <c r="A98" s="12" t="s">
        <v>80</v>
      </c>
      <c r="B98">
        <v>96</v>
      </c>
      <c r="C98" s="2">
        <v>3.2156250000000011</v>
      </c>
    </row>
    <row r="99" spans="1:3" x14ac:dyDescent="0.3">
      <c r="A99" s="12" t="s">
        <v>144</v>
      </c>
      <c r="B99">
        <v>89</v>
      </c>
      <c r="C99" s="2">
        <v>3.0078651685393272</v>
      </c>
    </row>
    <row r="100" spans="1:3" x14ac:dyDescent="0.3">
      <c r="A100" s="12" t="s">
        <v>4</v>
      </c>
      <c r="B100">
        <v>100</v>
      </c>
      <c r="C100" s="2">
        <v>2.9060000000000015</v>
      </c>
    </row>
    <row r="101" spans="1:3" x14ac:dyDescent="0.3">
      <c r="A101" s="12" t="s">
        <v>99</v>
      </c>
      <c r="B101">
        <v>92</v>
      </c>
      <c r="C101" s="2">
        <v>3.2184782608695657</v>
      </c>
    </row>
    <row r="102" spans="1:3" x14ac:dyDescent="0.3">
      <c r="A102" s="12" t="s">
        <v>11</v>
      </c>
      <c r="B102">
        <v>119</v>
      </c>
      <c r="C102" s="2">
        <v>2.9235294117647044</v>
      </c>
    </row>
    <row r="103" spans="1:3" x14ac:dyDescent="0.3">
      <c r="A103" s="12" t="s">
        <v>23</v>
      </c>
      <c r="B103">
        <v>109</v>
      </c>
      <c r="C103" s="2">
        <v>3.0889908256880734</v>
      </c>
    </row>
    <row r="104" spans="1:3" x14ac:dyDescent="0.3">
      <c r="A104" s="12" t="s">
        <v>180</v>
      </c>
      <c r="B104">
        <v>114</v>
      </c>
      <c r="C104" s="2">
        <v>2.9578947368421047</v>
      </c>
    </row>
    <row r="105" spans="1:3" x14ac:dyDescent="0.3">
      <c r="A105" s="12" t="s">
        <v>85</v>
      </c>
      <c r="B105">
        <v>112</v>
      </c>
      <c r="C105" s="2">
        <v>2.9142857142857124</v>
      </c>
    </row>
    <row r="106" spans="1:3" x14ac:dyDescent="0.3">
      <c r="A106" s="12" t="s">
        <v>73</v>
      </c>
      <c r="B106">
        <v>103</v>
      </c>
      <c r="C106" s="2">
        <v>2.9844660194174746</v>
      </c>
    </row>
    <row r="107" spans="1:3" x14ac:dyDescent="0.3">
      <c r="A107" s="12" t="s">
        <v>44</v>
      </c>
      <c r="B107">
        <v>108</v>
      </c>
      <c r="C107" s="2">
        <v>2.8342592592592601</v>
      </c>
    </row>
    <row r="108" spans="1:3" x14ac:dyDescent="0.3">
      <c r="A108" s="12" t="s">
        <v>114</v>
      </c>
      <c r="B108">
        <v>111</v>
      </c>
      <c r="C108" s="2">
        <v>2.9990990990990998</v>
      </c>
    </row>
    <row r="109" spans="1:3" x14ac:dyDescent="0.3">
      <c r="A109" s="12" t="s">
        <v>17</v>
      </c>
      <c r="B109">
        <v>109</v>
      </c>
      <c r="C109" s="2">
        <v>3.0467889908256875</v>
      </c>
    </row>
    <row r="110" spans="1:3" x14ac:dyDescent="0.3">
      <c r="A110" s="12" t="s">
        <v>65</v>
      </c>
      <c r="B110">
        <v>94</v>
      </c>
      <c r="C110" s="2">
        <v>2.8925531914893616</v>
      </c>
    </row>
    <row r="111" spans="1:3" x14ac:dyDescent="0.3">
      <c r="A111" s="12" t="s">
        <v>162</v>
      </c>
      <c r="B111">
        <v>91</v>
      </c>
      <c r="C111" s="2">
        <v>3.039560439560439</v>
      </c>
    </row>
    <row r="112" spans="1:3" x14ac:dyDescent="0.3">
      <c r="A112" s="12" t="s">
        <v>230</v>
      </c>
      <c r="B112">
        <v>97</v>
      </c>
      <c r="C112" s="2">
        <v>3.0773195876288661</v>
      </c>
    </row>
    <row r="113" spans="1:3" x14ac:dyDescent="0.3">
      <c r="A113" s="12" t="s">
        <v>28</v>
      </c>
      <c r="B113">
        <v>94</v>
      </c>
      <c r="C113" s="2">
        <v>3.1095744680851065</v>
      </c>
    </row>
    <row r="114" spans="1:3" x14ac:dyDescent="0.3">
      <c r="A114" s="12" t="s">
        <v>34</v>
      </c>
      <c r="B114">
        <v>99</v>
      </c>
      <c r="C114" s="2">
        <v>2.8919191919191922</v>
      </c>
    </row>
    <row r="115" spans="1:3" x14ac:dyDescent="0.3">
      <c r="A115" s="12" t="s">
        <v>94</v>
      </c>
      <c r="B115">
        <v>91</v>
      </c>
      <c r="C115" s="2">
        <v>3.2219780219780216</v>
      </c>
    </row>
    <row r="116" spans="1:3" x14ac:dyDescent="0.3">
      <c r="A116" s="12" t="s">
        <v>90</v>
      </c>
      <c r="B116">
        <v>115</v>
      </c>
      <c r="C116" s="2">
        <v>3.1121739130434793</v>
      </c>
    </row>
    <row r="117" spans="1:3" x14ac:dyDescent="0.3">
      <c r="A117" s="12" t="s">
        <v>70</v>
      </c>
      <c r="B117">
        <v>107</v>
      </c>
      <c r="C117" s="2">
        <v>2.9775700934579423</v>
      </c>
    </row>
    <row r="118" spans="1:3" x14ac:dyDescent="0.3">
      <c r="A118" s="12" t="s">
        <v>118</v>
      </c>
      <c r="B118">
        <v>89</v>
      </c>
      <c r="C118" s="2">
        <v>3.0999999999999996</v>
      </c>
    </row>
    <row r="119" spans="1:3" x14ac:dyDescent="0.3">
      <c r="A119" s="12" t="s">
        <v>2963</v>
      </c>
      <c r="B119">
        <v>41</v>
      </c>
      <c r="C119" s="2">
        <v>3.2634146341463413</v>
      </c>
    </row>
    <row r="120" spans="1:3" x14ac:dyDescent="0.3">
      <c r="A120" s="12" t="s">
        <v>61</v>
      </c>
      <c r="B120">
        <v>111</v>
      </c>
      <c r="C120" s="2">
        <v>3.0531531531531528</v>
      </c>
    </row>
    <row r="121" spans="1:3" x14ac:dyDescent="0.3">
      <c r="A121" s="12" t="s">
        <v>2973</v>
      </c>
      <c r="B121">
        <v>2514</v>
      </c>
      <c r="C121" s="2">
        <v>3.0207239459029451</v>
      </c>
    </row>
    <row r="123" spans="1:3" x14ac:dyDescent="0.3">
      <c r="A123" s="12" t="s">
        <v>2977</v>
      </c>
    </row>
    <row r="125" spans="1:3" x14ac:dyDescent="0.3">
      <c r="A125" s="11" t="s">
        <v>2972</v>
      </c>
      <c r="B125" t="s">
        <v>2970</v>
      </c>
      <c r="C125" t="s">
        <v>2971</v>
      </c>
    </row>
    <row r="126" spans="1:3" x14ac:dyDescent="0.3">
      <c r="A126" s="12" t="s">
        <v>5</v>
      </c>
      <c r="B126">
        <v>495</v>
      </c>
      <c r="C126" s="2">
        <v>3.0498989898989941</v>
      </c>
    </row>
    <row r="127" spans="1:3" x14ac:dyDescent="0.3">
      <c r="A127" s="12" t="s">
        <v>12</v>
      </c>
      <c r="B127">
        <v>482</v>
      </c>
      <c r="C127" s="2">
        <v>2.9790456431535262</v>
      </c>
    </row>
    <row r="128" spans="1:3" x14ac:dyDescent="0.3">
      <c r="A128" s="12" t="s">
        <v>39</v>
      </c>
      <c r="B128">
        <v>486</v>
      </c>
      <c r="C128" s="2">
        <v>2.9751028806584356</v>
      </c>
    </row>
    <row r="129" spans="1:3" x14ac:dyDescent="0.3">
      <c r="A129" s="12" t="s">
        <v>29</v>
      </c>
      <c r="B129">
        <v>464</v>
      </c>
      <c r="C129" s="2">
        <v>3.0933189655172399</v>
      </c>
    </row>
    <row r="130" spans="1:3" x14ac:dyDescent="0.3">
      <c r="A130" s="12" t="s">
        <v>2963</v>
      </c>
      <c r="B130">
        <v>587</v>
      </c>
      <c r="C130" s="2">
        <v>3.0107325383304957</v>
      </c>
    </row>
    <row r="131" spans="1:3" x14ac:dyDescent="0.3">
      <c r="A131" s="12" t="s">
        <v>2973</v>
      </c>
      <c r="B131">
        <v>2514</v>
      </c>
      <c r="C131" s="2">
        <v>3.0207239459029429</v>
      </c>
    </row>
    <row r="134" spans="1:3" x14ac:dyDescent="0.3">
      <c r="A134" s="12" t="s">
        <v>2978</v>
      </c>
    </row>
    <row r="136" spans="1:3" x14ac:dyDescent="0.3">
      <c r="A136" s="11" t="s">
        <v>2972</v>
      </c>
      <c r="B136" t="s">
        <v>2970</v>
      </c>
      <c r="C136" t="s">
        <v>2971</v>
      </c>
    </row>
    <row r="137" spans="1:3" x14ac:dyDescent="0.3">
      <c r="A137" s="12" t="s">
        <v>98</v>
      </c>
      <c r="B137">
        <v>512</v>
      </c>
      <c r="C137" s="2">
        <v>2.9634765625000008</v>
      </c>
    </row>
    <row r="138" spans="1:3" x14ac:dyDescent="0.3">
      <c r="A138" s="12" t="s">
        <v>3</v>
      </c>
      <c r="B138">
        <v>509</v>
      </c>
      <c r="C138" s="2">
        <v>3.0638506876227889</v>
      </c>
    </row>
    <row r="139" spans="1:3" x14ac:dyDescent="0.3">
      <c r="A139" s="12" t="s">
        <v>22</v>
      </c>
      <c r="B139">
        <v>498</v>
      </c>
      <c r="C139" s="2">
        <v>3.0628514056224909</v>
      </c>
    </row>
    <row r="140" spans="1:3" x14ac:dyDescent="0.3">
      <c r="A140" s="12" t="s">
        <v>10</v>
      </c>
      <c r="B140">
        <v>473</v>
      </c>
      <c r="C140" s="2">
        <v>3.0369978858350954</v>
      </c>
    </row>
    <row r="141" spans="1:3" x14ac:dyDescent="0.3">
      <c r="A141" s="12" t="s">
        <v>33</v>
      </c>
      <c r="B141">
        <v>522</v>
      </c>
      <c r="C141" s="2">
        <v>2.9798850574712672</v>
      </c>
    </row>
    <row r="142" spans="1:3" x14ac:dyDescent="0.3">
      <c r="A142" s="12" t="s">
        <v>2973</v>
      </c>
      <c r="B142">
        <v>2514</v>
      </c>
      <c r="C142" s="2">
        <v>3.0207239459029425</v>
      </c>
    </row>
    <row r="145" spans="1:2" x14ac:dyDescent="0.3">
      <c r="A145" s="12" t="s">
        <v>3009</v>
      </c>
    </row>
    <row r="147" spans="1:2" x14ac:dyDescent="0.3">
      <c r="A147" s="11" t="s">
        <v>2972</v>
      </c>
      <c r="B147" t="s">
        <v>2970</v>
      </c>
    </row>
    <row r="148" spans="1:2" x14ac:dyDescent="0.3">
      <c r="A148" s="12" t="s">
        <v>2979</v>
      </c>
      <c r="B148">
        <v>575</v>
      </c>
    </row>
    <row r="149" spans="1:2" x14ac:dyDescent="0.3">
      <c r="A149" s="12" t="s">
        <v>2980</v>
      </c>
      <c r="B149">
        <v>1939</v>
      </c>
    </row>
    <row r="150" spans="1:2" x14ac:dyDescent="0.3">
      <c r="A150" s="12" t="s">
        <v>2973</v>
      </c>
      <c r="B150">
        <v>2514</v>
      </c>
    </row>
    <row r="152" spans="1:2" x14ac:dyDescent="0.3">
      <c r="A152" s="12" t="s">
        <v>2981</v>
      </c>
    </row>
    <row r="154" spans="1:2" x14ac:dyDescent="0.3">
      <c r="A154" s="11" t="s">
        <v>2972</v>
      </c>
      <c r="B154" t="s">
        <v>2970</v>
      </c>
    </row>
    <row r="155" spans="1:2" x14ac:dyDescent="0.3">
      <c r="A155" s="12" t="s">
        <v>2985</v>
      </c>
      <c r="B155">
        <v>225</v>
      </c>
    </row>
    <row r="156" spans="1:2" x14ac:dyDescent="0.3">
      <c r="A156" s="12" t="s">
        <v>2986</v>
      </c>
      <c r="B156">
        <v>190</v>
      </c>
    </row>
    <row r="157" spans="1:2" x14ac:dyDescent="0.3">
      <c r="A157" s="12" t="s">
        <v>2987</v>
      </c>
      <c r="B157">
        <v>219</v>
      </c>
    </row>
    <row r="158" spans="1:2" x14ac:dyDescent="0.3">
      <c r="A158" s="12" t="s">
        <v>2988</v>
      </c>
      <c r="B158">
        <v>216</v>
      </c>
    </row>
    <row r="159" spans="1:2" x14ac:dyDescent="0.3">
      <c r="A159" s="12" t="s">
        <v>2989</v>
      </c>
      <c r="B159">
        <v>211</v>
      </c>
    </row>
    <row r="160" spans="1:2" x14ac:dyDescent="0.3">
      <c r="A160" s="12" t="s">
        <v>2990</v>
      </c>
      <c r="B160">
        <v>225</v>
      </c>
    </row>
    <row r="161" spans="1:2" x14ac:dyDescent="0.3">
      <c r="A161" s="12" t="s">
        <v>2991</v>
      </c>
      <c r="B161">
        <v>202</v>
      </c>
    </row>
    <row r="162" spans="1:2" x14ac:dyDescent="0.3">
      <c r="A162" s="12" t="s">
        <v>2992</v>
      </c>
      <c r="B162">
        <v>220</v>
      </c>
    </row>
    <row r="163" spans="1:2" x14ac:dyDescent="0.3">
      <c r="A163" s="12" t="s">
        <v>2993</v>
      </c>
      <c r="B163">
        <v>191</v>
      </c>
    </row>
    <row r="164" spans="1:2" x14ac:dyDescent="0.3">
      <c r="A164" s="12" t="s">
        <v>2994</v>
      </c>
      <c r="B164">
        <v>214</v>
      </c>
    </row>
    <row r="165" spans="1:2" x14ac:dyDescent="0.3">
      <c r="A165" s="12" t="s">
        <v>2995</v>
      </c>
      <c r="B165">
        <v>182</v>
      </c>
    </row>
    <row r="166" spans="1:2" x14ac:dyDescent="0.3">
      <c r="A166" s="12" t="s">
        <v>2996</v>
      </c>
      <c r="B166">
        <v>219</v>
      </c>
    </row>
    <row r="167" spans="1:2" x14ac:dyDescent="0.3">
      <c r="A167" s="12" t="s">
        <v>2973</v>
      </c>
      <c r="B167">
        <v>2514</v>
      </c>
    </row>
    <row r="170" spans="1:2" x14ac:dyDescent="0.3">
      <c r="A170" s="12" t="s">
        <v>2997</v>
      </c>
    </row>
    <row r="172" spans="1:2" x14ac:dyDescent="0.3">
      <c r="A172" s="11" t="s">
        <v>2972</v>
      </c>
      <c r="B172" t="s">
        <v>2970</v>
      </c>
    </row>
    <row r="173" spans="1:2" x14ac:dyDescent="0.3">
      <c r="A173" s="12" t="s">
        <v>2982</v>
      </c>
      <c r="B173">
        <v>536</v>
      </c>
    </row>
    <row r="174" spans="1:2" x14ac:dyDescent="0.3">
      <c r="A174" s="12" t="s">
        <v>2983</v>
      </c>
      <c r="B174">
        <v>1216</v>
      </c>
    </row>
    <row r="175" spans="1:2" x14ac:dyDescent="0.3">
      <c r="A175" s="12" t="s">
        <v>2984</v>
      </c>
      <c r="B175">
        <v>762</v>
      </c>
    </row>
    <row r="176" spans="1:2" x14ac:dyDescent="0.3">
      <c r="A176" s="12" t="s">
        <v>2973</v>
      </c>
      <c r="B176">
        <v>2514</v>
      </c>
    </row>
    <row r="178" spans="1:2" x14ac:dyDescent="0.3">
      <c r="A178" s="12"/>
    </row>
    <row r="186" spans="1:2" x14ac:dyDescent="0.3">
      <c r="A186" t="s">
        <v>3004</v>
      </c>
    </row>
    <row r="188" spans="1:2" x14ac:dyDescent="0.3">
      <c r="A188" s="11" t="s">
        <v>2972</v>
      </c>
      <c r="B188" t="s">
        <v>2970</v>
      </c>
    </row>
    <row r="189" spans="1:2" x14ac:dyDescent="0.3">
      <c r="A189" s="21" t="s">
        <v>3005</v>
      </c>
      <c r="B189">
        <v>545</v>
      </c>
    </row>
    <row r="190" spans="1:2" x14ac:dyDescent="0.3">
      <c r="A190" s="21" t="s">
        <v>3006</v>
      </c>
      <c r="B190">
        <v>653</v>
      </c>
    </row>
    <row r="191" spans="1:2" x14ac:dyDescent="0.3">
      <c r="A191" s="21" t="s">
        <v>3007</v>
      </c>
      <c r="B191">
        <v>668</v>
      </c>
    </row>
    <row r="192" spans="1:2" x14ac:dyDescent="0.3">
      <c r="A192" s="21" t="s">
        <v>3008</v>
      </c>
      <c r="B192">
        <v>648</v>
      </c>
    </row>
    <row r="193" spans="1:2" x14ac:dyDescent="0.3">
      <c r="A193" s="21" t="s">
        <v>2973</v>
      </c>
      <c r="B193">
        <v>2514</v>
      </c>
    </row>
  </sheetData>
  <pageMargins left="0.7" right="0.7" top="0.75" bottom="0.75" header="0.3" footer="0.3"/>
  <pageSetup orientation="portrait" r:id="rId12"/>
  <drawing r:id="rId1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3C757F-0D3B-4C91-9B14-7B94663E12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multilingual_mobile_app_reviews</vt:lpstr>
      <vt:lpstr>Pivot Table &amp;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Sunaina Sulaiman</dc:creator>
  <cp:lastModifiedBy>Sunaina Sulaiman</cp:lastModifiedBy>
  <dcterms:created xsi:type="dcterms:W3CDTF">2026-09-03T13:04:06Z</dcterms:created>
  <dcterms:modified xsi:type="dcterms:W3CDTF">2026-09-06T17:25:28Z</dcterms:modified>
</cp:coreProperties>
</file>